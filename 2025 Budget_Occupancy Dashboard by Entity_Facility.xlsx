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I:\Asbury Services\Projections\Projections 2025\2025 Budget\Data Warehouse\"/>
    </mc:Choice>
  </mc:AlternateContent>
  <xr:revisionPtr revIDLastSave="0" documentId="13_ncr:1_{2DEAD1B6-0A51-42C0-AD65-6408C8647529}" xr6:coauthVersionLast="47" xr6:coauthVersionMax="47" xr10:uidLastSave="{00000000-0000-0000-0000-000000000000}"/>
  <bookViews>
    <workbookView xWindow="-28920" yWindow="-120" windowWidth="29040" windowHeight="16440" firstSheet="2" activeTab="2" xr2:uid="{00000000-000D-0000-FFFF-FFFF00000000}"/>
  </bookViews>
  <sheets>
    <sheet name="CrossfireHiddenWorksheet" sheetId="15" state="veryHidden" r:id="rId1"/>
    <sheet name="OfficeConnectCellHighlights" sheetId="16" state="veryHidden" r:id="rId2"/>
    <sheet name="Load 2025" sheetId="25" r:id="rId3"/>
    <sheet name="Prep" sheetId="30" r:id="rId4"/>
    <sheet name="OC-Pull" sheetId="29" r:id="rId5"/>
  </sheets>
  <externalReferences>
    <externalReference r:id="rId6"/>
  </externalReferences>
  <definedNames>
    <definedName name="_P">#REF!</definedName>
    <definedName name="basic">#REF!</definedName>
    <definedName name="Company">#REF!</definedName>
    <definedName name="CurrYr">[1]HQ!$B$19</definedName>
    <definedName name="CurrYrFCVersion">[1]HQ!$B$20</definedName>
    <definedName name="dental">#REF!</definedName>
    <definedName name="dentcode">#REF!</definedName>
    <definedName name="Depart">#REF!</definedName>
    <definedName name="Facility">#REF!</definedName>
    <definedName name="FillColMatch">'[1]OC-Fill'!$B$1:$NB$1</definedName>
    <definedName name="FillDataArray">INDIRECT(RIGHT('[1]OC-Fill'!$NI$6,LEN('[1]OC-Fill'!$NI$6)-1))</definedName>
    <definedName name="FillRowMatch">INDIRECT(RIGHT('[1]OC-Fill'!$NI$7,LEN('[1]OC-Fill'!$NI$7)-1))</definedName>
    <definedName name="FillSNFColMatch">'[1]OC-SNF Fill'!$B$1:$ET$1</definedName>
    <definedName name="FillSNFDataArray">'[1]OC-SNF Fill'!$B$9:$ET$30</definedName>
    <definedName name="FillSNFRowMatch">'[1]OC-SNF Fill'!$EV$9:$EV$30</definedName>
    <definedName name="health">#REF!</definedName>
    <definedName name="jobcode">#REF!</definedName>
    <definedName name="MainColMatch">'[1]OC-Main'!$B$1:$LS$1</definedName>
    <definedName name="MainDataArray">'[1]OC-Main'!$B$9:$LS$74</definedName>
    <definedName name="MainRowMatch">'[1]OC-Main'!$LT$9:$LT$74</definedName>
    <definedName name="medcode">#REF!</definedName>
    <definedName name="NextYr">[1]HQ!$B$21</definedName>
    <definedName name="parttm">#REF!</definedName>
    <definedName name="pension">#REF!</definedName>
    <definedName name="RaiseColMatch">'[1]OC-Raise'!$B$1:$D$1</definedName>
    <definedName name="RaiseDataArray">INDIRECT(RIGHT('[1]OC-Raise'!$I$2,LEN('[1]OC-Raise'!$I$2)-1))</definedName>
    <definedName name="RaiseRowMatch">INDIRECT(RIGHT('[1]OC-Raise'!$I$3,LEN('[1]OC-Raise'!$I$3)-1))</definedName>
    <definedName name="vachrs">#REF!</definedName>
    <definedName name="WASbasic">#REF!</definedName>
    <definedName name="WASmeddent">#REF!</definedName>
    <definedName name="workcomp">#REF!</definedName>
    <definedName name="workcompcla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25" l="1"/>
  <c r="D47" i="25"/>
  <c r="E46" i="25"/>
  <c r="D46" i="25"/>
  <c r="E45" i="25"/>
  <c r="D45" i="25"/>
  <c r="E44" i="25"/>
  <c r="D44" i="25"/>
  <c r="E43" i="25"/>
  <c r="D43" i="25"/>
  <c r="E42" i="25"/>
  <c r="D42" i="25"/>
  <c r="E41" i="25"/>
  <c r="D41" i="25"/>
  <c r="E40" i="25"/>
  <c r="D40" i="25"/>
  <c r="E39" i="25"/>
  <c r="D39" i="25"/>
  <c r="E38" i="25"/>
  <c r="D38" i="25"/>
  <c r="E37" i="25"/>
  <c r="D37" i="25"/>
  <c r="E36" i="25"/>
  <c r="D36" i="25"/>
  <c r="E35" i="25"/>
  <c r="D35" i="25"/>
  <c r="E34" i="25"/>
  <c r="D34" i="25"/>
  <c r="E33" i="25"/>
  <c r="D33" i="25"/>
  <c r="E32" i="25"/>
  <c r="D32" i="25"/>
  <c r="E31" i="25"/>
  <c r="D31" i="25"/>
  <c r="E30" i="25"/>
  <c r="D30" i="25"/>
  <c r="E29" i="25"/>
  <c r="D29" i="25"/>
  <c r="E24" i="25"/>
  <c r="E23" i="25"/>
  <c r="D23" i="25"/>
  <c r="E22" i="25"/>
  <c r="D22" i="25"/>
  <c r="E21" i="25"/>
  <c r="D21" i="25"/>
  <c r="E20" i="25"/>
  <c r="D20" i="25"/>
  <c r="E19" i="25"/>
  <c r="D19" i="25"/>
  <c r="E18" i="25"/>
  <c r="D18" i="25"/>
  <c r="E17" i="25"/>
  <c r="D17" i="25"/>
  <c r="E16" i="25"/>
  <c r="D16" i="25"/>
  <c r="E15" i="25"/>
  <c r="D15" i="25"/>
  <c r="E14" i="25"/>
  <c r="D14" i="25"/>
  <c r="E13" i="25"/>
  <c r="D13" i="25"/>
  <c r="E12" i="25"/>
  <c r="D12" i="25"/>
  <c r="E11" i="25"/>
  <c r="D11" i="25"/>
  <c r="E10" i="25"/>
  <c r="D10" i="25"/>
  <c r="E9" i="25"/>
  <c r="D9" i="25"/>
  <c r="E8" i="25"/>
  <c r="D8" i="25"/>
  <c r="E7" i="25"/>
  <c r="D7" i="25"/>
  <c r="E6" i="25"/>
  <c r="D6" i="25"/>
  <c r="E5" i="25"/>
  <c r="D5" i="25"/>
  <c r="E4" i="25"/>
  <c r="G59" i="30"/>
  <c r="G58" i="30"/>
  <c r="H58" i="30" s="1"/>
  <c r="I58" i="30" s="1"/>
  <c r="J58" i="30" s="1"/>
  <c r="H57" i="30"/>
  <c r="G57" i="30"/>
  <c r="H56" i="30"/>
  <c r="G56" i="30"/>
  <c r="I56" i="30" s="1"/>
  <c r="J56" i="30" s="1"/>
  <c r="H55" i="30"/>
  <c r="G55" i="30"/>
  <c r="I55" i="30" s="1"/>
  <c r="J55" i="30" s="1"/>
  <c r="H54" i="30"/>
  <c r="G54" i="30"/>
  <c r="I54" i="30" s="1"/>
  <c r="J54" i="30" s="1"/>
  <c r="H53" i="30"/>
  <c r="G53" i="30"/>
  <c r="I53" i="30" s="1"/>
  <c r="J53" i="30" s="1"/>
  <c r="H52" i="30"/>
  <c r="G52" i="30"/>
  <c r="I52" i="30" s="1"/>
  <c r="J52" i="30" s="1"/>
  <c r="H51" i="30"/>
  <c r="G51" i="30"/>
  <c r="I51" i="30" s="1"/>
  <c r="J51" i="30" s="1"/>
  <c r="H50" i="30"/>
  <c r="G50" i="30"/>
  <c r="I49" i="30"/>
  <c r="J49" i="30" s="1"/>
  <c r="H49" i="30"/>
  <c r="G49" i="30"/>
  <c r="H48" i="30"/>
  <c r="G48" i="30"/>
  <c r="I48" i="30" s="1"/>
  <c r="J48" i="30" s="1"/>
  <c r="G47" i="30"/>
  <c r="I46" i="30"/>
  <c r="J46" i="30" s="1"/>
  <c r="H46" i="30"/>
  <c r="G46" i="30"/>
  <c r="H45" i="30"/>
  <c r="G45" i="30"/>
  <c r="I45" i="30" s="1"/>
  <c r="J45" i="30" s="1"/>
  <c r="H44" i="30"/>
  <c r="G44" i="30"/>
  <c r="I44" i="30" s="1"/>
  <c r="J44" i="30" s="1"/>
  <c r="G43" i="30"/>
  <c r="H42" i="30"/>
  <c r="G42" i="30"/>
  <c r="H41" i="30"/>
  <c r="G41" i="30"/>
  <c r="H40" i="30"/>
  <c r="G40" i="30"/>
  <c r="I40" i="30" s="1"/>
  <c r="J40" i="30" s="1"/>
  <c r="H39" i="30"/>
  <c r="G39" i="30"/>
  <c r="I39" i="30" s="1"/>
  <c r="J39" i="30" s="1"/>
  <c r="H38" i="30"/>
  <c r="G38" i="30"/>
  <c r="I38" i="30" s="1"/>
  <c r="J38" i="30" s="1"/>
  <c r="H37" i="30"/>
  <c r="I37" i="30" s="1"/>
  <c r="J37" i="30" s="1"/>
  <c r="G37" i="30"/>
  <c r="H36" i="30"/>
  <c r="G36" i="30"/>
  <c r="G35" i="30"/>
  <c r="H34" i="30"/>
  <c r="G34" i="30"/>
  <c r="I34" i="30" s="1"/>
  <c r="J34" i="30" s="1"/>
  <c r="H33" i="30"/>
  <c r="G33" i="30"/>
  <c r="G32" i="30"/>
  <c r="H31" i="30"/>
  <c r="G31" i="30"/>
  <c r="I31" i="30" s="1"/>
  <c r="J31" i="30" s="1"/>
  <c r="H30" i="30"/>
  <c r="G30" i="30"/>
  <c r="H29" i="30"/>
  <c r="G29" i="30"/>
  <c r="I29" i="30" s="1"/>
  <c r="J29" i="30" s="1"/>
  <c r="G28" i="30"/>
  <c r="H27" i="30"/>
  <c r="G27" i="30"/>
  <c r="I27" i="30" s="1"/>
  <c r="J27" i="30" s="1"/>
  <c r="H26" i="30"/>
  <c r="G26" i="30"/>
  <c r="I26" i="30" s="1"/>
  <c r="J26" i="30" s="1"/>
  <c r="H25" i="30"/>
  <c r="G25" i="30"/>
  <c r="I25" i="30" s="1"/>
  <c r="J25" i="30" s="1"/>
  <c r="H24" i="30"/>
  <c r="G24" i="30"/>
  <c r="I24" i="30" s="1"/>
  <c r="J24" i="30" s="1"/>
  <c r="G23" i="30"/>
  <c r="H22" i="30"/>
  <c r="I22" i="30" s="1"/>
  <c r="J22" i="30" s="1"/>
  <c r="G22" i="30"/>
  <c r="H21" i="30"/>
  <c r="G21" i="30"/>
  <c r="I21" i="30" s="1"/>
  <c r="J21" i="30" s="1"/>
  <c r="H20" i="30"/>
  <c r="G20" i="30"/>
  <c r="I19" i="30"/>
  <c r="J19" i="30" s="1"/>
  <c r="H19" i="30"/>
  <c r="G19" i="30"/>
  <c r="H18" i="30"/>
  <c r="G18" i="30"/>
  <c r="I18" i="30" s="1"/>
  <c r="J18" i="30" s="1"/>
  <c r="G17" i="30"/>
  <c r="I16" i="30"/>
  <c r="J16" i="30" s="1"/>
  <c r="H16" i="30"/>
  <c r="G16" i="30"/>
  <c r="H15" i="30"/>
  <c r="G15" i="30"/>
  <c r="I15" i="30" s="1"/>
  <c r="J15" i="30" s="1"/>
  <c r="H14" i="30"/>
  <c r="G14" i="30"/>
  <c r="I14" i="30" s="1"/>
  <c r="J14" i="30" s="1"/>
  <c r="H13" i="30"/>
  <c r="G13" i="30"/>
  <c r="I13" i="30" s="1"/>
  <c r="J13" i="30" s="1"/>
  <c r="H12" i="30"/>
  <c r="G12" i="30"/>
  <c r="I12" i="30" s="1"/>
  <c r="J12" i="30" s="1"/>
  <c r="H11" i="30"/>
  <c r="G11" i="30"/>
  <c r="H10" i="30"/>
  <c r="G10" i="30"/>
  <c r="I10" i="30" s="1"/>
  <c r="J10" i="30" s="1"/>
  <c r="H9" i="30"/>
  <c r="G9" i="30"/>
  <c r="I9" i="30" s="1"/>
  <c r="J9" i="30" s="1"/>
  <c r="H8" i="30"/>
  <c r="G8" i="30"/>
  <c r="H7" i="30"/>
  <c r="G7" i="30"/>
  <c r="I7" i="30" s="1"/>
  <c r="J7" i="30" s="1"/>
  <c r="H6" i="30"/>
  <c r="G6" i="30"/>
  <c r="B3" i="30"/>
  <c r="C3" i="30"/>
  <c r="D3" i="30"/>
  <c r="E3" i="30"/>
  <c r="B4" i="30"/>
  <c r="C4" i="30"/>
  <c r="D4" i="30"/>
  <c r="E4" i="30"/>
  <c r="B5" i="30"/>
  <c r="C5" i="30"/>
  <c r="D5" i="30"/>
  <c r="E5" i="30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M52" i="15"/>
  <c r="M53" i="15"/>
  <c r="M54" i="15"/>
  <c r="M55" i="15"/>
  <c r="M56" i="15"/>
  <c r="M57" i="15"/>
  <c r="M58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O5" i="15"/>
  <c r="O6" i="15"/>
  <c r="O7" i="15"/>
  <c r="O8" i="15"/>
  <c r="C26" i="25"/>
  <c r="C28" i="25" s="1"/>
  <c r="C25" i="25"/>
  <c r="C27" i="25" s="1"/>
  <c r="C24" i="25"/>
  <c r="D24" i="25"/>
  <c r="E26" i="25" l="1"/>
  <c r="E27" i="25"/>
  <c r="E28" i="25"/>
  <c r="E25" i="25"/>
  <c r="D25" i="25"/>
  <c r="D26" i="25"/>
  <c r="D27" i="25"/>
  <c r="D28" i="25"/>
  <c r="I50" i="30"/>
  <c r="J50" i="30" s="1"/>
  <c r="I8" i="30"/>
  <c r="J8" i="30" s="1"/>
  <c r="I30" i="30"/>
  <c r="J30" i="30" s="1"/>
  <c r="I36" i="30"/>
  <c r="J36" i="30" s="1"/>
  <c r="I41" i="30"/>
  <c r="J41" i="30" s="1"/>
  <c r="I57" i="30"/>
  <c r="J57" i="30" s="1"/>
  <c r="I20" i="30"/>
  <c r="J20" i="30" s="1"/>
  <c r="I42" i="30"/>
  <c r="J42" i="30" s="1"/>
  <c r="H43" i="30"/>
  <c r="I43" i="30" s="1"/>
  <c r="J43" i="30" s="1"/>
  <c r="H28" i="30"/>
  <c r="I28" i="30" s="1"/>
  <c r="J28" i="30" s="1"/>
  <c r="I6" i="30"/>
  <c r="I11" i="30"/>
  <c r="J11" i="30" s="1"/>
  <c r="I33" i="30"/>
  <c r="J33" i="30" s="1"/>
  <c r="H17" i="30"/>
  <c r="I17" i="30" s="1"/>
  <c r="J17" i="30" s="1"/>
  <c r="H23" i="30"/>
  <c r="I23" i="30" s="1"/>
  <c r="J23" i="30" s="1"/>
  <c r="H32" i="30"/>
  <c r="I32" i="30" s="1"/>
  <c r="J32" i="30" s="1"/>
  <c r="H35" i="30"/>
  <c r="I35" i="30" s="1"/>
  <c r="J35" i="30" s="1"/>
  <c r="H47" i="30"/>
  <c r="I47" i="30" s="1"/>
  <c r="J47" i="30" s="1"/>
  <c r="H59" i="30"/>
  <c r="I59" i="30" s="1"/>
  <c r="J59" i="30" s="1"/>
  <c r="J6" i="30" l="1"/>
  <c r="D4" i="25"/>
  <c r="B61" i="30"/>
  <c r="C61" i="30"/>
</calcChain>
</file>

<file path=xl/sharedStrings.xml><?xml version="1.0" encoding="utf-8"?>
<sst xmlns="http://schemas.openxmlformats.org/spreadsheetml/2006/main" count="317" uniqueCount="91">
  <si>
    <t>Year</t>
  </si>
  <si>
    <t>Entity</t>
  </si>
  <si>
    <t>Facility</t>
  </si>
  <si>
    <t>Budget In Service (Days)</t>
  </si>
  <si>
    <t>Budget In Use (Days)</t>
  </si>
  <si>
    <t>Path</t>
  </si>
  <si>
    <t>Item Type</t>
  </si>
  <si>
    <t>100 Asbury Methodist Village</t>
  </si>
  <si>
    <t>21 Villas/Cottages</t>
  </si>
  <si>
    <t>ReportingandData/Dashboards/Lists/Budget Occupancy</t>
  </si>
  <si>
    <t>Item</t>
  </si>
  <si>
    <t>200 Asbury Solomons</t>
  </si>
  <si>
    <t>31 Apartment A</t>
  </si>
  <si>
    <t>51 Assisted Living A</t>
  </si>
  <si>
    <t>61 Skilled Nursing Facility</t>
  </si>
  <si>
    <t>324 Springhill</t>
  </si>
  <si>
    <t>22 Villas/Cottages B</t>
  </si>
  <si>
    <t>52 Assisted Living B</t>
  </si>
  <si>
    <t>810 Bethany Village</t>
  </si>
  <si>
    <t>32 Apartment B</t>
  </si>
  <si>
    <t>33 Apartment C</t>
  </si>
  <si>
    <t>34 Apartment D</t>
  </si>
  <si>
    <t>35 Apartment E</t>
  </si>
  <si>
    <t>36 Apartment F</t>
  </si>
  <si>
    <t>62 Skilled Nursing - Household</t>
  </si>
  <si>
    <t>840 Normandie Ridge</t>
  </si>
  <si>
    <t>835 Riverwoods</t>
  </si>
  <si>
    <t>Check</t>
  </si>
  <si>
    <t>925 Chandler Estate</t>
  </si>
  <si>
    <t>Forecasted Resident Days</t>
  </si>
  <si>
    <t>Maximum Resident Days</t>
  </si>
  <si>
    <t>Forecasted Occ. % - Actual Available Units</t>
  </si>
  <si>
    <t>Forecasted Occ. %  - Budget Available Units</t>
  </si>
  <si>
    <t>840-21 Villas/Cottages</t>
  </si>
  <si>
    <t>840-31 Apartment A (AMV=Trott, BV=Center, RW=Ridgecrest Court, NR=Manchester, All others)</t>
  </si>
  <si>
    <t>840-51 AL/PC A (AMV=333,  RW= Riverwood Manor, All others)</t>
  </si>
  <si>
    <t>840-52 AL/PC B (AL/PC B, NR=Dementia Care)</t>
  </si>
  <si>
    <t>840-61 Skilled Nursing Facility</t>
  </si>
  <si>
    <t>835-21 Villas/Cottages</t>
  </si>
  <si>
    <t>835-31 Apartment A (AMV=Trott, BV=Center, RW=Ridgecrest Court, NR= Manchester, All others)</t>
  </si>
  <si>
    <t>835-51 AL/PC A (AMV=333,  RW= Riverwood Manor, All others)</t>
  </si>
  <si>
    <t>835-61 Skilled Nursing Facility</t>
  </si>
  <si>
    <t>925-21 Villas/Cottages</t>
  </si>
  <si>
    <t>925-31 Apartment A (AMV=Trott, BV=Center, All others)</t>
  </si>
  <si>
    <t>925-51 AL/PCA A</t>
  </si>
  <si>
    <t>810-21 Villas/Cottages</t>
  </si>
  <si>
    <t>810-22 Villas/Cottages B (AMV=Courtyard Homes, BV=BV West, APKS=Patio Homes)</t>
  </si>
  <si>
    <t>810-31 Apartment A (AMV=Trott, BV=Center, All others)</t>
  </si>
  <si>
    <t>810-32 Apartment B (AMV=Diamond, BV=Court)</t>
  </si>
  <si>
    <t>810-33 Apartment C (AMV=419 Wallace, BV=BVWest)</t>
  </si>
  <si>
    <t>810-51 AL/PC A</t>
  </si>
  <si>
    <t>810-61 Skilled Nursing Facility</t>
  </si>
  <si>
    <t>324-21 Villas/Cottages</t>
  </si>
  <si>
    <t>324-31 Apartment A (AMV=Trott, BV=Center, All others)</t>
  </si>
  <si>
    <t>324-51 AL/PC A</t>
  </si>
  <si>
    <t>324-61 Skilled Nursing Facility</t>
  </si>
  <si>
    <t>200-21 Villas/Cottages</t>
  </si>
  <si>
    <t>200-31 Apartment A (AMV=Trott, BV=Center, AS=North Apts.)</t>
  </si>
  <si>
    <t>200-32 Apartment B (AS=South Apts.)</t>
  </si>
  <si>
    <t>200-51 AL/PC A</t>
  </si>
  <si>
    <t>200-61 Skilled Nursing Facility</t>
  </si>
  <si>
    <t>100-21 Villas/Cottages</t>
  </si>
  <si>
    <t>100-22 Villas/Cottages B (AMV=Courtyard Homes, BV=BV West, APKS=Patio Homes)</t>
  </si>
  <si>
    <t>100-31 Apartment A (AMV=Trott, BV=Center, All others)</t>
  </si>
  <si>
    <t>100-32 Apartment B (AMV=Diamond, BV=Court)</t>
  </si>
  <si>
    <t>100-33 Apartment C (AMV=419 Wallace, BV=BVWest)</t>
  </si>
  <si>
    <t>100-34 Apartment D (AMV=ParkView)</t>
  </si>
  <si>
    <t>100-35 Apartment E (AMV=Edwards Fisher)</t>
  </si>
  <si>
    <t>100-36 Apartment F (AMV=Mund)</t>
  </si>
  <si>
    <t>100-51 AL/PC A</t>
  </si>
  <si>
    <t>100-61 Skilled Nursing Facility</t>
  </si>
  <si>
    <t>100-62 Skilled Nursing - TCU</t>
  </si>
  <si>
    <t>Ent</t>
  </si>
  <si>
    <t>Fac</t>
  </si>
  <si>
    <t>f(x)</t>
  </si>
  <si>
    <t>Ent-Fac</t>
  </si>
  <si>
    <t>Match</t>
  </si>
  <si>
    <t>text</t>
  </si>
  <si>
    <t>Qlik Load</t>
  </si>
  <si>
    <t>350-21 Villas/Cottages</t>
  </si>
  <si>
    <t>350-51 AL/PC A</t>
  </si>
  <si>
    <t>350-52 AL B/APM Memory Support</t>
  </si>
  <si>
    <t>350 Grace Park</t>
  </si>
  <si>
    <t>360-51 AL/PC A</t>
  </si>
  <si>
    <t>360-52 AL B/APM Memory Support</t>
  </si>
  <si>
    <t>360 Ivy Gables</t>
  </si>
  <si>
    <t>ff655d58-dd74-44a4-af34-c65de7737e90</t>
  </si>
  <si>
    <t>FY2025</t>
  </si>
  <si>
    <t>Budget 2025</t>
  </si>
  <si>
    <t>Asbury Communities (Consolidated)</t>
  </si>
  <si>
    <t>Office Connect Data - Copy and Pasted from OC-Pull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</si>
</sst>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6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9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</cellStyleXfs>
  <cellXfs count="17">
    <xf numFmtId="0" fontId="0" fillId="0" borderId="0" xfId="0"/>
    <xf numFmtId="0" fontId="16" fillId="33" borderId="0" xfId="0" applyFont="1" applyFill="1"/>
    <xf numFmtId="0" fontId="16" fillId="0" borderId="0" xfId="0" quotePrefix="1" applyFont="1" applyAlignment="1">
      <alignment horizontal="center" vertical="center" wrapText="1"/>
    </xf>
    <xf numFmtId="166" fontId="0" fillId="0" borderId="0" xfId="56" applyNumberFormat="1" applyFont="1"/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23" fillId="34" borderId="0" xfId="0" applyFont="1" applyFill="1"/>
    <xf numFmtId="0" fontId="23" fillId="35" borderId="0" xfId="0" applyFont="1" applyFill="1"/>
    <xf numFmtId="0" fontId="0" fillId="0" borderId="0" xfId="0" quotePrefix="1"/>
    <xf numFmtId="0" fontId="0" fillId="0" borderId="0" xfId="0" quotePrefix="1" applyAlignment="1">
      <alignment horizontal="left" indent="2"/>
    </xf>
    <xf numFmtId="0" fontId="0" fillId="0" borderId="0" xfId="0" quotePrefix="1" applyAlignment="1">
      <alignment horizontal="left" indent="1"/>
    </xf>
    <xf numFmtId="0" fontId="16" fillId="0" borderId="0" xfId="0" quotePrefix="1" applyFont="1" applyAlignment="1">
      <alignment horizontal="left"/>
    </xf>
    <xf numFmtId="165" fontId="0" fillId="0" borderId="0" xfId="42" applyNumberFormat="1" applyFont="1"/>
    <xf numFmtId="165" fontId="16" fillId="0" borderId="0" xfId="42" applyNumberFormat="1" applyFont="1"/>
    <xf numFmtId="166" fontId="16" fillId="0" borderId="0" xfId="56" applyNumberFormat="1" applyFont="1"/>
    <xf numFmtId="0" fontId="0" fillId="0" borderId="0" xfId="0" applyFill="1"/>
    <xf numFmtId="166" fontId="16" fillId="33" borderId="0" xfId="0" applyNumberFormat="1" applyFont="1" applyFill="1"/>
  </cellXfs>
  <cellStyles count="6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6" builtinId="3"/>
    <cellStyle name="Comma 2" xfId="46" xr:uid="{2E85C4C2-2C60-44EE-88AB-FFE92D025E6A}"/>
    <cellStyle name="Comma 3" xfId="51" xr:uid="{998CBC8A-AB3B-4A96-ACA8-5E51E9A865B9}"/>
    <cellStyle name="Currency 2" xfId="47" xr:uid="{3BC68D6F-128C-4283-A0A0-0570ED6CC8F9}"/>
    <cellStyle name="Currency 3" xfId="52" xr:uid="{6CB98BCC-C2F5-4039-A4A5-C0B22DD993B1}"/>
    <cellStyle name="Currency 4" xfId="53" xr:uid="{90CBEBF3-C096-4A9D-B1A6-859754DBE8ED}"/>
    <cellStyle name="Currency 4 2" xfId="59" xr:uid="{367DECA7-4E28-4C83-9D27-5F9D72BAEAF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E9C6CBBA-287D-49B1-A1B3-B050268FD316}"/>
    <cellStyle name="Normal 2 2" xfId="55" xr:uid="{95B8847A-97BF-4A4B-B815-D71DBE97AA5E}"/>
    <cellStyle name="Normal 2 2 2" xfId="60" xr:uid="{721B3477-47FD-40B8-9158-AAA8676BA592}"/>
    <cellStyle name="Normal 3" xfId="44" xr:uid="{22EFC6F4-CE80-424B-B1CD-E344DF771B05}"/>
    <cellStyle name="Normal 4" xfId="48" xr:uid="{2A04CE41-EC16-466B-9F96-2A7E9344250A}"/>
    <cellStyle name="Normal 5" xfId="61" xr:uid="{492EC1A9-1B6B-4F2C-A0F2-74E4D1DE3002}"/>
    <cellStyle name="Normal 7" xfId="62" xr:uid="{F1402B0E-534F-4C8D-889C-8B46C550FE20}"/>
    <cellStyle name="Note" xfId="15" builtinId="10" customBuiltin="1"/>
    <cellStyle name="Output" xfId="10" builtinId="21" customBuiltin="1"/>
    <cellStyle name="Percent" xfId="42" builtinId="5"/>
    <cellStyle name="Percent 2" xfId="45" xr:uid="{31F42145-71C7-480F-8E2A-AB852806600E}"/>
    <cellStyle name="Percent 2 2" xfId="54" xr:uid="{CBF83688-18E6-4CEF-9CF1-DA2ED6F71ECA}"/>
    <cellStyle name="Percent 2 2 2" xfId="57" xr:uid="{3BFB17C7-68CF-44B4-BEC9-CA76763985D6}"/>
    <cellStyle name="Percent 3" xfId="49" xr:uid="{067312A6-3623-4686-9886-DC3F2D316506}"/>
    <cellStyle name="Percent 6" xfId="50" xr:uid="{C8F3977C-EC62-4E1B-A3DF-514AE9EC00FC}"/>
    <cellStyle name="Percent 6 2" xfId="58" xr:uid="{13167380-EFE1-44BA-8D22-673B7A1B3AD1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SBURY%20AMERICA\FINANCE\BUDGET%20REPORTS\2024\Budget%20Support\Budget%20Assumptions\2024%20Budget%20Assumptions%20Oct%202023.xlsx" TargetMode="External"/><Relationship Id="rId1" Type="http://schemas.openxmlformats.org/officeDocument/2006/relationships/externalLinkPath" Target="/ASBURY%20AMERICA/FINANCE/BUDGET%20REPORTS/2024/Budget%20Support/Budget%20Assumptions/2024%20Budget%20Assumptions%20Oc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ssfireHiddenWorksheet"/>
      <sheetName val="OfficeConnectCellHighlights"/>
      <sheetName val="Edit History"/>
      <sheetName val="Assumptions Summary"/>
      <sheetName val="AMV"/>
      <sheetName val="AMV Fill (2024)"/>
      <sheetName val="AS"/>
      <sheetName val="SH"/>
      <sheetName val="SH Fill (2024)"/>
      <sheetName val="BV"/>
      <sheetName val="CE"/>
      <sheetName val="RW"/>
      <sheetName val="NR"/>
      <sheetName val="APM"/>
      <sheetName val="APM AL MC (2024)"/>
      <sheetName val="APK"/>
      <sheetName val="APK Apts (2024)"/>
      <sheetName val="APK SNF Fill (2024)"/>
      <sheetName val="Pay Mix "/>
      <sheetName val="Qlik Pay Mix"/>
      <sheetName val="Pennsylvania MA "/>
      <sheetName val="Maryland MA"/>
      <sheetName val="Medicare A (Notes)"/>
      <sheetName val="Adaptive Uploads &gt;&gt;&gt;"/>
      <sheetName val="Rate Increase"/>
      <sheetName val="Census"/>
      <sheetName val="SNF Cube Rate"/>
      <sheetName val="SNF PP Rates"/>
      <sheetName val="SNF Cube %"/>
      <sheetName val="Available Unit"/>
      <sheetName val="HQ"/>
      <sheetName val="Repository"/>
      <sheetName val="OC-Main"/>
      <sheetName val="OC-SNF Rates"/>
      <sheetName val="OC-Summ"/>
      <sheetName val="OC-Raise"/>
      <sheetName val="OC-Days"/>
      <sheetName val="OC-SNF Fill"/>
      <sheetName val="OC-Fill"/>
      <sheetName val="QLK-AMV Rentals"/>
      <sheetName val="QLK-AMV Rentals Piv"/>
      <sheetName val="REF"/>
      <sheetName val="Notes"/>
      <sheetName val="AMV SNF Fill (2023)"/>
      <sheetName val="SH Apts Fill (2022)"/>
      <sheetName val="SH SNF Fill (2022)"/>
      <sheetName val="BV Apts Fill (2023)"/>
      <sheetName val="RW SNF Fill (2023)"/>
      <sheetName val="APM SNF Fill (2022)"/>
      <sheetName val="depre"/>
      <sheetName val="dep data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9">
          <cell r="B19">
            <v>2023</v>
          </cell>
        </row>
        <row r="20">
          <cell r="B20" t="str">
            <v>9+3</v>
          </cell>
        </row>
        <row r="21">
          <cell r="B21">
            <v>2024</v>
          </cell>
        </row>
      </sheetData>
      <sheetData sheetId="31"/>
      <sheetData sheetId="32">
        <row r="1">
          <cell r="B1" t="str">
            <v>2023BudgetForecasted Census (Entry)</v>
          </cell>
          <cell r="C1" t="str">
            <v>2023Budget# of Actual Available Units (Entry)</v>
          </cell>
          <cell r="D1" t="str">
            <v>2023BudgetForecasted Resident Days</v>
          </cell>
          <cell r="E1" t="str">
            <v>2023BudgetMaximum Resident Days</v>
          </cell>
          <cell r="F1" t="str">
            <v>2023BudgetForecasted Occ. % - Actual Available Units</v>
          </cell>
          <cell r="G1" t="str">
            <v>2023BudgetForecasted Occ. %  - Budget Available Units</v>
          </cell>
          <cell r="H1" t="str">
            <v>2023BudgetResident Rate Increase %</v>
          </cell>
          <cell r="I1" t="str">
            <v>2023BudgetOperating Ratio (New)</v>
          </cell>
          <cell r="J1" t="str">
            <v>2023BudgetSNF Census - Medicare A</v>
          </cell>
          <cell r="K1" t="str">
            <v>2023BudgetSNF Census - Medicare Advantage</v>
          </cell>
          <cell r="L1" t="str">
            <v>2023BudgetSNF Census - Medicaid</v>
          </cell>
          <cell r="M1" t="str">
            <v>2023BudgetSNF Census - Insurance</v>
          </cell>
          <cell r="N1" t="str">
            <v>2023BudgetSNF Census - Private Pay</v>
          </cell>
          <cell r="O1" t="str">
            <v>2023BudgetSNF Census - Hospice</v>
          </cell>
          <cell r="P1" t="str">
            <v>2023BudgetReimbursement Rate - Medicare A</v>
          </cell>
          <cell r="Q1" t="str">
            <v>2023BudgetReimbursement Rate - Medicare Advantage</v>
          </cell>
          <cell r="R1" t="str">
            <v>2023BudgetReimbursement Rate - Medicaid</v>
          </cell>
          <cell r="S1" t="str">
            <v>2023BudgetReimbursement Rate - Insurance</v>
          </cell>
          <cell r="T1" t="str">
            <v>2023BudgetReimbursement Rate - Private Pay</v>
          </cell>
          <cell r="U1" t="str">
            <v>2023BudgetReimbursement Rate - Hospice</v>
          </cell>
          <cell r="W1" t="str">
            <v>2023FC 9+3Forecasted Census (Entry)</v>
          </cell>
          <cell r="X1" t="str">
            <v>2023FC 9+3# of Actual Available Units (Entry)</v>
          </cell>
          <cell r="Y1" t="str">
            <v>2023FC 9+3Forecasted Resident Days</v>
          </cell>
          <cell r="Z1" t="str">
            <v>2023FC 9+3Maximum Resident Days</v>
          </cell>
          <cell r="AA1" t="str">
            <v>2023FC 9+3Forecasted Occ. % - Actual Available Units</v>
          </cell>
          <cell r="AB1" t="str">
            <v>2023FC 9+3Forecasted Occ. %  - Budget Available Units</v>
          </cell>
          <cell r="AC1" t="str">
            <v>2023FC 9+3Resident Rate Increase %</v>
          </cell>
          <cell r="AD1" t="str">
            <v>2023FC 9+3Operating Ratio (New)</v>
          </cell>
          <cell r="AE1" t="str">
            <v>2023FC 9+3SNF Census - Medicare A</v>
          </cell>
          <cell r="AF1" t="str">
            <v>2023FC 9+3SNF Census - Medicare Advantage</v>
          </cell>
          <cell r="AG1" t="str">
            <v>2023FC 9+3SNF Census - Medicaid</v>
          </cell>
          <cell r="AH1" t="str">
            <v>2023FC 9+3SNF Census - Insurance</v>
          </cell>
          <cell r="AI1" t="str">
            <v>2023FC 9+3SNF Census - Private Pay</v>
          </cell>
          <cell r="AJ1" t="str">
            <v>2023FC 9+3SNF Census - Hospice</v>
          </cell>
          <cell r="AK1" t="str">
            <v>2023FC 9+3Reimbursement Rate - Medicare A</v>
          </cell>
          <cell r="AL1" t="str">
            <v>2023FC 9+3Reimbursement Rate - Medicare Advantage</v>
          </cell>
          <cell r="AM1" t="str">
            <v>2023FC 9+3Reimbursement Rate - Medicaid</v>
          </cell>
          <cell r="AN1" t="str">
            <v>2023FC 9+3Reimbursement Rate - Insurance</v>
          </cell>
          <cell r="AO1" t="str">
            <v>2023FC 9+3Reimbursement Rate - Private Pay</v>
          </cell>
          <cell r="AP1" t="str">
            <v>2023FC 9+3Reimbursement Rate - Hospice</v>
          </cell>
          <cell r="AR1" t="str">
            <v>2024BudgetForecasted Census (Entry)</v>
          </cell>
          <cell r="AS1" t="str">
            <v>2024Budget# of Actual Available Units (Entry)</v>
          </cell>
          <cell r="AT1" t="str">
            <v>2024BudgetForecasted Resident Days</v>
          </cell>
          <cell r="AU1" t="str">
            <v>2024BudgetMaximum Resident Days</v>
          </cell>
          <cell r="AV1" t="str">
            <v>2024BudgetForecasted Occ. % - Actual Available Units</v>
          </cell>
          <cell r="AW1" t="str">
            <v>2024BudgetForecasted Occ. %  - Budget Available Units</v>
          </cell>
          <cell r="AX1" t="str">
            <v>2024BudgetResident Rate Increase %</v>
          </cell>
          <cell r="AY1" t="str">
            <v>2024BudgetOperating Ratio (New)</v>
          </cell>
          <cell r="AZ1" t="str">
            <v>2024BudgetSNF Census - Medicare A</v>
          </cell>
          <cell r="BA1" t="str">
            <v>2024BudgetSNF Census - Medicare Advantage</v>
          </cell>
          <cell r="BB1" t="str">
            <v>2024BudgetSNF Census - Medicaid</v>
          </cell>
          <cell r="BC1" t="str">
            <v>2024BudgetSNF Census - Insurance</v>
          </cell>
          <cell r="BD1" t="str">
            <v>2024BudgetSNF Census - Private Pay</v>
          </cell>
          <cell r="BE1" t="str">
            <v>2024BudgetSNF Census - Hospice</v>
          </cell>
          <cell r="BF1" t="str">
            <v>2024BudgetReimbursement Rate - Medicare A</v>
          </cell>
          <cell r="BG1" t="str">
            <v>2024BudgetReimbursement Rate - Medicare Advantage</v>
          </cell>
          <cell r="BH1" t="str">
            <v>2024BudgetReimbursement Rate - Medicaid</v>
          </cell>
          <cell r="BI1" t="str">
            <v>2024BudgetReimbursement Rate - Insurance</v>
          </cell>
          <cell r="BJ1" t="str">
            <v>2024BudgetReimbursement Rate - Private Pay</v>
          </cell>
          <cell r="BK1" t="str">
            <v>2024BudgetReimbursement Rate - Hospice</v>
          </cell>
          <cell r="DH1" t="str">
            <v>2023BudgetTotal AL/IL Second Persons</v>
          </cell>
          <cell r="FE1" t="str">
            <v>2023FC 9+3Total AL/IL Second Persons</v>
          </cell>
          <cell r="HB1" t="str">
            <v>2024BudgetTotal AL/IL Second Persons</v>
          </cell>
          <cell r="HQ1" t="str">
            <v>2023BudgetTotal AL/IL Rental Units</v>
          </cell>
          <cell r="IF1" t="str">
            <v>2023FC 9+3Total AL/IL Rental Units</v>
          </cell>
          <cell r="IU1" t="str">
            <v>2024BudgetTotal AL/IL Rental Units</v>
          </cell>
          <cell r="JG1" t="str">
            <v>2023Budget835/840-31 Alcove 2nd Person</v>
          </cell>
          <cell r="JH1" t="str">
            <v>2023Budget835/840-31 Apartment 2nd Person</v>
          </cell>
          <cell r="JI1" t="str">
            <v>2023Budget835/840-31 Alcove Units</v>
          </cell>
          <cell r="JJ1" t="str">
            <v>2023Budget835/840-31 Apartment Units</v>
          </cell>
          <cell r="JV1" t="str">
            <v>2023FC 9+3835/840-31 Alcove 2nd Person</v>
          </cell>
          <cell r="JW1" t="str">
            <v>2023FC 9+3835/840-31 Apartment 2nd Person</v>
          </cell>
          <cell r="JX1" t="str">
            <v>2023FC 9+3835/840-31 Alcove Units</v>
          </cell>
          <cell r="JY1" t="str">
            <v>2023FC 9+3835/840-31 Apartment Units</v>
          </cell>
          <cell r="KK1" t="str">
            <v>2024Budget835/840-31 Alcove 2nd Person</v>
          </cell>
          <cell r="KL1" t="str">
            <v>2024Budget835/840-31 Apartment 2nd Person</v>
          </cell>
          <cell r="KM1" t="str">
            <v>2024Budget835/840-31 Alcove Units</v>
          </cell>
          <cell r="KN1" t="str">
            <v>2024Budget835/840-31 Apartment Units</v>
          </cell>
          <cell r="KV1" t="str">
            <v>2023Budget650-21 Duplexes Units</v>
          </cell>
          <cell r="KW1" t="str">
            <v>2023Budget650-21 Original Units</v>
          </cell>
          <cell r="KX1" t="str">
            <v>2023Budget650-21 Townhomes Units</v>
          </cell>
          <cell r="LF1" t="str">
            <v>2023FC 9+3650-21 Duplexes Units</v>
          </cell>
          <cell r="LG1" t="str">
            <v>2023FC 9+3650-21 Original Units</v>
          </cell>
          <cell r="LH1" t="str">
            <v>2023FC 9+3650-21 Townhomes Units</v>
          </cell>
          <cell r="LP1" t="str">
            <v>2024Budget650-21 Duplexes Units</v>
          </cell>
          <cell r="LQ1" t="str">
            <v>2024Budget650-21 Original Units</v>
          </cell>
          <cell r="LR1" t="str">
            <v>2024Budget650-21 Townhomes Units</v>
          </cell>
        </row>
        <row r="9">
          <cell r="B9">
            <v>72.8</v>
          </cell>
          <cell r="C9">
            <v>74</v>
          </cell>
          <cell r="D9">
            <v>26571.999999999996</v>
          </cell>
          <cell r="E9">
            <v>27010</v>
          </cell>
          <cell r="F9">
            <v>0.98378378378378362</v>
          </cell>
          <cell r="G9">
            <v>0.98378378378378362</v>
          </cell>
          <cell r="H9">
            <v>0.05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71.939520023775913</v>
          </cell>
          <cell r="X9">
            <v>73.750501523144365</v>
          </cell>
          <cell r="Y9">
            <v>26258</v>
          </cell>
          <cell r="Z9">
            <v>26918</v>
          </cell>
          <cell r="AA9">
            <v>0.97548109071996436</v>
          </cell>
          <cell r="AB9">
            <v>0.97215845982969284</v>
          </cell>
          <cell r="AC9">
            <v>0.05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R9">
            <v>72</v>
          </cell>
          <cell r="AS9">
            <v>73</v>
          </cell>
          <cell r="AT9">
            <v>26352</v>
          </cell>
          <cell r="AU9">
            <v>26718</v>
          </cell>
          <cell r="AV9">
            <v>0.98630136986301364</v>
          </cell>
          <cell r="AW9">
            <v>0.98630136986301364</v>
          </cell>
          <cell r="AX9">
            <v>3.8999999999999993E-2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H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E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2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B9">
            <v>2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Q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F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U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K9">
            <v>0</v>
          </cell>
          <cell r="KL9">
            <v>0</v>
          </cell>
          <cell r="KM9">
            <v>0</v>
          </cell>
          <cell r="KN9">
            <v>0</v>
          </cell>
          <cell r="KP9">
            <v>0</v>
          </cell>
          <cell r="KQ9">
            <v>0</v>
          </cell>
          <cell r="KR9">
            <v>0</v>
          </cell>
          <cell r="KT9">
            <v>0</v>
          </cell>
          <cell r="KV9">
            <v>0</v>
          </cell>
          <cell r="KW9">
            <v>0</v>
          </cell>
          <cell r="KX9">
            <v>0</v>
          </cell>
          <cell r="KZ9">
            <v>0</v>
          </cell>
          <cell r="LA9">
            <v>0</v>
          </cell>
          <cell r="LB9">
            <v>0</v>
          </cell>
          <cell r="LD9">
            <v>0</v>
          </cell>
          <cell r="LF9">
            <v>0</v>
          </cell>
          <cell r="LG9">
            <v>0</v>
          </cell>
          <cell r="LH9">
            <v>0</v>
          </cell>
          <cell r="LJ9">
            <v>0</v>
          </cell>
          <cell r="LK9">
            <v>0</v>
          </cell>
          <cell r="LL9">
            <v>0</v>
          </cell>
          <cell r="LN9">
            <v>0</v>
          </cell>
          <cell r="LP9">
            <v>0</v>
          </cell>
          <cell r="LQ9">
            <v>0</v>
          </cell>
          <cell r="LR9">
            <v>0</v>
          </cell>
          <cell r="LT9" t="str">
            <v>100-21</v>
          </cell>
        </row>
        <row r="10">
          <cell r="B10">
            <v>42.139999999999993</v>
          </cell>
          <cell r="C10">
            <v>43</v>
          </cell>
          <cell r="D10">
            <v>15381.100000000002</v>
          </cell>
          <cell r="E10">
            <v>15695</v>
          </cell>
          <cell r="F10">
            <v>0.98</v>
          </cell>
          <cell r="G10">
            <v>0.98</v>
          </cell>
          <cell r="H10">
            <v>0.05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41.605479452054794</v>
          </cell>
          <cell r="X10">
            <v>43</v>
          </cell>
          <cell r="Y10">
            <v>15186</v>
          </cell>
          <cell r="Z10">
            <v>15695</v>
          </cell>
          <cell r="AA10">
            <v>0.96756928958266963</v>
          </cell>
          <cell r="AB10">
            <v>0.96756928958266963</v>
          </cell>
          <cell r="AC10">
            <v>0.05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R10">
            <v>42</v>
          </cell>
          <cell r="AS10">
            <v>43</v>
          </cell>
          <cell r="AT10">
            <v>15372</v>
          </cell>
          <cell r="AU10">
            <v>15738</v>
          </cell>
          <cell r="AV10">
            <v>0.97674418604651159</v>
          </cell>
          <cell r="AW10">
            <v>0.97674418604651159</v>
          </cell>
          <cell r="AX10">
            <v>3.8999999999999993E-2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H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E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1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B10">
            <v>1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Q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F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U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P10">
            <v>0</v>
          </cell>
          <cell r="KQ10">
            <v>0</v>
          </cell>
          <cell r="KR10">
            <v>0</v>
          </cell>
          <cell r="KT10">
            <v>0</v>
          </cell>
          <cell r="KV10">
            <v>0</v>
          </cell>
          <cell r="KW10">
            <v>0</v>
          </cell>
          <cell r="KX10">
            <v>0</v>
          </cell>
          <cell r="KZ10">
            <v>0</v>
          </cell>
          <cell r="LA10">
            <v>0</v>
          </cell>
          <cell r="LB10">
            <v>0</v>
          </cell>
          <cell r="LD10">
            <v>0</v>
          </cell>
          <cell r="LF10">
            <v>0</v>
          </cell>
          <cell r="LG10">
            <v>0</v>
          </cell>
          <cell r="LH10">
            <v>0</v>
          </cell>
          <cell r="LJ10">
            <v>0</v>
          </cell>
          <cell r="LK10">
            <v>0</v>
          </cell>
          <cell r="LL10">
            <v>0</v>
          </cell>
          <cell r="LN10">
            <v>0</v>
          </cell>
          <cell r="LP10">
            <v>0</v>
          </cell>
          <cell r="LQ10">
            <v>0</v>
          </cell>
          <cell r="LR10">
            <v>0</v>
          </cell>
          <cell r="LT10" t="str">
            <v>100-22</v>
          </cell>
        </row>
        <row r="11">
          <cell r="B11">
            <v>77.010958904109586</v>
          </cell>
          <cell r="C11">
            <v>109</v>
          </cell>
          <cell r="D11">
            <v>28109</v>
          </cell>
          <cell r="E11">
            <v>39785</v>
          </cell>
          <cell r="F11">
            <v>0.70652255875329895</v>
          </cell>
          <cell r="G11">
            <v>0.70652255875329895</v>
          </cell>
          <cell r="H11">
            <v>0.05</v>
          </cell>
          <cell r="I11">
            <v>5.3725422127731512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69.38082191780822</v>
          </cell>
          <cell r="X11">
            <v>109</v>
          </cell>
          <cell r="Y11">
            <v>25324</v>
          </cell>
          <cell r="Z11">
            <v>39785</v>
          </cell>
          <cell r="AA11">
            <v>0.63652130199824053</v>
          </cell>
          <cell r="AB11">
            <v>0.63652130199824053</v>
          </cell>
          <cell r="AC11">
            <v>0.05</v>
          </cell>
          <cell r="AD11">
            <v>5.7438970415089194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72.598360655737707</v>
          </cell>
          <cell r="AS11">
            <v>109</v>
          </cell>
          <cell r="AT11">
            <v>26571</v>
          </cell>
          <cell r="AU11">
            <v>39894</v>
          </cell>
          <cell r="AV11">
            <v>0.66604000601594227</v>
          </cell>
          <cell r="AW11">
            <v>0.66604000601594227</v>
          </cell>
          <cell r="AX11">
            <v>3.8999999999999993E-2</v>
          </cell>
          <cell r="AY11">
            <v>4.9707897784248551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9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H11">
            <v>9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9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E11">
            <v>9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9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B11">
            <v>9</v>
          </cell>
          <cell r="HD11">
            <v>2</v>
          </cell>
          <cell r="HE11">
            <v>4</v>
          </cell>
          <cell r="HF11">
            <v>3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Q11">
            <v>9</v>
          </cell>
          <cell r="HS11">
            <v>2</v>
          </cell>
          <cell r="HT11">
            <v>4</v>
          </cell>
          <cell r="HU11">
            <v>3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F11">
            <v>9</v>
          </cell>
          <cell r="IH11">
            <v>2</v>
          </cell>
          <cell r="II11">
            <v>4</v>
          </cell>
          <cell r="IJ11">
            <v>3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U11">
            <v>9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K11">
            <v>0</v>
          </cell>
          <cell r="KL11">
            <v>0</v>
          </cell>
          <cell r="KM11">
            <v>0</v>
          </cell>
          <cell r="KN11">
            <v>0</v>
          </cell>
          <cell r="KP11">
            <v>0</v>
          </cell>
          <cell r="KQ11">
            <v>0</v>
          </cell>
          <cell r="KR11">
            <v>0</v>
          </cell>
          <cell r="KT11">
            <v>0</v>
          </cell>
          <cell r="KV11">
            <v>0</v>
          </cell>
          <cell r="KW11">
            <v>0</v>
          </cell>
          <cell r="KX11">
            <v>0</v>
          </cell>
          <cell r="KZ11">
            <v>0</v>
          </cell>
          <cell r="LA11">
            <v>0</v>
          </cell>
          <cell r="LB11">
            <v>0</v>
          </cell>
          <cell r="LD11">
            <v>0</v>
          </cell>
          <cell r="LF11">
            <v>0</v>
          </cell>
          <cell r="LG11">
            <v>0</v>
          </cell>
          <cell r="LH11">
            <v>0</v>
          </cell>
          <cell r="LJ11">
            <v>0</v>
          </cell>
          <cell r="LK11">
            <v>0</v>
          </cell>
          <cell r="LL11">
            <v>0</v>
          </cell>
          <cell r="LN11">
            <v>0</v>
          </cell>
          <cell r="LP11">
            <v>0</v>
          </cell>
          <cell r="LQ11">
            <v>0</v>
          </cell>
          <cell r="LR11">
            <v>0</v>
          </cell>
          <cell r="LT11" t="str">
            <v>100-31</v>
          </cell>
        </row>
        <row r="12">
          <cell r="B12">
            <v>168.31095890410958</v>
          </cell>
          <cell r="C12">
            <v>184</v>
          </cell>
          <cell r="D12">
            <v>61433.5</v>
          </cell>
          <cell r="E12">
            <v>67160</v>
          </cell>
          <cell r="F12">
            <v>0.9147334723049434</v>
          </cell>
          <cell r="G12">
            <v>0.9147334723049434</v>
          </cell>
          <cell r="H12">
            <v>0.05</v>
          </cell>
          <cell r="I12">
            <v>0.32616643504356596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160.88356164383561</v>
          </cell>
          <cell r="X12">
            <v>184</v>
          </cell>
          <cell r="Y12">
            <v>58722.5</v>
          </cell>
          <cell r="Z12">
            <v>67160</v>
          </cell>
          <cell r="AA12">
            <v>0.87436718284693271</v>
          </cell>
          <cell r="AB12">
            <v>0.87436718284693271</v>
          </cell>
          <cell r="AC12">
            <v>0.05</v>
          </cell>
          <cell r="AD12">
            <v>0.32554165729243617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166</v>
          </cell>
          <cell r="AS12">
            <v>184</v>
          </cell>
          <cell r="AT12">
            <v>60756</v>
          </cell>
          <cell r="AU12">
            <v>67344</v>
          </cell>
          <cell r="AV12">
            <v>0.90217391304347838</v>
          </cell>
          <cell r="AW12">
            <v>0.90217391304347838</v>
          </cell>
          <cell r="AX12">
            <v>3.8999999999999993E-2</v>
          </cell>
          <cell r="AY12">
            <v>0.3275183176555187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32.000000000000007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H12">
            <v>32.000000000000007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32.000000000000007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E12">
            <v>32.000000000000007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32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B12">
            <v>32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Q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F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U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K12">
            <v>0</v>
          </cell>
          <cell r="KL12">
            <v>0</v>
          </cell>
          <cell r="KM12">
            <v>0</v>
          </cell>
          <cell r="KN12">
            <v>0</v>
          </cell>
          <cell r="KP12">
            <v>0</v>
          </cell>
          <cell r="KQ12">
            <v>0</v>
          </cell>
          <cell r="KR12">
            <v>0</v>
          </cell>
          <cell r="KT12">
            <v>0</v>
          </cell>
          <cell r="KV12">
            <v>0</v>
          </cell>
          <cell r="KW12">
            <v>0</v>
          </cell>
          <cell r="KX12">
            <v>0</v>
          </cell>
          <cell r="KZ12">
            <v>0</v>
          </cell>
          <cell r="LA12">
            <v>0</v>
          </cell>
          <cell r="LB12">
            <v>0</v>
          </cell>
          <cell r="LD12">
            <v>0</v>
          </cell>
          <cell r="LF12">
            <v>0</v>
          </cell>
          <cell r="LG12">
            <v>0</v>
          </cell>
          <cell r="LH12">
            <v>0</v>
          </cell>
          <cell r="LJ12">
            <v>0</v>
          </cell>
          <cell r="LK12">
            <v>0</v>
          </cell>
          <cell r="LL12">
            <v>0</v>
          </cell>
          <cell r="LN12">
            <v>0</v>
          </cell>
          <cell r="LP12">
            <v>0</v>
          </cell>
          <cell r="LQ12">
            <v>0</v>
          </cell>
          <cell r="LR12">
            <v>0</v>
          </cell>
          <cell r="LT12" t="str">
            <v>100-32</v>
          </cell>
        </row>
        <row r="13">
          <cell r="B13">
            <v>88.439726027397256</v>
          </cell>
          <cell r="C13">
            <v>99</v>
          </cell>
          <cell r="D13">
            <v>32280.5</v>
          </cell>
          <cell r="E13">
            <v>36135</v>
          </cell>
          <cell r="F13">
            <v>0.89333056593330562</v>
          </cell>
          <cell r="G13">
            <v>0.89333056593330562</v>
          </cell>
          <cell r="H13">
            <v>0.05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84.464383561643842</v>
          </cell>
          <cell r="X13">
            <v>99</v>
          </cell>
          <cell r="Y13">
            <v>30829.5</v>
          </cell>
          <cell r="Z13">
            <v>36135</v>
          </cell>
          <cell r="AA13">
            <v>0.85317559153175593</v>
          </cell>
          <cell r="AB13">
            <v>0.85317559153175593</v>
          </cell>
          <cell r="AC13">
            <v>0.05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R13">
            <v>87</v>
          </cell>
          <cell r="AS13">
            <v>99</v>
          </cell>
          <cell r="AT13">
            <v>31842</v>
          </cell>
          <cell r="AU13">
            <v>36234</v>
          </cell>
          <cell r="AV13">
            <v>0.87878787878787878</v>
          </cell>
          <cell r="AW13">
            <v>0.87878787878787878</v>
          </cell>
          <cell r="AX13">
            <v>3.8999999999999993E-2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33.999999999999993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H13">
            <v>33.999999999999993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33.999999999999993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E13">
            <v>33.999999999999993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36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B13">
            <v>36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Q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F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U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P13">
            <v>0</v>
          </cell>
          <cell r="KQ13">
            <v>0</v>
          </cell>
          <cell r="KR13">
            <v>0</v>
          </cell>
          <cell r="KT13">
            <v>0</v>
          </cell>
          <cell r="KV13">
            <v>0</v>
          </cell>
          <cell r="KW13">
            <v>0</v>
          </cell>
          <cell r="KX13">
            <v>0</v>
          </cell>
          <cell r="KZ13">
            <v>0</v>
          </cell>
          <cell r="LA13">
            <v>0</v>
          </cell>
          <cell r="LB13">
            <v>0</v>
          </cell>
          <cell r="LD13">
            <v>0</v>
          </cell>
          <cell r="LF13">
            <v>0</v>
          </cell>
          <cell r="LG13">
            <v>0</v>
          </cell>
          <cell r="LH13">
            <v>0</v>
          </cell>
          <cell r="LJ13">
            <v>0</v>
          </cell>
          <cell r="LK13">
            <v>0</v>
          </cell>
          <cell r="LL13">
            <v>0</v>
          </cell>
          <cell r="LN13">
            <v>0</v>
          </cell>
          <cell r="LP13">
            <v>0</v>
          </cell>
          <cell r="LQ13">
            <v>0</v>
          </cell>
          <cell r="LR13">
            <v>0</v>
          </cell>
          <cell r="LT13" t="str">
            <v>100-33</v>
          </cell>
        </row>
        <row r="14">
          <cell r="B14">
            <v>56.636986301369866</v>
          </cell>
          <cell r="C14">
            <v>65</v>
          </cell>
          <cell r="D14">
            <v>20672.5</v>
          </cell>
          <cell r="E14">
            <v>23725</v>
          </cell>
          <cell r="F14">
            <v>0.87133825079030558</v>
          </cell>
          <cell r="G14">
            <v>0.87133825079030558</v>
          </cell>
          <cell r="H14">
            <v>0.05</v>
          </cell>
          <cell r="I14">
            <v>0.12343432967447028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53.082191780821915</v>
          </cell>
          <cell r="X14">
            <v>65</v>
          </cell>
          <cell r="Y14">
            <v>19375</v>
          </cell>
          <cell r="Z14">
            <v>23725</v>
          </cell>
          <cell r="AA14">
            <v>0.81664910432033722</v>
          </cell>
          <cell r="AB14">
            <v>0.81664910432033722</v>
          </cell>
          <cell r="AC14">
            <v>0.05</v>
          </cell>
          <cell r="AD14">
            <v>0.13145618207597995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R14">
            <v>55</v>
          </cell>
          <cell r="AS14">
            <v>65</v>
          </cell>
          <cell r="AT14">
            <v>20130</v>
          </cell>
          <cell r="AU14">
            <v>23790</v>
          </cell>
          <cell r="AV14">
            <v>0.84615384615384615</v>
          </cell>
          <cell r="AW14">
            <v>0.84615384615384615</v>
          </cell>
          <cell r="AX14">
            <v>3.8999999999999993E-2</v>
          </cell>
          <cell r="AY14">
            <v>0.1212514940143341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20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H14">
            <v>20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20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E14">
            <v>20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23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B14">
            <v>23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Q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F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U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K14">
            <v>0</v>
          </cell>
          <cell r="KL14">
            <v>0</v>
          </cell>
          <cell r="KM14">
            <v>0</v>
          </cell>
          <cell r="KN14">
            <v>0</v>
          </cell>
          <cell r="KP14">
            <v>0</v>
          </cell>
          <cell r="KQ14">
            <v>0</v>
          </cell>
          <cell r="KR14">
            <v>0</v>
          </cell>
          <cell r="KT14">
            <v>0</v>
          </cell>
          <cell r="KV14">
            <v>0</v>
          </cell>
          <cell r="KW14">
            <v>0</v>
          </cell>
          <cell r="KX14">
            <v>0</v>
          </cell>
          <cell r="KZ14">
            <v>0</v>
          </cell>
          <cell r="LA14">
            <v>0</v>
          </cell>
          <cell r="LB14">
            <v>0</v>
          </cell>
          <cell r="LD14">
            <v>0</v>
          </cell>
          <cell r="LF14">
            <v>0</v>
          </cell>
          <cell r="LG14">
            <v>0</v>
          </cell>
          <cell r="LH14">
            <v>0</v>
          </cell>
          <cell r="LJ14">
            <v>0</v>
          </cell>
          <cell r="LK14">
            <v>0</v>
          </cell>
          <cell r="LL14">
            <v>0</v>
          </cell>
          <cell r="LN14">
            <v>0</v>
          </cell>
          <cell r="LP14">
            <v>0</v>
          </cell>
          <cell r="LQ14">
            <v>0</v>
          </cell>
          <cell r="LR14">
            <v>0</v>
          </cell>
          <cell r="LT14" t="str">
            <v>100-34</v>
          </cell>
        </row>
        <row r="15">
          <cell r="B15">
            <v>102.92876712328768</v>
          </cell>
          <cell r="C15">
            <v>126</v>
          </cell>
          <cell r="D15">
            <v>37569</v>
          </cell>
          <cell r="E15">
            <v>45990</v>
          </cell>
          <cell r="F15">
            <v>0.81689497716894977</v>
          </cell>
          <cell r="G15">
            <v>0.81689497716894977</v>
          </cell>
          <cell r="H15">
            <v>0.05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98.487671232876707</v>
          </cell>
          <cell r="X15">
            <v>126</v>
          </cell>
          <cell r="Y15">
            <v>35948</v>
          </cell>
          <cell r="Z15">
            <v>45990</v>
          </cell>
          <cell r="AA15">
            <v>0.78164818438791039</v>
          </cell>
          <cell r="AB15">
            <v>0.78164818438791039</v>
          </cell>
          <cell r="AC15">
            <v>0.05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R15">
            <v>104.22950819672133</v>
          </cell>
          <cell r="AS15">
            <v>126</v>
          </cell>
          <cell r="AT15">
            <v>38148</v>
          </cell>
          <cell r="AU15">
            <v>46116</v>
          </cell>
          <cell r="AV15">
            <v>0.8272183190215977</v>
          </cell>
          <cell r="AW15">
            <v>0.8272183190215977</v>
          </cell>
          <cell r="AX15">
            <v>3.8999999999999993E-2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19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H15">
            <v>19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19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E15">
            <v>19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24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B15">
            <v>24</v>
          </cell>
          <cell r="HD15">
            <v>0</v>
          </cell>
          <cell r="HE15">
            <v>0</v>
          </cell>
          <cell r="HF15">
            <v>0</v>
          </cell>
          <cell r="HG15">
            <v>2</v>
          </cell>
          <cell r="HH15">
            <v>1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Q15">
            <v>3</v>
          </cell>
          <cell r="HS15">
            <v>0</v>
          </cell>
          <cell r="HT15">
            <v>0</v>
          </cell>
          <cell r="HU15">
            <v>0</v>
          </cell>
          <cell r="HV15">
            <v>2</v>
          </cell>
          <cell r="HW15">
            <v>1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F15">
            <v>3</v>
          </cell>
          <cell r="IH15">
            <v>0</v>
          </cell>
          <cell r="II15">
            <v>0</v>
          </cell>
          <cell r="IJ15">
            <v>0</v>
          </cell>
          <cell r="IK15">
            <v>2</v>
          </cell>
          <cell r="IL15">
            <v>1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U15">
            <v>3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K15">
            <v>0</v>
          </cell>
          <cell r="KL15">
            <v>0</v>
          </cell>
          <cell r="KM15">
            <v>0</v>
          </cell>
          <cell r="KN15">
            <v>0</v>
          </cell>
          <cell r="KP15">
            <v>0</v>
          </cell>
          <cell r="KQ15">
            <v>0</v>
          </cell>
          <cell r="KR15">
            <v>0</v>
          </cell>
          <cell r="KT15">
            <v>0</v>
          </cell>
          <cell r="KV15">
            <v>0</v>
          </cell>
          <cell r="KW15">
            <v>0</v>
          </cell>
          <cell r="KX15">
            <v>0</v>
          </cell>
          <cell r="KZ15">
            <v>0</v>
          </cell>
          <cell r="LA15">
            <v>0</v>
          </cell>
          <cell r="LB15">
            <v>0</v>
          </cell>
          <cell r="LD15">
            <v>0</v>
          </cell>
          <cell r="LF15">
            <v>0</v>
          </cell>
          <cell r="LG15">
            <v>0</v>
          </cell>
          <cell r="LH15">
            <v>0</v>
          </cell>
          <cell r="LJ15">
            <v>0</v>
          </cell>
          <cell r="LK15">
            <v>0</v>
          </cell>
          <cell r="LL15">
            <v>0</v>
          </cell>
          <cell r="LN15">
            <v>0</v>
          </cell>
          <cell r="LP15">
            <v>0</v>
          </cell>
          <cell r="LQ15">
            <v>0</v>
          </cell>
          <cell r="LR15">
            <v>0</v>
          </cell>
          <cell r="LT15" t="str">
            <v>100-35</v>
          </cell>
        </row>
        <row r="16">
          <cell r="B16">
            <v>90.183561643835617</v>
          </cell>
          <cell r="C16">
            <v>126</v>
          </cell>
          <cell r="D16">
            <v>32917</v>
          </cell>
          <cell r="E16">
            <v>45990</v>
          </cell>
          <cell r="F16">
            <v>0.71574255272885412</v>
          </cell>
          <cell r="G16">
            <v>0.71574255272885412</v>
          </cell>
          <cell r="H16">
            <v>0.05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80.9972602739726</v>
          </cell>
          <cell r="X16">
            <v>126</v>
          </cell>
          <cell r="Y16">
            <v>29564</v>
          </cell>
          <cell r="Z16">
            <v>45990</v>
          </cell>
          <cell r="AA16">
            <v>0.64283539899978259</v>
          </cell>
          <cell r="AB16">
            <v>0.64283539899978259</v>
          </cell>
          <cell r="AC16">
            <v>0.05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R16">
            <v>81</v>
          </cell>
          <cell r="AS16">
            <v>126</v>
          </cell>
          <cell r="AT16">
            <v>29646</v>
          </cell>
          <cell r="AU16">
            <v>46116</v>
          </cell>
          <cell r="AV16">
            <v>0.6428571428571429</v>
          </cell>
          <cell r="AW16">
            <v>0.6428571428571429</v>
          </cell>
          <cell r="AX16">
            <v>3.8999999999999993E-2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9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H16">
            <v>9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9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E16">
            <v>9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10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B16">
            <v>10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2</v>
          </cell>
          <cell r="HJ16">
            <v>2</v>
          </cell>
          <cell r="HK16">
            <v>1</v>
          </cell>
          <cell r="HL16">
            <v>3</v>
          </cell>
          <cell r="HM16">
            <v>1</v>
          </cell>
          <cell r="HN16">
            <v>0</v>
          </cell>
          <cell r="HO16">
            <v>0</v>
          </cell>
          <cell r="HQ16">
            <v>9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2</v>
          </cell>
          <cell r="HY16">
            <v>2</v>
          </cell>
          <cell r="HZ16">
            <v>1</v>
          </cell>
          <cell r="IA16">
            <v>3</v>
          </cell>
          <cell r="IB16">
            <v>1</v>
          </cell>
          <cell r="IC16">
            <v>0</v>
          </cell>
          <cell r="ID16">
            <v>0</v>
          </cell>
          <cell r="IF16">
            <v>9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2</v>
          </cell>
          <cell r="IN16">
            <v>2</v>
          </cell>
          <cell r="IO16">
            <v>1</v>
          </cell>
          <cell r="IP16">
            <v>3</v>
          </cell>
          <cell r="IQ16">
            <v>1</v>
          </cell>
          <cell r="IR16">
            <v>0</v>
          </cell>
          <cell r="IS16">
            <v>0</v>
          </cell>
          <cell r="IU16">
            <v>9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P16">
            <v>0</v>
          </cell>
          <cell r="KQ16">
            <v>0</v>
          </cell>
          <cell r="KR16">
            <v>0</v>
          </cell>
          <cell r="KT16">
            <v>0</v>
          </cell>
          <cell r="KV16">
            <v>0</v>
          </cell>
          <cell r="KW16">
            <v>0</v>
          </cell>
          <cell r="KX16">
            <v>0</v>
          </cell>
          <cell r="KZ16">
            <v>0</v>
          </cell>
          <cell r="LA16">
            <v>0</v>
          </cell>
          <cell r="LB16">
            <v>0</v>
          </cell>
          <cell r="LD16">
            <v>0</v>
          </cell>
          <cell r="LF16">
            <v>0</v>
          </cell>
          <cell r="LG16">
            <v>0</v>
          </cell>
          <cell r="LH16">
            <v>0</v>
          </cell>
          <cell r="LJ16">
            <v>0</v>
          </cell>
          <cell r="LK16">
            <v>0</v>
          </cell>
          <cell r="LL16">
            <v>0</v>
          </cell>
          <cell r="LN16">
            <v>0</v>
          </cell>
          <cell r="LP16">
            <v>0</v>
          </cell>
          <cell r="LQ16">
            <v>0</v>
          </cell>
          <cell r="LR16">
            <v>0</v>
          </cell>
          <cell r="LT16" t="str">
            <v>100-36</v>
          </cell>
        </row>
        <row r="17">
          <cell r="B17">
            <v>124.95479452054796</v>
          </cell>
          <cell r="C17">
            <v>133</v>
          </cell>
          <cell r="D17">
            <v>45608.5</v>
          </cell>
          <cell r="E17">
            <v>48545</v>
          </cell>
          <cell r="F17">
            <v>0.93950973323720244</v>
          </cell>
          <cell r="G17">
            <v>0.93950973323720244</v>
          </cell>
          <cell r="H17">
            <v>3.9999999999999994E-2</v>
          </cell>
          <cell r="I17">
            <v>0.71308821925923027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110.95342465753424</v>
          </cell>
          <cell r="X17">
            <v>133</v>
          </cell>
          <cell r="Y17">
            <v>40498</v>
          </cell>
          <cell r="Z17">
            <v>48545</v>
          </cell>
          <cell r="AA17">
            <v>0.83423627562055824</v>
          </cell>
          <cell r="AB17">
            <v>0.83423627562055824</v>
          </cell>
          <cell r="AC17">
            <v>3.9999999999999994E-2</v>
          </cell>
          <cell r="AD17">
            <v>0.77673786939050926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R17">
            <v>121</v>
          </cell>
          <cell r="AS17">
            <v>133</v>
          </cell>
          <cell r="AT17">
            <v>44286</v>
          </cell>
          <cell r="AU17">
            <v>48678</v>
          </cell>
          <cell r="AV17">
            <v>0.90977443609022557</v>
          </cell>
          <cell r="AW17">
            <v>0.90977443609022557</v>
          </cell>
          <cell r="AX17">
            <v>3.0000000000000009E-2</v>
          </cell>
          <cell r="AY17">
            <v>0.81312951438174053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6.9999999999999991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H17">
            <v>6.9999999999999991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6.9999999999999991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E17">
            <v>6.9999999999999991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9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B17">
            <v>9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Q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F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U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P17">
            <v>0</v>
          </cell>
          <cell r="KQ17">
            <v>0</v>
          </cell>
          <cell r="KR17">
            <v>0</v>
          </cell>
          <cell r="KT17">
            <v>0</v>
          </cell>
          <cell r="KV17">
            <v>0</v>
          </cell>
          <cell r="KW17">
            <v>0</v>
          </cell>
          <cell r="KX17">
            <v>0</v>
          </cell>
          <cell r="KZ17">
            <v>0</v>
          </cell>
          <cell r="LA17">
            <v>0</v>
          </cell>
          <cell r="LB17">
            <v>0</v>
          </cell>
          <cell r="LD17">
            <v>0</v>
          </cell>
          <cell r="LF17">
            <v>0</v>
          </cell>
          <cell r="LG17">
            <v>0</v>
          </cell>
          <cell r="LH17">
            <v>0</v>
          </cell>
          <cell r="LJ17">
            <v>0</v>
          </cell>
          <cell r="LK17">
            <v>0</v>
          </cell>
          <cell r="LL17">
            <v>0</v>
          </cell>
          <cell r="LN17">
            <v>0</v>
          </cell>
          <cell r="LP17">
            <v>0</v>
          </cell>
          <cell r="LQ17">
            <v>0</v>
          </cell>
          <cell r="LR17">
            <v>0</v>
          </cell>
          <cell r="LT17" t="str">
            <v>100-51</v>
          </cell>
        </row>
        <row r="18">
          <cell r="B18">
            <v>143.71</v>
          </cell>
          <cell r="C18">
            <v>147</v>
          </cell>
          <cell r="D18">
            <v>52454.150000000009</v>
          </cell>
          <cell r="E18">
            <v>53655</v>
          </cell>
          <cell r="F18">
            <v>0.97761904761904783</v>
          </cell>
          <cell r="G18">
            <v>0.97761904761904783</v>
          </cell>
          <cell r="H18">
            <v>0.05</v>
          </cell>
          <cell r="I18">
            <v>1.5674072424363517</v>
          </cell>
          <cell r="J18">
            <v>9.8211414000000001</v>
          </cell>
          <cell r="K18">
            <v>0.40281913000000008</v>
          </cell>
          <cell r="L18">
            <v>91.191324210000005</v>
          </cell>
          <cell r="M18">
            <v>1.6161626600000003</v>
          </cell>
          <cell r="N18">
            <v>38.507238210000011</v>
          </cell>
          <cell r="O18">
            <v>2.1714580999999997</v>
          </cell>
          <cell r="P18">
            <v>618.24999999999989</v>
          </cell>
          <cell r="Q18">
            <v>538.04999999999995</v>
          </cell>
          <cell r="R18">
            <v>292.33999999999992</v>
          </cell>
          <cell r="S18">
            <v>464.29999999999984</v>
          </cell>
          <cell r="T18">
            <v>553.09</v>
          </cell>
          <cell r="U18">
            <v>268.50999999999988</v>
          </cell>
          <cell r="W18">
            <v>141.03232512972457</v>
          </cell>
          <cell r="X18">
            <v>146.93481823123082</v>
          </cell>
          <cell r="Y18">
            <v>51477.5</v>
          </cell>
          <cell r="Z18">
            <v>53631</v>
          </cell>
          <cell r="AA18">
            <v>0.95984598459845982</v>
          </cell>
          <cell r="AB18">
            <v>0.9594166433696768</v>
          </cell>
          <cell r="AC18">
            <v>0.05</v>
          </cell>
          <cell r="AD18">
            <v>1.4696241257650804</v>
          </cell>
          <cell r="AE18">
            <v>5.3863973867127557</v>
          </cell>
          <cell r="AF18">
            <v>0.93071734254990035</v>
          </cell>
          <cell r="AG18">
            <v>86.664098402457753</v>
          </cell>
          <cell r="AH18">
            <v>0.59333982526882101</v>
          </cell>
          <cell r="AI18">
            <v>43.79648233166926</v>
          </cell>
          <cell r="AJ18">
            <v>3.6511213216845833</v>
          </cell>
          <cell r="AK18">
            <v>595.77912553551732</v>
          </cell>
          <cell r="AL18">
            <v>495.63204809038734</v>
          </cell>
          <cell r="AM18">
            <v>310.25611746241896</v>
          </cell>
          <cell r="AN18">
            <v>341.52465824180808</v>
          </cell>
          <cell r="AO18">
            <v>535.82723948065859</v>
          </cell>
          <cell r="AP18">
            <v>296.45404875226825</v>
          </cell>
          <cell r="AR18">
            <v>145.5860655737705</v>
          </cell>
          <cell r="AS18">
            <v>147</v>
          </cell>
          <cell r="AT18">
            <v>53284.5</v>
          </cell>
          <cell r="AU18">
            <v>53802</v>
          </cell>
          <cell r="AV18">
            <v>0.9903813984610238</v>
          </cell>
          <cell r="AW18">
            <v>0.9903813984610238</v>
          </cell>
          <cell r="AX18">
            <v>3.8999999999999993E-2</v>
          </cell>
          <cell r="AY18">
            <v>1.4191070642400094</v>
          </cell>
          <cell r="AZ18">
            <v>2.9059725000000003</v>
          </cell>
          <cell r="BA18">
            <v>0.71977291666666676</v>
          </cell>
          <cell r="BB18">
            <v>91.808527916666662</v>
          </cell>
          <cell r="BC18">
            <v>1.841105</v>
          </cell>
          <cell r="BD18">
            <v>45.555399999999999</v>
          </cell>
          <cell r="BE18">
            <v>2.7536495833333334</v>
          </cell>
          <cell r="BF18">
            <v>611.85</v>
          </cell>
          <cell r="BG18">
            <v>529.5100000000001</v>
          </cell>
          <cell r="BH18">
            <v>303.14999999999998</v>
          </cell>
          <cell r="BI18">
            <v>372.18000000000012</v>
          </cell>
          <cell r="BJ18">
            <v>574.44000000000017</v>
          </cell>
          <cell r="BK18">
            <v>289.78000000000009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H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E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B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Q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F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U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K18">
            <v>0</v>
          </cell>
          <cell r="KL18">
            <v>0</v>
          </cell>
          <cell r="KM18">
            <v>0</v>
          </cell>
          <cell r="KN18">
            <v>0</v>
          </cell>
          <cell r="KP18">
            <v>0</v>
          </cell>
          <cell r="KQ18">
            <v>0</v>
          </cell>
          <cell r="KR18">
            <v>0</v>
          </cell>
          <cell r="KT18">
            <v>0</v>
          </cell>
          <cell r="KV18">
            <v>0</v>
          </cell>
          <cell r="KW18">
            <v>0</v>
          </cell>
          <cell r="KX18">
            <v>0</v>
          </cell>
          <cell r="KZ18">
            <v>0</v>
          </cell>
          <cell r="LA18">
            <v>0</v>
          </cell>
          <cell r="LB18">
            <v>0</v>
          </cell>
          <cell r="LD18">
            <v>0</v>
          </cell>
          <cell r="LF18">
            <v>0</v>
          </cell>
          <cell r="LG18">
            <v>0</v>
          </cell>
          <cell r="LH18">
            <v>0</v>
          </cell>
          <cell r="LJ18">
            <v>0</v>
          </cell>
          <cell r="LK18">
            <v>0</v>
          </cell>
          <cell r="LL18">
            <v>0</v>
          </cell>
          <cell r="LN18">
            <v>0</v>
          </cell>
          <cell r="LP18">
            <v>0</v>
          </cell>
          <cell r="LQ18">
            <v>0</v>
          </cell>
          <cell r="LR18">
            <v>0</v>
          </cell>
          <cell r="LT18" t="str">
            <v>100-61</v>
          </cell>
        </row>
        <row r="19">
          <cell r="B19">
            <v>34.58</v>
          </cell>
          <cell r="C19">
            <v>38</v>
          </cell>
          <cell r="D19">
            <v>12621.699999999995</v>
          </cell>
          <cell r="E19">
            <v>13870</v>
          </cell>
          <cell r="F19">
            <v>0.90999999999999981</v>
          </cell>
          <cell r="G19">
            <v>0.90999999999999981</v>
          </cell>
          <cell r="H19">
            <v>0.05</v>
          </cell>
          <cell r="I19">
            <v>0</v>
          </cell>
          <cell r="J19">
            <v>27.663999999999991</v>
          </cell>
          <cell r="K19">
            <v>6.9159999999999977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618.25</v>
          </cell>
          <cell r="Q19">
            <v>538.05000000000007</v>
          </cell>
          <cell r="R19">
            <v>0</v>
          </cell>
          <cell r="S19">
            <v>0</v>
          </cell>
          <cell r="T19">
            <v>799.33000000000015</v>
          </cell>
          <cell r="U19">
            <v>0</v>
          </cell>
          <cell r="W19">
            <v>35.25686234071987</v>
          </cell>
          <cell r="X19">
            <v>38.141550979297151</v>
          </cell>
          <cell r="Y19">
            <v>12868</v>
          </cell>
          <cell r="Z19">
            <v>13921</v>
          </cell>
          <cell r="AA19">
            <v>0.92435888226420515</v>
          </cell>
          <cell r="AB19">
            <v>0.92775775054073539</v>
          </cell>
          <cell r="AC19">
            <v>0.05</v>
          </cell>
          <cell r="AD19">
            <v>0</v>
          </cell>
          <cell r="AE19">
            <v>25.206924367716017</v>
          </cell>
          <cell r="AF19">
            <v>7.0115501119905188</v>
          </cell>
          <cell r="AG19">
            <v>0</v>
          </cell>
          <cell r="AH19">
            <v>2.6908731183477368</v>
          </cell>
          <cell r="AI19">
            <v>0.35033922171018744</v>
          </cell>
          <cell r="AJ19">
            <v>0</v>
          </cell>
          <cell r="AK19">
            <v>604.68289853144665</v>
          </cell>
          <cell r="AL19">
            <v>515.44906385973604</v>
          </cell>
          <cell r="AM19">
            <v>0</v>
          </cell>
          <cell r="AN19">
            <v>364.47217876546051</v>
          </cell>
          <cell r="AO19">
            <v>612.94761823172894</v>
          </cell>
          <cell r="AP19">
            <v>0</v>
          </cell>
          <cell r="AR19">
            <v>32.41393442622951</v>
          </cell>
          <cell r="AS19">
            <v>38</v>
          </cell>
          <cell r="AT19">
            <v>11863.5</v>
          </cell>
          <cell r="AU19">
            <v>13908</v>
          </cell>
          <cell r="AV19">
            <v>0.85299827437446074</v>
          </cell>
          <cell r="AW19">
            <v>0.85299827437446074</v>
          </cell>
          <cell r="AX19">
            <v>3.8999999999999993E-2</v>
          </cell>
          <cell r="AY19">
            <v>0</v>
          </cell>
          <cell r="AZ19">
            <v>25.933333333333337</v>
          </cell>
          <cell r="BA19">
            <v>6.4833333333333343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611.85</v>
          </cell>
          <cell r="BG19">
            <v>529.50999999999988</v>
          </cell>
          <cell r="BH19">
            <v>0</v>
          </cell>
          <cell r="BI19">
            <v>0</v>
          </cell>
          <cell r="BJ19">
            <v>830.53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H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E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B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Q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F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U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P19">
            <v>0</v>
          </cell>
          <cell r="KQ19">
            <v>0</v>
          </cell>
          <cell r="KR19">
            <v>0</v>
          </cell>
          <cell r="KT19">
            <v>0</v>
          </cell>
          <cell r="KV19">
            <v>0</v>
          </cell>
          <cell r="KW19">
            <v>0</v>
          </cell>
          <cell r="KX19">
            <v>0</v>
          </cell>
          <cell r="KZ19">
            <v>0</v>
          </cell>
          <cell r="LA19">
            <v>0</v>
          </cell>
          <cell r="LB19">
            <v>0</v>
          </cell>
          <cell r="LD19">
            <v>0</v>
          </cell>
          <cell r="LF19">
            <v>0</v>
          </cell>
          <cell r="LG19">
            <v>0</v>
          </cell>
          <cell r="LH19">
            <v>0</v>
          </cell>
          <cell r="LJ19">
            <v>0</v>
          </cell>
          <cell r="LK19">
            <v>0</v>
          </cell>
          <cell r="LL19">
            <v>0</v>
          </cell>
          <cell r="LN19">
            <v>0</v>
          </cell>
          <cell r="LP19">
            <v>0</v>
          </cell>
          <cell r="LQ19">
            <v>0</v>
          </cell>
          <cell r="LR19">
            <v>0</v>
          </cell>
          <cell r="LT19" t="str">
            <v>100-62</v>
          </cell>
        </row>
        <row r="20">
          <cell r="B20">
            <v>1001.6957534246576</v>
          </cell>
          <cell r="C20">
            <v>1144</v>
          </cell>
          <cell r="D20">
            <v>365618.95000000007</v>
          </cell>
          <cell r="E20">
            <v>417560</v>
          </cell>
          <cell r="F20">
            <v>0.87560817607050501</v>
          </cell>
          <cell r="G20">
            <v>0.87560817607050501</v>
          </cell>
          <cell r="H20">
            <v>4.9090909090909081E-2</v>
          </cell>
          <cell r="I20">
            <v>0.9832340435377056</v>
          </cell>
          <cell r="J20">
            <v>37.485141400000003</v>
          </cell>
          <cell r="K20">
            <v>7.3188191299999987</v>
          </cell>
          <cell r="L20">
            <v>91.191324210000005</v>
          </cell>
          <cell r="M20">
            <v>1.6161626600000003</v>
          </cell>
          <cell r="N20">
            <v>38.507238210000011</v>
          </cell>
          <cell r="O20">
            <v>2.1714580999999997</v>
          </cell>
          <cell r="P20">
            <v>1236.5</v>
          </cell>
          <cell r="Q20">
            <v>1076.0999999999999</v>
          </cell>
          <cell r="R20">
            <v>292.33999999999986</v>
          </cell>
          <cell r="S20">
            <v>464.3</v>
          </cell>
          <cell r="T20">
            <v>1352.4199999999998</v>
          </cell>
          <cell r="U20">
            <v>268.50999999999993</v>
          </cell>
          <cell r="W20">
            <v>948.08047715979342</v>
          </cell>
          <cell r="X20">
            <v>1143.822134175324</v>
          </cell>
          <cell r="Y20">
            <v>346050.5</v>
          </cell>
          <cell r="Z20">
            <v>417495</v>
          </cell>
          <cell r="AA20">
            <v>0.82887339968143336</v>
          </cell>
          <cell r="AB20">
            <v>0.82874437206628992</v>
          </cell>
          <cell r="AC20">
            <v>4.9090909090909081E-2</v>
          </cell>
          <cell r="AD20">
            <v>0.99527045866091057</v>
          </cell>
          <cell r="AE20">
            <v>30.593321754428771</v>
          </cell>
          <cell r="AF20">
            <v>7.9422674545404179</v>
          </cell>
          <cell r="AG20">
            <v>86.664098402457753</v>
          </cell>
          <cell r="AH20">
            <v>3.2842129436165575</v>
          </cell>
          <cell r="AI20">
            <v>44.146821553379446</v>
          </cell>
          <cell r="AJ20">
            <v>3.6511213216845833</v>
          </cell>
          <cell r="AK20">
            <v>1200.3368589431775</v>
          </cell>
          <cell r="AL20">
            <v>1011.5162101785108</v>
          </cell>
          <cell r="AM20">
            <v>310.25489148821714</v>
          </cell>
          <cell r="AN20">
            <v>705.86949857523632</v>
          </cell>
          <cell r="AO20">
            <v>1148.7576857549325</v>
          </cell>
          <cell r="AP20">
            <v>296.52343095724359</v>
          </cell>
          <cell r="AR20">
            <v>978.82786885245901</v>
          </cell>
          <cell r="AS20">
            <v>1143</v>
          </cell>
          <cell r="AT20">
            <v>358251</v>
          </cell>
          <cell r="AU20">
            <v>418338</v>
          </cell>
          <cell r="AV20">
            <v>0.85636733932848563</v>
          </cell>
          <cell r="AW20">
            <v>0.85636733932848563</v>
          </cell>
          <cell r="AX20">
            <v>3.8181818181818185E-2</v>
          </cell>
          <cell r="AY20">
            <v>0.95403332582718758</v>
          </cell>
          <cell r="AZ20">
            <v>28.839305833333341</v>
          </cell>
          <cell r="BA20">
            <v>7.2031062500000012</v>
          </cell>
          <cell r="BB20">
            <v>91.808527916666662</v>
          </cell>
          <cell r="BC20">
            <v>1.841105</v>
          </cell>
          <cell r="BD20">
            <v>45.555399999999999</v>
          </cell>
          <cell r="BE20">
            <v>2.7536495833333334</v>
          </cell>
          <cell r="BF20">
            <v>1223.6999999999998</v>
          </cell>
          <cell r="BG20">
            <v>1059.02</v>
          </cell>
          <cell r="BH20">
            <v>303.15000000000003</v>
          </cell>
          <cell r="BI20">
            <v>372.17999999999989</v>
          </cell>
          <cell r="BJ20">
            <v>1404.97</v>
          </cell>
          <cell r="BK20">
            <v>289.78000000000003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32.000000000000007</v>
          </cell>
          <cell r="CC20">
            <v>19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6.9999999999999991</v>
          </cell>
          <cell r="CI20">
            <v>9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20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9</v>
          </cell>
          <cell r="CV20">
            <v>33.999999999999993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H20">
            <v>130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32.000000000000007</v>
          </cell>
          <cell r="DZ20">
            <v>19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6.9999999999999991</v>
          </cell>
          <cell r="EF20">
            <v>9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20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9</v>
          </cell>
          <cell r="ES20">
            <v>33.999999999999993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E20">
            <v>130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32</v>
          </cell>
          <cell r="FW20">
            <v>24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9</v>
          </cell>
          <cell r="GC20">
            <v>10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23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9</v>
          </cell>
          <cell r="GP20">
            <v>36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1</v>
          </cell>
          <cell r="GV20">
            <v>2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B20">
            <v>146</v>
          </cell>
          <cell r="HD20">
            <v>2</v>
          </cell>
          <cell r="HE20">
            <v>4</v>
          </cell>
          <cell r="HF20">
            <v>3</v>
          </cell>
          <cell r="HG20">
            <v>2</v>
          </cell>
          <cell r="HH20">
            <v>1</v>
          </cell>
          <cell r="HI20">
            <v>2</v>
          </cell>
          <cell r="HJ20">
            <v>2</v>
          </cell>
          <cell r="HK20">
            <v>1</v>
          </cell>
          <cell r="HL20">
            <v>3</v>
          </cell>
          <cell r="HM20">
            <v>1</v>
          </cell>
          <cell r="HN20">
            <v>0</v>
          </cell>
          <cell r="HO20">
            <v>0</v>
          </cell>
          <cell r="HQ20">
            <v>21</v>
          </cell>
          <cell r="HS20">
            <v>2</v>
          </cell>
          <cell r="HT20">
            <v>4</v>
          </cell>
          <cell r="HU20">
            <v>3</v>
          </cell>
          <cell r="HV20">
            <v>2</v>
          </cell>
          <cell r="HW20">
            <v>1</v>
          </cell>
          <cell r="HX20">
            <v>2</v>
          </cell>
          <cell r="HY20">
            <v>2</v>
          </cell>
          <cell r="HZ20">
            <v>1</v>
          </cell>
          <cell r="IA20">
            <v>3</v>
          </cell>
          <cell r="IB20">
            <v>1</v>
          </cell>
          <cell r="IC20">
            <v>0</v>
          </cell>
          <cell r="ID20">
            <v>0</v>
          </cell>
          <cell r="IF20">
            <v>21</v>
          </cell>
          <cell r="IH20">
            <v>2</v>
          </cell>
          <cell r="II20">
            <v>4</v>
          </cell>
          <cell r="IJ20">
            <v>3</v>
          </cell>
          <cell r="IK20">
            <v>2</v>
          </cell>
          <cell r="IL20">
            <v>1</v>
          </cell>
          <cell r="IM20">
            <v>2</v>
          </cell>
          <cell r="IN20">
            <v>2</v>
          </cell>
          <cell r="IO20">
            <v>1</v>
          </cell>
          <cell r="IP20">
            <v>3</v>
          </cell>
          <cell r="IQ20">
            <v>1</v>
          </cell>
          <cell r="IR20">
            <v>0</v>
          </cell>
          <cell r="IS20">
            <v>0</v>
          </cell>
          <cell r="IU20">
            <v>21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P20">
            <v>0</v>
          </cell>
          <cell r="KQ20">
            <v>0</v>
          </cell>
          <cell r="KR20">
            <v>0</v>
          </cell>
          <cell r="KT20">
            <v>0</v>
          </cell>
          <cell r="KV20">
            <v>0</v>
          </cell>
          <cell r="KW20">
            <v>0</v>
          </cell>
          <cell r="KX20">
            <v>0</v>
          </cell>
          <cell r="KZ20">
            <v>0</v>
          </cell>
          <cell r="LA20">
            <v>0</v>
          </cell>
          <cell r="LB20">
            <v>0</v>
          </cell>
          <cell r="LD20">
            <v>0</v>
          </cell>
          <cell r="LF20">
            <v>0</v>
          </cell>
          <cell r="LG20">
            <v>0</v>
          </cell>
          <cell r="LH20">
            <v>0</v>
          </cell>
          <cell r="LJ20">
            <v>0</v>
          </cell>
          <cell r="LK20">
            <v>0</v>
          </cell>
          <cell r="LL20">
            <v>0</v>
          </cell>
          <cell r="LN20">
            <v>0</v>
          </cell>
          <cell r="LP20">
            <v>0</v>
          </cell>
          <cell r="LQ20">
            <v>0</v>
          </cell>
          <cell r="LR20">
            <v>0</v>
          </cell>
          <cell r="LT20" t="str">
            <v>100-Entity</v>
          </cell>
        </row>
        <row r="21">
          <cell r="B21">
            <v>69.839999999999989</v>
          </cell>
          <cell r="C21">
            <v>72</v>
          </cell>
          <cell r="D21">
            <v>25491.600000000009</v>
          </cell>
          <cell r="E21">
            <v>26280</v>
          </cell>
          <cell r="F21">
            <v>0.9700000000000002</v>
          </cell>
          <cell r="G21">
            <v>0.9700000000000002</v>
          </cell>
          <cell r="H21">
            <v>4.8999999999999995E-2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70.68493150684931</v>
          </cell>
          <cell r="X21">
            <v>72</v>
          </cell>
          <cell r="Y21">
            <v>25800</v>
          </cell>
          <cell r="Z21">
            <v>26280</v>
          </cell>
          <cell r="AA21">
            <v>0.9817351598173516</v>
          </cell>
          <cell r="AB21">
            <v>0.9817351598173516</v>
          </cell>
          <cell r="AC21">
            <v>4.8999999999999995E-2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R21">
            <v>70</v>
          </cell>
          <cell r="AS21">
            <v>72</v>
          </cell>
          <cell r="AT21">
            <v>25620</v>
          </cell>
          <cell r="AU21">
            <v>26352</v>
          </cell>
          <cell r="AV21">
            <v>0.97222222222222221</v>
          </cell>
          <cell r="AW21">
            <v>0.97222222222222221</v>
          </cell>
          <cell r="AX21">
            <v>3.9999999999999994E-2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36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H21">
            <v>36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36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E21">
            <v>36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37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B21">
            <v>37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Q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F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</v>
          </cell>
          <cell r="IS21">
            <v>0</v>
          </cell>
          <cell r="IU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P21">
            <v>0</v>
          </cell>
          <cell r="KQ21">
            <v>0</v>
          </cell>
          <cell r="KR21">
            <v>0</v>
          </cell>
          <cell r="KT21">
            <v>0</v>
          </cell>
          <cell r="KV21">
            <v>0</v>
          </cell>
          <cell r="KW21">
            <v>0</v>
          </cell>
          <cell r="KX21">
            <v>0</v>
          </cell>
          <cell r="KZ21">
            <v>0</v>
          </cell>
          <cell r="LA21">
            <v>0</v>
          </cell>
          <cell r="LB21">
            <v>0</v>
          </cell>
          <cell r="LD21">
            <v>0</v>
          </cell>
          <cell r="LF21">
            <v>0</v>
          </cell>
          <cell r="LG21">
            <v>0</v>
          </cell>
          <cell r="LH21">
            <v>0</v>
          </cell>
          <cell r="LJ21">
            <v>0</v>
          </cell>
          <cell r="LK21">
            <v>0</v>
          </cell>
          <cell r="LL21">
            <v>0</v>
          </cell>
          <cell r="LN21">
            <v>0</v>
          </cell>
          <cell r="LP21">
            <v>0</v>
          </cell>
          <cell r="LQ21">
            <v>0</v>
          </cell>
          <cell r="LR21">
            <v>0</v>
          </cell>
          <cell r="LT21" t="str">
            <v>200-21</v>
          </cell>
        </row>
        <row r="22">
          <cell r="B22">
            <v>131</v>
          </cell>
          <cell r="C22">
            <v>142</v>
          </cell>
          <cell r="D22">
            <v>47815</v>
          </cell>
          <cell r="E22">
            <v>51830</v>
          </cell>
          <cell r="F22">
            <v>0.92253521126760563</v>
          </cell>
          <cell r="G22">
            <v>0.92253521126760563</v>
          </cell>
          <cell r="H22">
            <v>4.8999999999999995E-2</v>
          </cell>
          <cell r="I22">
            <v>2.0065130281447936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127.60547945205479</v>
          </cell>
          <cell r="X22">
            <v>142</v>
          </cell>
          <cell r="Y22">
            <v>46576</v>
          </cell>
          <cell r="Z22">
            <v>51830</v>
          </cell>
          <cell r="AA22">
            <v>0.89863013698630134</v>
          </cell>
          <cell r="AB22">
            <v>0.89863013698630134</v>
          </cell>
          <cell r="AC22">
            <v>4.8999999999999995E-2</v>
          </cell>
          <cell r="AD22">
            <v>1.952395594854081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R22">
            <v>131</v>
          </cell>
          <cell r="AS22">
            <v>142</v>
          </cell>
          <cell r="AT22">
            <v>47946</v>
          </cell>
          <cell r="AU22">
            <v>51972</v>
          </cell>
          <cell r="AV22">
            <v>0.92253521126760563</v>
          </cell>
          <cell r="AW22">
            <v>0.92253521126760563</v>
          </cell>
          <cell r="AX22">
            <v>3.9999999999999994E-2</v>
          </cell>
          <cell r="AY22">
            <v>1.8388867871022381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24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H22">
            <v>24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24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E22">
            <v>24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23.000000000000004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B22">
            <v>23.000000000000004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Q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F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U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P22">
            <v>0</v>
          </cell>
          <cell r="KQ22">
            <v>0</v>
          </cell>
          <cell r="KR22">
            <v>0</v>
          </cell>
          <cell r="KT22">
            <v>0</v>
          </cell>
          <cell r="KV22">
            <v>0</v>
          </cell>
          <cell r="KW22">
            <v>0</v>
          </cell>
          <cell r="KX22">
            <v>0</v>
          </cell>
          <cell r="KZ22">
            <v>0</v>
          </cell>
          <cell r="LA22">
            <v>0</v>
          </cell>
          <cell r="LB22">
            <v>0</v>
          </cell>
          <cell r="LD22">
            <v>0</v>
          </cell>
          <cell r="LF22">
            <v>0</v>
          </cell>
          <cell r="LG22">
            <v>0</v>
          </cell>
          <cell r="LH22">
            <v>0</v>
          </cell>
          <cell r="LJ22">
            <v>0</v>
          </cell>
          <cell r="LK22">
            <v>0</v>
          </cell>
          <cell r="LL22">
            <v>0</v>
          </cell>
          <cell r="LN22">
            <v>0</v>
          </cell>
          <cell r="LP22">
            <v>0</v>
          </cell>
          <cell r="LQ22">
            <v>0</v>
          </cell>
          <cell r="LR22">
            <v>0</v>
          </cell>
          <cell r="LT22" t="str">
            <v>200-31</v>
          </cell>
        </row>
        <row r="23">
          <cell r="B23">
            <v>82.56</v>
          </cell>
          <cell r="C23">
            <v>86</v>
          </cell>
          <cell r="D23">
            <v>30134.400000000001</v>
          </cell>
          <cell r="E23">
            <v>31390</v>
          </cell>
          <cell r="F23">
            <v>0.96</v>
          </cell>
          <cell r="G23">
            <v>0.96</v>
          </cell>
          <cell r="H23">
            <v>4.8999999999999995E-2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81.61369863013698</v>
          </cell>
          <cell r="X23">
            <v>86</v>
          </cell>
          <cell r="Y23">
            <v>29789</v>
          </cell>
          <cell r="Z23">
            <v>31390</v>
          </cell>
          <cell r="AA23">
            <v>0.94899649569926725</v>
          </cell>
          <cell r="AB23">
            <v>0.94899649569926725</v>
          </cell>
          <cell r="AC23">
            <v>4.8999999999999995E-2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81.7</v>
          </cell>
          <cell r="AS23">
            <v>86</v>
          </cell>
          <cell r="AT23">
            <v>29902.200000000004</v>
          </cell>
          <cell r="AU23">
            <v>31476</v>
          </cell>
          <cell r="AV23">
            <v>0.95000000000000018</v>
          </cell>
          <cell r="AW23">
            <v>0.95000000000000018</v>
          </cell>
          <cell r="AX23">
            <v>3.9999999999999994E-2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30.999999999999996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H23">
            <v>30.999999999999996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30.999999999999996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E23">
            <v>30.999999999999996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30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B23">
            <v>30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Q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F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U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P23">
            <v>0</v>
          </cell>
          <cell r="KQ23">
            <v>0</v>
          </cell>
          <cell r="KR23">
            <v>0</v>
          </cell>
          <cell r="KT23">
            <v>0</v>
          </cell>
          <cell r="KV23">
            <v>0</v>
          </cell>
          <cell r="KW23">
            <v>0</v>
          </cell>
          <cell r="KX23">
            <v>0</v>
          </cell>
          <cell r="KZ23">
            <v>0</v>
          </cell>
          <cell r="LA23">
            <v>0</v>
          </cell>
          <cell r="LB23">
            <v>0</v>
          </cell>
          <cell r="LD23">
            <v>0</v>
          </cell>
          <cell r="LF23">
            <v>0</v>
          </cell>
          <cell r="LG23">
            <v>0</v>
          </cell>
          <cell r="LH23">
            <v>0</v>
          </cell>
          <cell r="LJ23">
            <v>0</v>
          </cell>
          <cell r="LK23">
            <v>0</v>
          </cell>
          <cell r="LL23">
            <v>0</v>
          </cell>
          <cell r="LN23">
            <v>0</v>
          </cell>
          <cell r="LP23">
            <v>0</v>
          </cell>
          <cell r="LQ23">
            <v>0</v>
          </cell>
          <cell r="LR23">
            <v>0</v>
          </cell>
          <cell r="LT23" t="str">
            <v>200-32</v>
          </cell>
        </row>
        <row r="24">
          <cell r="B24">
            <v>23.52</v>
          </cell>
          <cell r="C24">
            <v>24</v>
          </cell>
          <cell r="D24">
            <v>8584.8000000000011</v>
          </cell>
          <cell r="E24">
            <v>8760</v>
          </cell>
          <cell r="F24">
            <v>0.98</v>
          </cell>
          <cell r="G24">
            <v>0.98</v>
          </cell>
          <cell r="H24">
            <v>4.8999999999999995E-2</v>
          </cell>
          <cell r="I24">
            <v>0.86478964531717706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23.819506849315069</v>
          </cell>
          <cell r="X24">
            <v>24</v>
          </cell>
          <cell r="Y24">
            <v>8694.1200000000008</v>
          </cell>
          <cell r="Z24">
            <v>8760</v>
          </cell>
          <cell r="AA24">
            <v>0.9924794520547946</v>
          </cell>
          <cell r="AB24">
            <v>0.9924794520547946</v>
          </cell>
          <cell r="AC24">
            <v>4.8999999999999995E-2</v>
          </cell>
          <cell r="AD24">
            <v>0.78224241804717776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R24">
            <v>23.520000000000003</v>
          </cell>
          <cell r="AS24">
            <v>24</v>
          </cell>
          <cell r="AT24">
            <v>8608.3200000000015</v>
          </cell>
          <cell r="AU24">
            <v>8784</v>
          </cell>
          <cell r="AV24">
            <v>0.9800000000000002</v>
          </cell>
          <cell r="AW24">
            <v>0.9800000000000002</v>
          </cell>
          <cell r="AX24">
            <v>3.9999999999999994E-2</v>
          </cell>
          <cell r="AY24">
            <v>0.94057689902483399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H24">
            <v>1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1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E24">
            <v>1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1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B24">
            <v>1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Q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F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U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</v>
          </cell>
          <cell r="KP24">
            <v>0</v>
          </cell>
          <cell r="KQ24">
            <v>0</v>
          </cell>
          <cell r="KR24">
            <v>0</v>
          </cell>
          <cell r="KT24">
            <v>0</v>
          </cell>
          <cell r="KV24">
            <v>0</v>
          </cell>
          <cell r="KW24">
            <v>0</v>
          </cell>
          <cell r="KX24">
            <v>0</v>
          </cell>
          <cell r="KZ24">
            <v>0</v>
          </cell>
          <cell r="LA24">
            <v>0</v>
          </cell>
          <cell r="LB24">
            <v>0</v>
          </cell>
          <cell r="LD24">
            <v>0</v>
          </cell>
          <cell r="LF24">
            <v>0</v>
          </cell>
          <cell r="LG24">
            <v>0</v>
          </cell>
          <cell r="LH24">
            <v>0</v>
          </cell>
          <cell r="LJ24">
            <v>0</v>
          </cell>
          <cell r="LK24">
            <v>0</v>
          </cell>
          <cell r="LL24">
            <v>0</v>
          </cell>
          <cell r="LN24">
            <v>0</v>
          </cell>
          <cell r="LP24">
            <v>0</v>
          </cell>
          <cell r="LQ24">
            <v>0</v>
          </cell>
          <cell r="LR24">
            <v>0</v>
          </cell>
          <cell r="LT24" t="str">
            <v>200-51</v>
          </cell>
        </row>
        <row r="25">
          <cell r="B25">
            <v>43.6</v>
          </cell>
          <cell r="C25">
            <v>48</v>
          </cell>
          <cell r="D25">
            <v>15914.000000000002</v>
          </cell>
          <cell r="E25">
            <v>17520</v>
          </cell>
          <cell r="F25">
            <v>0.90833333333333344</v>
          </cell>
          <cell r="G25">
            <v>0.90833333333333344</v>
          </cell>
          <cell r="H25">
            <v>4.8999999999999995E-2</v>
          </cell>
          <cell r="I25">
            <v>0.98932012927376922</v>
          </cell>
          <cell r="J25">
            <v>5.3999907999999985</v>
          </cell>
          <cell r="K25">
            <v>0</v>
          </cell>
          <cell r="L25">
            <v>12.999993999999999</v>
          </cell>
          <cell r="M25">
            <v>0</v>
          </cell>
          <cell r="N25">
            <v>25.200015199999999</v>
          </cell>
          <cell r="O25">
            <v>0</v>
          </cell>
          <cell r="P25">
            <v>600.03000000000009</v>
          </cell>
          <cell r="Q25">
            <v>0</v>
          </cell>
          <cell r="R25">
            <v>263.34999999999997</v>
          </cell>
          <cell r="S25">
            <v>0</v>
          </cell>
          <cell r="T25">
            <v>494.07999999999981</v>
          </cell>
          <cell r="U25">
            <v>0</v>
          </cell>
          <cell r="W25">
            <v>39.69315068493151</v>
          </cell>
          <cell r="X25">
            <v>48</v>
          </cell>
          <cell r="Y25">
            <v>14488</v>
          </cell>
          <cell r="Z25">
            <v>17520</v>
          </cell>
          <cell r="AA25">
            <v>0.82694063926940642</v>
          </cell>
          <cell r="AB25">
            <v>0.82694063926940642</v>
          </cell>
          <cell r="AC25">
            <v>4.8999999999999995E-2</v>
          </cell>
          <cell r="AD25">
            <v>1.0157565103126192</v>
          </cell>
          <cell r="AE25">
            <v>3.656358141321038</v>
          </cell>
          <cell r="AF25">
            <v>5.3392217101895179E-2</v>
          </cell>
          <cell r="AG25">
            <v>14.21299989759345</v>
          </cell>
          <cell r="AH25">
            <v>0</v>
          </cell>
          <cell r="AI25">
            <v>21.621802995391704</v>
          </cell>
          <cell r="AJ25">
            <v>0.15000000000000072</v>
          </cell>
          <cell r="AK25">
            <v>602.29964408081707</v>
          </cell>
          <cell r="AL25">
            <v>134.59897846493649</v>
          </cell>
          <cell r="AM25">
            <v>255.59024589638145</v>
          </cell>
          <cell r="AN25">
            <v>0</v>
          </cell>
          <cell r="AO25">
            <v>499.25925024496553</v>
          </cell>
          <cell r="AP25">
            <v>32.730973487637279</v>
          </cell>
          <cell r="AR25">
            <v>40</v>
          </cell>
          <cell r="AS25">
            <v>48</v>
          </cell>
          <cell r="AT25">
            <v>14640</v>
          </cell>
          <cell r="AU25">
            <v>17568</v>
          </cell>
          <cell r="AV25">
            <v>0.83333333333333337</v>
          </cell>
          <cell r="AW25">
            <v>0.83333333333333337</v>
          </cell>
          <cell r="AX25">
            <v>3.9999999999999994E-2</v>
          </cell>
          <cell r="AY25">
            <v>1.0203430201405443</v>
          </cell>
          <cell r="AZ25">
            <v>3.5</v>
          </cell>
          <cell r="BA25">
            <v>0</v>
          </cell>
          <cell r="BB25">
            <v>13.96</v>
          </cell>
          <cell r="BC25">
            <v>0</v>
          </cell>
          <cell r="BD25">
            <v>22.539999999999996</v>
          </cell>
          <cell r="BE25">
            <v>0</v>
          </cell>
          <cell r="BF25">
            <v>611.43000000000006</v>
          </cell>
          <cell r="BG25">
            <v>0</v>
          </cell>
          <cell r="BH25">
            <v>255.73000000000005</v>
          </cell>
          <cell r="BI25">
            <v>0</v>
          </cell>
          <cell r="BJ25">
            <v>513.75</v>
          </cell>
          <cell r="BK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H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E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B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Q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F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U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P25">
            <v>0</v>
          </cell>
          <cell r="KQ25">
            <v>0</v>
          </cell>
          <cell r="KR25">
            <v>0</v>
          </cell>
          <cell r="KT25">
            <v>0</v>
          </cell>
          <cell r="KV25">
            <v>0</v>
          </cell>
          <cell r="KW25">
            <v>0</v>
          </cell>
          <cell r="KX25">
            <v>0</v>
          </cell>
          <cell r="KZ25">
            <v>0</v>
          </cell>
          <cell r="LA25">
            <v>0</v>
          </cell>
          <cell r="LB25">
            <v>0</v>
          </cell>
          <cell r="LD25">
            <v>0</v>
          </cell>
          <cell r="LF25">
            <v>0</v>
          </cell>
          <cell r="LG25">
            <v>0</v>
          </cell>
          <cell r="LH25">
            <v>0</v>
          </cell>
          <cell r="LJ25">
            <v>0</v>
          </cell>
          <cell r="LK25">
            <v>0</v>
          </cell>
          <cell r="LL25">
            <v>0</v>
          </cell>
          <cell r="LN25">
            <v>0</v>
          </cell>
          <cell r="LP25">
            <v>0</v>
          </cell>
          <cell r="LQ25">
            <v>0</v>
          </cell>
          <cell r="LR25">
            <v>0</v>
          </cell>
          <cell r="LT25" t="str">
            <v>200-61</v>
          </cell>
        </row>
        <row r="26">
          <cell r="B26">
            <v>350.52000000000004</v>
          </cell>
          <cell r="C26">
            <v>372</v>
          </cell>
          <cell r="D26">
            <v>127939.8</v>
          </cell>
          <cell r="E26">
            <v>135780</v>
          </cell>
          <cell r="F26">
            <v>0.94225806451612903</v>
          </cell>
          <cell r="G26">
            <v>0.94225806451612903</v>
          </cell>
          <cell r="H26">
            <v>4.8999999999999995E-2</v>
          </cell>
          <cell r="I26">
            <v>0.94205864461200695</v>
          </cell>
          <cell r="J26">
            <v>5.3999907999999985</v>
          </cell>
          <cell r="K26">
            <v>0</v>
          </cell>
          <cell r="L26">
            <v>12.999993999999999</v>
          </cell>
          <cell r="M26">
            <v>0</v>
          </cell>
          <cell r="N26">
            <v>25.200015199999999</v>
          </cell>
          <cell r="O26">
            <v>0</v>
          </cell>
          <cell r="P26">
            <v>600.03000000000009</v>
          </cell>
          <cell r="Q26">
            <v>0</v>
          </cell>
          <cell r="R26">
            <v>263.34999999999997</v>
          </cell>
          <cell r="S26">
            <v>0</v>
          </cell>
          <cell r="T26">
            <v>494.07999999999981</v>
          </cell>
          <cell r="U26">
            <v>0</v>
          </cell>
          <cell r="W26">
            <v>343.41676712328768</v>
          </cell>
          <cell r="X26">
            <v>372</v>
          </cell>
          <cell r="Y26">
            <v>125347.12</v>
          </cell>
          <cell r="Z26">
            <v>135780</v>
          </cell>
          <cell r="AA26">
            <v>0.92316335248195602</v>
          </cell>
          <cell r="AB26">
            <v>0.92316335248195602</v>
          </cell>
          <cell r="AC26">
            <v>4.8999999999999995E-2</v>
          </cell>
          <cell r="AD26">
            <v>0.91223523285422525</v>
          </cell>
          <cell r="AE26">
            <v>3.656358141321038</v>
          </cell>
          <cell r="AF26">
            <v>5.3392217101895179E-2</v>
          </cell>
          <cell r="AG26">
            <v>14.21299989759345</v>
          </cell>
          <cell r="AH26">
            <v>0</v>
          </cell>
          <cell r="AI26">
            <v>21.621802995391704</v>
          </cell>
          <cell r="AJ26">
            <v>0.15000000000000072</v>
          </cell>
          <cell r="AK26">
            <v>602.29964408081707</v>
          </cell>
          <cell r="AL26">
            <v>134.59897846493649</v>
          </cell>
          <cell r="AM26">
            <v>255.59024589638145</v>
          </cell>
          <cell r="AN26">
            <v>0</v>
          </cell>
          <cell r="AO26">
            <v>499.25925024496553</v>
          </cell>
          <cell r="AP26">
            <v>32.730973487637279</v>
          </cell>
          <cell r="AR26">
            <v>346.21999999999997</v>
          </cell>
          <cell r="AS26">
            <v>372</v>
          </cell>
          <cell r="AT26">
            <v>126716.52000000002</v>
          </cell>
          <cell r="AU26">
            <v>136152</v>
          </cell>
          <cell r="AV26">
            <v>0.93069892473118299</v>
          </cell>
          <cell r="AW26">
            <v>0.93069892473118299</v>
          </cell>
          <cell r="AX26">
            <v>3.9999999999999994E-2</v>
          </cell>
          <cell r="AY26">
            <v>0.91711332618186081</v>
          </cell>
          <cell r="AZ26">
            <v>3.5</v>
          </cell>
          <cell r="BA26">
            <v>0</v>
          </cell>
          <cell r="BB26">
            <v>13.96</v>
          </cell>
          <cell r="BC26">
            <v>0</v>
          </cell>
          <cell r="BD26">
            <v>22.539999999999996</v>
          </cell>
          <cell r="BE26">
            <v>0</v>
          </cell>
          <cell r="BF26">
            <v>611.43000000000006</v>
          </cell>
          <cell r="BG26">
            <v>0</v>
          </cell>
          <cell r="BH26">
            <v>255.73000000000005</v>
          </cell>
          <cell r="BI26">
            <v>0</v>
          </cell>
          <cell r="BJ26">
            <v>513.75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55.000000000000021</v>
          </cell>
          <cell r="BX26">
            <v>36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H26">
            <v>92.000000000000028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1</v>
          </cell>
          <cell r="DT26">
            <v>55.000000000000021</v>
          </cell>
          <cell r="DU26">
            <v>36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E26">
            <v>92.000000000000028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1</v>
          </cell>
          <cell r="FQ26">
            <v>52.999999999999993</v>
          </cell>
          <cell r="FR26">
            <v>37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B26">
            <v>91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Q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F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</v>
          </cell>
          <cell r="IU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P26">
            <v>0</v>
          </cell>
          <cell r="KQ26">
            <v>0</v>
          </cell>
          <cell r="KR26">
            <v>0</v>
          </cell>
          <cell r="KT26">
            <v>0</v>
          </cell>
          <cell r="KV26">
            <v>0</v>
          </cell>
          <cell r="KW26">
            <v>0</v>
          </cell>
          <cell r="KX26">
            <v>0</v>
          </cell>
          <cell r="KZ26">
            <v>0</v>
          </cell>
          <cell r="LA26">
            <v>0</v>
          </cell>
          <cell r="LB26">
            <v>0</v>
          </cell>
          <cell r="LD26">
            <v>0</v>
          </cell>
          <cell r="LF26">
            <v>0</v>
          </cell>
          <cell r="LG26">
            <v>0</v>
          </cell>
          <cell r="LH26">
            <v>0</v>
          </cell>
          <cell r="LJ26">
            <v>0</v>
          </cell>
          <cell r="LK26">
            <v>0</v>
          </cell>
          <cell r="LL26">
            <v>0</v>
          </cell>
          <cell r="LN26">
            <v>0</v>
          </cell>
          <cell r="LP26">
            <v>0</v>
          </cell>
          <cell r="LQ26">
            <v>0</v>
          </cell>
          <cell r="LR26">
            <v>0</v>
          </cell>
          <cell r="LT26" t="str">
            <v>200-Entity</v>
          </cell>
        </row>
        <row r="27">
          <cell r="B27">
            <v>35</v>
          </cell>
          <cell r="C27">
            <v>36</v>
          </cell>
          <cell r="D27">
            <v>12775</v>
          </cell>
          <cell r="E27">
            <v>13140</v>
          </cell>
          <cell r="F27">
            <v>0.97222222222222221</v>
          </cell>
          <cell r="G27">
            <v>0.97222222222222221</v>
          </cell>
          <cell r="H27">
            <v>0.05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35.460273972602742</v>
          </cell>
          <cell r="X27">
            <v>36</v>
          </cell>
          <cell r="Y27">
            <v>12943</v>
          </cell>
          <cell r="Z27">
            <v>13140</v>
          </cell>
          <cell r="AA27">
            <v>0.985007610350076</v>
          </cell>
          <cell r="AB27">
            <v>0.985007610350076</v>
          </cell>
          <cell r="AC27">
            <v>0.05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R27">
            <v>35</v>
          </cell>
          <cell r="AS27">
            <v>36</v>
          </cell>
          <cell r="AT27">
            <v>12810</v>
          </cell>
          <cell r="AU27">
            <v>13176</v>
          </cell>
          <cell r="AV27">
            <v>0.97222222222222221</v>
          </cell>
          <cell r="AW27">
            <v>0.97222222222222221</v>
          </cell>
          <cell r="AX27">
            <v>3.0000000000000009E-2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H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E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2</v>
          </cell>
          <cell r="GZ27">
            <v>0</v>
          </cell>
          <cell r="HB27">
            <v>2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Q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F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U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P27">
            <v>0</v>
          </cell>
          <cell r="KQ27">
            <v>0</v>
          </cell>
          <cell r="KR27">
            <v>0</v>
          </cell>
          <cell r="KT27">
            <v>0</v>
          </cell>
          <cell r="KV27">
            <v>0</v>
          </cell>
          <cell r="KW27">
            <v>0</v>
          </cell>
          <cell r="KX27">
            <v>0</v>
          </cell>
          <cell r="KZ27">
            <v>0</v>
          </cell>
          <cell r="LA27">
            <v>0</v>
          </cell>
          <cell r="LB27">
            <v>0</v>
          </cell>
          <cell r="LD27">
            <v>0</v>
          </cell>
          <cell r="LF27">
            <v>0</v>
          </cell>
          <cell r="LG27">
            <v>0</v>
          </cell>
          <cell r="LH27">
            <v>0</v>
          </cell>
          <cell r="LJ27">
            <v>0</v>
          </cell>
          <cell r="LK27">
            <v>0</v>
          </cell>
          <cell r="LL27">
            <v>0</v>
          </cell>
          <cell r="LN27">
            <v>0</v>
          </cell>
          <cell r="LP27">
            <v>0</v>
          </cell>
          <cell r="LQ27">
            <v>0</v>
          </cell>
          <cell r="LR27">
            <v>0</v>
          </cell>
          <cell r="LT27" t="str">
            <v>324-21</v>
          </cell>
        </row>
        <row r="28">
          <cell r="B28">
            <v>117.5</v>
          </cell>
          <cell r="C28">
            <v>123</v>
          </cell>
          <cell r="D28">
            <v>42887.5</v>
          </cell>
          <cell r="E28">
            <v>44895</v>
          </cell>
          <cell r="F28">
            <v>0.95528455284552838</v>
          </cell>
          <cell r="G28">
            <v>0.95528455284552838</v>
          </cell>
          <cell r="H28">
            <v>0.05</v>
          </cell>
          <cell r="I28">
            <v>1.1073828996987918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110.17534246575345</v>
          </cell>
          <cell r="X28">
            <v>123</v>
          </cell>
          <cell r="Y28">
            <v>40214</v>
          </cell>
          <cell r="Z28">
            <v>44895</v>
          </cell>
          <cell r="AA28">
            <v>0.89573449159149121</v>
          </cell>
          <cell r="AB28">
            <v>0.89573449159149121</v>
          </cell>
          <cell r="AC28">
            <v>0.05</v>
          </cell>
          <cell r="AD28">
            <v>1.1245255111498751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R28">
            <v>114.5</v>
          </cell>
          <cell r="AS28">
            <v>123</v>
          </cell>
          <cell r="AT28">
            <v>41907</v>
          </cell>
          <cell r="AU28">
            <v>45018</v>
          </cell>
          <cell r="AV28">
            <v>0.93089430894308944</v>
          </cell>
          <cell r="AW28">
            <v>0.93089430894308944</v>
          </cell>
          <cell r="AX28">
            <v>4.2499999999999989E-2</v>
          </cell>
          <cell r="AY28">
            <v>1.1640152856315209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13.999999999999998</v>
          </cell>
          <cell r="DH28">
            <v>14.999999999999998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1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13.999999999999998</v>
          </cell>
          <cell r="FE28">
            <v>14.999999999999998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9</v>
          </cell>
          <cell r="HB28">
            <v>9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Q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F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U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P28">
            <v>0</v>
          </cell>
          <cell r="KQ28">
            <v>0</v>
          </cell>
          <cell r="KR28">
            <v>0</v>
          </cell>
          <cell r="KT28">
            <v>0</v>
          </cell>
          <cell r="KV28">
            <v>0</v>
          </cell>
          <cell r="KW28">
            <v>0</v>
          </cell>
          <cell r="KX28">
            <v>0</v>
          </cell>
          <cell r="KZ28">
            <v>0</v>
          </cell>
          <cell r="LA28">
            <v>0</v>
          </cell>
          <cell r="LB28">
            <v>0</v>
          </cell>
          <cell r="LD28">
            <v>0</v>
          </cell>
          <cell r="LF28">
            <v>0</v>
          </cell>
          <cell r="LG28">
            <v>0</v>
          </cell>
          <cell r="LH28">
            <v>0</v>
          </cell>
          <cell r="LJ28">
            <v>0</v>
          </cell>
          <cell r="LK28">
            <v>0</v>
          </cell>
          <cell r="LL28">
            <v>0</v>
          </cell>
          <cell r="LN28">
            <v>0</v>
          </cell>
          <cell r="LP28">
            <v>0</v>
          </cell>
          <cell r="LQ28">
            <v>0</v>
          </cell>
          <cell r="LR28">
            <v>0</v>
          </cell>
          <cell r="LT28" t="str">
            <v>324-31</v>
          </cell>
        </row>
        <row r="29">
          <cell r="B29">
            <v>32.549999999999997</v>
          </cell>
          <cell r="C29">
            <v>35</v>
          </cell>
          <cell r="D29">
            <v>11880.749999999998</v>
          </cell>
          <cell r="E29">
            <v>12775</v>
          </cell>
          <cell r="F29">
            <v>0.92999999999999983</v>
          </cell>
          <cell r="G29">
            <v>0.92999999999999983</v>
          </cell>
          <cell r="H29">
            <v>0.05</v>
          </cell>
          <cell r="I29">
            <v>1.2325119953115329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34.128767123287673</v>
          </cell>
          <cell r="X29">
            <v>35</v>
          </cell>
          <cell r="Y29">
            <v>12457</v>
          </cell>
          <cell r="Z29">
            <v>12775</v>
          </cell>
          <cell r="AA29">
            <v>0.97510763209393359</v>
          </cell>
          <cell r="AB29">
            <v>0.97510763209393359</v>
          </cell>
          <cell r="AC29">
            <v>0.05</v>
          </cell>
          <cell r="AD29">
            <v>1.1138582463073952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R29">
            <v>33.75</v>
          </cell>
          <cell r="AS29">
            <v>35</v>
          </cell>
          <cell r="AT29">
            <v>12352.5</v>
          </cell>
          <cell r="AU29">
            <v>12810</v>
          </cell>
          <cell r="AV29">
            <v>0.96428571428571441</v>
          </cell>
          <cell r="AW29">
            <v>0.96428571428571441</v>
          </cell>
          <cell r="AX29">
            <v>4.2499999999999989E-2</v>
          </cell>
          <cell r="AY29">
            <v>1.0896822593076323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H29">
            <v>1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1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E29">
            <v>1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B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Q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F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U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P29">
            <v>0</v>
          </cell>
          <cell r="KQ29">
            <v>0</v>
          </cell>
          <cell r="KR29">
            <v>0</v>
          </cell>
          <cell r="KT29">
            <v>0</v>
          </cell>
          <cell r="KV29">
            <v>0</v>
          </cell>
          <cell r="KW29">
            <v>0</v>
          </cell>
          <cell r="KX29">
            <v>0</v>
          </cell>
          <cell r="KZ29">
            <v>0</v>
          </cell>
          <cell r="LA29">
            <v>0</v>
          </cell>
          <cell r="LB29">
            <v>0</v>
          </cell>
          <cell r="LD29">
            <v>0</v>
          </cell>
          <cell r="LF29">
            <v>0</v>
          </cell>
          <cell r="LG29">
            <v>0</v>
          </cell>
          <cell r="LH29">
            <v>0</v>
          </cell>
          <cell r="LJ29">
            <v>0</v>
          </cell>
          <cell r="LK29">
            <v>0</v>
          </cell>
          <cell r="LL29">
            <v>0</v>
          </cell>
          <cell r="LN29">
            <v>0</v>
          </cell>
          <cell r="LP29">
            <v>0</v>
          </cell>
          <cell r="LQ29">
            <v>0</v>
          </cell>
          <cell r="LR29">
            <v>0</v>
          </cell>
          <cell r="LT29" t="str">
            <v>324-51</v>
          </cell>
        </row>
        <row r="30">
          <cell r="B30">
            <v>70.5</v>
          </cell>
          <cell r="C30">
            <v>76</v>
          </cell>
          <cell r="D30">
            <v>25732.5</v>
          </cell>
          <cell r="E30">
            <v>27740</v>
          </cell>
          <cell r="F30">
            <v>0.92763157894736836</v>
          </cell>
          <cell r="G30">
            <v>0.92763157894736836</v>
          </cell>
          <cell r="H30">
            <v>0.05</v>
          </cell>
          <cell r="I30">
            <v>1.0141507438089989</v>
          </cell>
          <cell r="J30">
            <v>4.0000289999999987</v>
          </cell>
          <cell r="K30">
            <v>2.0000144999999994</v>
          </cell>
          <cell r="L30">
            <v>24.000032999999998</v>
          </cell>
          <cell r="M30">
            <v>0</v>
          </cell>
          <cell r="N30">
            <v>40.499994000000008</v>
          </cell>
          <cell r="O30">
            <v>0</v>
          </cell>
          <cell r="P30">
            <v>509.62999999999988</v>
          </cell>
          <cell r="Q30">
            <v>419.99999999999994</v>
          </cell>
          <cell r="R30">
            <v>249.99999999999997</v>
          </cell>
          <cell r="S30">
            <v>0</v>
          </cell>
          <cell r="T30">
            <v>403.00999999999988</v>
          </cell>
          <cell r="U30">
            <v>0</v>
          </cell>
          <cell r="W30">
            <v>72.616120976692571</v>
          </cell>
          <cell r="X30">
            <v>79.029966703662595</v>
          </cell>
          <cell r="Y30">
            <v>26499</v>
          </cell>
          <cell r="Z30">
            <v>28832</v>
          </cell>
          <cell r="AA30">
            <v>0.91908296337402884</v>
          </cell>
          <cell r="AB30">
            <v>0.95526315789473681</v>
          </cell>
          <cell r="AC30">
            <v>0.05</v>
          </cell>
          <cell r="AD30">
            <v>0.97068605813478259</v>
          </cell>
          <cell r="AE30">
            <v>1.6011347926267228</v>
          </cell>
          <cell r="AF30">
            <v>1.2214944956477152</v>
          </cell>
          <cell r="AG30">
            <v>31.360649641577059</v>
          </cell>
          <cell r="AH30">
            <v>0.10253456221198344</v>
          </cell>
          <cell r="AI30">
            <v>38.319946876600113</v>
          </cell>
          <cell r="AJ30">
            <v>0</v>
          </cell>
          <cell r="AK30">
            <v>495.98905323396053</v>
          </cell>
          <cell r="AL30">
            <v>439.1609110408948</v>
          </cell>
          <cell r="AM30">
            <v>271.48202622919439</v>
          </cell>
          <cell r="AN30">
            <v>159.81497574908488</v>
          </cell>
          <cell r="AO30">
            <v>411.0718947787031</v>
          </cell>
          <cell r="AP30">
            <v>0</v>
          </cell>
          <cell r="AR30">
            <v>71.093989071038251</v>
          </cell>
          <cell r="AS30">
            <v>76</v>
          </cell>
          <cell r="AT30">
            <v>26020.400000000001</v>
          </cell>
          <cell r="AU30">
            <v>27816</v>
          </cell>
          <cell r="AV30">
            <v>0.93544722461892438</v>
          </cell>
          <cell r="AW30">
            <v>0.93544722461892438</v>
          </cell>
          <cell r="AX30">
            <v>4.2499999999999989E-2</v>
          </cell>
          <cell r="AY30">
            <v>1.0238150995098096</v>
          </cell>
          <cell r="AZ30">
            <v>2.4773900000000002</v>
          </cell>
          <cell r="BA30">
            <v>1.98909</v>
          </cell>
          <cell r="BB30">
            <v>28.001384999999999</v>
          </cell>
          <cell r="BC30">
            <v>0</v>
          </cell>
          <cell r="BD30">
            <v>38.631575000000005</v>
          </cell>
          <cell r="BE30">
            <v>0</v>
          </cell>
          <cell r="BF30">
            <v>506.4199999999999</v>
          </cell>
          <cell r="BG30">
            <v>486.4899999999999</v>
          </cell>
          <cell r="BH30">
            <v>262.89999999999992</v>
          </cell>
          <cell r="BI30">
            <v>290.88891255451483</v>
          </cell>
          <cell r="BJ30">
            <v>420.0499999999999</v>
          </cell>
          <cell r="BK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H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E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B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Q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F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U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P30">
            <v>0</v>
          </cell>
          <cell r="KQ30">
            <v>0</v>
          </cell>
          <cell r="KR30">
            <v>0</v>
          </cell>
          <cell r="KT30">
            <v>0</v>
          </cell>
          <cell r="KV30">
            <v>0</v>
          </cell>
          <cell r="KW30">
            <v>0</v>
          </cell>
          <cell r="KX30">
            <v>0</v>
          </cell>
          <cell r="KZ30">
            <v>0</v>
          </cell>
          <cell r="LA30">
            <v>0</v>
          </cell>
          <cell r="LB30">
            <v>0</v>
          </cell>
          <cell r="LD30">
            <v>0</v>
          </cell>
          <cell r="LF30">
            <v>0</v>
          </cell>
          <cell r="LG30">
            <v>0</v>
          </cell>
          <cell r="LH30">
            <v>0</v>
          </cell>
          <cell r="LJ30">
            <v>0</v>
          </cell>
          <cell r="LK30">
            <v>0</v>
          </cell>
          <cell r="LL30">
            <v>0</v>
          </cell>
          <cell r="LN30">
            <v>0</v>
          </cell>
          <cell r="LP30">
            <v>0</v>
          </cell>
          <cell r="LQ30">
            <v>0</v>
          </cell>
          <cell r="LR30">
            <v>0</v>
          </cell>
          <cell r="LT30" t="str">
            <v>324-61</v>
          </cell>
        </row>
        <row r="31">
          <cell r="B31">
            <v>255.55</v>
          </cell>
          <cell r="C31">
            <v>270</v>
          </cell>
          <cell r="D31">
            <v>93275.75</v>
          </cell>
          <cell r="E31">
            <v>98550</v>
          </cell>
          <cell r="F31">
            <v>0.94648148148148159</v>
          </cell>
          <cell r="G31">
            <v>0.94648148148148159</v>
          </cell>
          <cell r="H31">
            <v>0.05</v>
          </cell>
          <cell r="I31">
            <v>1.0074429367544899</v>
          </cell>
          <cell r="J31">
            <v>4.0000289999999987</v>
          </cell>
          <cell r="K31">
            <v>2.0000144999999994</v>
          </cell>
          <cell r="L31">
            <v>24.000032999999998</v>
          </cell>
          <cell r="M31">
            <v>0</v>
          </cell>
          <cell r="N31">
            <v>40.499994000000008</v>
          </cell>
          <cell r="O31">
            <v>0</v>
          </cell>
          <cell r="P31">
            <v>509.62999999999988</v>
          </cell>
          <cell r="Q31">
            <v>419.99999999999994</v>
          </cell>
          <cell r="R31">
            <v>249.99999999999997</v>
          </cell>
          <cell r="S31">
            <v>0</v>
          </cell>
          <cell r="T31">
            <v>403.00999999999988</v>
          </cell>
          <cell r="U31">
            <v>0</v>
          </cell>
          <cell r="W31">
            <v>252.36018947833244</v>
          </cell>
          <cell r="X31">
            <v>273.00283013187209</v>
          </cell>
          <cell r="Y31">
            <v>92113</v>
          </cell>
          <cell r="Z31">
            <v>99642</v>
          </cell>
          <cell r="AA31">
            <v>0.92443949338632303</v>
          </cell>
          <cell r="AB31">
            <v>0.93468290208016236</v>
          </cell>
          <cell r="AC31">
            <v>0.05</v>
          </cell>
          <cell r="AD31">
            <v>0.98181284402196822</v>
          </cell>
          <cell r="AE31">
            <v>1.6011347926267228</v>
          </cell>
          <cell r="AF31">
            <v>1.2214944956477152</v>
          </cell>
          <cell r="AG31">
            <v>31.360649641577059</v>
          </cell>
          <cell r="AH31">
            <v>0.10253456221198344</v>
          </cell>
          <cell r="AI31">
            <v>38.319946876600113</v>
          </cell>
          <cell r="AJ31">
            <v>0</v>
          </cell>
          <cell r="AK31">
            <v>495.98905323396053</v>
          </cell>
          <cell r="AL31">
            <v>439.1609110408948</v>
          </cell>
          <cell r="AM31">
            <v>271.48202622919439</v>
          </cell>
          <cell r="AN31">
            <v>159.81497574908488</v>
          </cell>
          <cell r="AO31">
            <v>411.0718947787031</v>
          </cell>
          <cell r="AP31">
            <v>0</v>
          </cell>
          <cell r="AR31">
            <v>254.34398907103824</v>
          </cell>
          <cell r="AS31">
            <v>270</v>
          </cell>
          <cell r="AT31">
            <v>93089.9</v>
          </cell>
          <cell r="AU31">
            <v>98820</v>
          </cell>
          <cell r="AV31">
            <v>0.94201477433717862</v>
          </cell>
          <cell r="AW31">
            <v>0.94201477433717862</v>
          </cell>
          <cell r="AX31">
            <v>3.9375E-2</v>
          </cell>
          <cell r="AY31">
            <v>1.0108762773856017</v>
          </cell>
          <cell r="AZ31">
            <v>2.4773900000000002</v>
          </cell>
          <cell r="BA31">
            <v>1.98909</v>
          </cell>
          <cell r="BB31">
            <v>28.001384999999999</v>
          </cell>
          <cell r="BC31">
            <v>0</v>
          </cell>
          <cell r="BD31">
            <v>38.631575000000005</v>
          </cell>
          <cell r="BE31">
            <v>0</v>
          </cell>
          <cell r="BF31">
            <v>506.4199999999999</v>
          </cell>
          <cell r="BG31">
            <v>486.4899999999999</v>
          </cell>
          <cell r="BH31">
            <v>262.89999999999992</v>
          </cell>
          <cell r="BI31">
            <v>290.88891255451483</v>
          </cell>
          <cell r="BJ31">
            <v>420.0499999999999</v>
          </cell>
          <cell r="BK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1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1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13.999999999999998</v>
          </cell>
          <cell r="DH31">
            <v>15.999999999999998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1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1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13.999999999999998</v>
          </cell>
          <cell r="FE31">
            <v>15.999999999999998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2</v>
          </cell>
          <cell r="GZ31">
            <v>9</v>
          </cell>
          <cell r="HB31">
            <v>11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Q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F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U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P31">
            <v>0</v>
          </cell>
          <cell r="KQ31">
            <v>0</v>
          </cell>
          <cell r="KR31">
            <v>0</v>
          </cell>
          <cell r="KT31">
            <v>0</v>
          </cell>
          <cell r="KV31">
            <v>0</v>
          </cell>
          <cell r="KW31">
            <v>0</v>
          </cell>
          <cell r="KX31">
            <v>0</v>
          </cell>
          <cell r="KZ31">
            <v>0</v>
          </cell>
          <cell r="LA31">
            <v>0</v>
          </cell>
          <cell r="LB31">
            <v>0</v>
          </cell>
          <cell r="LD31">
            <v>0</v>
          </cell>
          <cell r="LF31">
            <v>0</v>
          </cell>
          <cell r="LG31">
            <v>0</v>
          </cell>
          <cell r="LH31">
            <v>0</v>
          </cell>
          <cell r="LJ31">
            <v>0</v>
          </cell>
          <cell r="LK31">
            <v>0</v>
          </cell>
          <cell r="LL31">
            <v>0</v>
          </cell>
          <cell r="LN31">
            <v>0</v>
          </cell>
          <cell r="LP31">
            <v>0</v>
          </cell>
          <cell r="LQ31">
            <v>0</v>
          </cell>
          <cell r="LR31">
            <v>0</v>
          </cell>
          <cell r="LT31" t="str">
            <v>324-Entity</v>
          </cell>
        </row>
        <row r="32">
          <cell r="B32">
            <v>35.520000000000003</v>
          </cell>
          <cell r="C32">
            <v>37</v>
          </cell>
          <cell r="D32">
            <v>12964.800000000005</v>
          </cell>
          <cell r="E32">
            <v>13505</v>
          </cell>
          <cell r="F32">
            <v>0.96000000000000019</v>
          </cell>
          <cell r="G32">
            <v>0.96000000000000019</v>
          </cell>
          <cell r="H32">
            <v>7.9999999999999988E-2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35.62191780821918</v>
          </cell>
          <cell r="X32">
            <v>37</v>
          </cell>
          <cell r="Y32">
            <v>13002</v>
          </cell>
          <cell r="Z32">
            <v>13505</v>
          </cell>
          <cell r="AA32">
            <v>0.96275453535727518</v>
          </cell>
          <cell r="AB32">
            <v>0.96275453535727518</v>
          </cell>
          <cell r="AC32">
            <v>7.9999999999999988E-2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37</v>
          </cell>
          <cell r="AT32">
            <v>0</v>
          </cell>
          <cell r="AU32">
            <v>13542</v>
          </cell>
          <cell r="AV32">
            <v>0</v>
          </cell>
          <cell r="AW32">
            <v>0</v>
          </cell>
          <cell r="AX32">
            <v>3.0000000000000009E-2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19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H32">
            <v>19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19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E32">
            <v>19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19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B32">
            <v>19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Q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F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U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P32">
            <v>10.999999999999998</v>
          </cell>
          <cell r="KQ32">
            <v>39.000000000000007</v>
          </cell>
          <cell r="KR32">
            <v>6</v>
          </cell>
          <cell r="KT32">
            <v>19</v>
          </cell>
          <cell r="KV32">
            <v>10.999999999999998</v>
          </cell>
          <cell r="KW32">
            <v>20.000000000000007</v>
          </cell>
          <cell r="KX32">
            <v>6</v>
          </cell>
          <cell r="KZ32">
            <v>10.999999999999998</v>
          </cell>
          <cell r="LA32">
            <v>39.000000000000007</v>
          </cell>
          <cell r="LB32">
            <v>6</v>
          </cell>
          <cell r="LD32">
            <v>19</v>
          </cell>
          <cell r="LF32">
            <v>10.999999999999998</v>
          </cell>
          <cell r="LG32">
            <v>20.000000000000007</v>
          </cell>
          <cell r="LH32">
            <v>6</v>
          </cell>
          <cell r="LJ32">
            <v>11</v>
          </cell>
          <cell r="LK32">
            <v>39.000000000000007</v>
          </cell>
          <cell r="LL32">
            <v>6</v>
          </cell>
          <cell r="LN32">
            <v>19</v>
          </cell>
          <cell r="LP32">
            <v>11</v>
          </cell>
          <cell r="LQ32">
            <v>20.000000000000007</v>
          </cell>
          <cell r="LR32">
            <v>6</v>
          </cell>
          <cell r="LT32" t="str">
            <v>650-21</v>
          </cell>
        </row>
        <row r="33">
          <cell r="B33">
            <v>34.560000000000009</v>
          </cell>
          <cell r="C33">
            <v>36</v>
          </cell>
          <cell r="D33">
            <v>12614.4</v>
          </cell>
          <cell r="E33">
            <v>13140</v>
          </cell>
          <cell r="F33">
            <v>0.96</v>
          </cell>
          <cell r="G33">
            <v>0.96</v>
          </cell>
          <cell r="H33">
            <v>7.9999999999999988E-2</v>
          </cell>
          <cell r="I33">
            <v>3.538471467610699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34.68767123287671</v>
          </cell>
          <cell r="X33">
            <v>36</v>
          </cell>
          <cell r="Y33">
            <v>12661</v>
          </cell>
          <cell r="Z33">
            <v>13140</v>
          </cell>
          <cell r="AA33">
            <v>0.96354642313546424</v>
          </cell>
          <cell r="AB33">
            <v>0.96354642313546424</v>
          </cell>
          <cell r="AC33">
            <v>7.9999999999999988E-2</v>
          </cell>
          <cell r="AD33">
            <v>3.4904078678904207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36</v>
          </cell>
          <cell r="AT33">
            <v>0</v>
          </cell>
          <cell r="AU33">
            <v>13176</v>
          </cell>
          <cell r="AV33">
            <v>0</v>
          </cell>
          <cell r="AW33">
            <v>0</v>
          </cell>
          <cell r="AX33">
            <v>3.0000000000000009E-2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8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H33">
            <v>8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8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E33">
            <v>8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6.9999999999999991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B33">
            <v>6.9999999999999991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Q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F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U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K33">
            <v>0</v>
          </cell>
          <cell r="KL33">
            <v>0</v>
          </cell>
          <cell r="KM33">
            <v>0</v>
          </cell>
          <cell r="KN33">
            <v>0</v>
          </cell>
          <cell r="KP33">
            <v>0</v>
          </cell>
          <cell r="KQ33">
            <v>0</v>
          </cell>
          <cell r="KR33">
            <v>0</v>
          </cell>
          <cell r="KT33">
            <v>0</v>
          </cell>
          <cell r="KV33">
            <v>0</v>
          </cell>
          <cell r="KW33">
            <v>0</v>
          </cell>
          <cell r="KX33">
            <v>0</v>
          </cell>
          <cell r="KZ33">
            <v>0</v>
          </cell>
          <cell r="LA33">
            <v>0</v>
          </cell>
          <cell r="LB33">
            <v>0</v>
          </cell>
          <cell r="LD33">
            <v>0</v>
          </cell>
          <cell r="LF33">
            <v>0</v>
          </cell>
          <cell r="LG33">
            <v>0</v>
          </cell>
          <cell r="LH33">
            <v>0</v>
          </cell>
          <cell r="LJ33">
            <v>0</v>
          </cell>
          <cell r="LK33">
            <v>0</v>
          </cell>
          <cell r="LL33">
            <v>0</v>
          </cell>
          <cell r="LN33">
            <v>0</v>
          </cell>
          <cell r="LP33">
            <v>0</v>
          </cell>
          <cell r="LQ33">
            <v>0</v>
          </cell>
          <cell r="LR33">
            <v>0</v>
          </cell>
          <cell r="LT33" t="str">
            <v>650-31</v>
          </cell>
        </row>
        <row r="34">
          <cell r="B34">
            <v>64.240000000000009</v>
          </cell>
          <cell r="C34">
            <v>73</v>
          </cell>
          <cell r="D34">
            <v>23447.599999999999</v>
          </cell>
          <cell r="E34">
            <v>26645</v>
          </cell>
          <cell r="F34">
            <v>0.87999999999999989</v>
          </cell>
          <cell r="G34">
            <v>0.87999999999999989</v>
          </cell>
          <cell r="H34">
            <v>7.9999999999999988E-2</v>
          </cell>
          <cell r="I34">
            <v>1.4567744529699995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51.665753424657531</v>
          </cell>
          <cell r="X34">
            <v>73</v>
          </cell>
          <cell r="Y34">
            <v>18858</v>
          </cell>
          <cell r="Z34">
            <v>26645</v>
          </cell>
          <cell r="AA34">
            <v>0.70775004691311694</v>
          </cell>
          <cell r="AB34">
            <v>0.70775004691311694</v>
          </cell>
          <cell r="AC34">
            <v>7.9999999999999988E-2</v>
          </cell>
          <cell r="AD34">
            <v>1.4978192167830358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73</v>
          </cell>
          <cell r="AT34">
            <v>0</v>
          </cell>
          <cell r="AU34">
            <v>26718</v>
          </cell>
          <cell r="AV34">
            <v>0</v>
          </cell>
          <cell r="AW34">
            <v>0</v>
          </cell>
          <cell r="AX34">
            <v>3.0000000000000009E-2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1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H34">
            <v>1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1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E34">
            <v>1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1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B34">
            <v>1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Q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F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U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P34">
            <v>0</v>
          </cell>
          <cell r="KQ34">
            <v>0</v>
          </cell>
          <cell r="KR34">
            <v>0</v>
          </cell>
          <cell r="KT34">
            <v>0</v>
          </cell>
          <cell r="KV34">
            <v>0</v>
          </cell>
          <cell r="KW34">
            <v>0</v>
          </cell>
          <cell r="KX34">
            <v>0</v>
          </cell>
          <cell r="KZ34">
            <v>0</v>
          </cell>
          <cell r="LA34">
            <v>0</v>
          </cell>
          <cell r="LB34">
            <v>0</v>
          </cell>
          <cell r="LD34">
            <v>0</v>
          </cell>
          <cell r="LF34">
            <v>0</v>
          </cell>
          <cell r="LG34">
            <v>0</v>
          </cell>
          <cell r="LH34">
            <v>0</v>
          </cell>
          <cell r="LJ34">
            <v>0</v>
          </cell>
          <cell r="LK34">
            <v>0</v>
          </cell>
          <cell r="LL34">
            <v>0</v>
          </cell>
          <cell r="LN34">
            <v>0</v>
          </cell>
          <cell r="LP34">
            <v>0</v>
          </cell>
          <cell r="LQ34">
            <v>0</v>
          </cell>
          <cell r="LR34">
            <v>0</v>
          </cell>
          <cell r="LT34" t="str">
            <v>650-51</v>
          </cell>
        </row>
        <row r="35">
          <cell r="B35">
            <v>36.780821917808218</v>
          </cell>
          <cell r="C35">
            <v>44</v>
          </cell>
          <cell r="D35">
            <v>13425</v>
          </cell>
          <cell r="E35">
            <v>16060</v>
          </cell>
          <cell r="F35">
            <v>0.83592777085927772</v>
          </cell>
          <cell r="G35">
            <v>0.83592777085927772</v>
          </cell>
          <cell r="H35">
            <v>7.9999999999999988E-2</v>
          </cell>
          <cell r="I35">
            <v>0.5765973113922882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21.336986301369866</v>
          </cell>
          <cell r="X35">
            <v>44</v>
          </cell>
          <cell r="Y35">
            <v>7788</v>
          </cell>
          <cell r="Z35">
            <v>16060</v>
          </cell>
          <cell r="AA35">
            <v>0.48493150684931507</v>
          </cell>
          <cell r="AB35">
            <v>0.48493150684931507</v>
          </cell>
          <cell r="AC35">
            <v>7.9999999999999988E-2</v>
          </cell>
          <cell r="AD35">
            <v>0.89419885556949397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44</v>
          </cell>
          <cell r="AT35">
            <v>0</v>
          </cell>
          <cell r="AU35">
            <v>16104</v>
          </cell>
          <cell r="AV35">
            <v>0</v>
          </cell>
          <cell r="AW35">
            <v>0</v>
          </cell>
          <cell r="AX35">
            <v>3.0000000000000009E-2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0</v>
          </cell>
          <cell r="BN35">
            <v>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H35">
            <v>1</v>
          </cell>
          <cell r="DJ35">
            <v>0</v>
          </cell>
          <cell r="DK35">
            <v>1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E35">
            <v>1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B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Q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F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U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P35">
            <v>0</v>
          </cell>
          <cell r="KQ35">
            <v>0</v>
          </cell>
          <cell r="KR35">
            <v>0</v>
          </cell>
          <cell r="KT35">
            <v>0</v>
          </cell>
          <cell r="KV35">
            <v>0</v>
          </cell>
          <cell r="KW35">
            <v>0</v>
          </cell>
          <cell r="KX35">
            <v>0</v>
          </cell>
          <cell r="KZ35">
            <v>0</v>
          </cell>
          <cell r="LA35">
            <v>0</v>
          </cell>
          <cell r="LB35">
            <v>0</v>
          </cell>
          <cell r="LD35">
            <v>0</v>
          </cell>
          <cell r="LF35">
            <v>0</v>
          </cell>
          <cell r="LG35">
            <v>0</v>
          </cell>
          <cell r="LH35">
            <v>0</v>
          </cell>
          <cell r="LJ35">
            <v>0</v>
          </cell>
          <cell r="LK35">
            <v>0</v>
          </cell>
          <cell r="LL35">
            <v>0</v>
          </cell>
          <cell r="LN35">
            <v>0</v>
          </cell>
          <cell r="LP35">
            <v>0</v>
          </cell>
          <cell r="LQ35">
            <v>0</v>
          </cell>
          <cell r="LR35">
            <v>0</v>
          </cell>
          <cell r="LT35" t="str">
            <v>650-52</v>
          </cell>
        </row>
        <row r="36">
          <cell r="B36">
            <v>87.300000000000011</v>
          </cell>
          <cell r="C36">
            <v>97</v>
          </cell>
          <cell r="D36">
            <v>31864.499999999996</v>
          </cell>
          <cell r="E36">
            <v>35405</v>
          </cell>
          <cell r="F36">
            <v>0.89999999999999991</v>
          </cell>
          <cell r="G36">
            <v>0.89999999999999991</v>
          </cell>
          <cell r="H36">
            <v>7.9999999999999988E-2</v>
          </cell>
          <cell r="I36">
            <v>1.616439831896753</v>
          </cell>
          <cell r="J36">
            <v>9.0000189000000006</v>
          </cell>
          <cell r="K36">
            <v>10.0000404</v>
          </cell>
          <cell r="L36">
            <v>61.000002000000002</v>
          </cell>
          <cell r="M36">
            <v>0</v>
          </cell>
          <cell r="N36">
            <v>5.2999829999999992</v>
          </cell>
          <cell r="O36">
            <v>1.9991699999999997</v>
          </cell>
          <cell r="P36">
            <v>482.57</v>
          </cell>
          <cell r="Q36">
            <v>334.43000000000012</v>
          </cell>
          <cell r="R36">
            <v>219.58000000000004</v>
          </cell>
          <cell r="S36">
            <v>330</v>
          </cell>
          <cell r="T36">
            <v>312.53000000000003</v>
          </cell>
          <cell r="U36">
            <v>220.55000000000007</v>
          </cell>
          <cell r="W36">
            <v>71.991780821917814</v>
          </cell>
          <cell r="X36">
            <v>97</v>
          </cell>
          <cell r="Y36">
            <v>26277</v>
          </cell>
          <cell r="Z36">
            <v>35405</v>
          </cell>
          <cell r="AA36">
            <v>0.74218330744245165</v>
          </cell>
          <cell r="AB36">
            <v>0.74218330744245165</v>
          </cell>
          <cell r="AC36">
            <v>7.9999999999999988E-2</v>
          </cell>
          <cell r="AD36">
            <v>1.9049553928142151</v>
          </cell>
          <cell r="AE36">
            <v>2.46269858769841</v>
          </cell>
          <cell r="AF36">
            <v>3.8548962216973854</v>
          </cell>
          <cell r="AG36">
            <v>47.252952567101886</v>
          </cell>
          <cell r="AH36">
            <v>0.21577060931900252</v>
          </cell>
          <cell r="AI36">
            <v>10.243036054326671</v>
          </cell>
          <cell r="AJ36">
            <v>7.9528149936379862</v>
          </cell>
          <cell r="AK36">
            <v>499.9981286122877</v>
          </cell>
          <cell r="AL36">
            <v>384.77874524103902</v>
          </cell>
          <cell r="AM36">
            <v>235.62407848383756</v>
          </cell>
          <cell r="AN36">
            <v>247.95660129330639</v>
          </cell>
          <cell r="AO36">
            <v>306.74479029313073</v>
          </cell>
          <cell r="AP36">
            <v>235.43099679226981</v>
          </cell>
          <cell r="AR36">
            <v>0</v>
          </cell>
          <cell r="AS36">
            <v>97</v>
          </cell>
          <cell r="AT36">
            <v>0</v>
          </cell>
          <cell r="AU36">
            <v>35502</v>
          </cell>
          <cell r="AV36">
            <v>0</v>
          </cell>
          <cell r="AW36">
            <v>0</v>
          </cell>
          <cell r="AX36">
            <v>3.0000000000000009E-2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H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E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B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Q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F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U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P36">
            <v>0</v>
          </cell>
          <cell r="KQ36">
            <v>0</v>
          </cell>
          <cell r="KR36">
            <v>0</v>
          </cell>
          <cell r="KT36">
            <v>0</v>
          </cell>
          <cell r="KV36">
            <v>0</v>
          </cell>
          <cell r="KW36">
            <v>0</v>
          </cell>
          <cell r="KX36">
            <v>0</v>
          </cell>
          <cell r="KZ36">
            <v>0</v>
          </cell>
          <cell r="LA36">
            <v>0</v>
          </cell>
          <cell r="LB36">
            <v>0</v>
          </cell>
          <cell r="LD36">
            <v>0</v>
          </cell>
          <cell r="LF36">
            <v>0</v>
          </cell>
          <cell r="LG36">
            <v>0</v>
          </cell>
          <cell r="LH36">
            <v>0</v>
          </cell>
          <cell r="LJ36">
            <v>0</v>
          </cell>
          <cell r="LK36">
            <v>0</v>
          </cell>
          <cell r="LL36">
            <v>0</v>
          </cell>
          <cell r="LN36">
            <v>0</v>
          </cell>
          <cell r="LP36">
            <v>0</v>
          </cell>
          <cell r="LQ36">
            <v>0</v>
          </cell>
          <cell r="LR36">
            <v>0</v>
          </cell>
          <cell r="LT36" t="str">
            <v>650-61</v>
          </cell>
        </row>
        <row r="37">
          <cell r="B37">
            <v>17.600000000000001</v>
          </cell>
          <cell r="C37">
            <v>22</v>
          </cell>
          <cell r="D37">
            <v>6424.0000000000009</v>
          </cell>
          <cell r="E37">
            <v>8030</v>
          </cell>
          <cell r="F37">
            <v>0.80000000000000016</v>
          </cell>
          <cell r="G37">
            <v>0.80000000000000016</v>
          </cell>
          <cell r="H37">
            <v>7.9999999999999988E-2</v>
          </cell>
          <cell r="I37">
            <v>0.27427025218287843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17.599999999999998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367.2</v>
          </cell>
          <cell r="U37">
            <v>0</v>
          </cell>
          <cell r="W37">
            <v>11.158904109589042</v>
          </cell>
          <cell r="X37">
            <v>22</v>
          </cell>
          <cell r="Y37">
            <v>4073</v>
          </cell>
          <cell r="Z37">
            <v>8030</v>
          </cell>
          <cell r="AA37">
            <v>0.50722291407222919</v>
          </cell>
          <cell r="AB37">
            <v>0.50722291407222919</v>
          </cell>
          <cell r="AC37">
            <v>7.9999999999999988E-2</v>
          </cell>
          <cell r="AD37">
            <v>0.10993981259843806</v>
          </cell>
          <cell r="AE37">
            <v>1.4626216077828973</v>
          </cell>
          <cell r="AF37">
            <v>0.6043650793650801</v>
          </cell>
          <cell r="AG37">
            <v>0</v>
          </cell>
          <cell r="AH37">
            <v>9.7318228366615855E-2</v>
          </cell>
          <cell r="AI37">
            <v>8.9871799795186895</v>
          </cell>
          <cell r="AJ37">
            <v>0</v>
          </cell>
          <cell r="AK37">
            <v>434.67537096078189</v>
          </cell>
          <cell r="AL37">
            <v>423.05538895873468</v>
          </cell>
          <cell r="AM37">
            <v>0</v>
          </cell>
          <cell r="AN37">
            <v>101.66288715158883</v>
          </cell>
          <cell r="AO37">
            <v>355.33052678666689</v>
          </cell>
          <cell r="AP37">
            <v>0</v>
          </cell>
          <cell r="AR37">
            <v>0</v>
          </cell>
          <cell r="AS37">
            <v>22</v>
          </cell>
          <cell r="AT37">
            <v>0</v>
          </cell>
          <cell r="AU37">
            <v>8052</v>
          </cell>
          <cell r="AV37">
            <v>0</v>
          </cell>
          <cell r="AW37">
            <v>0</v>
          </cell>
          <cell r="AX37">
            <v>3.0000000000000009E-2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H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E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B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Q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F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U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P37">
            <v>0</v>
          </cell>
          <cell r="KQ37">
            <v>0</v>
          </cell>
          <cell r="KR37">
            <v>0</v>
          </cell>
          <cell r="KT37">
            <v>0</v>
          </cell>
          <cell r="KV37">
            <v>0</v>
          </cell>
          <cell r="KW37">
            <v>0</v>
          </cell>
          <cell r="KX37">
            <v>0</v>
          </cell>
          <cell r="KZ37">
            <v>0</v>
          </cell>
          <cell r="LA37">
            <v>0</v>
          </cell>
          <cell r="LB37">
            <v>0</v>
          </cell>
          <cell r="LD37">
            <v>0</v>
          </cell>
          <cell r="LF37">
            <v>0</v>
          </cell>
          <cell r="LG37">
            <v>0</v>
          </cell>
          <cell r="LH37">
            <v>0</v>
          </cell>
          <cell r="LJ37">
            <v>0</v>
          </cell>
          <cell r="LK37">
            <v>0</v>
          </cell>
          <cell r="LL37">
            <v>0</v>
          </cell>
          <cell r="LN37">
            <v>0</v>
          </cell>
          <cell r="LP37">
            <v>0</v>
          </cell>
          <cell r="LQ37">
            <v>0</v>
          </cell>
          <cell r="LR37">
            <v>0</v>
          </cell>
          <cell r="LT37" t="str">
            <v>650-62</v>
          </cell>
        </row>
        <row r="38">
          <cell r="B38">
            <v>276.0008219178082</v>
          </cell>
          <cell r="C38">
            <v>309</v>
          </cell>
          <cell r="D38">
            <v>100740.30000000002</v>
          </cell>
          <cell r="E38">
            <v>112785</v>
          </cell>
          <cell r="F38">
            <v>0.89320654342332773</v>
          </cell>
          <cell r="G38">
            <v>0.89320654342332773</v>
          </cell>
          <cell r="H38">
            <v>7.9999999999999988E-2</v>
          </cell>
          <cell r="I38">
            <v>1.3106923585869272</v>
          </cell>
          <cell r="J38">
            <v>9.0000189000000006</v>
          </cell>
          <cell r="K38">
            <v>10.0000404</v>
          </cell>
          <cell r="L38">
            <v>61.000002000000002</v>
          </cell>
          <cell r="M38">
            <v>0</v>
          </cell>
          <cell r="N38">
            <v>22.899982999999995</v>
          </cell>
          <cell r="O38">
            <v>1.9991699999999997</v>
          </cell>
          <cell r="P38">
            <v>482.56999999999994</v>
          </cell>
          <cell r="Q38">
            <v>334.42999999999995</v>
          </cell>
          <cell r="R38">
            <v>219.58</v>
          </cell>
          <cell r="S38">
            <v>329.99999999999994</v>
          </cell>
          <cell r="T38">
            <v>679.73</v>
          </cell>
          <cell r="U38">
            <v>220.55</v>
          </cell>
          <cell r="W38">
            <v>226.46301369863016</v>
          </cell>
          <cell r="X38">
            <v>309</v>
          </cell>
          <cell r="Y38">
            <v>82659</v>
          </cell>
          <cell r="Z38">
            <v>112785</v>
          </cell>
          <cell r="AA38">
            <v>0.73289001196967685</v>
          </cell>
          <cell r="AB38">
            <v>0.73289001196967685</v>
          </cell>
          <cell r="AC38">
            <v>7.9999999999999988E-2</v>
          </cell>
          <cell r="AD38">
            <v>1.5919856185581731</v>
          </cell>
          <cell r="AE38">
            <v>3.9253201954813082</v>
          </cell>
          <cell r="AF38">
            <v>4.4592613010624644</v>
          </cell>
          <cell r="AG38">
            <v>47.252952567101886</v>
          </cell>
          <cell r="AH38">
            <v>0.3130888376856184</v>
          </cell>
          <cell r="AI38">
            <v>19.230216033845359</v>
          </cell>
          <cell r="AJ38">
            <v>7.9528149936379862</v>
          </cell>
          <cell r="AK38">
            <v>933.29193736841637</v>
          </cell>
          <cell r="AL38">
            <v>803.79437316172164</v>
          </cell>
          <cell r="AM38">
            <v>235.75002202589721</v>
          </cell>
          <cell r="AN38">
            <v>352.61122841021506</v>
          </cell>
          <cell r="AO38">
            <v>661.9979991579479</v>
          </cell>
          <cell r="AP38">
            <v>235.52676931577616</v>
          </cell>
          <cell r="AR38">
            <v>0</v>
          </cell>
          <cell r="AS38">
            <v>309</v>
          </cell>
          <cell r="AT38">
            <v>0</v>
          </cell>
          <cell r="AU38">
            <v>113094</v>
          </cell>
          <cell r="AV38">
            <v>0</v>
          </cell>
          <cell r="AW38">
            <v>0</v>
          </cell>
          <cell r="AX38">
            <v>3.0000000000000009E-2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M38">
            <v>0</v>
          </cell>
          <cell r="BN38">
            <v>1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</v>
          </cell>
          <cell r="BU38">
            <v>19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8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H38">
            <v>29</v>
          </cell>
          <cell r="DJ38">
            <v>0</v>
          </cell>
          <cell r="DK38">
            <v>1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1</v>
          </cell>
          <cell r="DR38">
            <v>19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8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E38">
            <v>29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1</v>
          </cell>
          <cell r="FO38">
            <v>19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6.9999999999999991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B38">
            <v>27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Q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F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U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P38">
            <v>10.999999999999998</v>
          </cell>
          <cell r="KQ38">
            <v>39.000000000000007</v>
          </cell>
          <cell r="KR38">
            <v>6</v>
          </cell>
          <cell r="KT38">
            <v>19</v>
          </cell>
          <cell r="KV38">
            <v>10.999999999999998</v>
          </cell>
          <cell r="KW38">
            <v>20.000000000000007</v>
          </cell>
          <cell r="KX38">
            <v>6</v>
          </cell>
          <cell r="KZ38">
            <v>10.999999999999998</v>
          </cell>
          <cell r="LA38">
            <v>39.000000000000007</v>
          </cell>
          <cell r="LB38">
            <v>6</v>
          </cell>
          <cell r="LD38">
            <v>19</v>
          </cell>
          <cell r="LF38">
            <v>10.999999999999998</v>
          </cell>
          <cell r="LG38">
            <v>20.000000000000007</v>
          </cell>
          <cell r="LH38">
            <v>6</v>
          </cell>
          <cell r="LJ38">
            <v>11</v>
          </cell>
          <cell r="LK38">
            <v>39.000000000000007</v>
          </cell>
          <cell r="LL38">
            <v>6</v>
          </cell>
          <cell r="LN38">
            <v>19</v>
          </cell>
          <cell r="LP38">
            <v>11</v>
          </cell>
          <cell r="LQ38">
            <v>20.000000000000007</v>
          </cell>
          <cell r="LR38">
            <v>6</v>
          </cell>
          <cell r="LT38" t="str">
            <v>650-Entity</v>
          </cell>
        </row>
        <row r="39">
          <cell r="B39">
            <v>24.25</v>
          </cell>
          <cell r="C39">
            <v>25</v>
          </cell>
          <cell r="D39">
            <v>8851.25</v>
          </cell>
          <cell r="E39">
            <v>9125</v>
          </cell>
          <cell r="F39">
            <v>0.97</v>
          </cell>
          <cell r="G39">
            <v>0.97</v>
          </cell>
          <cell r="H39">
            <v>7.9999999999999988E-2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24.257534246575343</v>
          </cell>
          <cell r="X39">
            <v>25</v>
          </cell>
          <cell r="Y39">
            <v>8854</v>
          </cell>
          <cell r="Z39">
            <v>9125</v>
          </cell>
          <cell r="AA39">
            <v>0.97030136986301363</v>
          </cell>
          <cell r="AB39">
            <v>0.97030136986301363</v>
          </cell>
          <cell r="AC39">
            <v>7.9999999999999988E-2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25</v>
          </cell>
          <cell r="AT39">
            <v>0</v>
          </cell>
          <cell r="AU39">
            <v>9150</v>
          </cell>
          <cell r="AV39">
            <v>0</v>
          </cell>
          <cell r="AW39">
            <v>0</v>
          </cell>
          <cell r="AX39">
            <v>3.0000000000000009E-2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16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H39">
            <v>16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16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E39">
            <v>16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15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B39">
            <v>15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Q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F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U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K39">
            <v>0</v>
          </cell>
          <cell r="KL39">
            <v>0</v>
          </cell>
          <cell r="KM39">
            <v>0</v>
          </cell>
          <cell r="KN39">
            <v>0</v>
          </cell>
          <cell r="KP39">
            <v>0</v>
          </cell>
          <cell r="KQ39">
            <v>0</v>
          </cell>
          <cell r="KR39">
            <v>0</v>
          </cell>
          <cell r="KT39">
            <v>0</v>
          </cell>
          <cell r="KV39">
            <v>0</v>
          </cell>
          <cell r="KW39">
            <v>0</v>
          </cell>
          <cell r="KX39">
            <v>0</v>
          </cell>
          <cell r="KZ39">
            <v>0</v>
          </cell>
          <cell r="LA39">
            <v>0</v>
          </cell>
          <cell r="LB39">
            <v>0</v>
          </cell>
          <cell r="LD39">
            <v>0</v>
          </cell>
          <cell r="LF39">
            <v>0</v>
          </cell>
          <cell r="LG39">
            <v>0</v>
          </cell>
          <cell r="LH39">
            <v>0</v>
          </cell>
          <cell r="LJ39">
            <v>0</v>
          </cell>
          <cell r="LK39">
            <v>0</v>
          </cell>
          <cell r="LL39">
            <v>0</v>
          </cell>
          <cell r="LN39">
            <v>0</v>
          </cell>
          <cell r="LP39">
            <v>0</v>
          </cell>
          <cell r="LQ39">
            <v>0</v>
          </cell>
          <cell r="LR39">
            <v>0</v>
          </cell>
          <cell r="LT39" t="str">
            <v>660-21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7.9999999999999988E-2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7.9999999999999988E-2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3.0000000000000009E-2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H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E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B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Q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F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U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P40">
            <v>0</v>
          </cell>
          <cell r="KQ40">
            <v>0</v>
          </cell>
          <cell r="KR40">
            <v>0</v>
          </cell>
          <cell r="KT40">
            <v>0</v>
          </cell>
          <cell r="KV40">
            <v>0</v>
          </cell>
          <cell r="KW40">
            <v>0</v>
          </cell>
          <cell r="KX40">
            <v>0</v>
          </cell>
          <cell r="KZ40">
            <v>0</v>
          </cell>
          <cell r="LA40">
            <v>0</v>
          </cell>
          <cell r="LB40">
            <v>0</v>
          </cell>
          <cell r="LD40">
            <v>0</v>
          </cell>
          <cell r="LF40">
            <v>0</v>
          </cell>
          <cell r="LG40">
            <v>0</v>
          </cell>
          <cell r="LH40">
            <v>0</v>
          </cell>
          <cell r="LJ40">
            <v>0</v>
          </cell>
          <cell r="LK40">
            <v>0</v>
          </cell>
          <cell r="LL40">
            <v>0</v>
          </cell>
          <cell r="LN40">
            <v>0</v>
          </cell>
          <cell r="LP40">
            <v>0</v>
          </cell>
          <cell r="LQ40">
            <v>0</v>
          </cell>
          <cell r="LR40">
            <v>0</v>
          </cell>
          <cell r="LT40" t="str">
            <v>660-22</v>
          </cell>
        </row>
        <row r="41">
          <cell r="B41">
            <v>73.268493150684932</v>
          </cell>
          <cell r="C41">
            <v>87</v>
          </cell>
          <cell r="D41">
            <v>26743</v>
          </cell>
          <cell r="E41">
            <v>31755</v>
          </cell>
          <cell r="F41">
            <v>0.84216658793890731</v>
          </cell>
          <cell r="G41">
            <v>0.84216658793890731</v>
          </cell>
          <cell r="H41">
            <v>7.9999999999999988E-2</v>
          </cell>
          <cell r="I41">
            <v>1.4721485044712663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63.060273972602737</v>
          </cell>
          <cell r="X41">
            <v>87</v>
          </cell>
          <cell r="Y41">
            <v>23017</v>
          </cell>
          <cell r="Z41">
            <v>31755</v>
          </cell>
          <cell r="AA41">
            <v>0.72483073531727282</v>
          </cell>
          <cell r="AB41">
            <v>0.72483073531727282</v>
          </cell>
          <cell r="AC41">
            <v>7.9999999999999988E-2</v>
          </cell>
          <cell r="AD41">
            <v>1.5671583523692545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87</v>
          </cell>
          <cell r="AT41">
            <v>0</v>
          </cell>
          <cell r="AU41">
            <v>31842</v>
          </cell>
          <cell r="AV41">
            <v>0</v>
          </cell>
          <cell r="AW41">
            <v>0</v>
          </cell>
          <cell r="AX41">
            <v>3.0000000000000009E-2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9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H41">
            <v>9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9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E41">
            <v>9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12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B41">
            <v>12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Q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F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U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P41">
            <v>0</v>
          </cell>
          <cell r="KQ41">
            <v>0</v>
          </cell>
          <cell r="KR41">
            <v>0</v>
          </cell>
          <cell r="KT41">
            <v>0</v>
          </cell>
          <cell r="KV41">
            <v>0</v>
          </cell>
          <cell r="KW41">
            <v>0</v>
          </cell>
          <cell r="KX41">
            <v>0</v>
          </cell>
          <cell r="KZ41">
            <v>0</v>
          </cell>
          <cell r="LA41">
            <v>0</v>
          </cell>
          <cell r="LB41">
            <v>0</v>
          </cell>
          <cell r="LD41">
            <v>0</v>
          </cell>
          <cell r="LF41">
            <v>0</v>
          </cell>
          <cell r="LG41">
            <v>0</v>
          </cell>
          <cell r="LH41">
            <v>0</v>
          </cell>
          <cell r="LJ41">
            <v>0</v>
          </cell>
          <cell r="LK41">
            <v>0</v>
          </cell>
          <cell r="LL41">
            <v>0</v>
          </cell>
          <cell r="LN41">
            <v>0</v>
          </cell>
          <cell r="LP41">
            <v>0</v>
          </cell>
          <cell r="LQ41">
            <v>0</v>
          </cell>
          <cell r="LR41">
            <v>0</v>
          </cell>
          <cell r="LT41" t="str">
            <v>660-31</v>
          </cell>
        </row>
        <row r="42">
          <cell r="B42">
            <v>44.100000000000009</v>
          </cell>
          <cell r="C42">
            <v>49</v>
          </cell>
          <cell r="D42">
            <v>16096.500000000002</v>
          </cell>
          <cell r="E42">
            <v>17885</v>
          </cell>
          <cell r="F42">
            <v>0.90000000000000013</v>
          </cell>
          <cell r="G42">
            <v>0.90000000000000013</v>
          </cell>
          <cell r="H42">
            <v>7.9999999999999988E-2</v>
          </cell>
          <cell r="I42">
            <v>1.3405653407299545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41.901369863013699</v>
          </cell>
          <cell r="X42">
            <v>49</v>
          </cell>
          <cell r="Y42">
            <v>15294</v>
          </cell>
          <cell r="Z42">
            <v>17885</v>
          </cell>
          <cell r="AA42">
            <v>0.85512999720436123</v>
          </cell>
          <cell r="AB42">
            <v>0.85512999720436123</v>
          </cell>
          <cell r="AC42">
            <v>7.9999999999999988E-2</v>
          </cell>
          <cell r="AD42">
            <v>1.2628019246909099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49</v>
          </cell>
          <cell r="AT42">
            <v>0</v>
          </cell>
          <cell r="AU42">
            <v>17934</v>
          </cell>
          <cell r="AV42">
            <v>0</v>
          </cell>
          <cell r="AW42">
            <v>0</v>
          </cell>
          <cell r="AX42">
            <v>3.0000000000000009E-2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H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E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B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Q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F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U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P42">
            <v>0</v>
          </cell>
          <cell r="KQ42">
            <v>0</v>
          </cell>
          <cell r="KR42">
            <v>0</v>
          </cell>
          <cell r="KT42">
            <v>0</v>
          </cell>
          <cell r="KV42">
            <v>0</v>
          </cell>
          <cell r="KW42">
            <v>0</v>
          </cell>
          <cell r="KX42">
            <v>0</v>
          </cell>
          <cell r="KZ42">
            <v>0</v>
          </cell>
          <cell r="LA42">
            <v>0</v>
          </cell>
          <cell r="LB42">
            <v>0</v>
          </cell>
          <cell r="LD42">
            <v>0</v>
          </cell>
          <cell r="LF42">
            <v>0</v>
          </cell>
          <cell r="LG42">
            <v>0</v>
          </cell>
          <cell r="LH42">
            <v>0</v>
          </cell>
          <cell r="LJ42">
            <v>0</v>
          </cell>
          <cell r="LK42">
            <v>0</v>
          </cell>
          <cell r="LL42">
            <v>0</v>
          </cell>
          <cell r="LN42">
            <v>0</v>
          </cell>
          <cell r="LP42">
            <v>0</v>
          </cell>
          <cell r="LQ42">
            <v>0</v>
          </cell>
          <cell r="LR42">
            <v>0</v>
          </cell>
          <cell r="LT42" t="str">
            <v>660-52</v>
          </cell>
        </row>
        <row r="43">
          <cell r="B43">
            <v>34.174520547945207</v>
          </cell>
          <cell r="C43">
            <v>45</v>
          </cell>
          <cell r="D43">
            <v>12473.7</v>
          </cell>
          <cell r="E43">
            <v>16425</v>
          </cell>
          <cell r="F43">
            <v>0.75943378995433775</v>
          </cell>
          <cell r="G43">
            <v>0.75943378995433775</v>
          </cell>
          <cell r="H43">
            <v>7.9999999999999988E-2</v>
          </cell>
          <cell r="I43">
            <v>1.3257466011252088</v>
          </cell>
          <cell r="J43">
            <v>5.2088349733333335</v>
          </cell>
          <cell r="K43">
            <v>18.752051759999997</v>
          </cell>
          <cell r="L43">
            <v>0</v>
          </cell>
          <cell r="M43">
            <v>0</v>
          </cell>
          <cell r="N43">
            <v>10.18581408</v>
          </cell>
          <cell r="O43">
            <v>0</v>
          </cell>
          <cell r="P43">
            <v>457.92</v>
          </cell>
          <cell r="Q43">
            <v>414.18999999999994</v>
          </cell>
          <cell r="R43">
            <v>0</v>
          </cell>
          <cell r="S43">
            <v>393</v>
          </cell>
          <cell r="T43">
            <v>343.84999999999997</v>
          </cell>
          <cell r="U43">
            <v>0</v>
          </cell>
          <cell r="W43">
            <v>22.194520547945206</v>
          </cell>
          <cell r="X43">
            <v>45</v>
          </cell>
          <cell r="Y43">
            <v>8101</v>
          </cell>
          <cell r="Z43">
            <v>16425</v>
          </cell>
          <cell r="AA43">
            <v>0.49321156773211566</v>
          </cell>
          <cell r="AB43">
            <v>0.49321156773211566</v>
          </cell>
          <cell r="AC43">
            <v>7.9999999999999988E-2</v>
          </cell>
          <cell r="AD43">
            <v>1.6555672015708032</v>
          </cell>
          <cell r="AE43">
            <v>3.9130581157194069</v>
          </cell>
          <cell r="AF43">
            <v>7.935124167946749</v>
          </cell>
          <cell r="AG43">
            <v>0</v>
          </cell>
          <cell r="AH43">
            <v>8.1989247311827398E-2</v>
          </cell>
          <cell r="AI43">
            <v>10.26373527905786</v>
          </cell>
          <cell r="AJ43">
            <v>0</v>
          </cell>
          <cell r="AK43">
            <v>478.75378220862103</v>
          </cell>
          <cell r="AL43">
            <v>445.32649800293433</v>
          </cell>
          <cell r="AM43">
            <v>0</v>
          </cell>
          <cell r="AN43">
            <v>68.316673003332951</v>
          </cell>
          <cell r="AO43">
            <v>345.93619986350035</v>
          </cell>
          <cell r="AP43">
            <v>0</v>
          </cell>
          <cell r="AR43">
            <v>0</v>
          </cell>
          <cell r="AS43">
            <v>45</v>
          </cell>
          <cell r="AT43">
            <v>0</v>
          </cell>
          <cell r="AU43">
            <v>16470</v>
          </cell>
          <cell r="AV43">
            <v>0</v>
          </cell>
          <cell r="AW43">
            <v>0</v>
          </cell>
          <cell r="AX43">
            <v>3.0000000000000009E-2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H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E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B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Q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F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U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P43">
            <v>0</v>
          </cell>
          <cell r="KQ43">
            <v>0</v>
          </cell>
          <cell r="KR43">
            <v>0</v>
          </cell>
          <cell r="KT43">
            <v>0</v>
          </cell>
          <cell r="KV43">
            <v>0</v>
          </cell>
          <cell r="KW43">
            <v>0</v>
          </cell>
          <cell r="KX43">
            <v>0</v>
          </cell>
          <cell r="KZ43">
            <v>0</v>
          </cell>
          <cell r="LA43">
            <v>0</v>
          </cell>
          <cell r="LB43">
            <v>0</v>
          </cell>
          <cell r="LD43">
            <v>0</v>
          </cell>
          <cell r="LF43">
            <v>0</v>
          </cell>
          <cell r="LG43">
            <v>0</v>
          </cell>
          <cell r="LH43">
            <v>0</v>
          </cell>
          <cell r="LJ43">
            <v>0</v>
          </cell>
          <cell r="LK43">
            <v>0</v>
          </cell>
          <cell r="LL43">
            <v>0</v>
          </cell>
          <cell r="LN43">
            <v>0</v>
          </cell>
          <cell r="LP43">
            <v>0</v>
          </cell>
          <cell r="LQ43">
            <v>0</v>
          </cell>
          <cell r="LR43">
            <v>0</v>
          </cell>
          <cell r="LT43" t="str">
            <v>660-61</v>
          </cell>
        </row>
        <row r="44">
          <cell r="B44">
            <v>20.020000000000003</v>
          </cell>
          <cell r="C44">
            <v>22</v>
          </cell>
          <cell r="D44">
            <v>7307.3</v>
          </cell>
          <cell r="E44">
            <v>8030</v>
          </cell>
          <cell r="F44">
            <v>0.91</v>
          </cell>
          <cell r="G44">
            <v>0.91</v>
          </cell>
          <cell r="H44">
            <v>7.9999999999999988E-2</v>
          </cell>
          <cell r="I44">
            <v>0.3493970156625209</v>
          </cell>
          <cell r="J44">
            <v>1.9999980000000004</v>
          </cell>
          <cell r="K44">
            <v>3.9999960000000008</v>
          </cell>
          <cell r="L44">
            <v>0</v>
          </cell>
          <cell r="M44">
            <v>0</v>
          </cell>
          <cell r="N44">
            <v>14.020005999999997</v>
          </cell>
          <cell r="O44">
            <v>0</v>
          </cell>
          <cell r="P44">
            <v>457.92</v>
          </cell>
          <cell r="Q44">
            <v>414.19000000000005</v>
          </cell>
          <cell r="R44">
            <v>0</v>
          </cell>
          <cell r="S44">
            <v>0</v>
          </cell>
          <cell r="T44">
            <v>361.80000000000007</v>
          </cell>
          <cell r="U44">
            <v>0</v>
          </cell>
          <cell r="W44">
            <v>9.087671232876712</v>
          </cell>
          <cell r="X44">
            <v>22</v>
          </cell>
          <cell r="Y44">
            <v>3317</v>
          </cell>
          <cell r="Z44">
            <v>8030</v>
          </cell>
          <cell r="AA44">
            <v>0.41307596513075967</v>
          </cell>
          <cell r="AB44">
            <v>0.41307596513075967</v>
          </cell>
          <cell r="AC44">
            <v>7.9999999999999988E-2</v>
          </cell>
          <cell r="AD44">
            <v>0.2764140454057738</v>
          </cell>
          <cell r="AE44">
            <v>0.99626216077829077</v>
          </cell>
          <cell r="AF44">
            <v>2.1671594982078854</v>
          </cell>
          <cell r="AG44">
            <v>0</v>
          </cell>
          <cell r="AH44">
            <v>0</v>
          </cell>
          <cell r="AI44">
            <v>5.9573284690220172</v>
          </cell>
          <cell r="AJ44">
            <v>0</v>
          </cell>
          <cell r="AK44">
            <v>366.34216626637271</v>
          </cell>
          <cell r="AL44">
            <v>426.66137273113389</v>
          </cell>
          <cell r="AM44">
            <v>0</v>
          </cell>
          <cell r="AN44">
            <v>0</v>
          </cell>
          <cell r="AO44">
            <v>351.0367217555995</v>
          </cell>
          <cell r="AP44">
            <v>0</v>
          </cell>
          <cell r="AR44">
            <v>0</v>
          </cell>
          <cell r="AS44">
            <v>22</v>
          </cell>
          <cell r="AT44">
            <v>0</v>
          </cell>
          <cell r="AU44">
            <v>8052</v>
          </cell>
          <cell r="AV44">
            <v>0</v>
          </cell>
          <cell r="AW44">
            <v>0</v>
          </cell>
          <cell r="AX44">
            <v>3.0000000000000009E-2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H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E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B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Q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F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U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P44">
            <v>0</v>
          </cell>
          <cell r="KQ44">
            <v>0</v>
          </cell>
          <cell r="KR44">
            <v>0</v>
          </cell>
          <cell r="KT44">
            <v>0</v>
          </cell>
          <cell r="KV44">
            <v>0</v>
          </cell>
          <cell r="KW44">
            <v>0</v>
          </cell>
          <cell r="KX44">
            <v>0</v>
          </cell>
          <cell r="KZ44">
            <v>0</v>
          </cell>
          <cell r="LA44">
            <v>0</v>
          </cell>
          <cell r="LB44">
            <v>0</v>
          </cell>
          <cell r="LD44">
            <v>0</v>
          </cell>
          <cell r="LF44">
            <v>0</v>
          </cell>
          <cell r="LG44">
            <v>0</v>
          </cell>
          <cell r="LH44">
            <v>0</v>
          </cell>
          <cell r="LJ44">
            <v>0</v>
          </cell>
          <cell r="LK44">
            <v>0</v>
          </cell>
          <cell r="LL44">
            <v>0</v>
          </cell>
          <cell r="LN44">
            <v>0</v>
          </cell>
          <cell r="LP44">
            <v>0</v>
          </cell>
          <cell r="LQ44">
            <v>0</v>
          </cell>
          <cell r="LR44">
            <v>0</v>
          </cell>
          <cell r="LT44" t="str">
            <v>660-62</v>
          </cell>
        </row>
        <row r="45">
          <cell r="B45">
            <v>195.81301369863016</v>
          </cell>
          <cell r="C45">
            <v>228</v>
          </cell>
          <cell r="D45">
            <v>71471.75</v>
          </cell>
          <cell r="E45">
            <v>83220</v>
          </cell>
          <cell r="F45">
            <v>0.85882900745013213</v>
          </cell>
          <cell r="G45">
            <v>0.85882900745013213</v>
          </cell>
          <cell r="H45">
            <v>7.9999999999999988E-2</v>
          </cell>
          <cell r="I45">
            <v>1.0736627271878629</v>
          </cell>
          <cell r="J45">
            <v>7.2088329733333323</v>
          </cell>
          <cell r="K45">
            <v>22.752047759999996</v>
          </cell>
          <cell r="L45">
            <v>0</v>
          </cell>
          <cell r="M45">
            <v>0</v>
          </cell>
          <cell r="N45">
            <v>24.205820079999999</v>
          </cell>
          <cell r="O45">
            <v>0</v>
          </cell>
          <cell r="P45">
            <v>915.84</v>
          </cell>
          <cell r="Q45">
            <v>828.38000000000011</v>
          </cell>
          <cell r="R45">
            <v>0</v>
          </cell>
          <cell r="S45">
            <v>392.99999999999994</v>
          </cell>
          <cell r="T45">
            <v>705.65000000000009</v>
          </cell>
          <cell r="U45">
            <v>0</v>
          </cell>
          <cell r="W45">
            <v>160.50136986301371</v>
          </cell>
          <cell r="X45">
            <v>228</v>
          </cell>
          <cell r="Y45">
            <v>58583</v>
          </cell>
          <cell r="Z45">
            <v>83220</v>
          </cell>
          <cell r="AA45">
            <v>0.70395337659216539</v>
          </cell>
          <cell r="AB45">
            <v>0.70395337659216539</v>
          </cell>
          <cell r="AC45">
            <v>7.9999999999999988E-2</v>
          </cell>
          <cell r="AD45">
            <v>1.2333647810894803</v>
          </cell>
          <cell r="AE45">
            <v>4.9093202764976978</v>
          </cell>
          <cell r="AF45">
            <v>10.102283666154632</v>
          </cell>
          <cell r="AG45">
            <v>0</v>
          </cell>
          <cell r="AH45">
            <v>8.1989247311827398E-2</v>
          </cell>
          <cell r="AI45">
            <v>16.221063748079875</v>
          </cell>
          <cell r="AJ45">
            <v>0</v>
          </cell>
          <cell r="AK45">
            <v>876.62608600071701</v>
          </cell>
          <cell r="AL45">
            <v>873.11238973347065</v>
          </cell>
          <cell r="AM45">
            <v>0</v>
          </cell>
          <cell r="AN45">
            <v>86.451183044316011</v>
          </cell>
          <cell r="AO45">
            <v>697.07501081256783</v>
          </cell>
          <cell r="AP45">
            <v>0</v>
          </cell>
          <cell r="AR45">
            <v>0</v>
          </cell>
          <cell r="AS45">
            <v>228</v>
          </cell>
          <cell r="AT45">
            <v>0</v>
          </cell>
          <cell r="AU45">
            <v>83448</v>
          </cell>
          <cell r="AV45">
            <v>0</v>
          </cell>
          <cell r="AW45">
            <v>0</v>
          </cell>
          <cell r="AX45">
            <v>3.0000000000000009E-2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9</v>
          </cell>
          <cell r="BR45">
            <v>16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H45">
            <v>25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9</v>
          </cell>
          <cell r="DO45">
            <v>16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E45">
            <v>25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12</v>
          </cell>
          <cell r="FL45">
            <v>15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B45">
            <v>27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Q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F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U45">
            <v>0</v>
          </cell>
          <cell r="IW45">
            <v>0</v>
          </cell>
          <cell r="IX45">
            <v>0</v>
          </cell>
          <cell r="IY45">
            <v>0</v>
          </cell>
          <cell r="IZ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P45">
            <v>0</v>
          </cell>
          <cell r="KQ45">
            <v>0</v>
          </cell>
          <cell r="KR45">
            <v>0</v>
          </cell>
          <cell r="KT45">
            <v>0</v>
          </cell>
          <cell r="KV45">
            <v>0</v>
          </cell>
          <cell r="KW45">
            <v>0</v>
          </cell>
          <cell r="KX45">
            <v>0</v>
          </cell>
          <cell r="KZ45">
            <v>0</v>
          </cell>
          <cell r="LA45">
            <v>0</v>
          </cell>
          <cell r="LB45">
            <v>0</v>
          </cell>
          <cell r="LD45">
            <v>0</v>
          </cell>
          <cell r="LF45">
            <v>0</v>
          </cell>
          <cell r="LG45">
            <v>0</v>
          </cell>
          <cell r="LH45">
            <v>0</v>
          </cell>
          <cell r="LJ45">
            <v>0</v>
          </cell>
          <cell r="LK45">
            <v>0</v>
          </cell>
          <cell r="LL45">
            <v>0</v>
          </cell>
          <cell r="LN45">
            <v>0</v>
          </cell>
          <cell r="LP45">
            <v>0</v>
          </cell>
          <cell r="LQ45">
            <v>0</v>
          </cell>
          <cell r="LR45">
            <v>0</v>
          </cell>
          <cell r="LT45" t="str">
            <v>660-Entity</v>
          </cell>
        </row>
        <row r="46">
          <cell r="B46">
            <v>92.15</v>
          </cell>
          <cell r="C46">
            <v>95</v>
          </cell>
          <cell r="D46">
            <v>33634.750000000007</v>
          </cell>
          <cell r="E46">
            <v>34675</v>
          </cell>
          <cell r="F46">
            <v>0.9700000000000002</v>
          </cell>
          <cell r="G46">
            <v>0.9700000000000002</v>
          </cell>
          <cell r="H46">
            <v>0.05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93.208219178082203</v>
          </cell>
          <cell r="X46">
            <v>95</v>
          </cell>
          <cell r="Y46">
            <v>34021</v>
          </cell>
          <cell r="Z46">
            <v>34675</v>
          </cell>
          <cell r="AA46">
            <v>0.98113914924297041</v>
          </cell>
          <cell r="AB46">
            <v>0.98113914924297041</v>
          </cell>
          <cell r="AC46">
            <v>0.05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92.15</v>
          </cell>
          <cell r="AS46">
            <v>95</v>
          </cell>
          <cell r="AT46">
            <v>33726.9</v>
          </cell>
          <cell r="AU46">
            <v>34770</v>
          </cell>
          <cell r="AV46">
            <v>0.97</v>
          </cell>
          <cell r="AW46">
            <v>0.97</v>
          </cell>
          <cell r="AX46">
            <v>3.500000000000001E-2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H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E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2</v>
          </cell>
          <cell r="GX46">
            <v>0</v>
          </cell>
          <cell r="GY46">
            <v>0</v>
          </cell>
          <cell r="GZ46">
            <v>0</v>
          </cell>
          <cell r="HB46">
            <v>2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Q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F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U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P46">
            <v>0</v>
          </cell>
          <cell r="KQ46">
            <v>0</v>
          </cell>
          <cell r="KR46">
            <v>0</v>
          </cell>
          <cell r="KT46">
            <v>0</v>
          </cell>
          <cell r="KV46">
            <v>0</v>
          </cell>
          <cell r="KW46">
            <v>0</v>
          </cell>
          <cell r="KX46">
            <v>0</v>
          </cell>
          <cell r="KZ46">
            <v>0</v>
          </cell>
          <cell r="LA46">
            <v>0</v>
          </cell>
          <cell r="LB46">
            <v>0</v>
          </cell>
          <cell r="LD46">
            <v>0</v>
          </cell>
          <cell r="LF46">
            <v>0</v>
          </cell>
          <cell r="LG46">
            <v>0</v>
          </cell>
          <cell r="LH46">
            <v>0</v>
          </cell>
          <cell r="LJ46">
            <v>0</v>
          </cell>
          <cell r="LK46">
            <v>0</v>
          </cell>
          <cell r="LL46">
            <v>0</v>
          </cell>
          <cell r="LN46">
            <v>0</v>
          </cell>
          <cell r="LP46">
            <v>0</v>
          </cell>
          <cell r="LQ46">
            <v>0</v>
          </cell>
          <cell r="LR46">
            <v>0</v>
          </cell>
          <cell r="LT46" t="str">
            <v>810-21</v>
          </cell>
        </row>
        <row r="47">
          <cell r="B47">
            <v>46.06</v>
          </cell>
          <cell r="C47">
            <v>47</v>
          </cell>
          <cell r="D47">
            <v>16811.900000000001</v>
          </cell>
          <cell r="E47">
            <v>17155</v>
          </cell>
          <cell r="F47">
            <v>0.98</v>
          </cell>
          <cell r="G47">
            <v>0.98</v>
          </cell>
          <cell r="H47">
            <v>0.05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46.246575342465754</v>
          </cell>
          <cell r="X47">
            <v>47</v>
          </cell>
          <cell r="Y47">
            <v>16880</v>
          </cell>
          <cell r="Z47">
            <v>17155</v>
          </cell>
          <cell r="AA47">
            <v>0.98396968813756924</v>
          </cell>
          <cell r="AB47">
            <v>0.98396968813756924</v>
          </cell>
          <cell r="AC47">
            <v>0.05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46.06</v>
          </cell>
          <cell r="AS47">
            <v>47</v>
          </cell>
          <cell r="AT47">
            <v>16857.960000000003</v>
          </cell>
          <cell r="AU47">
            <v>17202</v>
          </cell>
          <cell r="AV47">
            <v>0.9800000000000002</v>
          </cell>
          <cell r="AW47">
            <v>0.9800000000000002</v>
          </cell>
          <cell r="AX47">
            <v>3.500000000000001E-2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H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E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1</v>
          </cell>
          <cell r="GY47">
            <v>0</v>
          </cell>
          <cell r="GZ47">
            <v>0</v>
          </cell>
          <cell r="HB47">
            <v>1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Q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F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U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P47">
            <v>0</v>
          </cell>
          <cell r="KQ47">
            <v>0</v>
          </cell>
          <cell r="KR47">
            <v>0</v>
          </cell>
          <cell r="KT47">
            <v>0</v>
          </cell>
          <cell r="KV47">
            <v>0</v>
          </cell>
          <cell r="KW47">
            <v>0</v>
          </cell>
          <cell r="KX47">
            <v>0</v>
          </cell>
          <cell r="KZ47">
            <v>0</v>
          </cell>
          <cell r="LA47">
            <v>0</v>
          </cell>
          <cell r="LB47">
            <v>0</v>
          </cell>
          <cell r="LD47">
            <v>0</v>
          </cell>
          <cell r="LF47">
            <v>0</v>
          </cell>
          <cell r="LG47">
            <v>0</v>
          </cell>
          <cell r="LH47">
            <v>0</v>
          </cell>
          <cell r="LJ47">
            <v>0</v>
          </cell>
          <cell r="LK47">
            <v>0</v>
          </cell>
          <cell r="LL47">
            <v>0</v>
          </cell>
          <cell r="LN47">
            <v>0</v>
          </cell>
          <cell r="LP47">
            <v>0</v>
          </cell>
          <cell r="LQ47">
            <v>0</v>
          </cell>
          <cell r="LR47">
            <v>0</v>
          </cell>
          <cell r="LT47" t="str">
            <v>810-22</v>
          </cell>
        </row>
        <row r="48">
          <cell r="B48">
            <v>16.489999999999998</v>
          </cell>
          <cell r="C48">
            <v>17</v>
          </cell>
          <cell r="D48">
            <v>6018.8499999999985</v>
          </cell>
          <cell r="E48">
            <v>6205</v>
          </cell>
          <cell r="F48">
            <v>0.96999999999999975</v>
          </cell>
          <cell r="G48">
            <v>0.96999999999999975</v>
          </cell>
          <cell r="H48">
            <v>0.05</v>
          </cell>
          <cell r="I48">
            <v>9.8637361146459099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16.446575342465753</v>
          </cell>
          <cell r="X48">
            <v>17</v>
          </cell>
          <cell r="Y48">
            <v>6003</v>
          </cell>
          <cell r="Z48">
            <v>6205</v>
          </cell>
          <cell r="AA48">
            <v>0.96744560838033844</v>
          </cell>
          <cell r="AB48">
            <v>0.96744560838033844</v>
          </cell>
          <cell r="AC48">
            <v>0.05</v>
          </cell>
          <cell r="AD48">
            <v>5.7200376321060364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16.32</v>
          </cell>
          <cell r="AS48">
            <v>17</v>
          </cell>
          <cell r="AT48">
            <v>5973.1200000000008</v>
          </cell>
          <cell r="AU48">
            <v>6222</v>
          </cell>
          <cell r="AV48">
            <v>0.96</v>
          </cell>
          <cell r="AW48">
            <v>0.96</v>
          </cell>
          <cell r="AX48">
            <v>3.500000000000001E-2</v>
          </cell>
          <cell r="AY48">
            <v>7.8351664900260447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H48">
            <v>1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1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E48">
            <v>1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B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13.999999999999998</v>
          </cell>
          <cell r="HO48">
            <v>3</v>
          </cell>
          <cell r="HQ48">
            <v>17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13.999999999999998</v>
          </cell>
          <cell r="ID48">
            <v>3</v>
          </cell>
          <cell r="IF48">
            <v>17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13.999999999999998</v>
          </cell>
          <cell r="IS48">
            <v>3</v>
          </cell>
          <cell r="IU48">
            <v>17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KA48">
            <v>0</v>
          </cell>
          <cell r="KB48">
            <v>0</v>
          </cell>
          <cell r="KC48">
            <v>0</v>
          </cell>
          <cell r="KD48">
            <v>0</v>
          </cell>
          <cell r="KF48">
            <v>0</v>
          </cell>
          <cell r="KG48">
            <v>0</v>
          </cell>
          <cell r="KH48">
            <v>0</v>
          </cell>
          <cell r="KI48">
            <v>0</v>
          </cell>
          <cell r="KK48">
            <v>0</v>
          </cell>
          <cell r="KL48">
            <v>0</v>
          </cell>
          <cell r="KM48">
            <v>0</v>
          </cell>
          <cell r="KN48">
            <v>0</v>
          </cell>
          <cell r="KP48">
            <v>0</v>
          </cell>
          <cell r="KQ48">
            <v>0</v>
          </cell>
          <cell r="KR48">
            <v>0</v>
          </cell>
          <cell r="KT48">
            <v>0</v>
          </cell>
          <cell r="KV48">
            <v>0</v>
          </cell>
          <cell r="KW48">
            <v>0</v>
          </cell>
          <cell r="KX48">
            <v>0</v>
          </cell>
          <cell r="KZ48">
            <v>0</v>
          </cell>
          <cell r="LA48">
            <v>0</v>
          </cell>
          <cell r="LB48">
            <v>0</v>
          </cell>
          <cell r="LD48">
            <v>0</v>
          </cell>
          <cell r="LF48">
            <v>0</v>
          </cell>
          <cell r="LG48">
            <v>0</v>
          </cell>
          <cell r="LH48">
            <v>0</v>
          </cell>
          <cell r="LJ48">
            <v>0</v>
          </cell>
          <cell r="LK48">
            <v>0</v>
          </cell>
          <cell r="LL48">
            <v>0</v>
          </cell>
          <cell r="LN48">
            <v>0</v>
          </cell>
          <cell r="LP48">
            <v>0</v>
          </cell>
          <cell r="LQ48">
            <v>0</v>
          </cell>
          <cell r="LR48">
            <v>0</v>
          </cell>
          <cell r="LT48" t="str">
            <v>810-31</v>
          </cell>
        </row>
        <row r="49">
          <cell r="B49">
            <v>87.419999999999973</v>
          </cell>
          <cell r="C49">
            <v>94</v>
          </cell>
          <cell r="D49">
            <v>31908.3</v>
          </cell>
          <cell r="E49">
            <v>34310</v>
          </cell>
          <cell r="F49">
            <v>0.93</v>
          </cell>
          <cell r="G49">
            <v>0.93</v>
          </cell>
          <cell r="H49">
            <v>0.05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90.032876712328772</v>
          </cell>
          <cell r="X49">
            <v>94</v>
          </cell>
          <cell r="Y49">
            <v>32862</v>
          </cell>
          <cell r="Z49">
            <v>34310</v>
          </cell>
          <cell r="AA49">
            <v>0.95779656076945496</v>
          </cell>
          <cell r="AB49">
            <v>0.95779656076945496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90</v>
          </cell>
          <cell r="AS49">
            <v>94</v>
          </cell>
          <cell r="AT49">
            <v>32940</v>
          </cell>
          <cell r="AU49">
            <v>34404</v>
          </cell>
          <cell r="AV49">
            <v>0.95744680851063835</v>
          </cell>
          <cell r="AW49">
            <v>0.95744680851063835</v>
          </cell>
          <cell r="AX49">
            <v>3.500000000000001E-2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13.000000000000002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H49">
            <v>13.000000000000002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13.000000000000002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E49">
            <v>13.000000000000002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10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B49">
            <v>10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Q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F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U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P49">
            <v>0</v>
          </cell>
          <cell r="KQ49">
            <v>0</v>
          </cell>
          <cell r="KR49">
            <v>0</v>
          </cell>
          <cell r="KT49">
            <v>0</v>
          </cell>
          <cell r="KV49">
            <v>0</v>
          </cell>
          <cell r="KW49">
            <v>0</v>
          </cell>
          <cell r="KX49">
            <v>0</v>
          </cell>
          <cell r="KZ49">
            <v>0</v>
          </cell>
          <cell r="LA49">
            <v>0</v>
          </cell>
          <cell r="LB49">
            <v>0</v>
          </cell>
          <cell r="LD49">
            <v>0</v>
          </cell>
          <cell r="LF49">
            <v>0</v>
          </cell>
          <cell r="LG49">
            <v>0</v>
          </cell>
          <cell r="LH49">
            <v>0</v>
          </cell>
          <cell r="LJ49">
            <v>0</v>
          </cell>
          <cell r="LK49">
            <v>0</v>
          </cell>
          <cell r="LL49">
            <v>0</v>
          </cell>
          <cell r="LN49">
            <v>0</v>
          </cell>
          <cell r="LP49">
            <v>0</v>
          </cell>
          <cell r="LQ49">
            <v>0</v>
          </cell>
          <cell r="LR49">
            <v>0</v>
          </cell>
          <cell r="LT49" t="str">
            <v>810-32</v>
          </cell>
        </row>
        <row r="50">
          <cell r="B50">
            <v>125.58000000000004</v>
          </cell>
          <cell r="C50">
            <v>138</v>
          </cell>
          <cell r="D50">
            <v>45836.7</v>
          </cell>
          <cell r="E50">
            <v>50370</v>
          </cell>
          <cell r="F50">
            <v>0.91</v>
          </cell>
          <cell r="G50">
            <v>0.91</v>
          </cell>
          <cell r="H50">
            <v>0.05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127.8082191780822</v>
          </cell>
          <cell r="X50">
            <v>138</v>
          </cell>
          <cell r="Y50">
            <v>46650</v>
          </cell>
          <cell r="Z50">
            <v>50370</v>
          </cell>
          <cell r="AA50">
            <v>0.92614651578320439</v>
          </cell>
          <cell r="AB50">
            <v>0.92614651578320439</v>
          </cell>
          <cell r="AC50">
            <v>0.05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127</v>
          </cell>
          <cell r="AS50">
            <v>138</v>
          </cell>
          <cell r="AT50">
            <v>46482</v>
          </cell>
          <cell r="AU50">
            <v>50508</v>
          </cell>
          <cell r="AV50">
            <v>0.92028985507246364</v>
          </cell>
          <cell r="AW50">
            <v>0.92028985507246364</v>
          </cell>
          <cell r="AX50">
            <v>3.500000000000001E-2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H50">
            <v>38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38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E50">
            <v>38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46.999999999999993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B50">
            <v>46.999999999999993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Q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F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U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P50">
            <v>0</v>
          </cell>
          <cell r="KQ50">
            <v>0</v>
          </cell>
          <cell r="KR50">
            <v>0</v>
          </cell>
          <cell r="KT50">
            <v>0</v>
          </cell>
          <cell r="KV50">
            <v>0</v>
          </cell>
          <cell r="KW50">
            <v>0</v>
          </cell>
          <cell r="KX50">
            <v>0</v>
          </cell>
          <cell r="KZ50">
            <v>0</v>
          </cell>
          <cell r="LA50">
            <v>0</v>
          </cell>
          <cell r="LB50">
            <v>0</v>
          </cell>
          <cell r="LD50">
            <v>0</v>
          </cell>
          <cell r="LF50">
            <v>0</v>
          </cell>
          <cell r="LG50">
            <v>0</v>
          </cell>
          <cell r="LH50">
            <v>0</v>
          </cell>
          <cell r="LJ50">
            <v>0</v>
          </cell>
          <cell r="LK50">
            <v>0</v>
          </cell>
          <cell r="LL50">
            <v>0</v>
          </cell>
          <cell r="LN50">
            <v>0</v>
          </cell>
          <cell r="LP50">
            <v>0</v>
          </cell>
          <cell r="LQ50">
            <v>0</v>
          </cell>
          <cell r="LR50">
            <v>0</v>
          </cell>
          <cell r="LT50" t="str">
            <v>810-33</v>
          </cell>
        </row>
        <row r="51">
          <cell r="B51">
            <v>97</v>
          </cell>
          <cell r="C51">
            <v>100</v>
          </cell>
          <cell r="D51">
            <v>35405</v>
          </cell>
          <cell r="E51">
            <v>36500</v>
          </cell>
          <cell r="F51">
            <v>0.97</v>
          </cell>
          <cell r="G51">
            <v>0.97</v>
          </cell>
          <cell r="H51">
            <v>6.0000000000000019E-2</v>
          </cell>
          <cell r="I51">
            <v>0.82997422156279954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W51">
            <v>95.180821917808217</v>
          </cell>
          <cell r="X51">
            <v>100</v>
          </cell>
          <cell r="Y51">
            <v>34741</v>
          </cell>
          <cell r="Z51">
            <v>36500</v>
          </cell>
          <cell r="AA51">
            <v>0.95180821917808223</v>
          </cell>
          <cell r="AB51">
            <v>0.95180821917808223</v>
          </cell>
          <cell r="AC51">
            <v>6.0000000000000019E-2</v>
          </cell>
          <cell r="AD51">
            <v>0.81651916941535729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96</v>
          </cell>
          <cell r="AS51">
            <v>100</v>
          </cell>
          <cell r="AT51">
            <v>35136</v>
          </cell>
          <cell r="AU51">
            <v>36600</v>
          </cell>
          <cell r="AV51">
            <v>0.96</v>
          </cell>
          <cell r="AW51">
            <v>0.96</v>
          </cell>
          <cell r="AX51">
            <v>3.0000000000000009E-2</v>
          </cell>
          <cell r="AY51">
            <v>0.91044834402006136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2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H51">
            <v>2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2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E51">
            <v>2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1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B51">
            <v>1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Q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F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U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K51">
            <v>0</v>
          </cell>
          <cell r="KL51">
            <v>0</v>
          </cell>
          <cell r="KM51">
            <v>0</v>
          </cell>
          <cell r="KN51">
            <v>0</v>
          </cell>
          <cell r="KP51">
            <v>0</v>
          </cell>
          <cell r="KQ51">
            <v>0</v>
          </cell>
          <cell r="KR51">
            <v>0</v>
          </cell>
          <cell r="KT51">
            <v>0</v>
          </cell>
          <cell r="KV51">
            <v>0</v>
          </cell>
          <cell r="KW51">
            <v>0</v>
          </cell>
          <cell r="KX51">
            <v>0</v>
          </cell>
          <cell r="KZ51">
            <v>0</v>
          </cell>
          <cell r="LA51">
            <v>0</v>
          </cell>
          <cell r="LB51">
            <v>0</v>
          </cell>
          <cell r="LD51">
            <v>0</v>
          </cell>
          <cell r="LF51">
            <v>0</v>
          </cell>
          <cell r="LG51">
            <v>0</v>
          </cell>
          <cell r="LH51">
            <v>0</v>
          </cell>
          <cell r="LJ51">
            <v>0</v>
          </cell>
          <cell r="LK51">
            <v>0</v>
          </cell>
          <cell r="LL51">
            <v>0</v>
          </cell>
          <cell r="LN51">
            <v>0</v>
          </cell>
          <cell r="LP51">
            <v>0</v>
          </cell>
          <cell r="LQ51">
            <v>0</v>
          </cell>
          <cell r="LR51">
            <v>0</v>
          </cell>
          <cell r="LT51" t="str">
            <v>810-51</v>
          </cell>
        </row>
        <row r="52">
          <cell r="B52">
            <v>66.03</v>
          </cell>
          <cell r="C52">
            <v>69</v>
          </cell>
          <cell r="D52">
            <v>24100.950000000004</v>
          </cell>
          <cell r="E52">
            <v>25185</v>
          </cell>
          <cell r="F52">
            <v>0.95695652173913059</v>
          </cell>
          <cell r="G52">
            <v>0.95695652173913059</v>
          </cell>
          <cell r="H52">
            <v>6.0000000000000019E-2</v>
          </cell>
          <cell r="I52">
            <v>0.96328232042174278</v>
          </cell>
          <cell r="J52">
            <v>4.9999896899999996</v>
          </cell>
          <cell r="K52">
            <v>2.5000278599999999</v>
          </cell>
          <cell r="L52">
            <v>18.500021279999999</v>
          </cell>
          <cell r="M52">
            <v>0</v>
          </cell>
          <cell r="N52">
            <v>40.030027199999999</v>
          </cell>
          <cell r="O52">
            <v>0</v>
          </cell>
          <cell r="P52">
            <v>585.92999999999984</v>
          </cell>
          <cell r="Q52">
            <v>397.63000000000005</v>
          </cell>
          <cell r="R52">
            <v>260.00000000000006</v>
          </cell>
          <cell r="S52">
            <v>0</v>
          </cell>
          <cell r="T52">
            <v>511.24000000000012</v>
          </cell>
          <cell r="U52">
            <v>0</v>
          </cell>
          <cell r="W52">
            <v>66.219178082191775</v>
          </cell>
          <cell r="X52">
            <v>69</v>
          </cell>
          <cell r="Y52">
            <v>24170</v>
          </cell>
          <cell r="Z52">
            <v>25185</v>
          </cell>
          <cell r="AA52">
            <v>0.95969823307524316</v>
          </cell>
          <cell r="AB52">
            <v>0.95969823307524316</v>
          </cell>
          <cell r="AC52">
            <v>6.0000000000000019E-2</v>
          </cell>
          <cell r="AD52">
            <v>0.92811557352183283</v>
          </cell>
          <cell r="AE52">
            <v>3.1163433179723441</v>
          </cell>
          <cell r="AF52">
            <v>1.8400416479774675</v>
          </cell>
          <cell r="AG52">
            <v>19.53143722478239</v>
          </cell>
          <cell r="AH52">
            <v>0</v>
          </cell>
          <cell r="AI52">
            <v>41.724465642601132</v>
          </cell>
          <cell r="AJ52">
            <v>0</v>
          </cell>
          <cell r="AK52">
            <v>599.60997840179573</v>
          </cell>
          <cell r="AL52">
            <v>439.09318234283091</v>
          </cell>
          <cell r="AM52">
            <v>323.97904859505195</v>
          </cell>
          <cell r="AN52">
            <v>0</v>
          </cell>
          <cell r="AO52">
            <v>504.64013726785311</v>
          </cell>
          <cell r="AP52">
            <v>0</v>
          </cell>
          <cell r="AR52">
            <v>65.549999999999983</v>
          </cell>
          <cell r="AS52">
            <v>69</v>
          </cell>
          <cell r="AT52">
            <v>23991.299999999996</v>
          </cell>
          <cell r="AU52">
            <v>25254</v>
          </cell>
          <cell r="AV52">
            <v>0.94999999999999984</v>
          </cell>
          <cell r="AW52">
            <v>0.94999999999999984</v>
          </cell>
          <cell r="AX52">
            <v>3.9999999999999994E-2</v>
          </cell>
          <cell r="AY52">
            <v>0.97555507031453659</v>
          </cell>
          <cell r="AZ52">
            <v>4.1558699999999993</v>
          </cell>
          <cell r="BA52">
            <v>2.3925750000000003</v>
          </cell>
          <cell r="BB52">
            <v>19.527345</v>
          </cell>
          <cell r="BC52">
            <v>0</v>
          </cell>
          <cell r="BD52">
            <v>39.474209999999985</v>
          </cell>
          <cell r="BE52">
            <v>0</v>
          </cell>
          <cell r="BF52">
            <v>609.26</v>
          </cell>
          <cell r="BG52">
            <v>451.83</v>
          </cell>
          <cell r="BH52">
            <v>314.44999999999993</v>
          </cell>
          <cell r="BI52">
            <v>0</v>
          </cell>
          <cell r="BJ52">
            <v>531.9</v>
          </cell>
          <cell r="BK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H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E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B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Q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F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U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P52">
            <v>0</v>
          </cell>
          <cell r="KQ52">
            <v>0</v>
          </cell>
          <cell r="KR52">
            <v>0</v>
          </cell>
          <cell r="KT52">
            <v>0</v>
          </cell>
          <cell r="KV52">
            <v>0</v>
          </cell>
          <cell r="KW52">
            <v>0</v>
          </cell>
          <cell r="KX52">
            <v>0</v>
          </cell>
          <cell r="KZ52">
            <v>0</v>
          </cell>
          <cell r="LA52">
            <v>0</v>
          </cell>
          <cell r="LB52">
            <v>0</v>
          </cell>
          <cell r="LD52">
            <v>0</v>
          </cell>
          <cell r="LF52">
            <v>0</v>
          </cell>
          <cell r="LG52">
            <v>0</v>
          </cell>
          <cell r="LH52">
            <v>0</v>
          </cell>
          <cell r="LJ52">
            <v>0</v>
          </cell>
          <cell r="LK52">
            <v>0</v>
          </cell>
          <cell r="LL52">
            <v>0</v>
          </cell>
          <cell r="LN52">
            <v>0</v>
          </cell>
          <cell r="LP52">
            <v>0</v>
          </cell>
          <cell r="LQ52">
            <v>0</v>
          </cell>
          <cell r="LR52">
            <v>0</v>
          </cell>
          <cell r="LT52" t="str">
            <v>810-61</v>
          </cell>
        </row>
        <row r="53">
          <cell r="B53">
            <v>530.7299999999999</v>
          </cell>
          <cell r="C53">
            <v>560</v>
          </cell>
          <cell r="D53">
            <v>193716.45</v>
          </cell>
          <cell r="E53">
            <v>204400</v>
          </cell>
          <cell r="F53">
            <v>0.9477321428571428</v>
          </cell>
          <cell r="G53">
            <v>0.9477321428571428</v>
          </cell>
          <cell r="H53">
            <v>5.2857142857142859E-2</v>
          </cell>
          <cell r="I53">
            <v>0.9281992573179636</v>
          </cell>
          <cell r="J53">
            <v>4.9999896899999996</v>
          </cell>
          <cell r="K53">
            <v>2.5000278599999999</v>
          </cell>
          <cell r="L53">
            <v>18.500021279999999</v>
          </cell>
          <cell r="M53">
            <v>0</v>
          </cell>
          <cell r="N53">
            <v>40.030027199999999</v>
          </cell>
          <cell r="O53">
            <v>0</v>
          </cell>
          <cell r="P53">
            <v>585.92999999999984</v>
          </cell>
          <cell r="Q53">
            <v>397.63000000000005</v>
          </cell>
          <cell r="R53">
            <v>260.00000000000006</v>
          </cell>
          <cell r="S53">
            <v>0</v>
          </cell>
          <cell r="T53">
            <v>511.24000000000012</v>
          </cell>
          <cell r="U53">
            <v>0</v>
          </cell>
          <cell r="W53">
            <v>535.14246575342463</v>
          </cell>
          <cell r="X53">
            <v>560</v>
          </cell>
          <cell r="Y53">
            <v>195327</v>
          </cell>
          <cell r="Z53">
            <v>204400</v>
          </cell>
          <cell r="AA53">
            <v>0.95561154598825837</v>
          </cell>
          <cell r="AB53">
            <v>0.95561154598825837</v>
          </cell>
          <cell r="AC53">
            <v>5.2857142857142859E-2</v>
          </cell>
          <cell r="AD53">
            <v>0.89119811452578712</v>
          </cell>
          <cell r="AE53">
            <v>3.1163433179723441</v>
          </cell>
          <cell r="AF53">
            <v>1.8400416479774675</v>
          </cell>
          <cell r="AG53">
            <v>19.53143722478239</v>
          </cell>
          <cell r="AH53">
            <v>0</v>
          </cell>
          <cell r="AI53">
            <v>41.724465642601132</v>
          </cell>
          <cell r="AJ53">
            <v>0</v>
          </cell>
          <cell r="AK53">
            <v>599.60997840179573</v>
          </cell>
          <cell r="AL53">
            <v>439.09318234283091</v>
          </cell>
          <cell r="AM53">
            <v>323.97904859505195</v>
          </cell>
          <cell r="AN53">
            <v>0</v>
          </cell>
          <cell r="AO53">
            <v>504.64013726785311</v>
          </cell>
          <cell r="AP53">
            <v>0</v>
          </cell>
          <cell r="AR53">
            <v>533.07999999999993</v>
          </cell>
          <cell r="AS53">
            <v>560</v>
          </cell>
          <cell r="AT53">
            <v>195107.28</v>
          </cell>
          <cell r="AU53">
            <v>204960</v>
          </cell>
          <cell r="AV53">
            <v>0.95192857142857157</v>
          </cell>
          <cell r="AW53">
            <v>0.95192857142857157</v>
          </cell>
          <cell r="AX53">
            <v>3.500000000000001E-2</v>
          </cell>
          <cell r="AY53">
            <v>0.92697831226845717</v>
          </cell>
          <cell r="AZ53">
            <v>4.1558699999999993</v>
          </cell>
          <cell r="BA53">
            <v>2.3925750000000003</v>
          </cell>
          <cell r="BB53">
            <v>19.527345</v>
          </cell>
          <cell r="BC53">
            <v>0</v>
          </cell>
          <cell r="BD53">
            <v>39.474209999999985</v>
          </cell>
          <cell r="BE53">
            <v>0</v>
          </cell>
          <cell r="BF53">
            <v>609.26</v>
          </cell>
          <cell r="BG53">
            <v>451.83</v>
          </cell>
          <cell r="BH53">
            <v>314.44999999999993</v>
          </cell>
          <cell r="BI53">
            <v>0</v>
          </cell>
          <cell r="BJ53">
            <v>531.9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2</v>
          </cell>
          <cell r="BZ53">
            <v>1</v>
          </cell>
          <cell r="CA53">
            <v>13.000000000000002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38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H53">
            <v>54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2</v>
          </cell>
          <cell r="DW53">
            <v>1</v>
          </cell>
          <cell r="DX53">
            <v>13.000000000000002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38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E53">
            <v>54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1</v>
          </cell>
          <cell r="FT53">
            <v>0</v>
          </cell>
          <cell r="FU53">
            <v>10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46.999999999999993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2</v>
          </cell>
          <cell r="GX53">
            <v>1</v>
          </cell>
          <cell r="GY53">
            <v>0</v>
          </cell>
          <cell r="GZ53">
            <v>0</v>
          </cell>
          <cell r="HB53">
            <v>60.999999999999993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13.999999999999998</v>
          </cell>
          <cell r="HO53">
            <v>3</v>
          </cell>
          <cell r="HQ53">
            <v>17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13.999999999999998</v>
          </cell>
          <cell r="ID53">
            <v>3</v>
          </cell>
          <cell r="IF53">
            <v>17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13.999999999999998</v>
          </cell>
          <cell r="IS53">
            <v>3</v>
          </cell>
          <cell r="IU53">
            <v>17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K53">
            <v>0</v>
          </cell>
          <cell r="KL53">
            <v>0</v>
          </cell>
          <cell r="KM53">
            <v>0</v>
          </cell>
          <cell r="KN53">
            <v>0</v>
          </cell>
          <cell r="KP53">
            <v>0</v>
          </cell>
          <cell r="KQ53">
            <v>0</v>
          </cell>
          <cell r="KR53">
            <v>0</v>
          </cell>
          <cell r="KT53">
            <v>0</v>
          </cell>
          <cell r="KV53">
            <v>0</v>
          </cell>
          <cell r="KW53">
            <v>0</v>
          </cell>
          <cell r="KX53">
            <v>0</v>
          </cell>
          <cell r="KZ53">
            <v>0</v>
          </cell>
          <cell r="LA53">
            <v>0</v>
          </cell>
          <cell r="LB53">
            <v>0</v>
          </cell>
          <cell r="LD53">
            <v>0</v>
          </cell>
          <cell r="LF53">
            <v>0</v>
          </cell>
          <cell r="LG53">
            <v>0</v>
          </cell>
          <cell r="LH53">
            <v>0</v>
          </cell>
          <cell r="LJ53">
            <v>0</v>
          </cell>
          <cell r="LK53">
            <v>0</v>
          </cell>
          <cell r="LL53">
            <v>0</v>
          </cell>
          <cell r="LN53">
            <v>0</v>
          </cell>
          <cell r="LP53">
            <v>0</v>
          </cell>
          <cell r="LQ53">
            <v>0</v>
          </cell>
          <cell r="LR53">
            <v>0</v>
          </cell>
          <cell r="LT53" t="str">
            <v>810-Entity</v>
          </cell>
        </row>
        <row r="54">
          <cell r="B54">
            <v>30</v>
          </cell>
          <cell r="C54">
            <v>31</v>
          </cell>
          <cell r="D54">
            <v>10950</v>
          </cell>
          <cell r="E54">
            <v>11315</v>
          </cell>
          <cell r="F54">
            <v>0.967741935483871</v>
          </cell>
          <cell r="G54">
            <v>0.967741935483871</v>
          </cell>
          <cell r="H54">
            <v>3.9999999999999994E-2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30.36986301369863</v>
          </cell>
          <cell r="X54">
            <v>31</v>
          </cell>
          <cell r="Y54">
            <v>11085</v>
          </cell>
          <cell r="Z54">
            <v>11315</v>
          </cell>
          <cell r="AA54">
            <v>0.97967300044189121</v>
          </cell>
          <cell r="AB54">
            <v>0.97967300044189121</v>
          </cell>
          <cell r="AC54">
            <v>3.9999999999999994E-2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30</v>
          </cell>
          <cell r="AS54">
            <v>31</v>
          </cell>
          <cell r="AT54">
            <v>10980</v>
          </cell>
          <cell r="AU54">
            <v>11346</v>
          </cell>
          <cell r="AV54">
            <v>0.967741935483871</v>
          </cell>
          <cell r="AW54">
            <v>0.967741935483871</v>
          </cell>
          <cell r="AX54">
            <v>3.9999999999999994E-2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H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E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B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Q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F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U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K54">
            <v>0</v>
          </cell>
          <cell r="KL54">
            <v>0</v>
          </cell>
          <cell r="KM54">
            <v>0</v>
          </cell>
          <cell r="KN54">
            <v>0</v>
          </cell>
          <cell r="KP54">
            <v>0</v>
          </cell>
          <cell r="KQ54">
            <v>0</v>
          </cell>
          <cell r="KR54">
            <v>0</v>
          </cell>
          <cell r="KT54">
            <v>0</v>
          </cell>
          <cell r="KV54">
            <v>0</v>
          </cell>
          <cell r="KW54">
            <v>0</v>
          </cell>
          <cell r="KX54">
            <v>0</v>
          </cell>
          <cell r="KZ54">
            <v>0</v>
          </cell>
          <cell r="LA54">
            <v>0</v>
          </cell>
          <cell r="LB54">
            <v>0</v>
          </cell>
          <cell r="LD54">
            <v>0</v>
          </cell>
          <cell r="LF54">
            <v>0</v>
          </cell>
          <cell r="LG54">
            <v>0</v>
          </cell>
          <cell r="LH54">
            <v>0</v>
          </cell>
          <cell r="LJ54">
            <v>0</v>
          </cell>
          <cell r="LK54">
            <v>0</v>
          </cell>
          <cell r="LL54">
            <v>0</v>
          </cell>
          <cell r="LN54">
            <v>0</v>
          </cell>
          <cell r="LP54">
            <v>0</v>
          </cell>
          <cell r="LQ54">
            <v>0</v>
          </cell>
          <cell r="LR54">
            <v>0</v>
          </cell>
          <cell r="LT54" t="str">
            <v>925-21</v>
          </cell>
        </row>
        <row r="55">
          <cell r="B55">
            <v>35</v>
          </cell>
          <cell r="C55">
            <v>36</v>
          </cell>
          <cell r="D55">
            <v>12775</v>
          </cell>
          <cell r="E55">
            <v>13140</v>
          </cell>
          <cell r="F55">
            <v>0.97222222222222221</v>
          </cell>
          <cell r="G55">
            <v>0.97222222222222221</v>
          </cell>
          <cell r="H55">
            <v>3.9999999999999994E-2</v>
          </cell>
          <cell r="I55">
            <v>1.3288950784761482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35.706849315068496</v>
          </cell>
          <cell r="X55">
            <v>36</v>
          </cell>
          <cell r="Y55">
            <v>13033</v>
          </cell>
          <cell r="Z55">
            <v>13140</v>
          </cell>
          <cell r="AA55">
            <v>0.99185692541856918</v>
          </cell>
          <cell r="AB55">
            <v>0.99185692541856918</v>
          </cell>
          <cell r="AC55">
            <v>3.9999999999999994E-2</v>
          </cell>
          <cell r="AD55">
            <v>1.1851405672163509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35</v>
          </cell>
          <cell r="AS55">
            <v>36</v>
          </cell>
          <cell r="AT55">
            <v>12810</v>
          </cell>
          <cell r="AU55">
            <v>13176</v>
          </cell>
          <cell r="AV55">
            <v>0.97222222222222221</v>
          </cell>
          <cell r="AW55">
            <v>0.97222222222222221</v>
          </cell>
          <cell r="AX55">
            <v>0.05</v>
          </cell>
          <cell r="AY55">
            <v>1.072585208723408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H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E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B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Q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F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U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P55">
            <v>0</v>
          </cell>
          <cell r="KQ55">
            <v>0</v>
          </cell>
          <cell r="KR55">
            <v>0</v>
          </cell>
          <cell r="KT55">
            <v>0</v>
          </cell>
          <cell r="KV55">
            <v>0</v>
          </cell>
          <cell r="KW55">
            <v>0</v>
          </cell>
          <cell r="KX55">
            <v>0</v>
          </cell>
          <cell r="KZ55">
            <v>0</v>
          </cell>
          <cell r="LA55">
            <v>0</v>
          </cell>
          <cell r="LB55">
            <v>0</v>
          </cell>
          <cell r="LD55">
            <v>0</v>
          </cell>
          <cell r="LF55">
            <v>0</v>
          </cell>
          <cell r="LG55">
            <v>0</v>
          </cell>
          <cell r="LH55">
            <v>0</v>
          </cell>
          <cell r="LJ55">
            <v>0</v>
          </cell>
          <cell r="LK55">
            <v>0</v>
          </cell>
          <cell r="LL55">
            <v>0</v>
          </cell>
          <cell r="LN55">
            <v>0</v>
          </cell>
          <cell r="LP55">
            <v>0</v>
          </cell>
          <cell r="LQ55">
            <v>0</v>
          </cell>
          <cell r="LR55">
            <v>0</v>
          </cell>
          <cell r="LT55" t="str">
            <v>925-31</v>
          </cell>
        </row>
        <row r="56">
          <cell r="B56">
            <v>38</v>
          </cell>
          <cell r="C56">
            <v>39</v>
          </cell>
          <cell r="D56">
            <v>13870</v>
          </cell>
          <cell r="E56">
            <v>14235</v>
          </cell>
          <cell r="F56">
            <v>0.97435897435897445</v>
          </cell>
          <cell r="G56">
            <v>0.97435897435897445</v>
          </cell>
          <cell r="H56">
            <v>3.9999999999999994E-2</v>
          </cell>
          <cell r="I56">
            <v>0.94481658730529305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37.919178082191777</v>
          </cell>
          <cell r="X56">
            <v>39</v>
          </cell>
          <cell r="Y56">
            <v>13840.5</v>
          </cell>
          <cell r="Z56">
            <v>14235</v>
          </cell>
          <cell r="AA56">
            <v>0.97228661749209699</v>
          </cell>
          <cell r="AB56">
            <v>0.97228661749209699</v>
          </cell>
          <cell r="AC56">
            <v>3.9999999999999994E-2</v>
          </cell>
          <cell r="AD56">
            <v>0.89912621836707329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38</v>
          </cell>
          <cell r="AS56">
            <v>39</v>
          </cell>
          <cell r="AT56">
            <v>13908</v>
          </cell>
          <cell r="AU56">
            <v>14274</v>
          </cell>
          <cell r="AV56">
            <v>0.97435897435897445</v>
          </cell>
          <cell r="AW56">
            <v>0.97435897435897445</v>
          </cell>
          <cell r="AX56">
            <v>3.9999999999999994E-2</v>
          </cell>
          <cell r="AY56">
            <v>1.0099325814715066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H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E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B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Q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F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U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P56">
            <v>0</v>
          </cell>
          <cell r="KQ56">
            <v>0</v>
          </cell>
          <cell r="KR56">
            <v>0</v>
          </cell>
          <cell r="KT56">
            <v>0</v>
          </cell>
          <cell r="KV56">
            <v>0</v>
          </cell>
          <cell r="KW56">
            <v>0</v>
          </cell>
          <cell r="KX56">
            <v>0</v>
          </cell>
          <cell r="KZ56">
            <v>0</v>
          </cell>
          <cell r="LA56">
            <v>0</v>
          </cell>
          <cell r="LB56">
            <v>0</v>
          </cell>
          <cell r="LD56">
            <v>0</v>
          </cell>
          <cell r="LF56">
            <v>0</v>
          </cell>
          <cell r="LG56">
            <v>0</v>
          </cell>
          <cell r="LH56">
            <v>0</v>
          </cell>
          <cell r="LJ56">
            <v>0</v>
          </cell>
          <cell r="LK56">
            <v>0</v>
          </cell>
          <cell r="LL56">
            <v>0</v>
          </cell>
          <cell r="LN56">
            <v>0</v>
          </cell>
          <cell r="LP56">
            <v>0</v>
          </cell>
          <cell r="LQ56">
            <v>0</v>
          </cell>
          <cell r="LR56">
            <v>0</v>
          </cell>
          <cell r="LT56" t="str">
            <v>925-51</v>
          </cell>
        </row>
        <row r="57">
          <cell r="B57">
            <v>103</v>
          </cell>
          <cell r="C57">
            <v>106</v>
          </cell>
          <cell r="D57">
            <v>37595</v>
          </cell>
          <cell r="E57">
            <v>38690</v>
          </cell>
          <cell r="F57">
            <v>0.97169811320754718</v>
          </cell>
          <cell r="G57">
            <v>0.97169811320754718</v>
          </cell>
          <cell r="H57">
            <v>3.9999999999999994E-2</v>
          </cell>
          <cell r="I57">
            <v>0.84281156608517804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103.99589041095891</v>
          </cell>
          <cell r="X57">
            <v>106</v>
          </cell>
          <cell r="Y57">
            <v>37958.5</v>
          </cell>
          <cell r="Z57">
            <v>38690</v>
          </cell>
          <cell r="AA57">
            <v>0.98109330576376319</v>
          </cell>
          <cell r="AB57">
            <v>0.98109330576376319</v>
          </cell>
          <cell r="AC57">
            <v>3.9999999999999994E-2</v>
          </cell>
          <cell r="AD57">
            <v>0.73811793400367565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103</v>
          </cell>
          <cell r="AS57">
            <v>106</v>
          </cell>
          <cell r="AT57">
            <v>37698</v>
          </cell>
          <cell r="AU57">
            <v>38796</v>
          </cell>
          <cell r="AV57">
            <v>0.97169811320754718</v>
          </cell>
          <cell r="AW57">
            <v>0.97169811320754718</v>
          </cell>
          <cell r="AX57">
            <v>4.3333333333333335E-2</v>
          </cell>
          <cell r="AY57">
            <v>0.83065700010863364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H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E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B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Q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F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U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K57">
            <v>0</v>
          </cell>
          <cell r="KL57">
            <v>0</v>
          </cell>
          <cell r="KM57">
            <v>0</v>
          </cell>
          <cell r="KN57">
            <v>0</v>
          </cell>
          <cell r="KP57">
            <v>0</v>
          </cell>
          <cell r="KQ57">
            <v>0</v>
          </cell>
          <cell r="KR57">
            <v>0</v>
          </cell>
          <cell r="KT57">
            <v>0</v>
          </cell>
          <cell r="KV57">
            <v>0</v>
          </cell>
          <cell r="KW57">
            <v>0</v>
          </cell>
          <cell r="KX57">
            <v>0</v>
          </cell>
          <cell r="KZ57">
            <v>0</v>
          </cell>
          <cell r="LA57">
            <v>0</v>
          </cell>
          <cell r="LB57">
            <v>0</v>
          </cell>
          <cell r="LD57">
            <v>0</v>
          </cell>
          <cell r="LF57">
            <v>0</v>
          </cell>
          <cell r="LG57">
            <v>0</v>
          </cell>
          <cell r="LH57">
            <v>0</v>
          </cell>
          <cell r="LJ57">
            <v>0</v>
          </cell>
          <cell r="LK57">
            <v>0</v>
          </cell>
          <cell r="LL57">
            <v>0</v>
          </cell>
          <cell r="LN57">
            <v>0</v>
          </cell>
          <cell r="LP57">
            <v>0</v>
          </cell>
          <cell r="LQ57">
            <v>0</v>
          </cell>
          <cell r="LR57">
            <v>0</v>
          </cell>
          <cell r="LT57" t="str">
            <v>925-Entity</v>
          </cell>
        </row>
        <row r="58">
          <cell r="B58">
            <v>2713.3095890410964</v>
          </cell>
          <cell r="C58">
            <v>2989</v>
          </cell>
          <cell r="D58">
            <v>990358</v>
          </cell>
          <cell r="E58">
            <v>1090985</v>
          </cell>
          <cell r="F58">
            <v>0.90776500135198923</v>
          </cell>
          <cell r="G58">
            <v>0.90776500135198923</v>
          </cell>
          <cell r="H58">
            <v>5.7976190476190487E-2</v>
          </cell>
          <cell r="I58">
            <v>0.9926275830643756</v>
          </cell>
          <cell r="J58">
            <v>68.094002763333336</v>
          </cell>
          <cell r="K58">
            <v>44.57094965000001</v>
          </cell>
          <cell r="L58">
            <v>207.69137448999996</v>
          </cell>
          <cell r="M58">
            <v>1.6161626600000003</v>
          </cell>
          <cell r="N58">
            <v>191.34307769</v>
          </cell>
          <cell r="O58">
            <v>4.1706281000000009</v>
          </cell>
          <cell r="P58">
            <v>4330.5000000000009</v>
          </cell>
          <cell r="Q58">
            <v>3056.5400000000004</v>
          </cell>
          <cell r="R58">
            <v>1285.27</v>
          </cell>
          <cell r="S58">
            <v>1187.3000000000002</v>
          </cell>
          <cell r="T58">
            <v>4146.130000000001</v>
          </cell>
          <cell r="U58">
            <v>489.06000000000012</v>
          </cell>
          <cell r="W58">
            <v>2569.9602672458718</v>
          </cell>
          <cell r="X58">
            <v>2991.8153435196018</v>
          </cell>
          <cell r="Y58">
            <v>938038.12</v>
          </cell>
          <cell r="Z58">
            <v>1092012</v>
          </cell>
          <cell r="AA58">
            <v>0.85899982784071971</v>
          </cell>
          <cell r="AB58">
            <v>0.85980844832880376</v>
          </cell>
          <cell r="AC58">
            <v>5.7976190476190487E-2</v>
          </cell>
          <cell r="AD58">
            <v>0.99842950246526796</v>
          </cell>
          <cell r="AE58">
            <v>47.801798478327889</v>
          </cell>
          <cell r="AF58">
            <v>25.618740782484597</v>
          </cell>
          <cell r="AG58">
            <v>199.02213773351252</v>
          </cell>
          <cell r="AH58">
            <v>3.7818255908259868</v>
          </cell>
          <cell r="AI58">
            <v>181.26431684989765</v>
          </cell>
          <cell r="AJ58">
            <v>11.753936315322573</v>
          </cell>
          <cell r="AK58">
            <v>4706.9171268420359</v>
          </cell>
          <cell r="AL58">
            <v>3698.3632413320961</v>
          </cell>
          <cell r="AM58">
            <v>1397.2565141439325</v>
          </cell>
          <cell r="AN58">
            <v>1303.6473089209526</v>
          </cell>
          <cell r="AO58">
            <v>3922.048912491899</v>
          </cell>
          <cell r="AP58">
            <v>564.7464874139182</v>
          </cell>
          <cell r="AR58">
            <v>2215.4718579234973</v>
          </cell>
          <cell r="AS58">
            <v>2988</v>
          </cell>
          <cell r="AT58">
            <v>810862.7</v>
          </cell>
          <cell r="AU58">
            <v>1093608</v>
          </cell>
          <cell r="AV58">
            <v>0.74145644508818509</v>
          </cell>
          <cell r="AW58">
            <v>0.74145644508818509</v>
          </cell>
          <cell r="AX58">
            <v>3.6011904761904759E-2</v>
          </cell>
          <cell r="AY58">
            <v>0.96189107250136563</v>
          </cell>
          <cell r="AZ58">
            <v>38.972565833333334</v>
          </cell>
          <cell r="BA58">
            <v>11.584771249999998</v>
          </cell>
          <cell r="BB58">
            <v>153.29725791666667</v>
          </cell>
          <cell r="BC58">
            <v>1.841105</v>
          </cell>
          <cell r="BD58">
            <v>146.20118499999998</v>
          </cell>
          <cell r="BE58">
            <v>2.7536495833333334</v>
          </cell>
          <cell r="BF58">
            <v>5010.3899999999985</v>
          </cell>
          <cell r="BG58">
            <v>3731.9299999999989</v>
          </cell>
          <cell r="BH58">
            <v>1356.2299999999998</v>
          </cell>
          <cell r="BI58">
            <v>664.27355776782508</v>
          </cell>
          <cell r="BJ58">
            <v>4255.57</v>
          </cell>
          <cell r="BK58">
            <v>509.77999999999975</v>
          </cell>
          <cell r="BM58">
            <v>0</v>
          </cell>
          <cell r="BN58">
            <v>1</v>
          </cell>
          <cell r="BO58">
            <v>0</v>
          </cell>
          <cell r="BP58">
            <v>0</v>
          </cell>
          <cell r="BQ58">
            <v>9</v>
          </cell>
          <cell r="BR58">
            <v>16</v>
          </cell>
          <cell r="BS58">
            <v>0</v>
          </cell>
          <cell r="BT58">
            <v>1</v>
          </cell>
          <cell r="BU58">
            <v>19</v>
          </cell>
          <cell r="BV58">
            <v>1</v>
          </cell>
          <cell r="BW58">
            <v>55.000000000000021</v>
          </cell>
          <cell r="BX58">
            <v>36</v>
          </cell>
          <cell r="BY58">
            <v>2</v>
          </cell>
          <cell r="BZ58">
            <v>1</v>
          </cell>
          <cell r="CA58">
            <v>13.000000000000002</v>
          </cell>
          <cell r="CB58">
            <v>32.000000000000007</v>
          </cell>
          <cell r="CC58">
            <v>19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6.9999999999999991</v>
          </cell>
          <cell r="CI58">
            <v>9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1</v>
          </cell>
          <cell r="CO58">
            <v>0</v>
          </cell>
          <cell r="CP58">
            <v>20</v>
          </cell>
          <cell r="CQ58">
            <v>0</v>
          </cell>
          <cell r="CR58">
            <v>0</v>
          </cell>
          <cell r="CS58">
            <v>0</v>
          </cell>
          <cell r="CT58">
            <v>8</v>
          </cell>
          <cell r="CU58">
            <v>9</v>
          </cell>
          <cell r="CV58">
            <v>33.999999999999993</v>
          </cell>
          <cell r="CW58">
            <v>38</v>
          </cell>
          <cell r="CX58">
            <v>1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13.999999999999998</v>
          </cell>
          <cell r="DH58">
            <v>346</v>
          </cell>
          <cell r="DJ58">
            <v>0</v>
          </cell>
          <cell r="DK58">
            <v>1</v>
          </cell>
          <cell r="DL58">
            <v>0</v>
          </cell>
          <cell r="DM58">
            <v>0</v>
          </cell>
          <cell r="DN58">
            <v>9</v>
          </cell>
          <cell r="DO58">
            <v>16</v>
          </cell>
          <cell r="DP58">
            <v>0</v>
          </cell>
          <cell r="DQ58">
            <v>1</v>
          </cell>
          <cell r="DR58">
            <v>19</v>
          </cell>
          <cell r="DS58">
            <v>1</v>
          </cell>
          <cell r="DT58">
            <v>55.000000000000021</v>
          </cell>
          <cell r="DU58">
            <v>36</v>
          </cell>
          <cell r="DV58">
            <v>2</v>
          </cell>
          <cell r="DW58">
            <v>1</v>
          </cell>
          <cell r="DX58">
            <v>13.000000000000002</v>
          </cell>
          <cell r="DY58">
            <v>32.000000000000007</v>
          </cell>
          <cell r="DZ58">
            <v>19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6.9999999999999991</v>
          </cell>
          <cell r="EF58">
            <v>9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1</v>
          </cell>
          <cell r="EL58">
            <v>0</v>
          </cell>
          <cell r="EM58">
            <v>20</v>
          </cell>
          <cell r="EN58">
            <v>0</v>
          </cell>
          <cell r="EO58">
            <v>0</v>
          </cell>
          <cell r="EP58">
            <v>0</v>
          </cell>
          <cell r="EQ58">
            <v>8</v>
          </cell>
          <cell r="ER58">
            <v>9</v>
          </cell>
          <cell r="ES58">
            <v>33.999999999999993</v>
          </cell>
          <cell r="ET58">
            <v>38</v>
          </cell>
          <cell r="EU58">
            <v>1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13.999999999999998</v>
          </cell>
          <cell r="FE58">
            <v>346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12</v>
          </cell>
          <cell r="FL58">
            <v>15</v>
          </cell>
          <cell r="FM58">
            <v>0</v>
          </cell>
          <cell r="FN58">
            <v>1</v>
          </cell>
          <cell r="FO58">
            <v>19</v>
          </cell>
          <cell r="FP58">
            <v>1</v>
          </cell>
          <cell r="FQ58">
            <v>52.999999999999993</v>
          </cell>
          <cell r="FR58">
            <v>37</v>
          </cell>
          <cell r="FS58">
            <v>1</v>
          </cell>
          <cell r="FT58">
            <v>0</v>
          </cell>
          <cell r="FU58">
            <v>10</v>
          </cell>
          <cell r="FV58">
            <v>32</v>
          </cell>
          <cell r="FW58">
            <v>24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9</v>
          </cell>
          <cell r="GC58">
            <v>10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23</v>
          </cell>
          <cell r="GK58">
            <v>0</v>
          </cell>
          <cell r="GL58">
            <v>0</v>
          </cell>
          <cell r="GM58">
            <v>0</v>
          </cell>
          <cell r="GN58">
            <v>6.9999999999999991</v>
          </cell>
          <cell r="GO58">
            <v>9</v>
          </cell>
          <cell r="GP58">
            <v>36</v>
          </cell>
          <cell r="GQ58">
            <v>46.999999999999993</v>
          </cell>
          <cell r="GR58">
            <v>0</v>
          </cell>
          <cell r="GS58">
            <v>0</v>
          </cell>
          <cell r="GT58">
            <v>0</v>
          </cell>
          <cell r="GU58">
            <v>1</v>
          </cell>
          <cell r="GV58">
            <v>2</v>
          </cell>
          <cell r="GW58">
            <v>2</v>
          </cell>
          <cell r="GX58">
            <v>1</v>
          </cell>
          <cell r="GY58">
            <v>2</v>
          </cell>
          <cell r="GZ58">
            <v>9</v>
          </cell>
          <cell r="HB58">
            <v>363</v>
          </cell>
          <cell r="HD58">
            <v>2</v>
          </cell>
          <cell r="HE58">
            <v>4</v>
          </cell>
          <cell r="HF58">
            <v>3</v>
          </cell>
          <cell r="HG58">
            <v>2</v>
          </cell>
          <cell r="HH58">
            <v>1</v>
          </cell>
          <cell r="HI58">
            <v>2</v>
          </cell>
          <cell r="HJ58">
            <v>2</v>
          </cell>
          <cell r="HK58">
            <v>1</v>
          </cell>
          <cell r="HL58">
            <v>3</v>
          </cell>
          <cell r="HM58">
            <v>1</v>
          </cell>
          <cell r="HN58">
            <v>13.999999999999998</v>
          </cell>
          <cell r="HO58">
            <v>3</v>
          </cell>
          <cell r="HQ58">
            <v>38</v>
          </cell>
          <cell r="HS58">
            <v>2</v>
          </cell>
          <cell r="HT58">
            <v>4</v>
          </cell>
          <cell r="HU58">
            <v>3</v>
          </cell>
          <cell r="HV58">
            <v>2</v>
          </cell>
          <cell r="HW58">
            <v>1</v>
          </cell>
          <cell r="HX58">
            <v>2</v>
          </cell>
          <cell r="HY58">
            <v>2</v>
          </cell>
          <cell r="HZ58">
            <v>1</v>
          </cell>
          <cell r="IA58">
            <v>3</v>
          </cell>
          <cell r="IB58">
            <v>1</v>
          </cell>
          <cell r="IC58">
            <v>13.999999999999998</v>
          </cell>
          <cell r="ID58">
            <v>3</v>
          </cell>
          <cell r="IF58">
            <v>38</v>
          </cell>
          <cell r="IH58">
            <v>2</v>
          </cell>
          <cell r="II58">
            <v>4</v>
          </cell>
          <cell r="IJ58">
            <v>3</v>
          </cell>
          <cell r="IK58">
            <v>2</v>
          </cell>
          <cell r="IL58">
            <v>1</v>
          </cell>
          <cell r="IM58">
            <v>2</v>
          </cell>
          <cell r="IN58">
            <v>2</v>
          </cell>
          <cell r="IO58">
            <v>1</v>
          </cell>
          <cell r="IP58">
            <v>3</v>
          </cell>
          <cell r="IQ58">
            <v>1</v>
          </cell>
          <cell r="IR58">
            <v>13.999999999999998</v>
          </cell>
          <cell r="IS58">
            <v>3</v>
          </cell>
          <cell r="IU58">
            <v>38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P58">
            <v>10.999999999999998</v>
          </cell>
          <cell r="KQ58">
            <v>39.000000000000007</v>
          </cell>
          <cell r="KR58">
            <v>6</v>
          </cell>
          <cell r="KT58">
            <v>19</v>
          </cell>
          <cell r="KV58">
            <v>10.999999999999998</v>
          </cell>
          <cell r="KW58">
            <v>20.000000000000007</v>
          </cell>
          <cell r="KX58">
            <v>6</v>
          </cell>
          <cell r="KZ58">
            <v>10.999999999999998</v>
          </cell>
          <cell r="LA58">
            <v>39.000000000000007</v>
          </cell>
          <cell r="LB58">
            <v>6</v>
          </cell>
          <cell r="LD58">
            <v>19</v>
          </cell>
          <cell r="LF58">
            <v>10.999999999999998</v>
          </cell>
          <cell r="LG58">
            <v>20.000000000000007</v>
          </cell>
          <cell r="LH58">
            <v>6</v>
          </cell>
          <cell r="LJ58">
            <v>11</v>
          </cell>
          <cell r="LK58">
            <v>39.000000000000007</v>
          </cell>
          <cell r="LL58">
            <v>6</v>
          </cell>
          <cell r="LN58">
            <v>19</v>
          </cell>
          <cell r="LP58">
            <v>11</v>
          </cell>
          <cell r="LQ58">
            <v>20.000000000000007</v>
          </cell>
          <cell r="LR58">
            <v>6</v>
          </cell>
          <cell r="LT58" t="str">
            <v>Asbury-Asbury</v>
          </cell>
        </row>
        <row r="59">
          <cell r="B59">
            <v>2713.3095890410964</v>
          </cell>
          <cell r="C59">
            <v>2989</v>
          </cell>
          <cell r="D59">
            <v>990358</v>
          </cell>
          <cell r="E59">
            <v>1090985</v>
          </cell>
          <cell r="F59">
            <v>0.90776500135198923</v>
          </cell>
          <cell r="G59">
            <v>0.90776500135198923</v>
          </cell>
          <cell r="H59">
            <v>5.7976190476190487E-2</v>
          </cell>
          <cell r="I59">
            <v>0.99112872043527001</v>
          </cell>
          <cell r="J59">
            <v>68.094002763333336</v>
          </cell>
          <cell r="K59">
            <v>44.57094965000001</v>
          </cell>
          <cell r="L59">
            <v>207.69137448999996</v>
          </cell>
          <cell r="M59">
            <v>1.6161626600000003</v>
          </cell>
          <cell r="N59">
            <v>191.34307769</v>
          </cell>
          <cell r="O59">
            <v>4.1706281000000009</v>
          </cell>
          <cell r="P59">
            <v>4330.5000000000009</v>
          </cell>
          <cell r="Q59">
            <v>3056.5400000000004</v>
          </cell>
          <cell r="R59">
            <v>1285.27</v>
          </cell>
          <cell r="S59">
            <v>1187.3000000000002</v>
          </cell>
          <cell r="T59">
            <v>4146.130000000001</v>
          </cell>
          <cell r="U59">
            <v>489.06000000000012</v>
          </cell>
          <cell r="W59">
            <v>2569.9602672458718</v>
          </cell>
          <cell r="X59">
            <v>2991.8153435196018</v>
          </cell>
          <cell r="Y59">
            <v>938038.12</v>
          </cell>
          <cell r="Z59">
            <v>1092012</v>
          </cell>
          <cell r="AA59">
            <v>0.85899982784071971</v>
          </cell>
          <cell r="AB59">
            <v>0.85980844832880376</v>
          </cell>
          <cell r="AC59">
            <v>5.7976190476190487E-2</v>
          </cell>
          <cell r="AD59">
            <v>0.99849876975570118</v>
          </cell>
          <cell r="AE59">
            <v>47.801798478327889</v>
          </cell>
          <cell r="AF59">
            <v>25.618740782484597</v>
          </cell>
          <cell r="AG59">
            <v>199.02213773351252</v>
          </cell>
          <cell r="AH59">
            <v>3.7818255908259868</v>
          </cell>
          <cell r="AI59">
            <v>181.26431684989765</v>
          </cell>
          <cell r="AJ59">
            <v>11.753936315322573</v>
          </cell>
          <cell r="AK59">
            <v>4706.9171268420359</v>
          </cell>
          <cell r="AL59">
            <v>3698.3632413320961</v>
          </cell>
          <cell r="AM59">
            <v>1397.2565141439325</v>
          </cell>
          <cell r="AN59">
            <v>1303.6473089209526</v>
          </cell>
          <cell r="AO59">
            <v>3922.048912491899</v>
          </cell>
          <cell r="AP59">
            <v>564.7464874139182</v>
          </cell>
          <cell r="AR59">
            <v>2215.4718579234973</v>
          </cell>
          <cell r="AS59">
            <v>2988</v>
          </cell>
          <cell r="AT59">
            <v>810862.7</v>
          </cell>
          <cell r="AU59">
            <v>1093608</v>
          </cell>
          <cell r="AV59">
            <v>0.74145644508818509</v>
          </cell>
          <cell r="AW59">
            <v>0.74145644508818509</v>
          </cell>
          <cell r="AX59">
            <v>3.6011904761904759E-2</v>
          </cell>
          <cell r="AY59">
            <v>0.95288210516528038</v>
          </cell>
          <cell r="AZ59">
            <v>38.972565833333334</v>
          </cell>
          <cell r="BA59">
            <v>11.584771249999998</v>
          </cell>
          <cell r="BB59">
            <v>153.29725791666667</v>
          </cell>
          <cell r="BC59">
            <v>1.841105</v>
          </cell>
          <cell r="BD59">
            <v>146.20118499999998</v>
          </cell>
          <cell r="BE59">
            <v>2.7536495833333334</v>
          </cell>
          <cell r="BF59">
            <v>5010.3899999999985</v>
          </cell>
          <cell r="BG59">
            <v>3731.9299999999989</v>
          </cell>
          <cell r="BH59">
            <v>1356.2299999999998</v>
          </cell>
          <cell r="BI59">
            <v>664.27355776782508</v>
          </cell>
          <cell r="BJ59">
            <v>4255.57</v>
          </cell>
          <cell r="BK59">
            <v>509.77999999999975</v>
          </cell>
          <cell r="BM59">
            <v>0</v>
          </cell>
          <cell r="BN59">
            <v>1</v>
          </cell>
          <cell r="BO59">
            <v>0</v>
          </cell>
          <cell r="BP59">
            <v>0</v>
          </cell>
          <cell r="BQ59">
            <v>9</v>
          </cell>
          <cell r="BR59">
            <v>16</v>
          </cell>
          <cell r="BS59">
            <v>0</v>
          </cell>
          <cell r="BT59">
            <v>1</v>
          </cell>
          <cell r="BU59">
            <v>19</v>
          </cell>
          <cell r="BV59">
            <v>1</v>
          </cell>
          <cell r="BW59">
            <v>55.000000000000021</v>
          </cell>
          <cell r="BX59">
            <v>36</v>
          </cell>
          <cell r="BY59">
            <v>2</v>
          </cell>
          <cell r="BZ59">
            <v>1</v>
          </cell>
          <cell r="CA59">
            <v>13.000000000000002</v>
          </cell>
          <cell r="CB59">
            <v>32.000000000000007</v>
          </cell>
          <cell r="CC59">
            <v>19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6.9999999999999991</v>
          </cell>
          <cell r="CI59">
            <v>9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1</v>
          </cell>
          <cell r="CO59">
            <v>0</v>
          </cell>
          <cell r="CP59">
            <v>20</v>
          </cell>
          <cell r="CQ59">
            <v>0</v>
          </cell>
          <cell r="CR59">
            <v>0</v>
          </cell>
          <cell r="CS59">
            <v>0</v>
          </cell>
          <cell r="CT59">
            <v>8</v>
          </cell>
          <cell r="CU59">
            <v>9</v>
          </cell>
          <cell r="CV59">
            <v>33.999999999999993</v>
          </cell>
          <cell r="CW59">
            <v>38</v>
          </cell>
          <cell r="CX59">
            <v>1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13.999999999999998</v>
          </cell>
          <cell r="DH59">
            <v>346</v>
          </cell>
          <cell r="DJ59">
            <v>0</v>
          </cell>
          <cell r="DK59">
            <v>1</v>
          </cell>
          <cell r="DL59">
            <v>0</v>
          </cell>
          <cell r="DM59">
            <v>0</v>
          </cell>
          <cell r="DN59">
            <v>9</v>
          </cell>
          <cell r="DO59">
            <v>16</v>
          </cell>
          <cell r="DP59">
            <v>0</v>
          </cell>
          <cell r="DQ59">
            <v>1</v>
          </cell>
          <cell r="DR59">
            <v>19</v>
          </cell>
          <cell r="DS59">
            <v>1</v>
          </cell>
          <cell r="DT59">
            <v>55.000000000000021</v>
          </cell>
          <cell r="DU59">
            <v>36</v>
          </cell>
          <cell r="DV59">
            <v>2</v>
          </cell>
          <cell r="DW59">
            <v>1</v>
          </cell>
          <cell r="DX59">
            <v>13.000000000000002</v>
          </cell>
          <cell r="DY59">
            <v>32.000000000000007</v>
          </cell>
          <cell r="DZ59">
            <v>19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6.9999999999999991</v>
          </cell>
          <cell r="EF59">
            <v>9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1</v>
          </cell>
          <cell r="EL59">
            <v>0</v>
          </cell>
          <cell r="EM59">
            <v>20</v>
          </cell>
          <cell r="EN59">
            <v>0</v>
          </cell>
          <cell r="EO59">
            <v>0</v>
          </cell>
          <cell r="EP59">
            <v>0</v>
          </cell>
          <cell r="EQ59">
            <v>8</v>
          </cell>
          <cell r="ER59">
            <v>9</v>
          </cell>
          <cell r="ES59">
            <v>33.999999999999993</v>
          </cell>
          <cell r="ET59">
            <v>38</v>
          </cell>
          <cell r="EU59">
            <v>1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13.999999999999998</v>
          </cell>
          <cell r="FE59">
            <v>346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12</v>
          </cell>
          <cell r="FL59">
            <v>15</v>
          </cell>
          <cell r="FM59">
            <v>0</v>
          </cell>
          <cell r="FN59">
            <v>1</v>
          </cell>
          <cell r="FO59">
            <v>19</v>
          </cell>
          <cell r="FP59">
            <v>1</v>
          </cell>
          <cell r="FQ59">
            <v>52.999999999999993</v>
          </cell>
          <cell r="FR59">
            <v>37</v>
          </cell>
          <cell r="FS59">
            <v>1</v>
          </cell>
          <cell r="FT59">
            <v>0</v>
          </cell>
          <cell r="FU59">
            <v>10</v>
          </cell>
          <cell r="FV59">
            <v>32</v>
          </cell>
          <cell r="FW59">
            <v>24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9</v>
          </cell>
          <cell r="GC59">
            <v>10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23</v>
          </cell>
          <cell r="GK59">
            <v>0</v>
          </cell>
          <cell r="GL59">
            <v>0</v>
          </cell>
          <cell r="GM59">
            <v>0</v>
          </cell>
          <cell r="GN59">
            <v>6.9999999999999991</v>
          </cell>
          <cell r="GO59">
            <v>9</v>
          </cell>
          <cell r="GP59">
            <v>36</v>
          </cell>
          <cell r="GQ59">
            <v>46.999999999999993</v>
          </cell>
          <cell r="GR59">
            <v>0</v>
          </cell>
          <cell r="GS59">
            <v>0</v>
          </cell>
          <cell r="GT59">
            <v>0</v>
          </cell>
          <cell r="GU59">
            <v>1</v>
          </cell>
          <cell r="GV59">
            <v>2</v>
          </cell>
          <cell r="GW59">
            <v>2</v>
          </cell>
          <cell r="GX59">
            <v>1</v>
          </cell>
          <cell r="GY59">
            <v>2</v>
          </cell>
          <cell r="GZ59">
            <v>9</v>
          </cell>
          <cell r="HB59">
            <v>363</v>
          </cell>
          <cell r="HD59">
            <v>2</v>
          </cell>
          <cell r="HE59">
            <v>4</v>
          </cell>
          <cell r="HF59">
            <v>3</v>
          </cell>
          <cell r="HG59">
            <v>2</v>
          </cell>
          <cell r="HH59">
            <v>1</v>
          </cell>
          <cell r="HI59">
            <v>2</v>
          </cell>
          <cell r="HJ59">
            <v>2</v>
          </cell>
          <cell r="HK59">
            <v>1</v>
          </cell>
          <cell r="HL59">
            <v>3</v>
          </cell>
          <cell r="HM59">
            <v>1</v>
          </cell>
          <cell r="HN59">
            <v>13.999999999999998</v>
          </cell>
          <cell r="HO59">
            <v>3</v>
          </cell>
          <cell r="HQ59">
            <v>38</v>
          </cell>
          <cell r="HS59">
            <v>2</v>
          </cell>
          <cell r="HT59">
            <v>4</v>
          </cell>
          <cell r="HU59">
            <v>3</v>
          </cell>
          <cell r="HV59">
            <v>2</v>
          </cell>
          <cell r="HW59">
            <v>1</v>
          </cell>
          <cell r="HX59">
            <v>2</v>
          </cell>
          <cell r="HY59">
            <v>2</v>
          </cell>
          <cell r="HZ59">
            <v>1</v>
          </cell>
          <cell r="IA59">
            <v>3</v>
          </cell>
          <cell r="IB59">
            <v>1</v>
          </cell>
          <cell r="IC59">
            <v>13.999999999999998</v>
          </cell>
          <cell r="ID59">
            <v>3</v>
          </cell>
          <cell r="IF59">
            <v>38</v>
          </cell>
          <cell r="IH59">
            <v>2</v>
          </cell>
          <cell r="II59">
            <v>4</v>
          </cell>
          <cell r="IJ59">
            <v>3</v>
          </cell>
          <cell r="IK59">
            <v>2</v>
          </cell>
          <cell r="IL59">
            <v>1</v>
          </cell>
          <cell r="IM59">
            <v>2</v>
          </cell>
          <cell r="IN59">
            <v>2</v>
          </cell>
          <cell r="IO59">
            <v>1</v>
          </cell>
          <cell r="IP59">
            <v>3</v>
          </cell>
          <cell r="IQ59">
            <v>1</v>
          </cell>
          <cell r="IR59">
            <v>13.999999999999998</v>
          </cell>
          <cell r="IS59">
            <v>3</v>
          </cell>
          <cell r="IU59">
            <v>38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P59">
            <v>10.999999999999998</v>
          </cell>
          <cell r="KQ59">
            <v>39.000000000000007</v>
          </cell>
          <cell r="KR59">
            <v>6</v>
          </cell>
          <cell r="KT59">
            <v>19</v>
          </cell>
          <cell r="KV59">
            <v>10.999999999999998</v>
          </cell>
          <cell r="KW59">
            <v>20.000000000000007</v>
          </cell>
          <cell r="KX59">
            <v>6</v>
          </cell>
          <cell r="KZ59">
            <v>10.999999999999998</v>
          </cell>
          <cell r="LA59">
            <v>39.000000000000007</v>
          </cell>
          <cell r="LB59">
            <v>6</v>
          </cell>
          <cell r="LD59">
            <v>19</v>
          </cell>
          <cell r="LF59">
            <v>10.999999999999998</v>
          </cell>
          <cell r="LG59">
            <v>20.000000000000007</v>
          </cell>
          <cell r="LH59">
            <v>6</v>
          </cell>
          <cell r="LJ59">
            <v>11</v>
          </cell>
          <cell r="LK59">
            <v>39.000000000000007</v>
          </cell>
          <cell r="LL59">
            <v>6</v>
          </cell>
          <cell r="LN59">
            <v>19</v>
          </cell>
          <cell r="LP59">
            <v>11</v>
          </cell>
          <cell r="LQ59">
            <v>20.000000000000007</v>
          </cell>
          <cell r="LR59">
            <v>6</v>
          </cell>
          <cell r="LT59" t="str">
            <v>Asbury (Consolidated)-Asbury (Consolidated)</v>
          </cell>
        </row>
        <row r="60">
          <cell r="B60">
            <v>48</v>
          </cell>
          <cell r="C60">
            <v>52</v>
          </cell>
          <cell r="D60">
            <v>17520</v>
          </cell>
          <cell r="E60">
            <v>18980</v>
          </cell>
          <cell r="F60">
            <v>0.92307692307692324</v>
          </cell>
          <cell r="G60">
            <v>0.92307692307692324</v>
          </cell>
          <cell r="H60">
            <v>7.9999999999999988E-2</v>
          </cell>
          <cell r="I60">
            <v>0.63737150903302131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W60">
            <v>50.42739726027397</v>
          </cell>
          <cell r="X60">
            <v>52</v>
          </cell>
          <cell r="Y60">
            <v>18406</v>
          </cell>
          <cell r="Z60">
            <v>18980</v>
          </cell>
          <cell r="AA60">
            <v>0.9697576396206532</v>
          </cell>
          <cell r="AB60">
            <v>0.9697576396206532</v>
          </cell>
          <cell r="AC60">
            <v>7.9999999999999988E-2</v>
          </cell>
          <cell r="AD60">
            <v>0.40267899887416686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50</v>
          </cell>
          <cell r="AS60">
            <v>52</v>
          </cell>
          <cell r="AT60">
            <v>18300</v>
          </cell>
          <cell r="AU60">
            <v>19032</v>
          </cell>
          <cell r="AV60">
            <v>0.96153846153846156</v>
          </cell>
          <cell r="AW60">
            <v>0.96153846153846156</v>
          </cell>
          <cell r="AX60">
            <v>0.05</v>
          </cell>
          <cell r="AY60">
            <v>0.1231965526598774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H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E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1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B60">
            <v>1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Q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F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U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P60">
            <v>0</v>
          </cell>
          <cell r="KQ60">
            <v>0</v>
          </cell>
          <cell r="KR60">
            <v>0</v>
          </cell>
          <cell r="KT60">
            <v>0</v>
          </cell>
          <cell r="KV60">
            <v>0</v>
          </cell>
          <cell r="KW60">
            <v>0</v>
          </cell>
          <cell r="KX60">
            <v>0</v>
          </cell>
          <cell r="KZ60">
            <v>0</v>
          </cell>
          <cell r="LA60">
            <v>0</v>
          </cell>
          <cell r="LB60">
            <v>0</v>
          </cell>
          <cell r="LD60">
            <v>0</v>
          </cell>
          <cell r="LF60">
            <v>0</v>
          </cell>
          <cell r="LG60">
            <v>0</v>
          </cell>
          <cell r="LH60">
            <v>0</v>
          </cell>
          <cell r="LJ60">
            <v>0</v>
          </cell>
          <cell r="LK60">
            <v>0</v>
          </cell>
          <cell r="LL60">
            <v>0</v>
          </cell>
          <cell r="LN60">
            <v>0</v>
          </cell>
          <cell r="LP60">
            <v>0</v>
          </cell>
          <cell r="LQ60">
            <v>0</v>
          </cell>
          <cell r="LR60">
            <v>0</v>
          </cell>
          <cell r="LT60" t="str">
            <v>835-21</v>
          </cell>
        </row>
        <row r="61">
          <cell r="B61">
            <v>72.929999999999993</v>
          </cell>
          <cell r="C61">
            <v>78</v>
          </cell>
          <cell r="D61">
            <v>26619.450000000008</v>
          </cell>
          <cell r="E61">
            <v>28470</v>
          </cell>
          <cell r="F61">
            <v>0.93500000000000039</v>
          </cell>
          <cell r="G61">
            <v>0.93500000000000039</v>
          </cell>
          <cell r="H61">
            <v>7.9999999999999988E-2</v>
          </cell>
          <cell r="I61">
            <v>2.4166115936996184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70.704109589041096</v>
          </cell>
          <cell r="X61">
            <v>78</v>
          </cell>
          <cell r="Y61">
            <v>25807</v>
          </cell>
          <cell r="Z61">
            <v>28470</v>
          </cell>
          <cell r="AA61">
            <v>0.90646294344924483</v>
          </cell>
          <cell r="AB61">
            <v>0.90646294344924483</v>
          </cell>
          <cell r="AC61">
            <v>7.9999999999999988E-2</v>
          </cell>
          <cell r="AD61">
            <v>2.3973584541207633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72</v>
          </cell>
          <cell r="AS61">
            <v>78</v>
          </cell>
          <cell r="AT61">
            <v>26352</v>
          </cell>
          <cell r="AU61">
            <v>28548</v>
          </cell>
          <cell r="AV61">
            <v>0.92307692307692324</v>
          </cell>
          <cell r="AW61">
            <v>0.92307692307692324</v>
          </cell>
          <cell r="AX61">
            <v>0.05</v>
          </cell>
          <cell r="AY61">
            <v>1.6639768130359609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5</v>
          </cell>
          <cell r="CR61">
            <v>0</v>
          </cell>
          <cell r="CS61">
            <v>13.999999999999998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H61">
            <v>19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5</v>
          </cell>
          <cell r="EO61">
            <v>0</v>
          </cell>
          <cell r="EP61">
            <v>13.999999999999998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E61">
            <v>19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4</v>
          </cell>
          <cell r="GL61">
            <v>0</v>
          </cell>
          <cell r="GM61">
            <v>13.000000000000002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B61">
            <v>17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Q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F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U61">
            <v>0</v>
          </cell>
          <cell r="IW61">
            <v>19</v>
          </cell>
          <cell r="IX61">
            <v>78.000000000000014</v>
          </cell>
          <cell r="IY61">
            <v>0</v>
          </cell>
          <cell r="IZ61">
            <v>0</v>
          </cell>
          <cell r="JB61">
            <v>5</v>
          </cell>
          <cell r="JC61">
            <v>13.999999999999998</v>
          </cell>
          <cell r="JD61">
            <v>0</v>
          </cell>
          <cell r="JE61">
            <v>0</v>
          </cell>
          <cell r="JG61">
            <v>5</v>
          </cell>
          <cell r="JH61">
            <v>13.999999999999998</v>
          </cell>
          <cell r="JI61">
            <v>14</v>
          </cell>
          <cell r="JJ61">
            <v>64.000000000000014</v>
          </cell>
          <cell r="JL61">
            <v>19</v>
          </cell>
          <cell r="JM61">
            <v>78.000000000000014</v>
          </cell>
          <cell r="JN61">
            <v>0</v>
          </cell>
          <cell r="JO61">
            <v>0</v>
          </cell>
          <cell r="JQ61">
            <v>5</v>
          </cell>
          <cell r="JR61">
            <v>13.999999999999998</v>
          </cell>
          <cell r="JS61">
            <v>0</v>
          </cell>
          <cell r="JT61">
            <v>0</v>
          </cell>
          <cell r="JV61">
            <v>5</v>
          </cell>
          <cell r="JW61">
            <v>13.999999999999998</v>
          </cell>
          <cell r="JX61">
            <v>14</v>
          </cell>
          <cell r="JY61">
            <v>64.000000000000014</v>
          </cell>
          <cell r="KA61">
            <v>17.999999999999996</v>
          </cell>
          <cell r="KB61">
            <v>77</v>
          </cell>
          <cell r="KC61">
            <v>0</v>
          </cell>
          <cell r="KD61">
            <v>0</v>
          </cell>
          <cell r="KF61">
            <v>4</v>
          </cell>
          <cell r="KG61">
            <v>13.000000000000002</v>
          </cell>
          <cell r="KH61">
            <v>0</v>
          </cell>
          <cell r="KI61">
            <v>0</v>
          </cell>
          <cell r="KK61">
            <v>4</v>
          </cell>
          <cell r="KL61">
            <v>13.000000000000002</v>
          </cell>
          <cell r="KM61">
            <v>13.999999999999996</v>
          </cell>
          <cell r="KN61">
            <v>64</v>
          </cell>
          <cell r="KP61">
            <v>0</v>
          </cell>
          <cell r="KQ61">
            <v>0</v>
          </cell>
          <cell r="KR61">
            <v>0</v>
          </cell>
          <cell r="KT61">
            <v>0</v>
          </cell>
          <cell r="KV61">
            <v>0</v>
          </cell>
          <cell r="KW61">
            <v>0</v>
          </cell>
          <cell r="KX61">
            <v>0</v>
          </cell>
          <cell r="KZ61">
            <v>0</v>
          </cell>
          <cell r="LA61">
            <v>0</v>
          </cell>
          <cell r="LB61">
            <v>0</v>
          </cell>
          <cell r="LD61">
            <v>0</v>
          </cell>
          <cell r="LF61">
            <v>0</v>
          </cell>
          <cell r="LG61">
            <v>0</v>
          </cell>
          <cell r="LH61">
            <v>0</v>
          </cell>
          <cell r="LJ61">
            <v>0</v>
          </cell>
          <cell r="LK61">
            <v>0</v>
          </cell>
          <cell r="LL61">
            <v>0</v>
          </cell>
          <cell r="LN61">
            <v>0</v>
          </cell>
          <cell r="LP61">
            <v>0</v>
          </cell>
          <cell r="LQ61">
            <v>0</v>
          </cell>
          <cell r="LR61">
            <v>0</v>
          </cell>
          <cell r="LT61" t="str">
            <v>835-31</v>
          </cell>
        </row>
        <row r="62">
          <cell r="B62">
            <v>36</v>
          </cell>
          <cell r="C62">
            <v>38</v>
          </cell>
          <cell r="D62">
            <v>13140</v>
          </cell>
          <cell r="E62">
            <v>13870</v>
          </cell>
          <cell r="F62">
            <v>0.94736842105263164</v>
          </cell>
          <cell r="G62">
            <v>0.94736842105263164</v>
          </cell>
          <cell r="H62">
            <v>7.9999999999999988E-2</v>
          </cell>
          <cell r="I62">
            <v>0.93744776147366404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34.104109589041094</v>
          </cell>
          <cell r="X62">
            <v>38</v>
          </cell>
          <cell r="Y62">
            <v>12448</v>
          </cell>
          <cell r="Z62">
            <v>13870</v>
          </cell>
          <cell r="AA62">
            <v>0.89747656813266041</v>
          </cell>
          <cell r="AB62">
            <v>0.89747656813266041</v>
          </cell>
          <cell r="AC62">
            <v>7.9999999999999988E-2</v>
          </cell>
          <cell r="AD62">
            <v>0.8773250960961444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35.340000000000003</v>
          </cell>
          <cell r="AS62">
            <v>38</v>
          </cell>
          <cell r="AT62">
            <v>12934.440000000004</v>
          </cell>
          <cell r="AU62">
            <v>13908</v>
          </cell>
          <cell r="AV62">
            <v>0.93000000000000038</v>
          </cell>
          <cell r="AW62">
            <v>0.93000000000000038</v>
          </cell>
          <cell r="AX62">
            <v>3.0000000000000009E-2</v>
          </cell>
          <cell r="AY62">
            <v>1.2433546229479606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0</v>
          </cell>
          <cell r="BN62">
            <v>0</v>
          </cell>
          <cell r="BO62">
            <v>3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H62">
            <v>3</v>
          </cell>
          <cell r="DJ62">
            <v>0</v>
          </cell>
          <cell r="DK62">
            <v>0</v>
          </cell>
          <cell r="DL62">
            <v>3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E62">
            <v>3</v>
          </cell>
          <cell r="FG62">
            <v>0</v>
          </cell>
          <cell r="FH62">
            <v>0</v>
          </cell>
          <cell r="FI62">
            <v>1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B62">
            <v>1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Q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F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U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K62">
            <v>0</v>
          </cell>
          <cell r="KL62">
            <v>0</v>
          </cell>
          <cell r="KM62">
            <v>0</v>
          </cell>
          <cell r="KN62">
            <v>0</v>
          </cell>
          <cell r="KP62">
            <v>0</v>
          </cell>
          <cell r="KQ62">
            <v>0</v>
          </cell>
          <cell r="KR62">
            <v>0</v>
          </cell>
          <cell r="KT62">
            <v>0</v>
          </cell>
          <cell r="KV62">
            <v>0</v>
          </cell>
          <cell r="KW62">
            <v>0</v>
          </cell>
          <cell r="KX62">
            <v>0</v>
          </cell>
          <cell r="KZ62">
            <v>0</v>
          </cell>
          <cell r="LA62">
            <v>0</v>
          </cell>
          <cell r="LB62">
            <v>0</v>
          </cell>
          <cell r="LD62">
            <v>0</v>
          </cell>
          <cell r="LF62">
            <v>0</v>
          </cell>
          <cell r="LG62">
            <v>0</v>
          </cell>
          <cell r="LH62">
            <v>0</v>
          </cell>
          <cell r="LJ62">
            <v>0</v>
          </cell>
          <cell r="LK62">
            <v>0</v>
          </cell>
          <cell r="LL62">
            <v>0</v>
          </cell>
          <cell r="LN62">
            <v>0</v>
          </cell>
          <cell r="LP62">
            <v>0</v>
          </cell>
          <cell r="LQ62">
            <v>0</v>
          </cell>
          <cell r="LR62">
            <v>0</v>
          </cell>
          <cell r="LT62" t="str">
            <v>835-51</v>
          </cell>
        </row>
        <row r="63">
          <cell r="B63">
            <v>90</v>
          </cell>
          <cell r="C63">
            <v>119</v>
          </cell>
          <cell r="D63">
            <v>32850</v>
          </cell>
          <cell r="E63">
            <v>43435</v>
          </cell>
          <cell r="F63">
            <v>0.75630252100840334</v>
          </cell>
          <cell r="G63">
            <v>0.75630252100840334</v>
          </cell>
          <cell r="H63">
            <v>8.8999999999999982E-2</v>
          </cell>
          <cell r="I63">
            <v>1.2305812111559395</v>
          </cell>
          <cell r="J63">
            <v>8.0999999999999979</v>
          </cell>
          <cell r="K63">
            <v>4.5</v>
          </cell>
          <cell r="L63">
            <v>57.203999999999986</v>
          </cell>
          <cell r="M63">
            <v>0.999</v>
          </cell>
          <cell r="N63">
            <v>19.196999999999999</v>
          </cell>
          <cell r="O63">
            <v>0</v>
          </cell>
          <cell r="P63">
            <v>539.08000000000015</v>
          </cell>
          <cell r="Q63">
            <v>384.00000000000006</v>
          </cell>
          <cell r="R63">
            <v>206</v>
          </cell>
          <cell r="S63">
            <v>212.08000000000007</v>
          </cell>
          <cell r="T63">
            <v>456.7600000000001</v>
          </cell>
          <cell r="U63">
            <v>0</v>
          </cell>
          <cell r="W63">
            <v>92.468493150684935</v>
          </cell>
          <cell r="X63">
            <v>119</v>
          </cell>
          <cell r="Y63">
            <v>33751</v>
          </cell>
          <cell r="Z63">
            <v>43435</v>
          </cell>
          <cell r="AA63">
            <v>0.77704616093012546</v>
          </cell>
          <cell r="AB63">
            <v>0.77704616093012546</v>
          </cell>
          <cell r="AC63">
            <v>8.8999999999999982E-2</v>
          </cell>
          <cell r="AD63">
            <v>1.0372969519123294</v>
          </cell>
          <cell r="AE63">
            <v>7.7705084752417974</v>
          </cell>
          <cell r="AF63">
            <v>7.658656131985083</v>
          </cell>
          <cell r="AG63">
            <v>57.208951597039622</v>
          </cell>
          <cell r="AH63">
            <v>2.9439045880335075</v>
          </cell>
          <cell r="AI63">
            <v>16.904717558954456</v>
          </cell>
          <cell r="AJ63">
            <v>0</v>
          </cell>
          <cell r="AK63">
            <v>539.80045999744266</v>
          </cell>
          <cell r="AL63">
            <v>373.89462997431701</v>
          </cell>
          <cell r="AM63">
            <v>214.58134700761681</v>
          </cell>
          <cell r="AN63">
            <v>238.46670011602976</v>
          </cell>
          <cell r="AO63">
            <v>431.80298100371016</v>
          </cell>
          <cell r="AP63">
            <v>0</v>
          </cell>
          <cell r="AR63">
            <v>92</v>
          </cell>
          <cell r="AS63">
            <v>119</v>
          </cell>
          <cell r="AT63">
            <v>33672</v>
          </cell>
          <cell r="AU63">
            <v>43554</v>
          </cell>
          <cell r="AV63">
            <v>0.77310924369747902</v>
          </cell>
          <cell r="AW63">
            <v>0.77310924369747902</v>
          </cell>
          <cell r="AX63">
            <v>3.0000000000000009E-2</v>
          </cell>
          <cell r="AY63">
            <v>1.4009447429982449</v>
          </cell>
          <cell r="AZ63">
            <v>8.2799999999999994</v>
          </cell>
          <cell r="BA63">
            <v>8.0003200000000003</v>
          </cell>
          <cell r="BB63">
            <v>58.015200000000014</v>
          </cell>
          <cell r="BC63">
            <v>3.70024</v>
          </cell>
          <cell r="BD63">
            <v>14.000560000000004</v>
          </cell>
          <cell r="BE63">
            <v>0</v>
          </cell>
          <cell r="BF63">
            <v>545.42999999999995</v>
          </cell>
          <cell r="BG63">
            <v>387.09999999999991</v>
          </cell>
          <cell r="BH63">
            <v>222.72999999999993</v>
          </cell>
          <cell r="BI63">
            <v>229.99999999999991</v>
          </cell>
          <cell r="BJ63">
            <v>435.68000000000006</v>
          </cell>
          <cell r="BK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H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E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B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Q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F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U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F63">
            <v>0</v>
          </cell>
          <cell r="KG63">
            <v>0</v>
          </cell>
          <cell r="KH63">
            <v>0</v>
          </cell>
          <cell r="KI63">
            <v>0</v>
          </cell>
          <cell r="KK63">
            <v>0</v>
          </cell>
          <cell r="KL63">
            <v>0</v>
          </cell>
          <cell r="KM63">
            <v>0</v>
          </cell>
          <cell r="KN63">
            <v>0</v>
          </cell>
          <cell r="KP63">
            <v>0</v>
          </cell>
          <cell r="KQ63">
            <v>0</v>
          </cell>
          <cell r="KR63">
            <v>0</v>
          </cell>
          <cell r="KT63">
            <v>0</v>
          </cell>
          <cell r="KV63">
            <v>0</v>
          </cell>
          <cell r="KW63">
            <v>0</v>
          </cell>
          <cell r="KX63">
            <v>0</v>
          </cell>
          <cell r="KZ63">
            <v>0</v>
          </cell>
          <cell r="LA63">
            <v>0</v>
          </cell>
          <cell r="LB63">
            <v>0</v>
          </cell>
          <cell r="LD63">
            <v>0</v>
          </cell>
          <cell r="LF63">
            <v>0</v>
          </cell>
          <cell r="LG63">
            <v>0</v>
          </cell>
          <cell r="LH63">
            <v>0</v>
          </cell>
          <cell r="LJ63">
            <v>0</v>
          </cell>
          <cell r="LK63">
            <v>0</v>
          </cell>
          <cell r="LL63">
            <v>0</v>
          </cell>
          <cell r="LN63">
            <v>0</v>
          </cell>
          <cell r="LP63">
            <v>0</v>
          </cell>
          <cell r="LQ63">
            <v>0</v>
          </cell>
          <cell r="LR63">
            <v>0</v>
          </cell>
          <cell r="LT63" t="str">
            <v>835-61</v>
          </cell>
        </row>
        <row r="64">
          <cell r="B64">
            <v>246.93000000000009</v>
          </cell>
          <cell r="C64">
            <v>287</v>
          </cell>
          <cell r="D64">
            <v>90129.45</v>
          </cell>
          <cell r="E64">
            <v>104755</v>
          </cell>
          <cell r="F64">
            <v>0.86038327526132397</v>
          </cell>
          <cell r="G64">
            <v>0.86038327526132397</v>
          </cell>
          <cell r="H64">
            <v>8.2250000000000018E-2</v>
          </cell>
          <cell r="I64">
            <v>1.2712114879258003</v>
          </cell>
          <cell r="J64">
            <v>8.0999999999999979</v>
          </cell>
          <cell r="K64">
            <v>4.5</v>
          </cell>
          <cell r="L64">
            <v>57.203999999999986</v>
          </cell>
          <cell r="M64">
            <v>0.999</v>
          </cell>
          <cell r="N64">
            <v>19.196999999999999</v>
          </cell>
          <cell r="O64">
            <v>0</v>
          </cell>
          <cell r="P64">
            <v>539.08000000000015</v>
          </cell>
          <cell r="Q64">
            <v>384.00000000000006</v>
          </cell>
          <cell r="R64">
            <v>206</v>
          </cell>
          <cell r="S64">
            <v>212.08000000000007</v>
          </cell>
          <cell r="T64">
            <v>456.7600000000001</v>
          </cell>
          <cell r="U64">
            <v>0</v>
          </cell>
          <cell r="W64">
            <v>247.70410958904111</v>
          </cell>
          <cell r="X64">
            <v>287</v>
          </cell>
          <cell r="Y64">
            <v>90412</v>
          </cell>
          <cell r="Z64">
            <v>104755</v>
          </cell>
          <cell r="AA64">
            <v>0.86308052121617107</v>
          </cell>
          <cell r="AB64">
            <v>0.86308052121617107</v>
          </cell>
          <cell r="AC64">
            <v>8.2250000000000018E-2</v>
          </cell>
          <cell r="AD64">
            <v>1.1194907429886141</v>
          </cell>
          <cell r="AE64">
            <v>7.7705084752417974</v>
          </cell>
          <cell r="AF64">
            <v>7.658656131985083</v>
          </cell>
          <cell r="AG64">
            <v>57.208951597039622</v>
          </cell>
          <cell r="AH64">
            <v>2.9439045880335075</v>
          </cell>
          <cell r="AI64">
            <v>16.904717558954456</v>
          </cell>
          <cell r="AJ64">
            <v>0</v>
          </cell>
          <cell r="AK64">
            <v>539.80045999744266</v>
          </cell>
          <cell r="AL64">
            <v>373.89462997431701</v>
          </cell>
          <cell r="AM64">
            <v>214.58134700761681</v>
          </cell>
          <cell r="AN64">
            <v>238.46670011602976</v>
          </cell>
          <cell r="AO64">
            <v>431.80298100371016</v>
          </cell>
          <cell r="AP64">
            <v>0</v>
          </cell>
          <cell r="AR64">
            <v>249.33999999999995</v>
          </cell>
          <cell r="AS64">
            <v>287</v>
          </cell>
          <cell r="AT64">
            <v>91258.44</v>
          </cell>
          <cell r="AU64">
            <v>105042</v>
          </cell>
          <cell r="AV64">
            <v>0.86878048780487793</v>
          </cell>
          <cell r="AW64">
            <v>0.86878048780487793</v>
          </cell>
          <cell r="AX64">
            <v>3.9999999999999994E-2</v>
          </cell>
          <cell r="AY64">
            <v>1.3169275105291949</v>
          </cell>
          <cell r="AZ64">
            <v>8.2799999999999994</v>
          </cell>
          <cell r="BA64">
            <v>8.0003200000000003</v>
          </cell>
          <cell r="BB64">
            <v>58.015200000000014</v>
          </cell>
          <cell r="BC64">
            <v>3.70024</v>
          </cell>
          <cell r="BD64">
            <v>14.000560000000004</v>
          </cell>
          <cell r="BE64">
            <v>0</v>
          </cell>
          <cell r="BF64">
            <v>545.42999999999995</v>
          </cell>
          <cell r="BG64">
            <v>387.09999999999991</v>
          </cell>
          <cell r="BH64">
            <v>222.72999999999993</v>
          </cell>
          <cell r="BI64">
            <v>229.99999999999991</v>
          </cell>
          <cell r="BJ64">
            <v>435.68000000000006</v>
          </cell>
          <cell r="BK64">
            <v>0</v>
          </cell>
          <cell r="BM64">
            <v>0</v>
          </cell>
          <cell r="BN64">
            <v>0</v>
          </cell>
          <cell r="BO64">
            <v>3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5</v>
          </cell>
          <cell r="CR64">
            <v>0</v>
          </cell>
          <cell r="CS64">
            <v>13.999999999999998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H64">
            <v>22</v>
          </cell>
          <cell r="DJ64">
            <v>0</v>
          </cell>
          <cell r="DK64">
            <v>0</v>
          </cell>
          <cell r="DL64">
            <v>3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5</v>
          </cell>
          <cell r="EO64">
            <v>0</v>
          </cell>
          <cell r="EP64">
            <v>13.999999999999998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E64">
            <v>22</v>
          </cell>
          <cell r="FG64">
            <v>0</v>
          </cell>
          <cell r="FH64">
            <v>0</v>
          </cell>
          <cell r="FI64">
            <v>1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4</v>
          </cell>
          <cell r="GL64">
            <v>1</v>
          </cell>
          <cell r="GM64">
            <v>13.000000000000002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B64">
            <v>19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Q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F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U64">
            <v>0</v>
          </cell>
          <cell r="IW64">
            <v>19</v>
          </cell>
          <cell r="IX64">
            <v>78.000000000000014</v>
          </cell>
          <cell r="IY64">
            <v>0</v>
          </cell>
          <cell r="IZ64">
            <v>0</v>
          </cell>
          <cell r="JB64">
            <v>5</v>
          </cell>
          <cell r="JC64">
            <v>13.999999999999998</v>
          </cell>
          <cell r="JD64">
            <v>0</v>
          </cell>
          <cell r="JE64">
            <v>0</v>
          </cell>
          <cell r="JG64">
            <v>5</v>
          </cell>
          <cell r="JH64">
            <v>13.999999999999998</v>
          </cell>
          <cell r="JI64">
            <v>14</v>
          </cell>
          <cell r="JJ64">
            <v>64.000000000000014</v>
          </cell>
          <cell r="JL64">
            <v>19</v>
          </cell>
          <cell r="JM64">
            <v>78.000000000000014</v>
          </cell>
          <cell r="JN64">
            <v>0</v>
          </cell>
          <cell r="JO64">
            <v>0</v>
          </cell>
          <cell r="JQ64">
            <v>5</v>
          </cell>
          <cell r="JR64">
            <v>13.999999999999998</v>
          </cell>
          <cell r="JS64">
            <v>0</v>
          </cell>
          <cell r="JT64">
            <v>0</v>
          </cell>
          <cell r="JV64">
            <v>5</v>
          </cell>
          <cell r="JW64">
            <v>13.999999999999998</v>
          </cell>
          <cell r="JX64">
            <v>14</v>
          </cell>
          <cell r="JY64">
            <v>64.000000000000014</v>
          </cell>
          <cell r="KA64">
            <v>17.999999999999996</v>
          </cell>
          <cell r="KB64">
            <v>77</v>
          </cell>
          <cell r="KC64">
            <v>0</v>
          </cell>
          <cell r="KD64">
            <v>0</v>
          </cell>
          <cell r="KF64">
            <v>4</v>
          </cell>
          <cell r="KG64">
            <v>13.000000000000002</v>
          </cell>
          <cell r="KH64">
            <v>0</v>
          </cell>
          <cell r="KI64">
            <v>0</v>
          </cell>
          <cell r="KK64">
            <v>4</v>
          </cell>
          <cell r="KL64">
            <v>13.000000000000002</v>
          </cell>
          <cell r="KM64">
            <v>13.999999999999996</v>
          </cell>
          <cell r="KN64">
            <v>64</v>
          </cell>
          <cell r="KP64">
            <v>0</v>
          </cell>
          <cell r="KQ64">
            <v>0</v>
          </cell>
          <cell r="KR64">
            <v>0</v>
          </cell>
          <cell r="KT64">
            <v>0</v>
          </cell>
          <cell r="KV64">
            <v>0</v>
          </cell>
          <cell r="KW64">
            <v>0</v>
          </cell>
          <cell r="KX64">
            <v>0</v>
          </cell>
          <cell r="KZ64">
            <v>0</v>
          </cell>
          <cell r="LA64">
            <v>0</v>
          </cell>
          <cell r="LB64">
            <v>0</v>
          </cell>
          <cell r="LD64">
            <v>0</v>
          </cell>
          <cell r="LF64">
            <v>0</v>
          </cell>
          <cell r="LG64">
            <v>0</v>
          </cell>
          <cell r="LH64">
            <v>0</v>
          </cell>
          <cell r="LJ64">
            <v>0</v>
          </cell>
          <cell r="LK64">
            <v>0</v>
          </cell>
          <cell r="LL64">
            <v>0</v>
          </cell>
          <cell r="LN64">
            <v>0</v>
          </cell>
          <cell r="LP64">
            <v>0</v>
          </cell>
          <cell r="LQ64">
            <v>0</v>
          </cell>
          <cell r="LR64">
            <v>0</v>
          </cell>
          <cell r="LT64" t="str">
            <v>835-Entity</v>
          </cell>
        </row>
        <row r="65">
          <cell r="B65">
            <v>62</v>
          </cell>
          <cell r="C65">
            <v>66</v>
          </cell>
          <cell r="D65">
            <v>22630</v>
          </cell>
          <cell r="E65">
            <v>24090</v>
          </cell>
          <cell r="F65">
            <v>0.93939393939393945</v>
          </cell>
          <cell r="G65">
            <v>0.93939393939393945</v>
          </cell>
          <cell r="H65">
            <v>7.9999999999999988E-2</v>
          </cell>
          <cell r="I65">
            <v>0.22985095953412235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62.798630136986304</v>
          </cell>
          <cell r="X65">
            <v>66</v>
          </cell>
          <cell r="Y65">
            <v>22921.5</v>
          </cell>
          <cell r="Z65">
            <v>24090</v>
          </cell>
          <cell r="AA65">
            <v>0.95149439601494401</v>
          </cell>
          <cell r="AB65">
            <v>0.95149439601494401</v>
          </cell>
          <cell r="AC65">
            <v>7.9999999999999988E-2</v>
          </cell>
          <cell r="AD65">
            <v>0.16572896801416381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62</v>
          </cell>
          <cell r="AS65">
            <v>66</v>
          </cell>
          <cell r="AT65">
            <v>22692</v>
          </cell>
          <cell r="AU65">
            <v>24156</v>
          </cell>
          <cell r="AV65">
            <v>0.93939393939393945</v>
          </cell>
          <cell r="AW65">
            <v>0.93939393939393945</v>
          </cell>
          <cell r="AX65">
            <v>3.9999999999999994E-2</v>
          </cell>
          <cell r="AY65">
            <v>0.10734899014614284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24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H65">
            <v>24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24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E65">
            <v>24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24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B65">
            <v>24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Q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F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L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Q65">
            <v>0</v>
          </cell>
          <cell r="IR65">
            <v>0</v>
          </cell>
          <cell r="IS65">
            <v>0</v>
          </cell>
          <cell r="IU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K65">
            <v>0</v>
          </cell>
          <cell r="KL65">
            <v>0</v>
          </cell>
          <cell r="KM65">
            <v>0</v>
          </cell>
          <cell r="KN65">
            <v>0</v>
          </cell>
          <cell r="KP65">
            <v>0</v>
          </cell>
          <cell r="KQ65">
            <v>0</v>
          </cell>
          <cell r="KR65">
            <v>0</v>
          </cell>
          <cell r="KT65">
            <v>0</v>
          </cell>
          <cell r="KV65">
            <v>0</v>
          </cell>
          <cell r="KW65">
            <v>0</v>
          </cell>
          <cell r="KX65">
            <v>0</v>
          </cell>
          <cell r="KZ65">
            <v>0</v>
          </cell>
          <cell r="LA65">
            <v>0</v>
          </cell>
          <cell r="LB65">
            <v>0</v>
          </cell>
          <cell r="LD65">
            <v>0</v>
          </cell>
          <cell r="LF65">
            <v>0</v>
          </cell>
          <cell r="LG65">
            <v>0</v>
          </cell>
          <cell r="LH65">
            <v>0</v>
          </cell>
          <cell r="LJ65">
            <v>0</v>
          </cell>
          <cell r="LK65">
            <v>0</v>
          </cell>
          <cell r="LL65">
            <v>0</v>
          </cell>
          <cell r="LN65">
            <v>0</v>
          </cell>
          <cell r="LP65">
            <v>0</v>
          </cell>
          <cell r="LQ65">
            <v>0</v>
          </cell>
          <cell r="LR65">
            <v>0</v>
          </cell>
          <cell r="LT65" t="str">
            <v>840-21</v>
          </cell>
        </row>
        <row r="66">
          <cell r="B66">
            <v>86.24</v>
          </cell>
          <cell r="C66">
            <v>88</v>
          </cell>
          <cell r="D66">
            <v>31477.599999999995</v>
          </cell>
          <cell r="E66">
            <v>32120</v>
          </cell>
          <cell r="F66">
            <v>0.98</v>
          </cell>
          <cell r="G66">
            <v>0.98</v>
          </cell>
          <cell r="H66">
            <v>7.9999999999999988E-2</v>
          </cell>
          <cell r="I66">
            <v>2.016101291839969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84.126027397260273</v>
          </cell>
          <cell r="X66">
            <v>88</v>
          </cell>
          <cell r="Y66">
            <v>30706</v>
          </cell>
          <cell r="Z66">
            <v>32120</v>
          </cell>
          <cell r="AA66">
            <v>0.95597758405977584</v>
          </cell>
          <cell r="AB66">
            <v>0.95597758405977584</v>
          </cell>
          <cell r="AC66">
            <v>7.9999999999999988E-2</v>
          </cell>
          <cell r="AD66">
            <v>2.2789279368354389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84.47999999999999</v>
          </cell>
          <cell r="AS66">
            <v>88</v>
          </cell>
          <cell r="AT66">
            <v>30919.680000000004</v>
          </cell>
          <cell r="AU66">
            <v>32208</v>
          </cell>
          <cell r="AV66">
            <v>0.96</v>
          </cell>
          <cell r="AW66">
            <v>0.96</v>
          </cell>
          <cell r="AX66">
            <v>3.9999999999999994E-2</v>
          </cell>
          <cell r="AY66">
            <v>2.2716865729999238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2</v>
          </cell>
          <cell r="CK66">
            <v>0</v>
          </cell>
          <cell r="CL66">
            <v>18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H66">
            <v>20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2</v>
          </cell>
          <cell r="EH66">
            <v>0</v>
          </cell>
          <cell r="EI66">
            <v>18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E66">
            <v>20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18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B66">
            <v>18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Q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F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  <cell r="IL66">
            <v>0</v>
          </cell>
          <cell r="IM66">
            <v>0</v>
          </cell>
          <cell r="IN66">
            <v>0</v>
          </cell>
          <cell r="IO66">
            <v>0</v>
          </cell>
          <cell r="IP66">
            <v>0</v>
          </cell>
          <cell r="IQ66">
            <v>0</v>
          </cell>
          <cell r="IR66">
            <v>0</v>
          </cell>
          <cell r="IS66">
            <v>0</v>
          </cell>
          <cell r="IU66">
            <v>0</v>
          </cell>
          <cell r="IW66">
            <v>0</v>
          </cell>
          <cell r="IX66">
            <v>0</v>
          </cell>
          <cell r="IY66">
            <v>15</v>
          </cell>
          <cell r="IZ66">
            <v>93</v>
          </cell>
          <cell r="JB66">
            <v>0</v>
          </cell>
          <cell r="JC66">
            <v>0</v>
          </cell>
          <cell r="JD66">
            <v>2</v>
          </cell>
          <cell r="JE66">
            <v>18</v>
          </cell>
          <cell r="JG66">
            <v>2</v>
          </cell>
          <cell r="JH66">
            <v>18</v>
          </cell>
          <cell r="JI66">
            <v>13</v>
          </cell>
          <cell r="JJ66">
            <v>75</v>
          </cell>
          <cell r="JL66">
            <v>0</v>
          </cell>
          <cell r="JM66">
            <v>0</v>
          </cell>
          <cell r="JN66">
            <v>15</v>
          </cell>
          <cell r="JO66">
            <v>93</v>
          </cell>
          <cell r="JQ66">
            <v>0</v>
          </cell>
          <cell r="JR66">
            <v>0</v>
          </cell>
          <cell r="JS66">
            <v>2</v>
          </cell>
          <cell r="JT66">
            <v>18</v>
          </cell>
          <cell r="JV66">
            <v>2</v>
          </cell>
          <cell r="JW66">
            <v>18</v>
          </cell>
          <cell r="JX66">
            <v>13</v>
          </cell>
          <cell r="JY66">
            <v>75</v>
          </cell>
          <cell r="KA66">
            <v>0</v>
          </cell>
          <cell r="KB66">
            <v>0</v>
          </cell>
          <cell r="KC66">
            <v>13.000000000000002</v>
          </cell>
          <cell r="KD66">
            <v>93</v>
          </cell>
          <cell r="KF66">
            <v>0</v>
          </cell>
          <cell r="KG66">
            <v>0</v>
          </cell>
          <cell r="KH66">
            <v>0</v>
          </cell>
          <cell r="KI66">
            <v>18</v>
          </cell>
          <cell r="KK66">
            <v>0</v>
          </cell>
          <cell r="KL66">
            <v>18</v>
          </cell>
          <cell r="KM66">
            <v>13.000000000000002</v>
          </cell>
          <cell r="KN66">
            <v>75</v>
          </cell>
          <cell r="KP66">
            <v>0</v>
          </cell>
          <cell r="KQ66">
            <v>0</v>
          </cell>
          <cell r="KR66">
            <v>0</v>
          </cell>
          <cell r="KT66">
            <v>0</v>
          </cell>
          <cell r="KV66">
            <v>0</v>
          </cell>
          <cell r="KW66">
            <v>0</v>
          </cell>
          <cell r="KX66">
            <v>0</v>
          </cell>
          <cell r="KZ66">
            <v>0</v>
          </cell>
          <cell r="LA66">
            <v>0</v>
          </cell>
          <cell r="LB66">
            <v>0</v>
          </cell>
          <cell r="LD66">
            <v>0</v>
          </cell>
          <cell r="LF66">
            <v>0</v>
          </cell>
          <cell r="LG66">
            <v>0</v>
          </cell>
          <cell r="LH66">
            <v>0</v>
          </cell>
          <cell r="LJ66">
            <v>0</v>
          </cell>
          <cell r="LK66">
            <v>0</v>
          </cell>
          <cell r="LL66">
            <v>0</v>
          </cell>
          <cell r="LN66">
            <v>0</v>
          </cell>
          <cell r="LP66">
            <v>0</v>
          </cell>
          <cell r="LQ66">
            <v>0</v>
          </cell>
          <cell r="LR66">
            <v>0</v>
          </cell>
          <cell r="LT66" t="str">
            <v>840-31</v>
          </cell>
        </row>
        <row r="67">
          <cell r="B67">
            <v>7</v>
          </cell>
          <cell r="C67">
            <v>9</v>
          </cell>
          <cell r="D67">
            <v>2555</v>
          </cell>
          <cell r="E67">
            <v>3285</v>
          </cell>
          <cell r="F67">
            <v>0.77777777777777779</v>
          </cell>
          <cell r="G67">
            <v>0.77777777777777779</v>
          </cell>
          <cell r="H67">
            <v>7.9999999999999988E-2</v>
          </cell>
          <cell r="I67">
            <v>1.6052680845371972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8.5835616438356173</v>
          </cell>
          <cell r="X67">
            <v>9</v>
          </cell>
          <cell r="Y67">
            <v>3133</v>
          </cell>
          <cell r="Z67">
            <v>3285</v>
          </cell>
          <cell r="AA67">
            <v>0.95372907153729081</v>
          </cell>
          <cell r="AB67">
            <v>0.95372907153729081</v>
          </cell>
          <cell r="AC67">
            <v>7.9999999999999988E-2</v>
          </cell>
          <cell r="AD67">
            <v>1.3741061320266197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8</v>
          </cell>
          <cell r="AS67">
            <v>9</v>
          </cell>
          <cell r="AT67">
            <v>2928</v>
          </cell>
          <cell r="AU67">
            <v>3294</v>
          </cell>
          <cell r="AV67">
            <v>0.88888888888888884</v>
          </cell>
          <cell r="AW67">
            <v>0.88888888888888884</v>
          </cell>
          <cell r="AX67">
            <v>3.0000000000000009E-2</v>
          </cell>
          <cell r="AY67">
            <v>1.9780132957080427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1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H67">
            <v>1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1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E67">
            <v>1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B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Q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F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U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K67">
            <v>0</v>
          </cell>
          <cell r="KL67">
            <v>0</v>
          </cell>
          <cell r="KM67">
            <v>0</v>
          </cell>
          <cell r="KN67">
            <v>0</v>
          </cell>
          <cell r="KP67">
            <v>0</v>
          </cell>
          <cell r="KQ67">
            <v>0</v>
          </cell>
          <cell r="KR67">
            <v>0</v>
          </cell>
          <cell r="KT67">
            <v>0</v>
          </cell>
          <cell r="KV67">
            <v>0</v>
          </cell>
          <cell r="KW67">
            <v>0</v>
          </cell>
          <cell r="KX67">
            <v>0</v>
          </cell>
          <cell r="KZ67">
            <v>0</v>
          </cell>
          <cell r="LA67">
            <v>0</v>
          </cell>
          <cell r="LB67">
            <v>0</v>
          </cell>
          <cell r="LD67">
            <v>0</v>
          </cell>
          <cell r="LF67">
            <v>0</v>
          </cell>
          <cell r="LG67">
            <v>0</v>
          </cell>
          <cell r="LH67">
            <v>0</v>
          </cell>
          <cell r="LJ67">
            <v>0</v>
          </cell>
          <cell r="LK67">
            <v>0</v>
          </cell>
          <cell r="LL67">
            <v>0</v>
          </cell>
          <cell r="LN67">
            <v>0</v>
          </cell>
          <cell r="LP67">
            <v>0</v>
          </cell>
          <cell r="LQ67">
            <v>0</v>
          </cell>
          <cell r="LR67">
            <v>0</v>
          </cell>
          <cell r="LT67" t="str">
            <v>840-51</v>
          </cell>
        </row>
        <row r="68">
          <cell r="B68">
            <v>15.52</v>
          </cell>
          <cell r="C68">
            <v>16</v>
          </cell>
          <cell r="D68">
            <v>5664.8</v>
          </cell>
          <cell r="E68">
            <v>5840</v>
          </cell>
          <cell r="F68">
            <v>0.97</v>
          </cell>
          <cell r="G68">
            <v>0.97</v>
          </cell>
          <cell r="H68">
            <v>7.9999999999999988E-2</v>
          </cell>
          <cell r="I68">
            <v>0.45721733775451057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15.70958904109589</v>
          </cell>
          <cell r="X68">
            <v>16</v>
          </cell>
          <cell r="Y68">
            <v>5734</v>
          </cell>
          <cell r="Z68">
            <v>5840</v>
          </cell>
          <cell r="AA68">
            <v>0.98184931506849316</v>
          </cell>
          <cell r="AB68">
            <v>0.98184931506849316</v>
          </cell>
          <cell r="AC68">
            <v>7.9999999999999988E-2</v>
          </cell>
          <cell r="AD68">
            <v>0.57547024982640926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15</v>
          </cell>
          <cell r="AS68">
            <v>16</v>
          </cell>
          <cell r="AT68">
            <v>5490</v>
          </cell>
          <cell r="AU68">
            <v>5856</v>
          </cell>
          <cell r="AV68">
            <v>0.9375</v>
          </cell>
          <cell r="AW68">
            <v>0.9375</v>
          </cell>
          <cell r="AX68">
            <v>3.0000000000000009E-2</v>
          </cell>
          <cell r="AY68">
            <v>0.48881641633807182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M68">
            <v>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H68">
            <v>1</v>
          </cell>
          <cell r="DJ68">
            <v>1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E68">
            <v>1</v>
          </cell>
          <cell r="FG68">
            <v>2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B68">
            <v>2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Q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F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L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Q68">
            <v>0</v>
          </cell>
          <cell r="IR68">
            <v>0</v>
          </cell>
          <cell r="IS68">
            <v>0</v>
          </cell>
          <cell r="IU68">
            <v>0</v>
          </cell>
          <cell r="IW68">
            <v>0</v>
          </cell>
          <cell r="IX68">
            <v>0</v>
          </cell>
          <cell r="IY68">
            <v>0</v>
          </cell>
          <cell r="IZ68">
            <v>0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G68">
            <v>0</v>
          </cell>
          <cell r="JH68">
            <v>0</v>
          </cell>
          <cell r="JI68">
            <v>0</v>
          </cell>
          <cell r="JJ68">
            <v>0</v>
          </cell>
          <cell r="JL68">
            <v>0</v>
          </cell>
          <cell r="JM68">
            <v>0</v>
          </cell>
          <cell r="JN68">
            <v>0</v>
          </cell>
          <cell r="JO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JV68">
            <v>0</v>
          </cell>
          <cell r="JW68">
            <v>0</v>
          </cell>
          <cell r="JX68">
            <v>0</v>
          </cell>
          <cell r="JY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F68">
            <v>0</v>
          </cell>
          <cell r="KG68">
            <v>0</v>
          </cell>
          <cell r="KH68">
            <v>0</v>
          </cell>
          <cell r="KI68">
            <v>0</v>
          </cell>
          <cell r="KK68">
            <v>0</v>
          </cell>
          <cell r="KL68">
            <v>0</v>
          </cell>
          <cell r="KM68">
            <v>0</v>
          </cell>
          <cell r="KN68">
            <v>0</v>
          </cell>
          <cell r="KP68">
            <v>0</v>
          </cell>
          <cell r="KQ68">
            <v>0</v>
          </cell>
          <cell r="KR68">
            <v>0</v>
          </cell>
          <cell r="KT68">
            <v>0</v>
          </cell>
          <cell r="KV68">
            <v>0</v>
          </cell>
          <cell r="KW68">
            <v>0</v>
          </cell>
          <cell r="KX68">
            <v>0</v>
          </cell>
          <cell r="KZ68">
            <v>0</v>
          </cell>
          <cell r="LA68">
            <v>0</v>
          </cell>
          <cell r="LB68">
            <v>0</v>
          </cell>
          <cell r="LD68">
            <v>0</v>
          </cell>
          <cell r="LF68">
            <v>0</v>
          </cell>
          <cell r="LG68">
            <v>0</v>
          </cell>
          <cell r="LH68">
            <v>0</v>
          </cell>
          <cell r="LJ68">
            <v>0</v>
          </cell>
          <cell r="LK68">
            <v>0</v>
          </cell>
          <cell r="LL68">
            <v>0</v>
          </cell>
          <cell r="LN68">
            <v>0</v>
          </cell>
          <cell r="LP68">
            <v>0</v>
          </cell>
          <cell r="LQ68">
            <v>0</v>
          </cell>
          <cell r="LR68">
            <v>0</v>
          </cell>
          <cell r="LT68" t="str">
            <v>840-52</v>
          </cell>
        </row>
        <row r="69">
          <cell r="B69">
            <v>59</v>
          </cell>
          <cell r="C69">
            <v>64</v>
          </cell>
          <cell r="D69">
            <v>21535</v>
          </cell>
          <cell r="E69">
            <v>23360</v>
          </cell>
          <cell r="F69">
            <v>0.921875</v>
          </cell>
          <cell r="G69">
            <v>0.921875</v>
          </cell>
          <cell r="H69">
            <v>7.9999999999999988E-2</v>
          </cell>
          <cell r="I69">
            <v>1.0392815174149943</v>
          </cell>
          <cell r="J69">
            <v>12.400029999999999</v>
          </cell>
          <cell r="K69">
            <v>5.9997100000000003</v>
          </cell>
          <cell r="L69">
            <v>22.99996999999999</v>
          </cell>
          <cell r="M69">
            <v>0</v>
          </cell>
          <cell r="N69">
            <v>17.600290000000001</v>
          </cell>
          <cell r="O69">
            <v>0</v>
          </cell>
          <cell r="P69">
            <v>575.47000000000014</v>
          </cell>
          <cell r="Q69">
            <v>403.83</v>
          </cell>
          <cell r="R69">
            <v>248</v>
          </cell>
          <cell r="S69">
            <v>0</v>
          </cell>
          <cell r="T69">
            <v>427.21</v>
          </cell>
          <cell r="U69">
            <v>0</v>
          </cell>
          <cell r="W69">
            <v>59.583561643835615</v>
          </cell>
          <cell r="X69">
            <v>64</v>
          </cell>
          <cell r="Y69">
            <v>21748</v>
          </cell>
          <cell r="Z69">
            <v>23360</v>
          </cell>
          <cell r="AA69">
            <v>0.9309931506849316</v>
          </cell>
          <cell r="AB69">
            <v>0.9309931506849316</v>
          </cell>
          <cell r="AC69">
            <v>7.9999999999999988E-2</v>
          </cell>
          <cell r="AD69">
            <v>0.93392951161331361</v>
          </cell>
          <cell r="AE69">
            <v>10.658270609318995</v>
          </cell>
          <cell r="AF69">
            <v>5.0166637096774211</v>
          </cell>
          <cell r="AG69">
            <v>28.669565232974907</v>
          </cell>
          <cell r="AH69">
            <v>0.16639784946236821</v>
          </cell>
          <cell r="AI69">
            <v>15.074868087557604</v>
          </cell>
          <cell r="AJ69">
            <v>0</v>
          </cell>
          <cell r="AK69">
            <v>592.90703399964673</v>
          </cell>
          <cell r="AL69">
            <v>397.1097636011981</v>
          </cell>
          <cell r="AM69">
            <v>269.81477904578077</v>
          </cell>
          <cell r="AN69">
            <v>140.29735033106491</v>
          </cell>
          <cell r="AO69">
            <v>399.68159595974106</v>
          </cell>
          <cell r="AP69">
            <v>0</v>
          </cell>
          <cell r="AR69">
            <v>60.5</v>
          </cell>
          <cell r="AS69">
            <v>64</v>
          </cell>
          <cell r="AT69">
            <v>22143</v>
          </cell>
          <cell r="AU69">
            <v>23424</v>
          </cell>
          <cell r="AV69">
            <v>0.9453125</v>
          </cell>
          <cell r="AW69">
            <v>0.9453125</v>
          </cell>
          <cell r="AX69">
            <v>3.9999999999999994E-2</v>
          </cell>
          <cell r="AY69">
            <v>0.98072479604300655</v>
          </cell>
          <cell r="AZ69">
            <v>11.62205</v>
          </cell>
          <cell r="BA69">
            <v>5.1122500000000013</v>
          </cell>
          <cell r="BB69">
            <v>27.750139999999991</v>
          </cell>
          <cell r="BC69">
            <v>0</v>
          </cell>
          <cell r="BD69">
            <v>16.015559999999997</v>
          </cell>
          <cell r="BE69">
            <v>0</v>
          </cell>
          <cell r="BF69">
            <v>596.11</v>
          </cell>
          <cell r="BG69">
            <v>409.96000000000015</v>
          </cell>
          <cell r="BH69">
            <v>272.39</v>
          </cell>
          <cell r="BI69">
            <v>0</v>
          </cell>
          <cell r="BJ69">
            <v>444.62999999999988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H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E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B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Q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F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Q69">
            <v>0</v>
          </cell>
          <cell r="IR69">
            <v>0</v>
          </cell>
          <cell r="IS69">
            <v>0</v>
          </cell>
          <cell r="IU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G69">
            <v>0</v>
          </cell>
          <cell r="JH69">
            <v>0</v>
          </cell>
          <cell r="JI69">
            <v>0</v>
          </cell>
          <cell r="JJ69">
            <v>0</v>
          </cell>
          <cell r="JL69">
            <v>0</v>
          </cell>
          <cell r="JM69">
            <v>0</v>
          </cell>
          <cell r="JN69">
            <v>0</v>
          </cell>
          <cell r="JO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JV69">
            <v>0</v>
          </cell>
          <cell r="JW69">
            <v>0</v>
          </cell>
          <cell r="JX69">
            <v>0</v>
          </cell>
          <cell r="JY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F69">
            <v>0</v>
          </cell>
          <cell r="KG69">
            <v>0</v>
          </cell>
          <cell r="KH69">
            <v>0</v>
          </cell>
          <cell r="KI69">
            <v>0</v>
          </cell>
          <cell r="KK69">
            <v>0</v>
          </cell>
          <cell r="KL69">
            <v>0</v>
          </cell>
          <cell r="KM69">
            <v>0</v>
          </cell>
          <cell r="KN69">
            <v>0</v>
          </cell>
          <cell r="KP69">
            <v>0</v>
          </cell>
          <cell r="KQ69">
            <v>0</v>
          </cell>
          <cell r="KR69">
            <v>0</v>
          </cell>
          <cell r="KT69">
            <v>0</v>
          </cell>
          <cell r="KV69">
            <v>0</v>
          </cell>
          <cell r="KW69">
            <v>0</v>
          </cell>
          <cell r="KX69">
            <v>0</v>
          </cell>
          <cell r="KZ69">
            <v>0</v>
          </cell>
          <cell r="LA69">
            <v>0</v>
          </cell>
          <cell r="LB69">
            <v>0</v>
          </cell>
          <cell r="LD69">
            <v>0</v>
          </cell>
          <cell r="LF69">
            <v>0</v>
          </cell>
          <cell r="LG69">
            <v>0</v>
          </cell>
          <cell r="LH69">
            <v>0</v>
          </cell>
          <cell r="LJ69">
            <v>0</v>
          </cell>
          <cell r="LK69">
            <v>0</v>
          </cell>
          <cell r="LL69">
            <v>0</v>
          </cell>
          <cell r="LN69">
            <v>0</v>
          </cell>
          <cell r="LP69">
            <v>0</v>
          </cell>
          <cell r="LQ69">
            <v>0</v>
          </cell>
          <cell r="LR69">
            <v>0</v>
          </cell>
          <cell r="LT69" t="str">
            <v>840-61</v>
          </cell>
        </row>
        <row r="70">
          <cell r="B70">
            <v>229.75999999999996</v>
          </cell>
          <cell r="C70">
            <v>243</v>
          </cell>
          <cell r="D70">
            <v>83862.399999999994</v>
          </cell>
          <cell r="E70">
            <v>88695</v>
          </cell>
          <cell r="F70">
            <v>0.94551440329218095</v>
          </cell>
          <cell r="G70">
            <v>0.94551440329218095</v>
          </cell>
          <cell r="H70">
            <v>7.9999999999999988E-2</v>
          </cell>
          <cell r="I70">
            <v>1.0797951684472016</v>
          </cell>
          <cell r="J70">
            <v>12.400029999999999</v>
          </cell>
          <cell r="K70">
            <v>5.9997100000000003</v>
          </cell>
          <cell r="L70">
            <v>22.99996999999999</v>
          </cell>
          <cell r="M70">
            <v>0</v>
          </cell>
          <cell r="N70">
            <v>17.600290000000001</v>
          </cell>
          <cell r="O70">
            <v>0</v>
          </cell>
          <cell r="P70">
            <v>575.47000000000014</v>
          </cell>
          <cell r="Q70">
            <v>403.83</v>
          </cell>
          <cell r="R70">
            <v>248</v>
          </cell>
          <cell r="S70">
            <v>0</v>
          </cell>
          <cell r="T70">
            <v>427.21</v>
          </cell>
          <cell r="U70">
            <v>0</v>
          </cell>
          <cell r="W70">
            <v>230.80136986301369</v>
          </cell>
          <cell r="X70">
            <v>243</v>
          </cell>
          <cell r="Y70">
            <v>84242.5</v>
          </cell>
          <cell r="Z70">
            <v>88695</v>
          </cell>
          <cell r="AA70">
            <v>0.94979987597948023</v>
          </cell>
          <cell r="AB70">
            <v>0.94979987597948023</v>
          </cell>
          <cell r="AC70">
            <v>7.9999999999999988E-2</v>
          </cell>
          <cell r="AD70">
            <v>1.0382891188340682</v>
          </cell>
          <cell r="AE70">
            <v>10.658270609318995</v>
          </cell>
          <cell r="AF70">
            <v>5.0166637096774211</v>
          </cell>
          <cell r="AG70">
            <v>28.669565232974907</v>
          </cell>
          <cell r="AH70">
            <v>0.16639784946236821</v>
          </cell>
          <cell r="AI70">
            <v>15.074868087557604</v>
          </cell>
          <cell r="AJ70">
            <v>0</v>
          </cell>
          <cell r="AK70">
            <v>592.90703399964673</v>
          </cell>
          <cell r="AL70">
            <v>397.1097636011981</v>
          </cell>
          <cell r="AM70">
            <v>269.81477904578077</v>
          </cell>
          <cell r="AN70">
            <v>140.29735033106491</v>
          </cell>
          <cell r="AO70">
            <v>399.68159595974106</v>
          </cell>
          <cell r="AP70">
            <v>0</v>
          </cell>
          <cell r="AR70">
            <v>229.98</v>
          </cell>
          <cell r="AS70">
            <v>243</v>
          </cell>
          <cell r="AT70">
            <v>84172.68</v>
          </cell>
          <cell r="AU70">
            <v>88938</v>
          </cell>
          <cell r="AV70">
            <v>0.94641975308641957</v>
          </cell>
          <cell r="AW70">
            <v>0.94641975308641957</v>
          </cell>
          <cell r="AX70">
            <v>3.599999999999999E-2</v>
          </cell>
          <cell r="AY70">
            <v>1.0779869648695015</v>
          </cell>
          <cell r="AZ70">
            <v>11.62205</v>
          </cell>
          <cell r="BA70">
            <v>5.1122500000000013</v>
          </cell>
          <cell r="BB70">
            <v>27.750139999999991</v>
          </cell>
          <cell r="BC70">
            <v>0</v>
          </cell>
          <cell r="BD70">
            <v>16.015559999999997</v>
          </cell>
          <cell r="BE70">
            <v>0</v>
          </cell>
          <cell r="BF70">
            <v>596.11</v>
          </cell>
          <cell r="BG70">
            <v>409.96000000000015</v>
          </cell>
          <cell r="BH70">
            <v>272.39</v>
          </cell>
          <cell r="BI70">
            <v>0</v>
          </cell>
          <cell r="BJ70">
            <v>444.62999999999988</v>
          </cell>
          <cell r="BK70">
            <v>0</v>
          </cell>
          <cell r="BM70">
            <v>1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2</v>
          </cell>
          <cell r="CK70">
            <v>24</v>
          </cell>
          <cell r="CL70">
            <v>18</v>
          </cell>
          <cell r="CM70">
            <v>1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H70">
            <v>46</v>
          </cell>
          <cell r="DJ70">
            <v>1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2</v>
          </cell>
          <cell r="EH70">
            <v>24</v>
          </cell>
          <cell r="EI70">
            <v>18</v>
          </cell>
          <cell r="EJ70">
            <v>1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E70">
            <v>46</v>
          </cell>
          <cell r="FG70">
            <v>2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24</v>
          </cell>
          <cell r="GF70">
            <v>18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B70">
            <v>44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Q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F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U70">
            <v>0</v>
          </cell>
          <cell r="IW70">
            <v>0</v>
          </cell>
          <cell r="IX70">
            <v>0</v>
          </cell>
          <cell r="IY70">
            <v>15</v>
          </cell>
          <cell r="IZ70">
            <v>93</v>
          </cell>
          <cell r="JB70">
            <v>0</v>
          </cell>
          <cell r="JC70">
            <v>0</v>
          </cell>
          <cell r="JD70">
            <v>2</v>
          </cell>
          <cell r="JE70">
            <v>18</v>
          </cell>
          <cell r="JG70">
            <v>2</v>
          </cell>
          <cell r="JH70">
            <v>18</v>
          </cell>
          <cell r="JI70">
            <v>13</v>
          </cell>
          <cell r="JJ70">
            <v>75</v>
          </cell>
          <cell r="JL70">
            <v>0</v>
          </cell>
          <cell r="JM70">
            <v>0</v>
          </cell>
          <cell r="JN70">
            <v>15</v>
          </cell>
          <cell r="JO70">
            <v>93</v>
          </cell>
          <cell r="JQ70">
            <v>0</v>
          </cell>
          <cell r="JR70">
            <v>0</v>
          </cell>
          <cell r="JS70">
            <v>2</v>
          </cell>
          <cell r="JT70">
            <v>18</v>
          </cell>
          <cell r="JV70">
            <v>2</v>
          </cell>
          <cell r="JW70">
            <v>18</v>
          </cell>
          <cell r="JX70">
            <v>13</v>
          </cell>
          <cell r="JY70">
            <v>75</v>
          </cell>
          <cell r="KA70">
            <v>0</v>
          </cell>
          <cell r="KB70">
            <v>0</v>
          </cell>
          <cell r="KC70">
            <v>13.000000000000002</v>
          </cell>
          <cell r="KD70">
            <v>93</v>
          </cell>
          <cell r="KF70">
            <v>0</v>
          </cell>
          <cell r="KG70">
            <v>0</v>
          </cell>
          <cell r="KH70">
            <v>0</v>
          </cell>
          <cell r="KI70">
            <v>18</v>
          </cell>
          <cell r="KK70">
            <v>0</v>
          </cell>
          <cell r="KL70">
            <v>18</v>
          </cell>
          <cell r="KM70">
            <v>13.000000000000002</v>
          </cell>
          <cell r="KN70">
            <v>75</v>
          </cell>
          <cell r="KP70">
            <v>0</v>
          </cell>
          <cell r="KQ70">
            <v>0</v>
          </cell>
          <cell r="KR70">
            <v>0</v>
          </cell>
          <cell r="KT70">
            <v>0</v>
          </cell>
          <cell r="KV70">
            <v>0</v>
          </cell>
          <cell r="KW70">
            <v>0</v>
          </cell>
          <cell r="KX70">
            <v>0</v>
          </cell>
          <cell r="KZ70">
            <v>0</v>
          </cell>
          <cell r="LA70">
            <v>0</v>
          </cell>
          <cell r="LB70">
            <v>0</v>
          </cell>
          <cell r="LD70">
            <v>0</v>
          </cell>
          <cell r="LF70">
            <v>0</v>
          </cell>
          <cell r="LG70">
            <v>0</v>
          </cell>
          <cell r="LH70">
            <v>0</v>
          </cell>
          <cell r="LJ70">
            <v>0</v>
          </cell>
          <cell r="LK70">
            <v>0</v>
          </cell>
          <cell r="LL70">
            <v>0</v>
          </cell>
          <cell r="LN70">
            <v>0</v>
          </cell>
          <cell r="LP70">
            <v>0</v>
          </cell>
          <cell r="LQ70">
            <v>0</v>
          </cell>
          <cell r="LR70">
            <v>0</v>
          </cell>
          <cell r="LT70" t="str">
            <v>840-Entity</v>
          </cell>
        </row>
        <row r="71">
          <cell r="B71">
            <v>476.69000000000005</v>
          </cell>
          <cell r="C71">
            <v>530</v>
          </cell>
          <cell r="D71">
            <v>173991.85000000003</v>
          </cell>
          <cell r="E71">
            <v>193450</v>
          </cell>
          <cell r="F71">
            <v>0.89941509433962286</v>
          </cell>
          <cell r="G71">
            <v>0.89941509433962286</v>
          </cell>
          <cell r="H71">
            <v>8.0999999999999989E-2</v>
          </cell>
          <cell r="I71">
            <v>1.0682714896814312</v>
          </cell>
          <cell r="J71">
            <v>20.500029999999999</v>
          </cell>
          <cell r="K71">
            <v>10.49971</v>
          </cell>
          <cell r="L71">
            <v>80.203970000000012</v>
          </cell>
          <cell r="M71">
            <v>0.999</v>
          </cell>
          <cell r="N71">
            <v>36.797289999999997</v>
          </cell>
          <cell r="O71">
            <v>0</v>
          </cell>
          <cell r="P71">
            <v>1114.5500000000002</v>
          </cell>
          <cell r="Q71">
            <v>787.82999999999993</v>
          </cell>
          <cell r="R71">
            <v>454</v>
          </cell>
          <cell r="S71">
            <v>212.07999999999996</v>
          </cell>
          <cell r="T71">
            <v>883.96999999999991</v>
          </cell>
          <cell r="U71">
            <v>0</v>
          </cell>
          <cell r="W71">
            <v>478.50547945205477</v>
          </cell>
          <cell r="X71">
            <v>530</v>
          </cell>
          <cell r="Y71">
            <v>174654.5</v>
          </cell>
          <cell r="Z71">
            <v>193450</v>
          </cell>
          <cell r="AA71">
            <v>0.90284052726802799</v>
          </cell>
          <cell r="AB71">
            <v>0.90284052726802799</v>
          </cell>
          <cell r="AC71">
            <v>8.0999999999999989E-2</v>
          </cell>
          <cell r="AD71">
            <v>1.1009027122843371</v>
          </cell>
          <cell r="AE71">
            <v>18.428779084560801</v>
          </cell>
          <cell r="AF71">
            <v>12.675319841662503</v>
          </cell>
          <cell r="AG71">
            <v>85.878516830014533</v>
          </cell>
          <cell r="AH71">
            <v>3.110302437495875</v>
          </cell>
          <cell r="AI71">
            <v>31.97958564651206</v>
          </cell>
          <cell r="AJ71">
            <v>0</v>
          </cell>
          <cell r="AK71">
            <v>1132.4629447882444</v>
          </cell>
          <cell r="AL71">
            <v>770.76063675933472</v>
          </cell>
          <cell r="AM71">
            <v>484.65778891234601</v>
          </cell>
          <cell r="AN71">
            <v>378.01415367682603</v>
          </cell>
          <cell r="AO71">
            <v>831.05153689966812</v>
          </cell>
          <cell r="AP71">
            <v>0</v>
          </cell>
          <cell r="AR71">
            <v>479.32</v>
          </cell>
          <cell r="AS71">
            <v>530</v>
          </cell>
          <cell r="AT71">
            <v>175431.12000000002</v>
          </cell>
          <cell r="AU71">
            <v>193980</v>
          </cell>
          <cell r="AV71">
            <v>0.90437735849056622</v>
          </cell>
          <cell r="AW71">
            <v>0.90437735849056622</v>
          </cell>
          <cell r="AX71">
            <v>3.7777777777777785E-2</v>
          </cell>
          <cell r="AY71">
            <v>1.1255931235583945</v>
          </cell>
          <cell r="AZ71">
            <v>19.902049999999999</v>
          </cell>
          <cell r="BA71">
            <v>13.112570000000003</v>
          </cell>
          <cell r="BB71">
            <v>85.765340000000023</v>
          </cell>
          <cell r="BC71">
            <v>3.70024</v>
          </cell>
          <cell r="BD71">
            <v>30.016120000000001</v>
          </cell>
          <cell r="BE71">
            <v>0</v>
          </cell>
          <cell r="BF71">
            <v>1141.54</v>
          </cell>
          <cell r="BG71">
            <v>797.06</v>
          </cell>
          <cell r="BH71">
            <v>495.12000000000006</v>
          </cell>
          <cell r="BI71">
            <v>229.99999999999997</v>
          </cell>
          <cell r="BJ71">
            <v>880.31</v>
          </cell>
          <cell r="BK71">
            <v>0</v>
          </cell>
          <cell r="BM71">
            <v>1</v>
          </cell>
          <cell r="BN71">
            <v>0</v>
          </cell>
          <cell r="BO71">
            <v>3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</v>
          </cell>
          <cell r="CK71">
            <v>24</v>
          </cell>
          <cell r="CL71">
            <v>18</v>
          </cell>
          <cell r="CM71">
            <v>1</v>
          </cell>
          <cell r="CN71">
            <v>0</v>
          </cell>
          <cell r="CO71">
            <v>0</v>
          </cell>
          <cell r="CP71">
            <v>0</v>
          </cell>
          <cell r="CQ71">
            <v>5</v>
          </cell>
          <cell r="CR71">
            <v>0</v>
          </cell>
          <cell r="CS71">
            <v>13.999999999999998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H71">
            <v>68</v>
          </cell>
          <cell r="DJ71">
            <v>1</v>
          </cell>
          <cell r="DK71">
            <v>0</v>
          </cell>
          <cell r="DL71">
            <v>3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2</v>
          </cell>
          <cell r="EH71">
            <v>24</v>
          </cell>
          <cell r="EI71">
            <v>18</v>
          </cell>
          <cell r="EJ71">
            <v>1</v>
          </cell>
          <cell r="EK71">
            <v>0</v>
          </cell>
          <cell r="EL71">
            <v>0</v>
          </cell>
          <cell r="EM71">
            <v>0</v>
          </cell>
          <cell r="EN71">
            <v>5</v>
          </cell>
          <cell r="EO71">
            <v>0</v>
          </cell>
          <cell r="EP71">
            <v>13.999999999999998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E71">
            <v>68</v>
          </cell>
          <cell r="FG71">
            <v>2</v>
          </cell>
          <cell r="FH71">
            <v>0</v>
          </cell>
          <cell r="FI71">
            <v>1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24</v>
          </cell>
          <cell r="GF71">
            <v>18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4</v>
          </cell>
          <cell r="GL71">
            <v>1</v>
          </cell>
          <cell r="GM71">
            <v>13.000000000000002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B71">
            <v>63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Q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F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  <cell r="IL71">
            <v>0</v>
          </cell>
          <cell r="IM71">
            <v>0</v>
          </cell>
          <cell r="IN71">
            <v>0</v>
          </cell>
          <cell r="IO71">
            <v>0</v>
          </cell>
          <cell r="IP71">
            <v>0</v>
          </cell>
          <cell r="IQ71">
            <v>0</v>
          </cell>
          <cell r="IR71">
            <v>0</v>
          </cell>
          <cell r="IS71">
            <v>0</v>
          </cell>
          <cell r="IU71">
            <v>0</v>
          </cell>
          <cell r="IW71">
            <v>19</v>
          </cell>
          <cell r="IX71">
            <v>78.000000000000014</v>
          </cell>
          <cell r="IY71">
            <v>15</v>
          </cell>
          <cell r="IZ71">
            <v>93</v>
          </cell>
          <cell r="JB71">
            <v>5</v>
          </cell>
          <cell r="JC71">
            <v>13.999999999999998</v>
          </cell>
          <cell r="JD71">
            <v>2</v>
          </cell>
          <cell r="JE71">
            <v>18</v>
          </cell>
          <cell r="JG71">
            <v>7</v>
          </cell>
          <cell r="JH71">
            <v>32</v>
          </cell>
          <cell r="JI71">
            <v>27</v>
          </cell>
          <cell r="JJ71">
            <v>139</v>
          </cell>
          <cell r="JL71">
            <v>19</v>
          </cell>
          <cell r="JM71">
            <v>78.000000000000014</v>
          </cell>
          <cell r="JN71">
            <v>15</v>
          </cell>
          <cell r="JO71">
            <v>93</v>
          </cell>
          <cell r="JQ71">
            <v>5</v>
          </cell>
          <cell r="JR71">
            <v>13.999999999999998</v>
          </cell>
          <cell r="JS71">
            <v>2</v>
          </cell>
          <cell r="JT71">
            <v>18</v>
          </cell>
          <cell r="JV71">
            <v>7</v>
          </cell>
          <cell r="JW71">
            <v>32</v>
          </cell>
          <cell r="JX71">
            <v>27</v>
          </cell>
          <cell r="JY71">
            <v>139</v>
          </cell>
          <cell r="KA71">
            <v>17.999999999999996</v>
          </cell>
          <cell r="KB71">
            <v>77</v>
          </cell>
          <cell r="KC71">
            <v>13.000000000000002</v>
          </cell>
          <cell r="KD71">
            <v>93</v>
          </cell>
          <cell r="KF71">
            <v>4</v>
          </cell>
          <cell r="KG71">
            <v>13.000000000000002</v>
          </cell>
          <cell r="KH71">
            <v>0</v>
          </cell>
          <cell r="KI71">
            <v>18</v>
          </cell>
          <cell r="KK71">
            <v>4</v>
          </cell>
          <cell r="KL71">
            <v>31</v>
          </cell>
          <cell r="KM71">
            <v>27</v>
          </cell>
          <cell r="KN71">
            <v>139</v>
          </cell>
          <cell r="KP71">
            <v>0</v>
          </cell>
          <cell r="KQ71">
            <v>0</v>
          </cell>
          <cell r="KR71">
            <v>0</v>
          </cell>
          <cell r="KT71">
            <v>0</v>
          </cell>
          <cell r="KV71">
            <v>0</v>
          </cell>
          <cell r="KW71">
            <v>0</v>
          </cell>
          <cell r="KX71">
            <v>0</v>
          </cell>
          <cell r="KZ71">
            <v>0</v>
          </cell>
          <cell r="LA71">
            <v>0</v>
          </cell>
          <cell r="LB71">
            <v>0</v>
          </cell>
          <cell r="LD71">
            <v>0</v>
          </cell>
          <cell r="LF71">
            <v>0</v>
          </cell>
          <cell r="LG71">
            <v>0</v>
          </cell>
          <cell r="LH71">
            <v>0</v>
          </cell>
          <cell r="LJ71">
            <v>0</v>
          </cell>
          <cell r="LK71">
            <v>0</v>
          </cell>
          <cell r="LL71">
            <v>0</v>
          </cell>
          <cell r="LN71">
            <v>0</v>
          </cell>
          <cell r="LP71">
            <v>0</v>
          </cell>
          <cell r="LQ71">
            <v>0</v>
          </cell>
          <cell r="LR71">
            <v>0</v>
          </cell>
          <cell r="LT71" t="str">
            <v>Albright-Albright</v>
          </cell>
        </row>
        <row r="72">
          <cell r="B72">
            <v>476.69000000000005</v>
          </cell>
          <cell r="C72">
            <v>530</v>
          </cell>
          <cell r="D72">
            <v>173991.85000000003</v>
          </cell>
          <cell r="E72">
            <v>193450</v>
          </cell>
          <cell r="F72">
            <v>0.89941509433962286</v>
          </cell>
          <cell r="G72">
            <v>0.89941509433962286</v>
          </cell>
          <cell r="H72">
            <v>8.0999999999999989E-2</v>
          </cell>
          <cell r="I72">
            <v>1.0682714896814312</v>
          </cell>
          <cell r="J72">
            <v>20.500029999999999</v>
          </cell>
          <cell r="K72">
            <v>10.49971</v>
          </cell>
          <cell r="L72">
            <v>80.203970000000012</v>
          </cell>
          <cell r="M72">
            <v>0.999</v>
          </cell>
          <cell r="N72">
            <v>36.797289999999997</v>
          </cell>
          <cell r="O72">
            <v>0</v>
          </cell>
          <cell r="P72">
            <v>1114.5500000000002</v>
          </cell>
          <cell r="Q72">
            <v>787.82999999999993</v>
          </cell>
          <cell r="R72">
            <v>454</v>
          </cell>
          <cell r="S72">
            <v>212.07999999999996</v>
          </cell>
          <cell r="T72">
            <v>883.96999999999991</v>
          </cell>
          <cell r="U72">
            <v>0</v>
          </cell>
          <cell r="W72">
            <v>478.50547945205477</v>
          </cell>
          <cell r="X72">
            <v>530</v>
          </cell>
          <cell r="Y72">
            <v>174654.5</v>
          </cell>
          <cell r="Z72">
            <v>193450</v>
          </cell>
          <cell r="AA72">
            <v>0.90284052726802799</v>
          </cell>
          <cell r="AB72">
            <v>0.90284052726802799</v>
          </cell>
          <cell r="AC72">
            <v>8.0999999999999989E-2</v>
          </cell>
          <cell r="AD72">
            <v>1.1009027122843371</v>
          </cell>
          <cell r="AE72">
            <v>18.428779084560801</v>
          </cell>
          <cell r="AF72">
            <v>12.675319841662503</v>
          </cell>
          <cell r="AG72">
            <v>85.878516830014533</v>
          </cell>
          <cell r="AH72">
            <v>3.110302437495875</v>
          </cell>
          <cell r="AI72">
            <v>31.97958564651206</v>
          </cell>
          <cell r="AJ72">
            <v>0</v>
          </cell>
          <cell r="AK72">
            <v>1132.4629447882444</v>
          </cell>
          <cell r="AL72">
            <v>770.76063675933472</v>
          </cell>
          <cell r="AM72">
            <v>484.65778891234601</v>
          </cell>
          <cell r="AN72">
            <v>378.01415367682603</v>
          </cell>
          <cell r="AO72">
            <v>831.05153689966812</v>
          </cell>
          <cell r="AP72">
            <v>0</v>
          </cell>
          <cell r="AR72">
            <v>479.32</v>
          </cell>
          <cell r="AS72">
            <v>530</v>
          </cell>
          <cell r="AT72">
            <v>175431.12000000002</v>
          </cell>
          <cell r="AU72">
            <v>193980</v>
          </cell>
          <cell r="AV72">
            <v>0.90437735849056622</v>
          </cell>
          <cell r="AW72">
            <v>0.90437735849056622</v>
          </cell>
          <cell r="AX72">
            <v>3.7777777777777785E-2</v>
          </cell>
          <cell r="AY72">
            <v>1.1255931235583945</v>
          </cell>
          <cell r="AZ72">
            <v>19.902049999999999</v>
          </cell>
          <cell r="BA72">
            <v>13.112570000000003</v>
          </cell>
          <cell r="BB72">
            <v>85.765340000000023</v>
          </cell>
          <cell r="BC72">
            <v>3.70024</v>
          </cell>
          <cell r="BD72">
            <v>30.016120000000001</v>
          </cell>
          <cell r="BE72">
            <v>0</v>
          </cell>
          <cell r="BF72">
            <v>1141.54</v>
          </cell>
          <cell r="BG72">
            <v>797.06</v>
          </cell>
          <cell r="BH72">
            <v>495.12000000000006</v>
          </cell>
          <cell r="BI72">
            <v>229.99999999999997</v>
          </cell>
          <cell r="BJ72">
            <v>880.31</v>
          </cell>
          <cell r="BK72">
            <v>0</v>
          </cell>
          <cell r="BM72">
            <v>1</v>
          </cell>
          <cell r="BN72">
            <v>0</v>
          </cell>
          <cell r="BO72">
            <v>3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2</v>
          </cell>
          <cell r="CK72">
            <v>24</v>
          </cell>
          <cell r="CL72">
            <v>18</v>
          </cell>
          <cell r="CM72">
            <v>1</v>
          </cell>
          <cell r="CN72">
            <v>0</v>
          </cell>
          <cell r="CO72">
            <v>0</v>
          </cell>
          <cell r="CP72">
            <v>0</v>
          </cell>
          <cell r="CQ72">
            <v>5</v>
          </cell>
          <cell r="CR72">
            <v>0</v>
          </cell>
          <cell r="CS72">
            <v>13.999999999999998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H72">
            <v>68</v>
          </cell>
          <cell r="DJ72">
            <v>1</v>
          </cell>
          <cell r="DK72">
            <v>0</v>
          </cell>
          <cell r="DL72">
            <v>3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2</v>
          </cell>
          <cell r="EH72">
            <v>24</v>
          </cell>
          <cell r="EI72">
            <v>18</v>
          </cell>
          <cell r="EJ72">
            <v>1</v>
          </cell>
          <cell r="EK72">
            <v>0</v>
          </cell>
          <cell r="EL72">
            <v>0</v>
          </cell>
          <cell r="EM72">
            <v>0</v>
          </cell>
          <cell r="EN72">
            <v>5</v>
          </cell>
          <cell r="EO72">
            <v>0</v>
          </cell>
          <cell r="EP72">
            <v>13.999999999999998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E72">
            <v>68</v>
          </cell>
          <cell r="FG72">
            <v>2</v>
          </cell>
          <cell r="FH72">
            <v>0</v>
          </cell>
          <cell r="FI72">
            <v>1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24</v>
          </cell>
          <cell r="GF72">
            <v>18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4</v>
          </cell>
          <cell r="GL72">
            <v>1</v>
          </cell>
          <cell r="GM72">
            <v>13.000000000000002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B72">
            <v>63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Q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F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  <cell r="IS72">
            <v>0</v>
          </cell>
          <cell r="IU72">
            <v>0</v>
          </cell>
          <cell r="IW72">
            <v>19</v>
          </cell>
          <cell r="IX72">
            <v>78.000000000000014</v>
          </cell>
          <cell r="IY72">
            <v>15</v>
          </cell>
          <cell r="IZ72">
            <v>93</v>
          </cell>
          <cell r="JB72">
            <v>5</v>
          </cell>
          <cell r="JC72">
            <v>13.999999999999998</v>
          </cell>
          <cell r="JD72">
            <v>2</v>
          </cell>
          <cell r="JE72">
            <v>18</v>
          </cell>
          <cell r="JG72">
            <v>7</v>
          </cell>
          <cell r="JH72">
            <v>32</v>
          </cell>
          <cell r="JI72">
            <v>27</v>
          </cell>
          <cell r="JJ72">
            <v>139</v>
          </cell>
          <cell r="JL72">
            <v>19</v>
          </cell>
          <cell r="JM72">
            <v>78.000000000000014</v>
          </cell>
          <cell r="JN72">
            <v>15</v>
          </cell>
          <cell r="JO72">
            <v>93</v>
          </cell>
          <cell r="JQ72">
            <v>5</v>
          </cell>
          <cell r="JR72">
            <v>13.999999999999998</v>
          </cell>
          <cell r="JS72">
            <v>2</v>
          </cell>
          <cell r="JT72">
            <v>18</v>
          </cell>
          <cell r="JV72">
            <v>7</v>
          </cell>
          <cell r="JW72">
            <v>32</v>
          </cell>
          <cell r="JX72">
            <v>27</v>
          </cell>
          <cell r="JY72">
            <v>139</v>
          </cell>
          <cell r="KA72">
            <v>17.999999999999996</v>
          </cell>
          <cell r="KB72">
            <v>77</v>
          </cell>
          <cell r="KC72">
            <v>13.000000000000002</v>
          </cell>
          <cell r="KD72">
            <v>93</v>
          </cell>
          <cell r="KF72">
            <v>4</v>
          </cell>
          <cell r="KG72">
            <v>13.000000000000002</v>
          </cell>
          <cell r="KH72">
            <v>0</v>
          </cell>
          <cell r="KI72">
            <v>18</v>
          </cell>
          <cell r="KK72">
            <v>4</v>
          </cell>
          <cell r="KL72">
            <v>31</v>
          </cell>
          <cell r="KM72">
            <v>27</v>
          </cell>
          <cell r="KN72">
            <v>139</v>
          </cell>
          <cell r="KP72">
            <v>0</v>
          </cell>
          <cell r="KQ72">
            <v>0</v>
          </cell>
          <cell r="KR72">
            <v>0</v>
          </cell>
          <cell r="KT72">
            <v>0</v>
          </cell>
          <cell r="KV72">
            <v>0</v>
          </cell>
          <cell r="KW72">
            <v>0</v>
          </cell>
          <cell r="KX72">
            <v>0</v>
          </cell>
          <cell r="KZ72">
            <v>0</v>
          </cell>
          <cell r="LA72">
            <v>0</v>
          </cell>
          <cell r="LB72">
            <v>0</v>
          </cell>
          <cell r="LD72">
            <v>0</v>
          </cell>
          <cell r="LF72">
            <v>0</v>
          </cell>
          <cell r="LG72">
            <v>0</v>
          </cell>
          <cell r="LH72">
            <v>0</v>
          </cell>
          <cell r="LJ72">
            <v>0</v>
          </cell>
          <cell r="LK72">
            <v>0</v>
          </cell>
          <cell r="LL72">
            <v>0</v>
          </cell>
          <cell r="LN72">
            <v>0</v>
          </cell>
          <cell r="LP72">
            <v>0</v>
          </cell>
          <cell r="LQ72">
            <v>0</v>
          </cell>
          <cell r="LR72">
            <v>0</v>
          </cell>
          <cell r="LT72" t="str">
            <v>Albright (Consolidated)-Albright (Consolidated)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H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E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B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Q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F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L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Q73">
            <v>0</v>
          </cell>
          <cell r="IR73">
            <v>0</v>
          </cell>
          <cell r="IS73">
            <v>0</v>
          </cell>
          <cell r="IU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F73">
            <v>0</v>
          </cell>
          <cell r="KG73">
            <v>0</v>
          </cell>
          <cell r="KH73">
            <v>0</v>
          </cell>
          <cell r="KI73">
            <v>0</v>
          </cell>
          <cell r="KK73">
            <v>0</v>
          </cell>
          <cell r="KL73">
            <v>0</v>
          </cell>
          <cell r="KM73">
            <v>0</v>
          </cell>
          <cell r="KN73">
            <v>0</v>
          </cell>
          <cell r="KP73">
            <v>0</v>
          </cell>
          <cell r="KQ73">
            <v>0</v>
          </cell>
          <cell r="KR73">
            <v>0</v>
          </cell>
          <cell r="KT73">
            <v>0</v>
          </cell>
          <cell r="KV73">
            <v>0</v>
          </cell>
          <cell r="KW73">
            <v>0</v>
          </cell>
          <cell r="KX73">
            <v>0</v>
          </cell>
          <cell r="KZ73">
            <v>0</v>
          </cell>
          <cell r="LA73">
            <v>0</v>
          </cell>
          <cell r="LB73">
            <v>0</v>
          </cell>
          <cell r="LD73">
            <v>0</v>
          </cell>
          <cell r="LF73">
            <v>0</v>
          </cell>
          <cell r="LG73">
            <v>0</v>
          </cell>
          <cell r="LH73">
            <v>0</v>
          </cell>
          <cell r="LJ73">
            <v>0</v>
          </cell>
          <cell r="LK73">
            <v>0</v>
          </cell>
          <cell r="LL73">
            <v>0</v>
          </cell>
          <cell r="LN73">
            <v>0</v>
          </cell>
          <cell r="LP73">
            <v>0</v>
          </cell>
          <cell r="LQ73">
            <v>0</v>
          </cell>
          <cell r="LR73">
            <v>0</v>
          </cell>
          <cell r="LT73" t="str">
            <v>Top Level (Consolidated) (Only)-Top Level (Consolidated) (Only)</v>
          </cell>
        </row>
        <row r="74">
          <cell r="B74">
            <v>3189.9995890410951</v>
          </cell>
          <cell r="C74">
            <v>3519</v>
          </cell>
          <cell r="D74">
            <v>1164349.8500000001</v>
          </cell>
          <cell r="E74">
            <v>1284435</v>
          </cell>
          <cell r="F74">
            <v>0.90650741376558563</v>
          </cell>
          <cell r="G74">
            <v>0.90650741376558563</v>
          </cell>
          <cell r="H74">
            <v>6.2039215686274497E-2</v>
          </cell>
          <cell r="I74">
            <v>1.0122163213795343</v>
          </cell>
          <cell r="J74">
            <v>88.594032763333345</v>
          </cell>
          <cell r="K74">
            <v>55.070659650000003</v>
          </cell>
          <cell r="L74">
            <v>287.89534448999996</v>
          </cell>
          <cell r="M74">
            <v>2.6151626600000002</v>
          </cell>
          <cell r="N74">
            <v>228.14036769000003</v>
          </cell>
          <cell r="O74">
            <v>4.1706281000000009</v>
          </cell>
          <cell r="P74">
            <v>5445.05</v>
          </cell>
          <cell r="Q74">
            <v>3844.37</v>
          </cell>
          <cell r="R74">
            <v>1739.27</v>
          </cell>
          <cell r="S74">
            <v>1399.38</v>
          </cell>
          <cell r="T74">
            <v>5030.1000000000004</v>
          </cell>
          <cell r="U74">
            <v>489.06000000000006</v>
          </cell>
          <cell r="W74">
            <v>3048.4663109707781</v>
          </cell>
          <cell r="X74">
            <v>3521.8150959791319</v>
          </cell>
          <cell r="Y74">
            <v>1112692.6200000001</v>
          </cell>
          <cell r="Z74">
            <v>1285462</v>
          </cell>
          <cell r="AA74">
            <v>0.86559744278710693</v>
          </cell>
          <cell r="AB74">
            <v>0.86628955143701325</v>
          </cell>
          <cell r="AC74">
            <v>6.2039215686274497E-2</v>
          </cell>
          <cell r="AD74">
            <v>1.0256843939086768</v>
          </cell>
          <cell r="AE74">
            <v>66.230577562888683</v>
          </cell>
          <cell r="AF74">
            <v>38.2940606241471</v>
          </cell>
          <cell r="AG74">
            <v>284.9006545635271</v>
          </cell>
          <cell r="AH74">
            <v>6.8921280283218627</v>
          </cell>
          <cell r="AI74">
            <v>213.24390249640967</v>
          </cell>
          <cell r="AJ74">
            <v>11.753936315322573</v>
          </cell>
          <cell r="AK74">
            <v>5840.0420869404707</v>
          </cell>
          <cell r="AL74">
            <v>4467.9910554183061</v>
          </cell>
          <cell r="AM74">
            <v>1881.790070263643</v>
          </cell>
          <cell r="AN74">
            <v>1683.8955886006245</v>
          </cell>
          <cell r="AO74">
            <v>4752.5836529090511</v>
          </cell>
          <cell r="AP74">
            <v>564.46896895681391</v>
          </cell>
          <cell r="AR74">
            <v>2694.7918579234974</v>
          </cell>
          <cell r="AS74">
            <v>3518</v>
          </cell>
          <cell r="AT74">
            <v>986293.82</v>
          </cell>
          <cell r="AU74">
            <v>1287588</v>
          </cell>
          <cell r="AV74">
            <v>0.76600109662407534</v>
          </cell>
          <cell r="AW74">
            <v>0.76600109662407534</v>
          </cell>
          <cell r="AX74">
            <v>3.6323529411764706E-2</v>
          </cell>
          <cell r="AY74">
            <v>1.0062894017163655</v>
          </cell>
          <cell r="AZ74">
            <v>58.87461583333333</v>
          </cell>
          <cell r="BA74">
            <v>24.69734124999999</v>
          </cell>
          <cell r="BB74">
            <v>239.06259791666665</v>
          </cell>
          <cell r="BC74">
            <v>5.5413449999999997</v>
          </cell>
          <cell r="BD74">
            <v>176.21730500000001</v>
          </cell>
          <cell r="BE74">
            <v>2.7536495833333334</v>
          </cell>
          <cell r="BF74">
            <v>6151.93</v>
          </cell>
          <cell r="BG74">
            <v>4528.9900000000007</v>
          </cell>
          <cell r="BH74">
            <v>1851.35</v>
          </cell>
          <cell r="BI74">
            <v>894.36426661981352</v>
          </cell>
          <cell r="BJ74">
            <v>5135.88</v>
          </cell>
          <cell r="BK74">
            <v>509.78</v>
          </cell>
          <cell r="BM74">
            <v>1</v>
          </cell>
          <cell r="BN74">
            <v>1</v>
          </cell>
          <cell r="BO74">
            <v>3</v>
          </cell>
          <cell r="BP74">
            <v>0</v>
          </cell>
          <cell r="BQ74">
            <v>9</v>
          </cell>
          <cell r="BR74">
            <v>16</v>
          </cell>
          <cell r="BS74">
            <v>0</v>
          </cell>
          <cell r="BT74">
            <v>1</v>
          </cell>
          <cell r="BU74">
            <v>19</v>
          </cell>
          <cell r="BV74">
            <v>1</v>
          </cell>
          <cell r="BW74">
            <v>55.000000000000021</v>
          </cell>
          <cell r="BX74">
            <v>36</v>
          </cell>
          <cell r="BY74">
            <v>2</v>
          </cell>
          <cell r="BZ74">
            <v>1</v>
          </cell>
          <cell r="CA74">
            <v>13.000000000000002</v>
          </cell>
          <cell r="CB74">
            <v>32.000000000000007</v>
          </cell>
          <cell r="CC74">
            <v>19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6.9999999999999991</v>
          </cell>
          <cell r="CI74">
            <v>9</v>
          </cell>
          <cell r="CJ74">
            <v>2</v>
          </cell>
          <cell r="CK74">
            <v>24</v>
          </cell>
          <cell r="CL74">
            <v>18</v>
          </cell>
          <cell r="CM74">
            <v>1</v>
          </cell>
          <cell r="CN74">
            <v>1</v>
          </cell>
          <cell r="CO74">
            <v>0</v>
          </cell>
          <cell r="CP74">
            <v>20</v>
          </cell>
          <cell r="CQ74">
            <v>5</v>
          </cell>
          <cell r="CR74">
            <v>0</v>
          </cell>
          <cell r="CS74">
            <v>13.999999999999998</v>
          </cell>
          <cell r="CT74">
            <v>8</v>
          </cell>
          <cell r="CU74">
            <v>9</v>
          </cell>
          <cell r="CV74">
            <v>33.999999999999993</v>
          </cell>
          <cell r="CW74">
            <v>38</v>
          </cell>
          <cell r="CX74">
            <v>1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13.999999999999998</v>
          </cell>
          <cell r="DH74">
            <v>414</v>
          </cell>
          <cell r="DJ74">
            <v>1</v>
          </cell>
          <cell r="DK74">
            <v>1</v>
          </cell>
          <cell r="DL74">
            <v>3</v>
          </cell>
          <cell r="DM74">
            <v>0</v>
          </cell>
          <cell r="DN74">
            <v>9</v>
          </cell>
          <cell r="DO74">
            <v>16</v>
          </cell>
          <cell r="DP74">
            <v>0</v>
          </cell>
          <cell r="DQ74">
            <v>1</v>
          </cell>
          <cell r="DR74">
            <v>19</v>
          </cell>
          <cell r="DS74">
            <v>1</v>
          </cell>
          <cell r="DT74">
            <v>55.000000000000021</v>
          </cell>
          <cell r="DU74">
            <v>36</v>
          </cell>
          <cell r="DV74">
            <v>2</v>
          </cell>
          <cell r="DW74">
            <v>1</v>
          </cell>
          <cell r="DX74">
            <v>13.000000000000002</v>
          </cell>
          <cell r="DY74">
            <v>32.000000000000007</v>
          </cell>
          <cell r="DZ74">
            <v>19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6.9999999999999991</v>
          </cell>
          <cell r="EF74">
            <v>9</v>
          </cell>
          <cell r="EG74">
            <v>2</v>
          </cell>
          <cell r="EH74">
            <v>24</v>
          </cell>
          <cell r="EI74">
            <v>18</v>
          </cell>
          <cell r="EJ74">
            <v>1</v>
          </cell>
          <cell r="EK74">
            <v>1</v>
          </cell>
          <cell r="EL74">
            <v>0</v>
          </cell>
          <cell r="EM74">
            <v>20</v>
          </cell>
          <cell r="EN74">
            <v>5</v>
          </cell>
          <cell r="EO74">
            <v>0</v>
          </cell>
          <cell r="EP74">
            <v>13.999999999999998</v>
          </cell>
          <cell r="EQ74">
            <v>8</v>
          </cell>
          <cell r="ER74">
            <v>9</v>
          </cell>
          <cell r="ES74">
            <v>33.999999999999993</v>
          </cell>
          <cell r="ET74">
            <v>38</v>
          </cell>
          <cell r="EU74">
            <v>1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13.999999999999998</v>
          </cell>
          <cell r="FE74">
            <v>414</v>
          </cell>
          <cell r="FG74">
            <v>2</v>
          </cell>
          <cell r="FH74">
            <v>0</v>
          </cell>
          <cell r="FI74">
            <v>1</v>
          </cell>
          <cell r="FJ74">
            <v>0</v>
          </cell>
          <cell r="FK74">
            <v>12</v>
          </cell>
          <cell r="FL74">
            <v>15</v>
          </cell>
          <cell r="FM74">
            <v>0</v>
          </cell>
          <cell r="FN74">
            <v>1</v>
          </cell>
          <cell r="FO74">
            <v>19</v>
          </cell>
          <cell r="FP74">
            <v>1</v>
          </cell>
          <cell r="FQ74">
            <v>52.999999999999993</v>
          </cell>
          <cell r="FR74">
            <v>37</v>
          </cell>
          <cell r="FS74">
            <v>1</v>
          </cell>
          <cell r="FT74">
            <v>0</v>
          </cell>
          <cell r="FU74">
            <v>10</v>
          </cell>
          <cell r="FV74">
            <v>32</v>
          </cell>
          <cell r="FW74">
            <v>24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9</v>
          </cell>
          <cell r="GC74">
            <v>10</v>
          </cell>
          <cell r="GD74">
            <v>0</v>
          </cell>
          <cell r="GE74">
            <v>24</v>
          </cell>
          <cell r="GF74">
            <v>18</v>
          </cell>
          <cell r="GG74">
            <v>0</v>
          </cell>
          <cell r="GH74">
            <v>0</v>
          </cell>
          <cell r="GI74">
            <v>0</v>
          </cell>
          <cell r="GJ74">
            <v>23</v>
          </cell>
          <cell r="GK74">
            <v>4</v>
          </cell>
          <cell r="GL74">
            <v>1</v>
          </cell>
          <cell r="GM74">
            <v>13.000000000000002</v>
          </cell>
          <cell r="GN74">
            <v>6.9999999999999991</v>
          </cell>
          <cell r="GO74">
            <v>9</v>
          </cell>
          <cell r="GP74">
            <v>36</v>
          </cell>
          <cell r="GQ74">
            <v>46.999999999999993</v>
          </cell>
          <cell r="GR74">
            <v>0</v>
          </cell>
          <cell r="GS74">
            <v>0</v>
          </cell>
          <cell r="GT74">
            <v>0</v>
          </cell>
          <cell r="GU74">
            <v>1</v>
          </cell>
          <cell r="GV74">
            <v>2</v>
          </cell>
          <cell r="GW74">
            <v>2</v>
          </cell>
          <cell r="GX74">
            <v>1</v>
          </cell>
          <cell r="GY74">
            <v>2</v>
          </cell>
          <cell r="GZ74">
            <v>9</v>
          </cell>
          <cell r="HB74">
            <v>426</v>
          </cell>
          <cell r="HD74">
            <v>2</v>
          </cell>
          <cell r="HE74">
            <v>4</v>
          </cell>
          <cell r="HF74">
            <v>3</v>
          </cell>
          <cell r="HG74">
            <v>2</v>
          </cell>
          <cell r="HH74">
            <v>1</v>
          </cell>
          <cell r="HI74">
            <v>2</v>
          </cell>
          <cell r="HJ74">
            <v>2</v>
          </cell>
          <cell r="HK74">
            <v>1</v>
          </cell>
          <cell r="HL74">
            <v>3</v>
          </cell>
          <cell r="HM74">
            <v>1</v>
          </cell>
          <cell r="HN74">
            <v>13.999999999999998</v>
          </cell>
          <cell r="HO74">
            <v>3</v>
          </cell>
          <cell r="HQ74">
            <v>38</v>
          </cell>
          <cell r="HS74">
            <v>2</v>
          </cell>
          <cell r="HT74">
            <v>4</v>
          </cell>
          <cell r="HU74">
            <v>3</v>
          </cell>
          <cell r="HV74">
            <v>2</v>
          </cell>
          <cell r="HW74">
            <v>1</v>
          </cell>
          <cell r="HX74">
            <v>2</v>
          </cell>
          <cell r="HY74">
            <v>2</v>
          </cell>
          <cell r="HZ74">
            <v>1</v>
          </cell>
          <cell r="IA74">
            <v>3</v>
          </cell>
          <cell r="IB74">
            <v>1</v>
          </cell>
          <cell r="IC74">
            <v>13.999999999999998</v>
          </cell>
          <cell r="ID74">
            <v>3</v>
          </cell>
          <cell r="IF74">
            <v>38</v>
          </cell>
          <cell r="IH74">
            <v>2</v>
          </cell>
          <cell r="II74">
            <v>4</v>
          </cell>
          <cell r="IJ74">
            <v>3</v>
          </cell>
          <cell r="IK74">
            <v>2</v>
          </cell>
          <cell r="IL74">
            <v>1</v>
          </cell>
          <cell r="IM74">
            <v>2</v>
          </cell>
          <cell r="IN74">
            <v>2</v>
          </cell>
          <cell r="IO74">
            <v>1</v>
          </cell>
          <cell r="IP74">
            <v>3</v>
          </cell>
          <cell r="IQ74">
            <v>1</v>
          </cell>
          <cell r="IR74">
            <v>13.999999999999998</v>
          </cell>
          <cell r="IS74">
            <v>3</v>
          </cell>
          <cell r="IU74">
            <v>38</v>
          </cell>
          <cell r="IW74">
            <v>19</v>
          </cell>
          <cell r="IX74">
            <v>78.000000000000014</v>
          </cell>
          <cell r="IY74">
            <v>15</v>
          </cell>
          <cell r="IZ74">
            <v>93</v>
          </cell>
          <cell r="JB74">
            <v>5</v>
          </cell>
          <cell r="JC74">
            <v>13.999999999999998</v>
          </cell>
          <cell r="JD74">
            <v>2</v>
          </cell>
          <cell r="JE74">
            <v>18</v>
          </cell>
          <cell r="JG74">
            <v>7</v>
          </cell>
          <cell r="JH74">
            <v>32</v>
          </cell>
          <cell r="JI74">
            <v>27</v>
          </cell>
          <cell r="JJ74">
            <v>139</v>
          </cell>
          <cell r="JL74">
            <v>19</v>
          </cell>
          <cell r="JM74">
            <v>78.000000000000014</v>
          </cell>
          <cell r="JN74">
            <v>15</v>
          </cell>
          <cell r="JO74">
            <v>93</v>
          </cell>
          <cell r="JQ74">
            <v>5</v>
          </cell>
          <cell r="JR74">
            <v>13.999999999999998</v>
          </cell>
          <cell r="JS74">
            <v>2</v>
          </cell>
          <cell r="JT74">
            <v>18</v>
          </cell>
          <cell r="JV74">
            <v>7</v>
          </cell>
          <cell r="JW74">
            <v>32</v>
          </cell>
          <cell r="JX74">
            <v>27</v>
          </cell>
          <cell r="JY74">
            <v>139</v>
          </cell>
          <cell r="KA74">
            <v>17.999999999999996</v>
          </cell>
          <cell r="KB74">
            <v>77</v>
          </cell>
          <cell r="KC74">
            <v>13.000000000000002</v>
          </cell>
          <cell r="KD74">
            <v>93</v>
          </cell>
          <cell r="KF74">
            <v>4</v>
          </cell>
          <cell r="KG74">
            <v>13.000000000000002</v>
          </cell>
          <cell r="KH74">
            <v>0</v>
          </cell>
          <cell r="KI74">
            <v>18</v>
          </cell>
          <cell r="KK74">
            <v>4</v>
          </cell>
          <cell r="KL74">
            <v>31</v>
          </cell>
          <cell r="KM74">
            <v>27</v>
          </cell>
          <cell r="KN74">
            <v>139</v>
          </cell>
          <cell r="KP74">
            <v>10.999999999999998</v>
          </cell>
          <cell r="KQ74">
            <v>39.000000000000007</v>
          </cell>
          <cell r="KR74">
            <v>6</v>
          </cell>
          <cell r="KT74">
            <v>19</v>
          </cell>
          <cell r="KV74">
            <v>10.999999999999998</v>
          </cell>
          <cell r="KW74">
            <v>20.000000000000007</v>
          </cell>
          <cell r="KX74">
            <v>6</v>
          </cell>
          <cell r="KZ74">
            <v>10.999999999999998</v>
          </cell>
          <cell r="LA74">
            <v>39.000000000000007</v>
          </cell>
          <cell r="LB74">
            <v>6</v>
          </cell>
          <cell r="LD74">
            <v>19</v>
          </cell>
          <cell r="LF74">
            <v>10.999999999999998</v>
          </cell>
          <cell r="LG74">
            <v>20.000000000000007</v>
          </cell>
          <cell r="LH74">
            <v>6</v>
          </cell>
          <cell r="LJ74">
            <v>11</v>
          </cell>
          <cell r="LK74">
            <v>39.000000000000007</v>
          </cell>
          <cell r="LL74">
            <v>6</v>
          </cell>
          <cell r="LN74">
            <v>19</v>
          </cell>
          <cell r="LP74">
            <v>11</v>
          </cell>
          <cell r="LQ74">
            <v>20.000000000000007</v>
          </cell>
          <cell r="LR74">
            <v>6</v>
          </cell>
          <cell r="LT74" t="str">
            <v>Top Level (Consolidated)-Top Level (Consolidated)</v>
          </cell>
        </row>
      </sheetData>
      <sheetData sheetId="33"/>
      <sheetData sheetId="34"/>
      <sheetData sheetId="35">
        <row r="1">
          <cell r="B1" t="str">
            <v>2023Budget</v>
          </cell>
          <cell r="C1" t="str">
            <v>2023FC 9+3</v>
          </cell>
          <cell r="D1" t="str">
            <v>2024Budget</v>
          </cell>
        </row>
        <row r="2">
          <cell r="I2" t="str">
            <v>x'OC-Raise'!$B$7:$D$54</v>
          </cell>
        </row>
        <row r="3">
          <cell r="I3" t="str">
            <v>x'OC-Raise'!$F$7:$F$54</v>
          </cell>
        </row>
      </sheetData>
      <sheetData sheetId="36" refreshError="1"/>
      <sheetData sheetId="37">
        <row r="1">
          <cell r="B1" t="str">
            <v>44927FC 9+3SNF Census - Medicare A</v>
          </cell>
          <cell r="C1" t="str">
            <v>44958FC 9+3SNF Census - Medicare A</v>
          </cell>
          <cell r="D1" t="str">
            <v>44986FC 9+3SNF Census - Medicare A</v>
          </cell>
          <cell r="E1" t="str">
            <v>45017FC 9+3SNF Census - Medicare A</v>
          </cell>
          <cell r="F1" t="str">
            <v>45047FC 9+3SNF Census - Medicare A</v>
          </cell>
          <cell r="G1" t="str">
            <v>45078FC 9+3SNF Census - Medicare A</v>
          </cell>
          <cell r="H1" t="str">
            <v>45108FC 9+3SNF Census - Medicare A</v>
          </cell>
          <cell r="I1" t="str">
            <v>45139FC 9+3SNF Census - Medicare A</v>
          </cell>
          <cell r="J1" t="str">
            <v>45170FC 9+3SNF Census - Medicare A</v>
          </cell>
          <cell r="K1" t="str">
            <v>45200FC 9+3SNF Census - Medicare A</v>
          </cell>
          <cell r="L1" t="str">
            <v>45231FC 9+3SNF Census - Medicare A</v>
          </cell>
          <cell r="M1" t="str">
            <v>45261FC 9+3SNF Census - Medicare A</v>
          </cell>
          <cell r="N1" t="str">
            <v>45292BudgetSNF Census - Medicare A</v>
          </cell>
          <cell r="O1" t="str">
            <v>45323BudgetSNF Census - Medicare A</v>
          </cell>
          <cell r="P1" t="str">
            <v>45352BudgetSNF Census - Medicare A</v>
          </cell>
          <cell r="Q1" t="str">
            <v>45383BudgetSNF Census - Medicare A</v>
          </cell>
          <cell r="R1" t="str">
            <v>45413BudgetSNF Census - Medicare A</v>
          </cell>
          <cell r="S1" t="str">
            <v>45444BudgetSNF Census - Medicare A</v>
          </cell>
          <cell r="T1" t="str">
            <v>45474BudgetSNF Census - Medicare A</v>
          </cell>
          <cell r="U1" t="str">
            <v>45505BudgetSNF Census - Medicare A</v>
          </cell>
          <cell r="V1" t="str">
            <v>45536BudgetSNF Census - Medicare A</v>
          </cell>
          <cell r="W1" t="str">
            <v>45566BudgetSNF Census - Medicare A</v>
          </cell>
          <cell r="X1" t="str">
            <v>45597BudgetSNF Census - Medicare A</v>
          </cell>
          <cell r="Y1" t="str">
            <v>45627BudgetSNF Census - Medicare A</v>
          </cell>
          <cell r="AA1" t="str">
            <v>44927FC 9+3SNF Census - Medicare Advantage</v>
          </cell>
          <cell r="AB1" t="str">
            <v>44958FC 9+3SNF Census - Medicare Advantage</v>
          </cell>
          <cell r="AC1" t="str">
            <v>44986FC 9+3SNF Census - Medicare Advantage</v>
          </cell>
          <cell r="AD1" t="str">
            <v>45017FC 9+3SNF Census - Medicare Advantage</v>
          </cell>
          <cell r="AE1" t="str">
            <v>45047FC 9+3SNF Census - Medicare Advantage</v>
          </cell>
          <cell r="AF1" t="str">
            <v>45078FC 9+3SNF Census - Medicare Advantage</v>
          </cell>
          <cell r="AG1" t="str">
            <v>45108FC 9+3SNF Census - Medicare Advantage</v>
          </cell>
          <cell r="AH1" t="str">
            <v>45139FC 9+3SNF Census - Medicare Advantage</v>
          </cell>
          <cell r="AI1" t="str">
            <v>45170FC 9+3SNF Census - Medicare Advantage</v>
          </cell>
          <cell r="AJ1" t="str">
            <v>45200FC 9+3SNF Census - Medicare Advantage</v>
          </cell>
          <cell r="AK1" t="str">
            <v>45231FC 9+3SNF Census - Medicare Advantage</v>
          </cell>
          <cell r="AL1" t="str">
            <v>45261FC 9+3SNF Census - Medicare Advantage</v>
          </cell>
          <cell r="AM1" t="str">
            <v>45292BudgetSNF Census - Medicare Advantage</v>
          </cell>
          <cell r="AN1" t="str">
            <v>45323BudgetSNF Census - Medicare Advantage</v>
          </cell>
          <cell r="AO1" t="str">
            <v>45352BudgetSNF Census - Medicare Advantage</v>
          </cell>
          <cell r="AP1" t="str">
            <v>45383BudgetSNF Census - Medicare Advantage</v>
          </cell>
          <cell r="AQ1" t="str">
            <v>45413BudgetSNF Census - Medicare Advantage</v>
          </cell>
          <cell r="AR1" t="str">
            <v>45444BudgetSNF Census - Medicare Advantage</v>
          </cell>
          <cell r="AS1" t="str">
            <v>45474BudgetSNF Census - Medicare Advantage</v>
          </cell>
          <cell r="AT1" t="str">
            <v>45505BudgetSNF Census - Medicare Advantage</v>
          </cell>
          <cell r="AU1" t="str">
            <v>45536BudgetSNF Census - Medicare Advantage</v>
          </cell>
          <cell r="AV1" t="str">
            <v>45566BudgetSNF Census - Medicare Advantage</v>
          </cell>
          <cell r="AW1" t="str">
            <v>45597BudgetSNF Census - Medicare Advantage</v>
          </cell>
          <cell r="AX1" t="str">
            <v>45627BudgetSNF Census - Medicare Advantage</v>
          </cell>
          <cell r="AZ1" t="str">
            <v>44927FC 9+3SNF Census - Medicaid</v>
          </cell>
          <cell r="BA1" t="str">
            <v>44958FC 9+3SNF Census - Medicaid</v>
          </cell>
          <cell r="BB1" t="str">
            <v>44986FC 9+3SNF Census - Medicaid</v>
          </cell>
          <cell r="BC1" t="str">
            <v>45017FC 9+3SNF Census - Medicaid</v>
          </cell>
          <cell r="BD1" t="str">
            <v>45047FC 9+3SNF Census - Medicaid</v>
          </cell>
          <cell r="BE1" t="str">
            <v>45078FC 9+3SNF Census - Medicaid</v>
          </cell>
          <cell r="BF1" t="str">
            <v>45108FC 9+3SNF Census - Medicaid</v>
          </cell>
          <cell r="BG1" t="str">
            <v>45139FC 9+3SNF Census - Medicaid</v>
          </cell>
          <cell r="BH1" t="str">
            <v>45170FC 9+3SNF Census - Medicaid</v>
          </cell>
          <cell r="BI1" t="str">
            <v>45200FC 9+3SNF Census - Medicaid</v>
          </cell>
          <cell r="BJ1" t="str">
            <v>45231FC 9+3SNF Census - Medicaid</v>
          </cell>
          <cell r="BK1" t="str">
            <v>45261FC 9+3SNF Census - Medicaid</v>
          </cell>
          <cell r="BL1" t="str">
            <v>45292BudgetSNF Census - Medicaid</v>
          </cell>
          <cell r="BM1" t="str">
            <v>45323BudgetSNF Census - Medicaid</v>
          </cell>
          <cell r="BN1" t="str">
            <v>45352BudgetSNF Census - Medicaid</v>
          </cell>
          <cell r="BO1" t="str">
            <v>45383BudgetSNF Census - Medicaid</v>
          </cell>
          <cell r="BP1" t="str">
            <v>45413BudgetSNF Census - Medicaid</v>
          </cell>
          <cell r="BQ1" t="str">
            <v>45444BudgetSNF Census - Medicaid</v>
          </cell>
          <cell r="BR1" t="str">
            <v>45474BudgetSNF Census - Medicaid</v>
          </cell>
          <cell r="BS1" t="str">
            <v>45505BudgetSNF Census - Medicaid</v>
          </cell>
          <cell r="BT1" t="str">
            <v>45536BudgetSNF Census - Medicaid</v>
          </cell>
          <cell r="BU1" t="str">
            <v>45566BudgetSNF Census - Medicaid</v>
          </cell>
          <cell r="BV1" t="str">
            <v>45597BudgetSNF Census - Medicaid</v>
          </cell>
          <cell r="BW1" t="str">
            <v>45627BudgetSNF Census - Medicaid</v>
          </cell>
          <cell r="BY1" t="str">
            <v>44927FC 9+3SNF Census - Insurance</v>
          </cell>
          <cell r="BZ1" t="str">
            <v>44958FC 9+3SNF Census - Insurance</v>
          </cell>
          <cell r="CA1" t="str">
            <v>44986FC 9+3SNF Census - Insurance</v>
          </cell>
          <cell r="CB1" t="str">
            <v>45017FC 9+3SNF Census - Insurance</v>
          </cell>
          <cell r="CC1" t="str">
            <v>45047FC 9+3SNF Census - Insurance</v>
          </cell>
          <cell r="CD1" t="str">
            <v>45078FC 9+3SNF Census - Insurance</v>
          </cell>
          <cell r="CE1" t="str">
            <v>45108FC 9+3SNF Census - Insurance</v>
          </cell>
          <cell r="CF1" t="str">
            <v>45139FC 9+3SNF Census - Insurance</v>
          </cell>
          <cell r="CG1" t="str">
            <v>45170FC 9+3SNF Census - Insurance</v>
          </cell>
          <cell r="CH1" t="str">
            <v>45200FC 9+3SNF Census - Insurance</v>
          </cell>
          <cell r="CI1" t="str">
            <v>45231FC 9+3SNF Census - Insurance</v>
          </cell>
          <cell r="CJ1" t="str">
            <v>45261FC 9+3SNF Census - Insurance</v>
          </cell>
          <cell r="CK1" t="str">
            <v>45292BudgetSNF Census - Insurance</v>
          </cell>
          <cell r="CL1" t="str">
            <v>45323BudgetSNF Census - Insurance</v>
          </cell>
          <cell r="CM1" t="str">
            <v>45352BudgetSNF Census - Insurance</v>
          </cell>
          <cell r="CN1" t="str">
            <v>45383BudgetSNF Census - Insurance</v>
          </cell>
          <cell r="CO1" t="str">
            <v>45413BudgetSNF Census - Insurance</v>
          </cell>
          <cell r="CP1" t="str">
            <v>45444BudgetSNF Census - Insurance</v>
          </cell>
          <cell r="CQ1" t="str">
            <v>45474BudgetSNF Census - Insurance</v>
          </cell>
          <cell r="CR1" t="str">
            <v>45505BudgetSNF Census - Insurance</v>
          </cell>
          <cell r="CS1" t="str">
            <v>45536BudgetSNF Census - Insurance</v>
          </cell>
          <cell r="CT1" t="str">
            <v>45566BudgetSNF Census - Insurance</v>
          </cell>
          <cell r="CU1" t="str">
            <v>45597BudgetSNF Census - Insurance</v>
          </cell>
          <cell r="CV1" t="str">
            <v>45627BudgetSNF Census - Insurance</v>
          </cell>
          <cell r="CX1" t="str">
            <v>44927FC 9+3SNF Census - Private Pay</v>
          </cell>
          <cell r="CY1" t="str">
            <v>44958FC 9+3SNF Census - Private Pay</v>
          </cell>
          <cell r="CZ1" t="str">
            <v>44986FC 9+3SNF Census - Private Pay</v>
          </cell>
          <cell r="DA1" t="str">
            <v>45017FC 9+3SNF Census - Private Pay</v>
          </cell>
          <cell r="DB1" t="str">
            <v>45047FC 9+3SNF Census - Private Pay</v>
          </cell>
          <cell r="DC1" t="str">
            <v>45078FC 9+3SNF Census - Private Pay</v>
          </cell>
          <cell r="DD1" t="str">
            <v>45108FC 9+3SNF Census - Private Pay</v>
          </cell>
          <cell r="DE1" t="str">
            <v>45139FC 9+3SNF Census - Private Pay</v>
          </cell>
          <cell r="DF1" t="str">
            <v>45170FC 9+3SNF Census - Private Pay</v>
          </cell>
          <cell r="DG1" t="str">
            <v>45200FC 9+3SNF Census - Private Pay</v>
          </cell>
          <cell r="DH1" t="str">
            <v>45231FC 9+3SNF Census - Private Pay</v>
          </cell>
          <cell r="DI1" t="str">
            <v>45261FC 9+3SNF Census - Private Pay</v>
          </cell>
          <cell r="DJ1" t="str">
            <v>45292BudgetSNF Census - Private Pay</v>
          </cell>
          <cell r="DK1" t="str">
            <v>45323BudgetSNF Census - Private Pay</v>
          </cell>
          <cell r="DL1" t="str">
            <v>45352BudgetSNF Census - Private Pay</v>
          </cell>
          <cell r="DM1" t="str">
            <v>45383BudgetSNF Census - Private Pay</v>
          </cell>
          <cell r="DN1" t="str">
            <v>45413BudgetSNF Census - Private Pay</v>
          </cell>
          <cell r="DO1" t="str">
            <v>45444BudgetSNF Census - Private Pay</v>
          </cell>
          <cell r="DP1" t="str">
            <v>45474BudgetSNF Census - Private Pay</v>
          </cell>
          <cell r="DQ1" t="str">
            <v>45505BudgetSNF Census - Private Pay</v>
          </cell>
          <cell r="DR1" t="str">
            <v>45536BudgetSNF Census - Private Pay</v>
          </cell>
          <cell r="DS1" t="str">
            <v>45566BudgetSNF Census - Private Pay</v>
          </cell>
          <cell r="DT1" t="str">
            <v>45597BudgetSNF Census - Private Pay</v>
          </cell>
          <cell r="DU1" t="str">
            <v>45627BudgetSNF Census - Private Pay</v>
          </cell>
          <cell r="DW1" t="str">
            <v>44927FC 9+3SNF Census - Hospice</v>
          </cell>
          <cell r="DX1" t="str">
            <v>44958FC 9+3SNF Census - Hospice</v>
          </cell>
          <cell r="DY1" t="str">
            <v>44986FC 9+3SNF Census - Hospice</v>
          </cell>
          <cell r="DZ1" t="str">
            <v>45017FC 9+3SNF Census - Hospice</v>
          </cell>
          <cell r="EA1" t="str">
            <v>45047FC 9+3SNF Census - Hospice</v>
          </cell>
          <cell r="EB1" t="str">
            <v>45078FC 9+3SNF Census - Hospice</v>
          </cell>
          <cell r="EC1" t="str">
            <v>45108FC 9+3SNF Census - Hospice</v>
          </cell>
          <cell r="ED1" t="str">
            <v>45139FC 9+3SNF Census - Hospice</v>
          </cell>
          <cell r="EE1" t="str">
            <v>45170FC 9+3SNF Census - Hospice</v>
          </cell>
          <cell r="EF1" t="str">
            <v>45200FC 9+3SNF Census - Hospice</v>
          </cell>
          <cell r="EG1" t="str">
            <v>45231FC 9+3SNF Census - Hospice</v>
          </cell>
          <cell r="EH1" t="str">
            <v>45261FC 9+3SNF Census - Hospice</v>
          </cell>
          <cell r="EI1" t="str">
            <v>45292BudgetSNF Census - Hospice</v>
          </cell>
          <cell r="EJ1" t="str">
            <v>45323BudgetSNF Census - Hospice</v>
          </cell>
          <cell r="EK1" t="str">
            <v>45352BudgetSNF Census - Hospice</v>
          </cell>
          <cell r="EL1" t="str">
            <v>45383BudgetSNF Census - Hospice</v>
          </cell>
          <cell r="EM1" t="str">
            <v>45413BudgetSNF Census - Hospice</v>
          </cell>
          <cell r="EN1" t="str">
            <v>45444BudgetSNF Census - Hospice</v>
          </cell>
          <cell r="EO1" t="str">
            <v>45474BudgetSNF Census - Hospice</v>
          </cell>
          <cell r="EP1" t="str">
            <v>45505BudgetSNF Census - Hospice</v>
          </cell>
          <cell r="EQ1" t="str">
            <v>45536BudgetSNF Census - Hospice</v>
          </cell>
          <cell r="ER1" t="str">
            <v>45566BudgetSNF Census - Hospice</v>
          </cell>
          <cell r="ES1" t="str">
            <v>45597BudgetSNF Census - Hospice</v>
          </cell>
          <cell r="ET1" t="str">
            <v>45627BudgetSNF Census - Hospice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V9" t="str">
            <v>660-21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V10" t="str">
            <v>660-22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V11" t="str">
            <v>660-31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V12" t="str">
            <v>660-52</v>
          </cell>
        </row>
        <row r="13">
          <cell r="B13">
            <v>2.5161290322580578</v>
          </cell>
          <cell r="C13">
            <v>2.3214285714285801</v>
          </cell>
          <cell r="D13">
            <v>2.2903225806451575</v>
          </cell>
          <cell r="E13">
            <v>3.2999999999999972</v>
          </cell>
          <cell r="F13">
            <v>2.5806451612903212</v>
          </cell>
          <cell r="G13">
            <v>7.2333333333333254</v>
          </cell>
          <cell r="H13">
            <v>2.3225806451612976</v>
          </cell>
          <cell r="I13">
            <v>2.0322580645161357</v>
          </cell>
          <cell r="J13">
            <v>6.0000000000000098</v>
          </cell>
          <cell r="K13">
            <v>5.2</v>
          </cell>
          <cell r="L13">
            <v>5.3999999999999995</v>
          </cell>
          <cell r="M13">
            <v>5.76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AA13">
            <v>6.8709677419354893</v>
          </cell>
          <cell r="AB13">
            <v>8.9642857142857242</v>
          </cell>
          <cell r="AC13">
            <v>9.8709677419354769</v>
          </cell>
          <cell r="AD13">
            <v>8.7333333333333361</v>
          </cell>
          <cell r="AE13">
            <v>5.5806451612903256</v>
          </cell>
          <cell r="AF13">
            <v>5.8666666666666671</v>
          </cell>
          <cell r="AG13">
            <v>8.870967741935484</v>
          </cell>
          <cell r="AH13">
            <v>5.2903225806451548</v>
          </cell>
          <cell r="AI13">
            <v>7.5333333333333403</v>
          </cell>
          <cell r="AJ13">
            <v>7.8</v>
          </cell>
          <cell r="AK13">
            <v>9.6</v>
          </cell>
          <cell r="AL13">
            <v>10.24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Y13">
            <v>0.48387096774193278</v>
          </cell>
          <cell r="BZ13">
            <v>0.499999999999996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X13">
            <v>7.9032258064516157</v>
          </cell>
          <cell r="CY13">
            <v>7.2142857142857189</v>
          </cell>
          <cell r="CZ13">
            <v>7.322580645161282</v>
          </cell>
          <cell r="DA13">
            <v>8.9666666666666668</v>
          </cell>
          <cell r="DB13">
            <v>10.87096774193548</v>
          </cell>
          <cell r="DC13">
            <v>7.5000000000000089</v>
          </cell>
          <cell r="DD13">
            <v>7.9032258064516059</v>
          </cell>
          <cell r="DE13">
            <v>8.4838709677419359</v>
          </cell>
          <cell r="DF13">
            <v>13.000000000000011</v>
          </cell>
          <cell r="DG13">
            <v>13</v>
          </cell>
          <cell r="DH13">
            <v>15</v>
          </cell>
          <cell r="DI13">
            <v>16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V13" t="str">
            <v>660-61</v>
          </cell>
        </row>
        <row r="14">
          <cell r="B14">
            <v>0</v>
          </cell>
          <cell r="C14">
            <v>1.21428571428571</v>
          </cell>
          <cell r="D14">
            <v>3.5806451612903269</v>
          </cell>
          <cell r="E14">
            <v>2.9333333333333416</v>
          </cell>
          <cell r="F14">
            <v>1.709677419354841</v>
          </cell>
          <cell r="G14">
            <v>0.43333333333333768</v>
          </cell>
          <cell r="H14">
            <v>0.38709677419354699</v>
          </cell>
          <cell r="I14">
            <v>1.0967741935483883</v>
          </cell>
          <cell r="J14">
            <v>0.60000000000000053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A14">
            <v>5.7419354838709671</v>
          </cell>
          <cell r="AB14">
            <v>5.7500000000000071</v>
          </cell>
          <cell r="AC14">
            <v>4.6451612903225765</v>
          </cell>
          <cell r="AD14">
            <v>3.7333333333333263</v>
          </cell>
          <cell r="AE14">
            <v>1.1290322580645145</v>
          </cell>
          <cell r="AF14">
            <v>1.5333333333333301</v>
          </cell>
          <cell r="AG14">
            <v>2.6774193548387117</v>
          </cell>
          <cell r="AH14">
            <v>0.12903225806452079</v>
          </cell>
          <cell r="AI14">
            <v>0.66666666666666785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X14">
            <v>8.129032258064516</v>
          </cell>
          <cell r="CY14">
            <v>7.9642857142857117</v>
          </cell>
          <cell r="CZ14">
            <v>8.5806451612903203</v>
          </cell>
          <cell r="DA14">
            <v>10.9</v>
          </cell>
          <cell r="DB14">
            <v>9.32258064516129</v>
          </cell>
          <cell r="DC14">
            <v>7.4</v>
          </cell>
          <cell r="DD14">
            <v>7.9354838709677411</v>
          </cell>
          <cell r="DE14">
            <v>8.3225806451612954</v>
          </cell>
          <cell r="DF14">
            <v>2.9333333333333318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V14" t="str">
            <v>660-62</v>
          </cell>
        </row>
        <row r="15">
          <cell r="B15">
            <v>2.5161290322580578</v>
          </cell>
          <cell r="C15">
            <v>3.53571428571429</v>
          </cell>
          <cell r="D15">
            <v>5.870967741935484</v>
          </cell>
          <cell r="E15">
            <v>6.2333333333333387</v>
          </cell>
          <cell r="F15">
            <v>4.2903225806451619</v>
          </cell>
          <cell r="G15">
            <v>7.6666666666666634</v>
          </cell>
          <cell r="H15">
            <v>2.7096774193548447</v>
          </cell>
          <cell r="I15">
            <v>3.129032258064524</v>
          </cell>
          <cell r="J15">
            <v>6.6000000000000103</v>
          </cell>
          <cell r="K15">
            <v>5.2</v>
          </cell>
          <cell r="L15">
            <v>5.3999999999999995</v>
          </cell>
          <cell r="M15">
            <v>5.76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>
            <v>12.612903225806456</v>
          </cell>
          <cell r="AB15">
            <v>14.714285714285731</v>
          </cell>
          <cell r="AC15">
            <v>14.516129032258052</v>
          </cell>
          <cell r="AD15">
            <v>12.46666666666666</v>
          </cell>
          <cell r="AE15">
            <v>6.7096774193548399</v>
          </cell>
          <cell r="AF15">
            <v>7.3999999999999968</v>
          </cell>
          <cell r="AG15">
            <v>11.548387096774196</v>
          </cell>
          <cell r="AH15">
            <v>5.4193548387096753</v>
          </cell>
          <cell r="AI15">
            <v>8.2000000000000082</v>
          </cell>
          <cell r="AJ15">
            <v>7.8</v>
          </cell>
          <cell r="AK15">
            <v>9.6</v>
          </cell>
          <cell r="AL15">
            <v>10.24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Y15">
            <v>0.48387096774193278</v>
          </cell>
          <cell r="BZ15">
            <v>0.499999999999996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X15">
            <v>16.032258064516132</v>
          </cell>
          <cell r="CY15">
            <v>15.178571428571431</v>
          </cell>
          <cell r="CZ15">
            <v>15.9032258064516</v>
          </cell>
          <cell r="DA15">
            <v>19.866666666666667</v>
          </cell>
          <cell r="DB15">
            <v>20.193548387096769</v>
          </cell>
          <cell r="DC15">
            <v>14.900000000000009</v>
          </cell>
          <cell r="DD15">
            <v>15.838709677419349</v>
          </cell>
          <cell r="DE15">
            <v>16.806451612903231</v>
          </cell>
          <cell r="DF15">
            <v>15.933333333333342</v>
          </cell>
          <cell r="DG15">
            <v>13</v>
          </cell>
          <cell r="DH15">
            <v>15</v>
          </cell>
          <cell r="DI15">
            <v>16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V15" t="str">
            <v>660-Entity</v>
          </cell>
        </row>
        <row r="16">
          <cell r="B16">
            <v>1.1290322580645189</v>
          </cell>
          <cell r="C16">
            <v>1.7857142857142569</v>
          </cell>
          <cell r="D16">
            <v>2.6451612903225539</v>
          </cell>
          <cell r="E16">
            <v>0.53333333333332456</v>
          </cell>
          <cell r="F16">
            <v>3.5806451612903034</v>
          </cell>
          <cell r="G16">
            <v>1.4666666666666708</v>
          </cell>
          <cell r="H16">
            <v>9.677419354840644E-2</v>
          </cell>
          <cell r="I16">
            <v>0.16129032258065551</v>
          </cell>
          <cell r="J16">
            <v>1.3999999999999859</v>
          </cell>
          <cell r="K16">
            <v>1.8</v>
          </cell>
          <cell r="L16">
            <v>2.13</v>
          </cell>
          <cell r="M16">
            <v>2.4850000000000003</v>
          </cell>
          <cell r="N16">
            <v>2.4548000000000001</v>
          </cell>
          <cell r="O16">
            <v>2.4548000000000001</v>
          </cell>
          <cell r="P16">
            <v>2.4548000000000001</v>
          </cell>
          <cell r="Q16">
            <v>2.4548000000000001</v>
          </cell>
          <cell r="R16">
            <v>2.4548000000000001</v>
          </cell>
          <cell r="S16">
            <v>2.4548000000000001</v>
          </cell>
          <cell r="T16">
            <v>2.4999800000000003</v>
          </cell>
          <cell r="U16">
            <v>2.4999800000000003</v>
          </cell>
          <cell r="V16">
            <v>2.4999800000000003</v>
          </cell>
          <cell r="W16">
            <v>2.4999800000000003</v>
          </cell>
          <cell r="X16">
            <v>2.4999800000000003</v>
          </cell>
          <cell r="Y16">
            <v>2.4999800000000003</v>
          </cell>
          <cell r="AA16">
            <v>1.290322580645185</v>
          </cell>
          <cell r="AB16">
            <v>1.3214285714285501</v>
          </cell>
          <cell r="AC16">
            <v>0</v>
          </cell>
          <cell r="AD16">
            <v>1.8000000000000065</v>
          </cell>
          <cell r="AE16">
            <v>3.0322580645160979</v>
          </cell>
          <cell r="AF16">
            <v>2.2666666666666462</v>
          </cell>
          <cell r="AG16">
            <v>0.67741935483869764</v>
          </cell>
          <cell r="AH16">
            <v>0.35483870967739878</v>
          </cell>
          <cell r="AI16">
            <v>0</v>
          </cell>
          <cell r="AJ16">
            <v>0.72</v>
          </cell>
          <cell r="AK16">
            <v>1.42</v>
          </cell>
          <cell r="AL16">
            <v>1.7749999999999999</v>
          </cell>
          <cell r="AM16">
            <v>1.97828</v>
          </cell>
          <cell r="AN16">
            <v>1.97828</v>
          </cell>
          <cell r="AO16">
            <v>1.97828</v>
          </cell>
          <cell r="AP16">
            <v>1.97828</v>
          </cell>
          <cell r="AQ16">
            <v>1.97828</v>
          </cell>
          <cell r="AR16">
            <v>1.97828</v>
          </cell>
          <cell r="AS16">
            <v>1.9999</v>
          </cell>
          <cell r="AT16">
            <v>1.9999</v>
          </cell>
          <cell r="AU16">
            <v>1.9999</v>
          </cell>
          <cell r="AV16">
            <v>1.9999</v>
          </cell>
          <cell r="AW16">
            <v>1.9999</v>
          </cell>
          <cell r="AX16">
            <v>1.9999</v>
          </cell>
          <cell r="AZ16">
            <v>28.870967741935495</v>
          </cell>
          <cell r="BA16">
            <v>30.500000000000028</v>
          </cell>
          <cell r="BB16">
            <v>31.225806451612911</v>
          </cell>
          <cell r="BC16">
            <v>31.999999999999975</v>
          </cell>
          <cell r="BD16">
            <v>31.999999999999982</v>
          </cell>
          <cell r="BE16">
            <v>32.066666666666649</v>
          </cell>
          <cell r="BF16">
            <v>34.000000000000014</v>
          </cell>
          <cell r="BG16">
            <v>33.41935483870968</v>
          </cell>
          <cell r="BH16">
            <v>32.700000000000031</v>
          </cell>
          <cell r="BI16">
            <v>31.68</v>
          </cell>
          <cell r="BJ16">
            <v>29.465</v>
          </cell>
          <cell r="BK16">
            <v>28.4</v>
          </cell>
          <cell r="BL16">
            <v>28.002770000000002</v>
          </cell>
          <cell r="BM16">
            <v>28.002770000000002</v>
          </cell>
          <cell r="BN16">
            <v>28.002770000000002</v>
          </cell>
          <cell r="BO16">
            <v>28.002770000000002</v>
          </cell>
          <cell r="BP16">
            <v>28.002770000000002</v>
          </cell>
          <cell r="BQ16">
            <v>28.002770000000002</v>
          </cell>
          <cell r="BR16">
            <v>28</v>
          </cell>
          <cell r="BS16">
            <v>28</v>
          </cell>
          <cell r="BT16">
            <v>28</v>
          </cell>
          <cell r="BU16">
            <v>28</v>
          </cell>
          <cell r="BV16">
            <v>28</v>
          </cell>
          <cell r="BW16">
            <v>28</v>
          </cell>
          <cell r="BY16">
            <v>0</v>
          </cell>
          <cell r="BZ16">
            <v>0.71428571428570287</v>
          </cell>
          <cell r="CA16">
            <v>0.51612903225809836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X16">
            <v>40.612903225806477</v>
          </cell>
          <cell r="CY16">
            <v>39.392857142857167</v>
          </cell>
          <cell r="CZ16">
            <v>38.354838709677395</v>
          </cell>
          <cell r="DA16">
            <v>37.733333333333363</v>
          </cell>
          <cell r="DB16">
            <v>36.064516129032242</v>
          </cell>
          <cell r="DC16">
            <v>38.633333333333368</v>
          </cell>
          <cell r="DD16">
            <v>38.999999999999986</v>
          </cell>
          <cell r="DE16">
            <v>38.322580645161302</v>
          </cell>
          <cell r="DF16">
            <v>37.59999999999998</v>
          </cell>
          <cell r="DG16">
            <v>37.799999999999997</v>
          </cell>
          <cell r="DH16">
            <v>37.984999999999999</v>
          </cell>
          <cell r="DI16">
            <v>38.340000000000003</v>
          </cell>
          <cell r="DJ16">
            <v>39.764150000000001</v>
          </cell>
          <cell r="DK16">
            <v>39.764150000000001</v>
          </cell>
          <cell r="DL16">
            <v>39.764150000000001</v>
          </cell>
          <cell r="DM16">
            <v>39.764150000000001</v>
          </cell>
          <cell r="DN16">
            <v>39.764150000000001</v>
          </cell>
          <cell r="DO16">
            <v>39.764150000000001</v>
          </cell>
          <cell r="DP16">
            <v>37.498999999999995</v>
          </cell>
          <cell r="DQ16">
            <v>37.498999999999995</v>
          </cell>
          <cell r="DR16">
            <v>37.498999999999995</v>
          </cell>
          <cell r="DS16">
            <v>37.498999999999995</v>
          </cell>
          <cell r="DT16">
            <v>37.498999999999995</v>
          </cell>
          <cell r="DU16">
            <v>37.498999999999995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V16" t="str">
            <v>324-61</v>
          </cell>
        </row>
        <row r="17">
          <cell r="B17">
            <v>9.0000000000000178</v>
          </cell>
          <cell r="C17">
            <v>4.0357142857142296</v>
          </cell>
          <cell r="D17">
            <v>9.5161290322581102</v>
          </cell>
          <cell r="E17">
            <v>5.6000000000000494</v>
          </cell>
          <cell r="F17">
            <v>1.806451612903156</v>
          </cell>
          <cell r="G17">
            <v>2.0666666666667082</v>
          </cell>
          <cell r="H17">
            <v>3.4838709677418849</v>
          </cell>
          <cell r="I17">
            <v>7.8709677419355417</v>
          </cell>
          <cell r="J17">
            <v>8.1333333333333719</v>
          </cell>
          <cell r="K17">
            <v>5.4402799999999996</v>
          </cell>
          <cell r="L17">
            <v>4.1841549999999996</v>
          </cell>
          <cell r="M17">
            <v>3.4991999999999996</v>
          </cell>
          <cell r="N17">
            <v>3.1996799999999999</v>
          </cell>
          <cell r="O17">
            <v>2.8798849999999998</v>
          </cell>
          <cell r="P17">
            <v>2.8796999999999997</v>
          </cell>
          <cell r="Q17">
            <v>2.8794449999999996</v>
          </cell>
          <cell r="R17">
            <v>2.8791200000000003</v>
          </cell>
          <cell r="S17">
            <v>2.8791200000000003</v>
          </cell>
          <cell r="T17">
            <v>2.8791200000000003</v>
          </cell>
          <cell r="U17">
            <v>2.8791200000000003</v>
          </cell>
          <cell r="V17">
            <v>2.8791200000000003</v>
          </cell>
          <cell r="W17">
            <v>2.8791200000000003</v>
          </cell>
          <cell r="X17">
            <v>2.8791200000000003</v>
          </cell>
          <cell r="Y17">
            <v>2.8791200000000003</v>
          </cell>
          <cell r="AA17">
            <v>2.0967741935483724</v>
          </cell>
          <cell r="AB17">
            <v>1.3928571428571459</v>
          </cell>
          <cell r="AC17">
            <v>2.0967741935483284</v>
          </cell>
          <cell r="AD17">
            <v>0.59999999999994913</v>
          </cell>
          <cell r="AE17">
            <v>0.74193548387092634</v>
          </cell>
          <cell r="AF17">
            <v>9.9999999999986364E-2</v>
          </cell>
          <cell r="AG17">
            <v>0.54838709677415554</v>
          </cell>
          <cell r="AH17">
            <v>0.99999999999996003</v>
          </cell>
          <cell r="AI17">
            <v>0.69999999999997731</v>
          </cell>
          <cell r="AJ17">
            <v>0.49444500000000002</v>
          </cell>
          <cell r="AK17">
            <v>0.69759500000000008</v>
          </cell>
          <cell r="AL17">
            <v>0.69984000000000002</v>
          </cell>
          <cell r="AM17">
            <v>0.72</v>
          </cell>
          <cell r="AN17">
            <v>0.71960999999999997</v>
          </cell>
          <cell r="AO17">
            <v>0.71919999999999995</v>
          </cell>
          <cell r="AP17">
            <v>0.720225</v>
          </cell>
          <cell r="AQ17">
            <v>0.71978000000000009</v>
          </cell>
          <cell r="AR17">
            <v>0.71978000000000009</v>
          </cell>
          <cell r="AS17">
            <v>0.71978000000000009</v>
          </cell>
          <cell r="AT17">
            <v>0.71978000000000009</v>
          </cell>
          <cell r="AU17">
            <v>0.71978000000000009</v>
          </cell>
          <cell r="AV17">
            <v>0.71978000000000009</v>
          </cell>
          <cell r="AW17">
            <v>0.71978000000000009</v>
          </cell>
          <cell r="AX17">
            <v>0.71978000000000009</v>
          </cell>
          <cell r="AZ17">
            <v>77.322580645161267</v>
          </cell>
          <cell r="BA17">
            <v>86.321428571428541</v>
          </cell>
          <cell r="BB17">
            <v>89.322580645161281</v>
          </cell>
          <cell r="BC17">
            <v>90.699999999999918</v>
          </cell>
          <cell r="BD17">
            <v>91.709677419354861</v>
          </cell>
          <cell r="BE17">
            <v>88.633333333333397</v>
          </cell>
          <cell r="BF17">
            <v>88.741935483871003</v>
          </cell>
          <cell r="BG17">
            <v>83.032258064516157</v>
          </cell>
          <cell r="BH17">
            <v>80.566666666666677</v>
          </cell>
          <cell r="BI17">
            <v>83.978089999999995</v>
          </cell>
          <cell r="BJ17">
            <v>88.966709999999992</v>
          </cell>
          <cell r="BK17">
            <v>90.673919999999995</v>
          </cell>
          <cell r="BL17">
            <v>90.990719999999996</v>
          </cell>
          <cell r="BM17">
            <v>91.89622</v>
          </cell>
          <cell r="BN17">
            <v>91.896649999999994</v>
          </cell>
          <cell r="BO17">
            <v>91.896344999999997</v>
          </cell>
          <cell r="BP17">
            <v>91.877799999999993</v>
          </cell>
          <cell r="BQ17">
            <v>91.877799999999993</v>
          </cell>
          <cell r="BR17">
            <v>91.877799999999993</v>
          </cell>
          <cell r="BS17">
            <v>91.877799999999993</v>
          </cell>
          <cell r="BT17">
            <v>91.877799999999993</v>
          </cell>
          <cell r="BU17">
            <v>91.877799999999993</v>
          </cell>
          <cell r="BV17">
            <v>91.877799999999993</v>
          </cell>
          <cell r="BW17">
            <v>91.877799999999993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3.2258064516059518E-2</v>
          </cell>
          <cell r="CD17">
            <v>0.26666666666667649</v>
          </cell>
          <cell r="CE17">
            <v>1.322580645161257</v>
          </cell>
          <cell r="CF17">
            <v>9.6774193548455997E-2</v>
          </cell>
          <cell r="CG17">
            <v>0.53333333333340183</v>
          </cell>
          <cell r="CH17">
            <v>1.6024449999999999</v>
          </cell>
          <cell r="CI17">
            <v>1.6244200000000002</v>
          </cell>
          <cell r="CJ17">
            <v>1.6415999999999999</v>
          </cell>
          <cell r="CK17">
            <v>1.84032</v>
          </cell>
          <cell r="CL17">
            <v>1.84093</v>
          </cell>
          <cell r="CM17">
            <v>1.8414999999999999</v>
          </cell>
          <cell r="CN17">
            <v>1.8420300000000001</v>
          </cell>
          <cell r="CO17">
            <v>1.8410599999999999</v>
          </cell>
          <cell r="CP17">
            <v>1.8410599999999999</v>
          </cell>
          <cell r="CQ17">
            <v>1.8410599999999999</v>
          </cell>
          <cell r="CR17">
            <v>1.8410599999999999</v>
          </cell>
          <cell r="CS17">
            <v>1.8410599999999999</v>
          </cell>
          <cell r="CT17">
            <v>1.8410599999999999</v>
          </cell>
          <cell r="CU17">
            <v>1.8410599999999999</v>
          </cell>
          <cell r="CV17">
            <v>1.8410599999999999</v>
          </cell>
          <cell r="CX17">
            <v>46.483870967741929</v>
          </cell>
          <cell r="CY17">
            <v>45.571428571428569</v>
          </cell>
          <cell r="CZ17">
            <v>40.741935483871032</v>
          </cell>
          <cell r="DA17">
            <v>42.500000000000057</v>
          </cell>
          <cell r="DB17">
            <v>43.290322580645181</v>
          </cell>
          <cell r="DC17">
            <v>43.766666666666708</v>
          </cell>
          <cell r="DD17">
            <v>42.967741935483907</v>
          </cell>
          <cell r="DE17">
            <v>44.387096774193616</v>
          </cell>
          <cell r="DF17">
            <v>45.000000000000043</v>
          </cell>
          <cell r="DG17">
            <v>43.522239999999996</v>
          </cell>
          <cell r="DH17">
            <v>42.839125000000003</v>
          </cell>
          <cell r="DI17">
            <v>44.487359999999995</v>
          </cell>
          <cell r="DJ17">
            <v>44.496000000000002</v>
          </cell>
          <cell r="DK17">
            <v>44.409185000000001</v>
          </cell>
          <cell r="DL17">
            <v>44.909399999999998</v>
          </cell>
          <cell r="DM17">
            <v>45.409094999999994</v>
          </cell>
          <cell r="DN17">
            <v>45.930139999999994</v>
          </cell>
          <cell r="DO17">
            <v>45.930139999999994</v>
          </cell>
          <cell r="DP17">
            <v>45.930139999999994</v>
          </cell>
          <cell r="DQ17">
            <v>45.930139999999994</v>
          </cell>
          <cell r="DR17">
            <v>45.930139999999994</v>
          </cell>
          <cell r="DS17">
            <v>45.930139999999994</v>
          </cell>
          <cell r="DT17">
            <v>45.930139999999994</v>
          </cell>
          <cell r="DU17">
            <v>45.930139999999994</v>
          </cell>
          <cell r="DW17">
            <v>4.4838709677419422</v>
          </cell>
          <cell r="DX17">
            <v>2.9999999999999631</v>
          </cell>
          <cell r="DY17">
            <v>2.9999999999999627</v>
          </cell>
          <cell r="DZ17">
            <v>3.3000000000000056</v>
          </cell>
          <cell r="EA17">
            <v>4.0000000000000169</v>
          </cell>
          <cell r="EB17">
            <v>4.0000000000000089</v>
          </cell>
          <cell r="EC17">
            <v>4.0000000000000471</v>
          </cell>
          <cell r="ED17">
            <v>4.6129032258064004</v>
          </cell>
          <cell r="EE17">
            <v>3.7666666666666559</v>
          </cell>
          <cell r="EF17">
            <v>3.4625000000000004</v>
          </cell>
          <cell r="EG17">
            <v>3.1879950000000004</v>
          </cell>
          <cell r="EH17">
            <v>2.9995200000000004</v>
          </cell>
          <cell r="EI17">
            <v>2.7532800000000002</v>
          </cell>
          <cell r="EJ17">
            <v>2.7541699999999998</v>
          </cell>
          <cell r="EK17">
            <v>2.7535500000000002</v>
          </cell>
          <cell r="EL17">
            <v>2.7543149999999996</v>
          </cell>
          <cell r="EM17">
            <v>2.7535599999999998</v>
          </cell>
          <cell r="EN17">
            <v>2.7535599999999998</v>
          </cell>
          <cell r="EO17">
            <v>2.7535599999999998</v>
          </cell>
          <cell r="EP17">
            <v>2.7535599999999998</v>
          </cell>
          <cell r="EQ17">
            <v>2.7535599999999998</v>
          </cell>
          <cell r="ER17">
            <v>2.7535599999999998</v>
          </cell>
          <cell r="ES17">
            <v>2.7535599999999998</v>
          </cell>
          <cell r="ET17">
            <v>2.7535599999999998</v>
          </cell>
          <cell r="EV17" t="str">
            <v>100-61</v>
          </cell>
        </row>
        <row r="18">
          <cell r="B18">
            <v>26.129032258064505</v>
          </cell>
          <cell r="C18">
            <v>23.285714285714302</v>
          </cell>
          <cell r="D18">
            <v>25.010261352684385</v>
          </cell>
          <cell r="E18">
            <v>23.933333333333337</v>
          </cell>
          <cell r="F18">
            <v>23.580645161290334</v>
          </cell>
          <cell r="G18">
            <v>25.366666666666667</v>
          </cell>
          <cell r="H18">
            <v>25.709677419354858</v>
          </cell>
          <cell r="I18">
            <v>25.967741935483868</v>
          </cell>
          <cell r="J18">
            <v>24.29999999999999</v>
          </cell>
          <cell r="K18">
            <v>27.200016000000002</v>
          </cell>
          <cell r="L18">
            <v>26.400010000000002</v>
          </cell>
          <cell r="M18">
            <v>25.599993999999999</v>
          </cell>
          <cell r="N18">
            <v>27.200000000000003</v>
          </cell>
          <cell r="O18">
            <v>26.8</v>
          </cell>
          <cell r="P18">
            <v>26.4</v>
          </cell>
          <cell r="Q18">
            <v>26</v>
          </cell>
          <cell r="R18">
            <v>25.6</v>
          </cell>
          <cell r="S18">
            <v>25.6</v>
          </cell>
          <cell r="T18">
            <v>25.6</v>
          </cell>
          <cell r="U18">
            <v>25.6</v>
          </cell>
          <cell r="V18">
            <v>25.6</v>
          </cell>
          <cell r="W18">
            <v>25.6</v>
          </cell>
          <cell r="X18">
            <v>25.6</v>
          </cell>
          <cell r="Y18">
            <v>25.6</v>
          </cell>
          <cell r="AA18">
            <v>5.8064516129032198</v>
          </cell>
          <cell r="AB18">
            <v>9.1071428571428488</v>
          </cell>
          <cell r="AC18">
            <v>9.4433074437326407</v>
          </cell>
          <cell r="AD18">
            <v>6.3999999999999835</v>
          </cell>
          <cell r="AE18">
            <v>6.7096774193548434</v>
          </cell>
          <cell r="AF18">
            <v>6.4666666666666774</v>
          </cell>
          <cell r="AG18">
            <v>5.741935483870976</v>
          </cell>
          <cell r="AH18">
            <v>7.0967741935483719</v>
          </cell>
          <cell r="AI18">
            <v>7.5666666666666567</v>
          </cell>
          <cell r="AJ18">
            <v>6.8000040000000004</v>
          </cell>
          <cell r="AK18">
            <v>6.5999849999999993</v>
          </cell>
          <cell r="AL18">
            <v>6.3999900000000007</v>
          </cell>
          <cell r="AM18">
            <v>6.8000000000000007</v>
          </cell>
          <cell r="AN18">
            <v>6.7</v>
          </cell>
          <cell r="AO18">
            <v>6.6000000000000005</v>
          </cell>
          <cell r="AP18">
            <v>6.5</v>
          </cell>
          <cell r="AQ18">
            <v>6.4</v>
          </cell>
          <cell r="AR18">
            <v>6.4</v>
          </cell>
          <cell r="AS18">
            <v>6.4</v>
          </cell>
          <cell r="AT18">
            <v>6.4</v>
          </cell>
          <cell r="AU18">
            <v>6.4</v>
          </cell>
          <cell r="AV18">
            <v>6.4</v>
          </cell>
          <cell r="AW18">
            <v>6.4</v>
          </cell>
          <cell r="AX18">
            <v>6.4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Y18">
            <v>2.1612903225806313</v>
          </cell>
          <cell r="BZ18">
            <v>2.3214285714285694</v>
          </cell>
          <cell r="CA18">
            <v>2.2238505584216881</v>
          </cell>
          <cell r="CB18">
            <v>4.6666666666666536</v>
          </cell>
          <cell r="CC18">
            <v>3.999999999999996</v>
          </cell>
          <cell r="CD18">
            <v>2.2333333333333458</v>
          </cell>
          <cell r="CE18">
            <v>2.4193548387096819</v>
          </cell>
          <cell r="CF18">
            <v>2.0645161290322571</v>
          </cell>
          <cell r="CG18">
            <v>4.2000000000000179</v>
          </cell>
          <cell r="CH18">
            <v>2.000016</v>
          </cell>
          <cell r="CI18">
            <v>2.0000049999999998</v>
          </cell>
          <cell r="CJ18">
            <v>2.000016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X18">
            <v>0.38709677419354338</v>
          </cell>
          <cell r="CY18">
            <v>0.96428571428571341</v>
          </cell>
          <cell r="CZ18">
            <v>0</v>
          </cell>
          <cell r="DA18">
            <v>0.13333333333332495</v>
          </cell>
          <cell r="DB18">
            <v>6.4516129032241923E-2</v>
          </cell>
          <cell r="DC18">
            <v>1.0000000000000109</v>
          </cell>
          <cell r="DD18">
            <v>1.0645161290322642</v>
          </cell>
          <cell r="DE18">
            <v>0.29032258064514677</v>
          </cell>
          <cell r="DF18">
            <v>0.30000000000000387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V18" t="str">
            <v>100-62</v>
          </cell>
        </row>
      </sheetData>
      <sheetData sheetId="38">
        <row r="1">
          <cell r="B1" t="str">
            <v>44927FC 9+3Forecasted Census (Entry)</v>
          </cell>
          <cell r="C1" t="str">
            <v>44958FC 9+3Forecasted Census (Entry)</v>
          </cell>
          <cell r="D1" t="str">
            <v>44986FC 9+3Forecasted Census (Entry)</v>
          </cell>
          <cell r="E1" t="str">
            <v>45017FC 9+3Forecasted Census (Entry)</v>
          </cell>
          <cell r="F1" t="str">
            <v>45047FC 9+3Forecasted Census (Entry)</v>
          </cell>
          <cell r="G1" t="str">
            <v>45078FC 9+3Forecasted Census (Entry)</v>
          </cell>
          <cell r="H1" t="str">
            <v>45108FC 9+3Forecasted Census (Entry)</v>
          </cell>
          <cell r="I1" t="str">
            <v>45139FC 9+3Forecasted Census (Entry)</v>
          </cell>
          <cell r="J1" t="str">
            <v>45170FC 9+3Forecasted Census (Entry)</v>
          </cell>
          <cell r="K1" t="str">
            <v>45200FC 9+3Forecasted Census (Entry)</v>
          </cell>
          <cell r="L1" t="str">
            <v>45231FC 9+3Forecasted Census (Entry)</v>
          </cell>
          <cell r="M1" t="str">
            <v>45261FC 9+3Forecasted Census (Entry)</v>
          </cell>
          <cell r="N1" t="str">
            <v>44927FC 9+3# of Actual Available Units (Entry)</v>
          </cell>
          <cell r="O1" t="str">
            <v>44958FC 9+3# of Actual Available Units (Entry)</v>
          </cell>
          <cell r="P1" t="str">
            <v>44986FC 9+3# of Actual Available Units (Entry)</v>
          </cell>
          <cell r="Q1" t="str">
            <v>45017FC 9+3# of Actual Available Units (Entry)</v>
          </cell>
          <cell r="R1" t="str">
            <v>45047FC 9+3# of Actual Available Units (Entry)</v>
          </cell>
          <cell r="S1" t="str">
            <v>45078FC 9+3# of Actual Available Units (Entry)</v>
          </cell>
          <cell r="T1" t="str">
            <v>45108FC 9+3# of Actual Available Units (Entry)</v>
          </cell>
          <cell r="U1" t="str">
            <v>45139FC 9+3# of Actual Available Units (Entry)</v>
          </cell>
          <cell r="V1" t="str">
            <v>45170FC 9+3# of Actual Available Units (Entry)</v>
          </cell>
          <cell r="W1" t="str">
            <v>45200FC 9+3# of Actual Available Units (Entry)</v>
          </cell>
          <cell r="X1" t="str">
            <v>45231FC 9+3# of Actual Available Units (Entry)</v>
          </cell>
          <cell r="Y1" t="str">
            <v>45261FC 9+3# of Actual Available Units (Entry)</v>
          </cell>
          <cell r="AA1" t="str">
            <v>45292BudgetForecasted Census (Entry)</v>
          </cell>
          <cell r="AB1" t="str">
            <v>45323BudgetForecasted Census (Entry)</v>
          </cell>
          <cell r="AC1" t="str">
            <v>45352BudgetForecasted Census (Entry)</v>
          </cell>
          <cell r="AD1" t="str">
            <v>45383BudgetForecasted Census (Entry)</v>
          </cell>
          <cell r="AE1" t="str">
            <v>45413BudgetForecasted Census (Entry)</v>
          </cell>
          <cell r="AF1" t="str">
            <v>45444BudgetForecasted Census (Entry)</v>
          </cell>
          <cell r="AG1" t="str">
            <v>45474BudgetForecasted Census (Entry)</v>
          </cell>
          <cell r="AH1" t="str">
            <v>45505BudgetForecasted Census (Entry)</v>
          </cell>
          <cell r="AI1" t="str">
            <v>45536BudgetForecasted Census (Entry)</v>
          </cell>
          <cell r="AJ1" t="str">
            <v>45566BudgetForecasted Census (Entry)</v>
          </cell>
          <cell r="AK1" t="str">
            <v>45597BudgetForecasted Census (Entry)</v>
          </cell>
          <cell r="AL1" t="str">
            <v>45627BudgetForecasted Census (Entry)</v>
          </cell>
          <cell r="AM1" t="str">
            <v>45292Budget# of Actual Available Units (Entry)</v>
          </cell>
          <cell r="AN1" t="str">
            <v>45323Budget# of Actual Available Units (Entry)</v>
          </cell>
          <cell r="AO1" t="str">
            <v>45352Budget# of Actual Available Units (Entry)</v>
          </cell>
          <cell r="AP1" t="str">
            <v>45383Budget# of Actual Available Units (Entry)</v>
          </cell>
          <cell r="AQ1" t="str">
            <v>45413Budget# of Actual Available Units (Entry)</v>
          </cell>
          <cell r="AR1" t="str">
            <v>45444Budget# of Actual Available Units (Entry)</v>
          </cell>
          <cell r="AS1" t="str">
            <v>45474Budget# of Actual Available Units (Entry)</v>
          </cell>
          <cell r="AT1" t="str">
            <v>45505Budget# of Actual Available Units (Entry)</v>
          </cell>
          <cell r="AU1" t="str">
            <v>45536Budget# of Actual Available Units (Entry)</v>
          </cell>
          <cell r="AV1" t="str">
            <v>45566Budget# of Actual Available Units (Entry)</v>
          </cell>
          <cell r="AW1" t="str">
            <v>45597Budget# of Actual Available Units (Entry)</v>
          </cell>
          <cell r="AX1" t="str">
            <v>45627Budget# of Actual Available Units (Entry)</v>
          </cell>
          <cell r="GO1" t="str">
            <v>44927FC 9+3Total AL/IL Rental Units</v>
          </cell>
          <cell r="GP1" t="str">
            <v>44958FC 9+3Total AL/IL Rental Units</v>
          </cell>
          <cell r="GQ1" t="str">
            <v>44986FC 9+3Total AL/IL Rental Units</v>
          </cell>
          <cell r="GR1" t="str">
            <v>45017FC 9+3Total AL/IL Rental Units</v>
          </cell>
          <cell r="GS1" t="str">
            <v>45047FC 9+3Total AL/IL Rental Units</v>
          </cell>
          <cell r="GT1" t="str">
            <v>45078FC 9+3Total AL/IL Rental Units</v>
          </cell>
          <cell r="GU1" t="str">
            <v>45108FC 9+3Total AL/IL Rental Units</v>
          </cell>
          <cell r="GV1" t="str">
            <v>45139FC 9+3Total AL/IL Rental Units</v>
          </cell>
          <cell r="GW1" t="str">
            <v>45170FC 9+3Total AL/IL Rental Units</v>
          </cell>
          <cell r="GX1" t="str">
            <v>45200FC 9+3Total AL/IL Rental Units</v>
          </cell>
          <cell r="GY1" t="str">
            <v>45231FC 9+3Total AL/IL Rental Units</v>
          </cell>
          <cell r="GZ1" t="str">
            <v>45261FC 9+3Total AL/IL Rental Units</v>
          </cell>
          <cell r="MQ1" t="str">
            <v>45292BudgetTotal AL/IL Rental Units</v>
          </cell>
          <cell r="MR1" t="str">
            <v>45323BudgetTotal AL/IL Rental Units</v>
          </cell>
          <cell r="MS1" t="str">
            <v>45352BudgetTotal AL/IL Rental Units</v>
          </cell>
          <cell r="MT1" t="str">
            <v>45383BudgetTotal AL/IL Rental Units</v>
          </cell>
          <cell r="MU1" t="str">
            <v>45413BudgetTotal AL/IL Rental Units</v>
          </cell>
          <cell r="MV1" t="str">
            <v>45444BudgetTotal AL/IL Rental Units</v>
          </cell>
          <cell r="MW1" t="str">
            <v>45474BudgetTotal AL/IL Rental Units</v>
          </cell>
          <cell r="MX1" t="str">
            <v>45505BudgetTotal AL/IL Rental Units</v>
          </cell>
          <cell r="MY1" t="str">
            <v>45536BudgetTotal AL/IL Rental Units</v>
          </cell>
          <cell r="MZ1" t="str">
            <v>45566BudgetTotal AL/IL Rental Units</v>
          </cell>
          <cell r="NA1" t="str">
            <v>45597BudgetTotal AL/IL Rental Units</v>
          </cell>
          <cell r="NB1" t="str">
            <v>45627BudgetTotal AL/IL Rental Units</v>
          </cell>
        </row>
        <row r="6">
          <cell r="NI6" t="str">
            <v>x'OC-Fill'!$B$9:$NB$45</v>
          </cell>
        </row>
        <row r="7">
          <cell r="NI7" t="str">
            <v>x'OC-Fill'!$ND$9:$ND$45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6CC2-05A7-498F-AD29-9B57C94C1DB2}">
  <dimension ref="A3:R70"/>
  <sheetViews>
    <sheetView workbookViewId="0"/>
  </sheetViews>
  <sheetFormatPr defaultRowHeight="15" x14ac:dyDescent="0.25"/>
  <sheetData>
    <row r="3" spans="1:18" x14ac:dyDescent="0.25">
      <c r="A3" t="s">
        <v>86</v>
      </c>
    </row>
    <row r="4" spans="1:18" x14ac:dyDescent="0.25">
      <c r="A4">
        <v>13</v>
      </c>
    </row>
    <row r="5" spans="1:18" x14ac:dyDescent="0.25">
      <c r="M5">
        <f>'OC-Pull'!$6:$6</f>
        <v>0</v>
      </c>
      <c r="N5">
        <v>5</v>
      </c>
      <c r="O5" t="str">
        <f>'OC-Pull'!$B:$B</f>
        <v>Maximum Resident Days</v>
      </c>
      <c r="P5">
        <v>1</v>
      </c>
      <c r="Q5" t="str">
        <f>'OC-Pull'!$B$3</f>
        <v>FY2025</v>
      </c>
      <c r="R5">
        <v>67</v>
      </c>
    </row>
    <row r="6" spans="1:18" x14ac:dyDescent="0.25">
      <c r="M6">
        <f>'OC-Pull'!$7:$7</f>
        <v>0</v>
      </c>
      <c r="N6">
        <v>6</v>
      </c>
      <c r="O6">
        <f>'OC-Pull'!$C:$C</f>
        <v>25732.5</v>
      </c>
      <c r="P6">
        <v>2</v>
      </c>
      <c r="Q6" t="str">
        <f>'OC-Pull'!$C$3</f>
        <v>FY2025</v>
      </c>
      <c r="R6">
        <v>68</v>
      </c>
    </row>
    <row r="7" spans="1:18" x14ac:dyDescent="0.25">
      <c r="M7">
        <f>'OC-Pull'!$8:$8</f>
        <v>0</v>
      </c>
      <c r="N7">
        <v>7</v>
      </c>
      <c r="O7">
        <f>'OC-Pull'!$D:$D</f>
        <v>0.97674418604651159</v>
      </c>
      <c r="P7">
        <v>3</v>
      </c>
      <c r="Q7" t="str">
        <f>'OC-Pull'!$D$3</f>
        <v>FY2025</v>
      </c>
      <c r="R7">
        <v>69</v>
      </c>
    </row>
    <row r="8" spans="1:18" x14ac:dyDescent="0.25">
      <c r="M8">
        <f>'OC-Pull'!$9:$9</f>
        <v>0</v>
      </c>
      <c r="N8">
        <v>8</v>
      </c>
      <c r="O8">
        <f>'OC-Pull'!$E:$E</f>
        <v>0.58733190901093379</v>
      </c>
      <c r="P8">
        <v>4</v>
      </c>
      <c r="Q8" t="str">
        <f>'OC-Pull'!$E$3</f>
        <v>FY2025</v>
      </c>
      <c r="R8">
        <v>70</v>
      </c>
    </row>
    <row r="9" spans="1:18" x14ac:dyDescent="0.25">
      <c r="M9">
        <f>'OC-Pull'!$10:$10</f>
        <v>0</v>
      </c>
      <c r="N9">
        <v>9</v>
      </c>
      <c r="Q9" t="str">
        <f>'OC-Pull'!$B$4</f>
        <v>Budget 2025</v>
      </c>
      <c r="R9">
        <v>71</v>
      </c>
    </row>
    <row r="10" spans="1:18" x14ac:dyDescent="0.25">
      <c r="M10">
        <f>'OC-Pull'!$11:$11</f>
        <v>0</v>
      </c>
      <c r="N10">
        <v>10</v>
      </c>
      <c r="Q10" t="str">
        <f>'OC-Pull'!$C$4</f>
        <v>Budget 2025</v>
      </c>
      <c r="R10">
        <v>72</v>
      </c>
    </row>
    <row r="11" spans="1:18" x14ac:dyDescent="0.25">
      <c r="M11">
        <f>'OC-Pull'!$12:$12</f>
        <v>0</v>
      </c>
      <c r="N11">
        <v>11</v>
      </c>
      <c r="Q11" t="str">
        <f>'OC-Pull'!$D$4</f>
        <v>Budget 2025</v>
      </c>
      <c r="R11">
        <v>73</v>
      </c>
    </row>
    <row r="12" spans="1:18" x14ac:dyDescent="0.25">
      <c r="M12">
        <f>'OC-Pull'!$13:$13</f>
        <v>0</v>
      </c>
      <c r="N12">
        <v>12</v>
      </c>
      <c r="Q12" t="str">
        <f>'OC-Pull'!$E$4</f>
        <v>Budget 2025</v>
      </c>
      <c r="R12">
        <v>74</v>
      </c>
    </row>
    <row r="13" spans="1:18" x14ac:dyDescent="0.25">
      <c r="M13">
        <f>'OC-Pull'!$14:$14</f>
        <v>0</v>
      </c>
      <c r="N13">
        <v>13</v>
      </c>
      <c r="Q13" t="str">
        <f>'OC-Pull'!$B$5</f>
        <v>Maximum Resident Days</v>
      </c>
      <c r="R13">
        <v>75</v>
      </c>
    </row>
    <row r="14" spans="1:18" x14ac:dyDescent="0.25">
      <c r="M14">
        <f>'OC-Pull'!$15:$15</f>
        <v>0</v>
      </c>
      <c r="N14">
        <v>14</v>
      </c>
      <c r="Q14" t="str">
        <f>'OC-Pull'!$C$5</f>
        <v>Forecasted Resident Days</v>
      </c>
      <c r="R14">
        <v>76</v>
      </c>
    </row>
    <row r="15" spans="1:18" x14ac:dyDescent="0.25">
      <c r="M15">
        <f>'OC-Pull'!$16:$16</f>
        <v>0</v>
      </c>
      <c r="N15">
        <v>15</v>
      </c>
      <c r="Q15" t="str">
        <f>'OC-Pull'!$D$5</f>
        <v>Forecasted Occ. % - Actual Available Units</v>
      </c>
      <c r="R15">
        <v>77</v>
      </c>
    </row>
    <row r="16" spans="1:18" x14ac:dyDescent="0.25">
      <c r="M16">
        <f>'OC-Pull'!$17:$17</f>
        <v>0</v>
      </c>
      <c r="N16">
        <v>16</v>
      </c>
      <c r="Q16" t="str">
        <f>'OC-Pull'!$E$5</f>
        <v>Forecasted Occ. %  - Budget Available Units</v>
      </c>
      <c r="R16">
        <v>78</v>
      </c>
    </row>
    <row r="17" spans="13:18" x14ac:dyDescent="0.25">
      <c r="M17">
        <f>'OC-Pull'!$18:$18</f>
        <v>0</v>
      </c>
      <c r="N17">
        <v>17</v>
      </c>
      <c r="Q17" t="str">
        <f>'OC-Pull'!$A$6</f>
        <v>100-21 Villas/Cottages</v>
      </c>
      <c r="R17">
        <v>79</v>
      </c>
    </row>
    <row r="18" spans="13:18" x14ac:dyDescent="0.25">
      <c r="M18">
        <f>'OC-Pull'!$19:$19</f>
        <v>0</v>
      </c>
      <c r="N18">
        <v>18</v>
      </c>
      <c r="Q18" t="str">
        <f>'OC-Pull'!$A$7</f>
        <v>100-22 Villas/Cottages B (AMV=Courtyard Homes, BV=BV West, APKS=Patio Homes)</v>
      </c>
      <c r="R18">
        <v>80</v>
      </c>
    </row>
    <row r="19" spans="13:18" x14ac:dyDescent="0.25">
      <c r="M19">
        <f>'OC-Pull'!$20:$20</f>
        <v>0</v>
      </c>
      <c r="N19">
        <v>19</v>
      </c>
      <c r="Q19" t="str">
        <f>'OC-Pull'!$A$8</f>
        <v>100-31 Apartment A (AMV=Trott, BV=Center, All others)</v>
      </c>
      <c r="R19">
        <v>81</v>
      </c>
    </row>
    <row r="20" spans="13:18" x14ac:dyDescent="0.25">
      <c r="M20">
        <f>'OC-Pull'!$21:$21</f>
        <v>0</v>
      </c>
      <c r="N20">
        <v>20</v>
      </c>
      <c r="Q20" t="str">
        <f>'OC-Pull'!$A$9</f>
        <v>100-32 Apartment B (AMV=Diamond, BV=Court)</v>
      </c>
      <c r="R20">
        <v>82</v>
      </c>
    </row>
    <row r="21" spans="13:18" x14ac:dyDescent="0.25">
      <c r="M21">
        <f>'OC-Pull'!$22:$22</f>
        <v>0</v>
      </c>
      <c r="N21">
        <v>21</v>
      </c>
      <c r="Q21" t="str">
        <f>'OC-Pull'!$A$10</f>
        <v>100-33 Apartment C (AMV=419 Wallace, BV=BVWest)</v>
      </c>
      <c r="R21">
        <v>83</v>
      </c>
    </row>
    <row r="22" spans="13:18" x14ac:dyDescent="0.25">
      <c r="M22">
        <f>'OC-Pull'!$23:$23</f>
        <v>0</v>
      </c>
      <c r="N22">
        <v>22</v>
      </c>
      <c r="Q22" t="str">
        <f>'OC-Pull'!$A$11</f>
        <v>100-34 Apartment D (AMV=ParkView)</v>
      </c>
      <c r="R22">
        <v>84</v>
      </c>
    </row>
    <row r="23" spans="13:18" x14ac:dyDescent="0.25">
      <c r="M23">
        <f>'OC-Pull'!$24:$24</f>
        <v>0</v>
      </c>
      <c r="N23">
        <v>23</v>
      </c>
      <c r="Q23" t="str">
        <f>'OC-Pull'!$A$12</f>
        <v>100-35 Apartment E (AMV=Edwards Fisher)</v>
      </c>
      <c r="R23">
        <v>85</v>
      </c>
    </row>
    <row r="24" spans="13:18" x14ac:dyDescent="0.25">
      <c r="M24">
        <f>'OC-Pull'!$25:$25</f>
        <v>0</v>
      </c>
      <c r="N24">
        <v>24</v>
      </c>
      <c r="Q24" t="str">
        <f>'OC-Pull'!$A$13</f>
        <v>100-36 Apartment F (AMV=Mund)</v>
      </c>
      <c r="R24">
        <v>86</v>
      </c>
    </row>
    <row r="25" spans="13:18" x14ac:dyDescent="0.25">
      <c r="M25">
        <f>'OC-Pull'!$26:$26</f>
        <v>0</v>
      </c>
      <c r="N25">
        <v>25</v>
      </c>
      <c r="Q25" t="str">
        <f>'OC-Pull'!$A$14</f>
        <v>100-51 AL/PC A</v>
      </c>
      <c r="R25">
        <v>87</v>
      </c>
    </row>
    <row r="26" spans="13:18" x14ac:dyDescent="0.25">
      <c r="M26">
        <f>'OC-Pull'!$27:$27</f>
        <v>0</v>
      </c>
      <c r="N26">
        <v>26</v>
      </c>
      <c r="Q26" t="str">
        <f>'OC-Pull'!$A$15</f>
        <v>100-61 Skilled Nursing Facility</v>
      </c>
      <c r="R26">
        <v>88</v>
      </c>
    </row>
    <row r="27" spans="13:18" x14ac:dyDescent="0.25">
      <c r="M27">
        <f>'OC-Pull'!$28:$28</f>
        <v>0</v>
      </c>
      <c r="N27">
        <v>27</v>
      </c>
      <c r="Q27" t="str">
        <f>'OC-Pull'!$A$16</f>
        <v>100-62 Skilled Nursing - TCU</v>
      </c>
      <c r="R27">
        <v>89</v>
      </c>
    </row>
    <row r="28" spans="13:18" x14ac:dyDescent="0.25">
      <c r="M28">
        <f>'OC-Pull'!$36:$36</f>
        <v>0</v>
      </c>
      <c r="N28">
        <v>30</v>
      </c>
      <c r="Q28" t="str">
        <f>'OC-Pull'!$A$17</f>
        <v>100 Asbury Methodist Village</v>
      </c>
      <c r="R28">
        <v>90</v>
      </c>
    </row>
    <row r="29" spans="13:18" x14ac:dyDescent="0.25">
      <c r="M29">
        <f>'OC-Pull'!$37:$37</f>
        <v>0</v>
      </c>
      <c r="N29">
        <v>31</v>
      </c>
      <c r="Q29" t="str">
        <f>'OC-Pull'!$A$18</f>
        <v>200-21 Villas/Cottages</v>
      </c>
      <c r="R29">
        <v>91</v>
      </c>
    </row>
    <row r="30" spans="13:18" x14ac:dyDescent="0.25">
      <c r="M30">
        <f>'OC-Pull'!$38:$38</f>
        <v>0</v>
      </c>
      <c r="N30">
        <v>32</v>
      </c>
      <c r="Q30" t="str">
        <f>'OC-Pull'!$A$19</f>
        <v>200-31 Apartment A (AMV=Trott, BV=Center, AS=North Apts.)</v>
      </c>
      <c r="R30">
        <v>92</v>
      </c>
    </row>
    <row r="31" spans="13:18" x14ac:dyDescent="0.25">
      <c r="M31">
        <f>'OC-Pull'!$39:$39</f>
        <v>0</v>
      </c>
      <c r="N31">
        <v>33</v>
      </c>
      <c r="Q31" t="str">
        <f>'OC-Pull'!$A$20</f>
        <v>200-32 Apartment B (AS=South Apts.)</v>
      </c>
      <c r="R31">
        <v>93</v>
      </c>
    </row>
    <row r="32" spans="13:18" x14ac:dyDescent="0.25">
      <c r="M32">
        <f>'OC-Pull'!$40:$40</f>
        <v>0</v>
      </c>
      <c r="N32">
        <v>34</v>
      </c>
      <c r="Q32" t="str">
        <f>'OC-Pull'!$A$21</f>
        <v>200-51 AL/PC A</v>
      </c>
      <c r="R32">
        <v>94</v>
      </c>
    </row>
    <row r="33" spans="13:18" x14ac:dyDescent="0.25">
      <c r="M33">
        <f>'OC-Pull'!$41:$41</f>
        <v>0</v>
      </c>
      <c r="N33">
        <v>35</v>
      </c>
      <c r="Q33" t="str">
        <f>'OC-Pull'!$A$22</f>
        <v>200-61 Skilled Nursing Facility</v>
      </c>
      <c r="R33">
        <v>95</v>
      </c>
    </row>
    <row r="34" spans="13:18" x14ac:dyDescent="0.25">
      <c r="M34">
        <f>'OC-Pull'!$42:$42</f>
        <v>0</v>
      </c>
      <c r="N34">
        <v>36</v>
      </c>
      <c r="Q34" t="str">
        <f>'OC-Pull'!$A$23</f>
        <v>200 Asbury Solomons</v>
      </c>
      <c r="R34">
        <v>96</v>
      </c>
    </row>
    <row r="35" spans="13:18" x14ac:dyDescent="0.25">
      <c r="M35">
        <f>'OC-Pull'!$43:$43</f>
        <v>0</v>
      </c>
      <c r="N35">
        <v>37</v>
      </c>
      <c r="Q35" t="str">
        <f>'OC-Pull'!$A$24</f>
        <v>324-21 Villas/Cottages</v>
      </c>
      <c r="R35">
        <v>97</v>
      </c>
    </row>
    <row r="36" spans="13:18" x14ac:dyDescent="0.25">
      <c r="M36">
        <f>'OC-Pull'!$44:$44</f>
        <v>0</v>
      </c>
      <c r="N36">
        <v>38</v>
      </c>
      <c r="Q36" t="str">
        <f>'OC-Pull'!$A$25</f>
        <v>324-31 Apartment A (AMV=Trott, BV=Center, All others)</v>
      </c>
      <c r="R36">
        <v>98</v>
      </c>
    </row>
    <row r="37" spans="13:18" x14ac:dyDescent="0.25">
      <c r="M37">
        <f>'OC-Pull'!$45:$45</f>
        <v>0</v>
      </c>
      <c r="N37">
        <v>39</v>
      </c>
      <c r="Q37" t="str">
        <f>'OC-Pull'!$A$26</f>
        <v>324-51 AL/PC A</v>
      </c>
      <c r="R37">
        <v>99</v>
      </c>
    </row>
    <row r="38" spans="13:18" x14ac:dyDescent="0.25">
      <c r="M38">
        <f>'OC-Pull'!$46:$46</f>
        <v>0</v>
      </c>
      <c r="N38">
        <v>40</v>
      </c>
      <c r="Q38" t="str">
        <f>'OC-Pull'!$A$27</f>
        <v>324-61 Skilled Nursing Facility</v>
      </c>
      <c r="R38">
        <v>100</v>
      </c>
    </row>
    <row r="39" spans="13:18" x14ac:dyDescent="0.25">
      <c r="M39">
        <f>'OC-Pull'!$47:$47</f>
        <v>0</v>
      </c>
      <c r="N39">
        <v>41</v>
      </c>
      <c r="Q39" t="str">
        <f>'OC-Pull'!$A$28</f>
        <v>324 Springhill</v>
      </c>
      <c r="R39">
        <v>101</v>
      </c>
    </row>
    <row r="40" spans="13:18" x14ac:dyDescent="0.25">
      <c r="M40">
        <f>'OC-Pull'!$48:$48</f>
        <v>0</v>
      </c>
      <c r="N40">
        <v>44</v>
      </c>
      <c r="Q40" t="str">
        <f>'OC-Pull'!$A$36</f>
        <v>810-21 Villas/Cottages</v>
      </c>
      <c r="R40">
        <v>104</v>
      </c>
    </row>
    <row r="41" spans="13:18" x14ac:dyDescent="0.25">
      <c r="M41">
        <f>'OC-Pull'!$49:$49</f>
        <v>0</v>
      </c>
      <c r="N41">
        <v>45</v>
      </c>
      <c r="Q41" t="str">
        <f>'OC-Pull'!$A$37</f>
        <v>810-22 Villas/Cottages B (AMV=Courtyard Homes, BV=BV West, APKS=Patio Homes)</v>
      </c>
      <c r="R41">
        <v>105</v>
      </c>
    </row>
    <row r="42" spans="13:18" x14ac:dyDescent="0.25">
      <c r="M42">
        <f>'OC-Pull'!$50:$50</f>
        <v>0</v>
      </c>
      <c r="N42">
        <v>46</v>
      </c>
      <c r="Q42" t="str">
        <f>'OC-Pull'!$A$38</f>
        <v>810-31 Apartment A (AMV=Trott, BV=Center, All others)</v>
      </c>
      <c r="R42">
        <v>106</v>
      </c>
    </row>
    <row r="43" spans="13:18" x14ac:dyDescent="0.25">
      <c r="M43">
        <f>'OC-Pull'!$51:$51</f>
        <v>0</v>
      </c>
      <c r="N43">
        <v>47</v>
      </c>
      <c r="Q43" t="str">
        <f>'OC-Pull'!$A$39</f>
        <v>810-32 Apartment B (AMV=Diamond, BV=Court)</v>
      </c>
      <c r="R43">
        <v>107</v>
      </c>
    </row>
    <row r="44" spans="13:18" x14ac:dyDescent="0.25">
      <c r="M44">
        <f>'OC-Pull'!$52:$52</f>
        <v>0</v>
      </c>
      <c r="N44">
        <v>48</v>
      </c>
      <c r="Q44" t="str">
        <f>'OC-Pull'!$A$40</f>
        <v>810-33 Apartment C (AMV=419 Wallace, BV=BVWest)</v>
      </c>
      <c r="R44">
        <v>108</v>
      </c>
    </row>
    <row r="45" spans="13:18" x14ac:dyDescent="0.25">
      <c r="M45">
        <f>'OC-Pull'!$53:$53</f>
        <v>0</v>
      </c>
      <c r="N45">
        <v>49</v>
      </c>
      <c r="Q45" t="str">
        <f>'OC-Pull'!$A$41</f>
        <v>810-51 AL/PC A</v>
      </c>
      <c r="R45">
        <v>109</v>
      </c>
    </row>
    <row r="46" spans="13:18" x14ac:dyDescent="0.25">
      <c r="M46">
        <f>'OC-Pull'!$54:$54</f>
        <v>0</v>
      </c>
      <c r="N46">
        <v>50</v>
      </c>
      <c r="Q46" t="str">
        <f>'OC-Pull'!$A$42</f>
        <v>810-61 Skilled Nursing Facility</v>
      </c>
      <c r="R46">
        <v>110</v>
      </c>
    </row>
    <row r="47" spans="13:18" x14ac:dyDescent="0.25">
      <c r="M47">
        <f>'OC-Pull'!$55:$55</f>
        <v>0</v>
      </c>
      <c r="N47">
        <v>51</v>
      </c>
      <c r="Q47" t="str">
        <f>'OC-Pull'!$A$43</f>
        <v>810 Bethany Village</v>
      </c>
      <c r="R47">
        <v>111</v>
      </c>
    </row>
    <row r="48" spans="13:18" x14ac:dyDescent="0.25">
      <c r="M48">
        <f>'OC-Pull'!$56:$56</f>
        <v>0</v>
      </c>
      <c r="N48">
        <v>52</v>
      </c>
      <c r="Q48" t="str">
        <f>'OC-Pull'!$A$44</f>
        <v>925-21 Villas/Cottages</v>
      </c>
      <c r="R48">
        <v>112</v>
      </c>
    </row>
    <row r="49" spans="13:18" x14ac:dyDescent="0.25">
      <c r="M49">
        <f>'OC-Pull'!$57:$57</f>
        <v>0</v>
      </c>
      <c r="N49">
        <v>53</v>
      </c>
      <c r="Q49" t="str">
        <f>'OC-Pull'!$A$45</f>
        <v>925-31 Apartment A (AMV=Trott, BV=Center, All others)</v>
      </c>
      <c r="R49">
        <v>113</v>
      </c>
    </row>
    <row r="50" spans="13:18" x14ac:dyDescent="0.25">
      <c r="M50">
        <f>'OC-Pull'!$58:$58</f>
        <v>0</v>
      </c>
      <c r="N50">
        <v>54</v>
      </c>
      <c r="Q50" t="str">
        <f>'OC-Pull'!$A$46</f>
        <v>925-51 AL/PCA A</v>
      </c>
      <c r="R50">
        <v>114</v>
      </c>
    </row>
    <row r="51" spans="13:18" x14ac:dyDescent="0.25">
      <c r="M51">
        <f>'OC-Pull'!$59:$59</f>
        <v>0</v>
      </c>
      <c r="N51">
        <v>57</v>
      </c>
      <c r="Q51" t="str">
        <f>'OC-Pull'!$A$47</f>
        <v>925 Chandler Estate</v>
      </c>
      <c r="R51">
        <v>115</v>
      </c>
    </row>
    <row r="52" spans="13:18" x14ac:dyDescent="0.25">
      <c r="M52">
        <f>'OC-Pull'!$29:$29</f>
        <v>0</v>
      </c>
      <c r="N52">
        <v>59</v>
      </c>
      <c r="Q52" t="str">
        <f>'OC-Pull'!$A$48</f>
        <v>835-21 Villas/Cottages</v>
      </c>
      <c r="R52">
        <v>118</v>
      </c>
    </row>
    <row r="53" spans="13:18" x14ac:dyDescent="0.25">
      <c r="M53">
        <f>'OC-Pull'!$30:$30</f>
        <v>0</v>
      </c>
      <c r="N53">
        <v>60</v>
      </c>
      <c r="Q53" t="str">
        <f>'OC-Pull'!$A$49</f>
        <v>835-31 Apartment A (AMV=Trott, BV=Center, RW=Ridgecrest Court, NR= Manchester, All others)</v>
      </c>
      <c r="R53">
        <v>119</v>
      </c>
    </row>
    <row r="54" spans="13:18" x14ac:dyDescent="0.25">
      <c r="M54">
        <f>'OC-Pull'!$31:$31</f>
        <v>0</v>
      </c>
      <c r="N54">
        <v>61</v>
      </c>
      <c r="Q54" t="str">
        <f>'OC-Pull'!$A$50</f>
        <v>835-51 AL/PC A (AMV=333,  RW= Riverwood Manor, All others)</v>
      </c>
      <c r="R54">
        <v>120</v>
      </c>
    </row>
    <row r="55" spans="13:18" x14ac:dyDescent="0.25">
      <c r="M55">
        <f>'OC-Pull'!$32:$32</f>
        <v>0</v>
      </c>
      <c r="N55">
        <v>62</v>
      </c>
      <c r="Q55" t="str">
        <f>'OC-Pull'!$A$51</f>
        <v>835-61 Skilled Nursing Facility</v>
      </c>
      <c r="R55">
        <v>121</v>
      </c>
    </row>
    <row r="56" spans="13:18" x14ac:dyDescent="0.25">
      <c r="M56">
        <f>'OC-Pull'!$33:$33</f>
        <v>0</v>
      </c>
      <c r="N56">
        <v>64</v>
      </c>
      <c r="Q56" t="str">
        <f>'OC-Pull'!$A$52</f>
        <v>835 Riverwoods</v>
      </c>
      <c r="R56">
        <v>122</v>
      </c>
    </row>
    <row r="57" spans="13:18" x14ac:dyDescent="0.25">
      <c r="M57">
        <f>'OC-Pull'!$34:$34</f>
        <v>0</v>
      </c>
      <c r="N57">
        <v>65</v>
      </c>
      <c r="Q57" t="str">
        <f>'OC-Pull'!$A$53</f>
        <v>840-21 Villas/Cottages</v>
      </c>
      <c r="R57">
        <v>123</v>
      </c>
    </row>
    <row r="58" spans="13:18" x14ac:dyDescent="0.25">
      <c r="M58">
        <f>'OC-Pull'!$35:$35</f>
        <v>0</v>
      </c>
      <c r="N58">
        <v>66</v>
      </c>
      <c r="Q58" t="str">
        <f>'OC-Pull'!$A$54</f>
        <v>840-31 Apartment A (AMV=Trott, BV=Center, RW=Ridgecrest Court, NR=Manchester, All others)</v>
      </c>
      <c r="R58">
        <v>124</v>
      </c>
    </row>
    <row r="59" spans="13:18" x14ac:dyDescent="0.25">
      <c r="Q59" t="str">
        <f>'OC-Pull'!$A$55</f>
        <v>840-51 AL/PC A (AMV=333,  RW= Riverwood Manor, All others)</v>
      </c>
      <c r="R59">
        <v>125</v>
      </c>
    </row>
    <row r="60" spans="13:18" x14ac:dyDescent="0.25">
      <c r="Q60" t="str">
        <f>'OC-Pull'!$A$56</f>
        <v>840-52 AL/PC B (AL/PC B, NR=Dementia Care)</v>
      </c>
      <c r="R60">
        <v>126</v>
      </c>
    </row>
    <row r="61" spans="13:18" x14ac:dyDescent="0.25">
      <c r="Q61" t="str">
        <f>'OC-Pull'!$A$57</f>
        <v>840-61 Skilled Nursing Facility</v>
      </c>
      <c r="R61">
        <v>127</v>
      </c>
    </row>
    <row r="62" spans="13:18" x14ac:dyDescent="0.25">
      <c r="Q62" t="str">
        <f>'OC-Pull'!$A$58</f>
        <v>840 Normandie Ridge</v>
      </c>
      <c r="R62">
        <v>128</v>
      </c>
    </row>
    <row r="63" spans="13:18" x14ac:dyDescent="0.25">
      <c r="Q63" t="str">
        <f>'OC-Pull'!$A$59</f>
        <v>Asbury Communities (Consolidated)</v>
      </c>
      <c r="R63">
        <v>131</v>
      </c>
    </row>
    <row r="64" spans="13:18" x14ac:dyDescent="0.25">
      <c r="Q64" t="str">
        <f>'OC-Pull'!$A$29</f>
        <v>350-21 Villas/Cottages</v>
      </c>
      <c r="R64">
        <v>133</v>
      </c>
    </row>
    <row r="65" spans="17:18" x14ac:dyDescent="0.25">
      <c r="Q65" t="str">
        <f>'OC-Pull'!$A$30</f>
        <v>350-51 AL/PC A</v>
      </c>
      <c r="R65">
        <v>134</v>
      </c>
    </row>
    <row r="66" spans="17:18" x14ac:dyDescent="0.25">
      <c r="Q66" t="str">
        <f>'OC-Pull'!$A$31</f>
        <v>350-52 AL B/APM Memory Support</v>
      </c>
      <c r="R66">
        <v>135</v>
      </c>
    </row>
    <row r="67" spans="17:18" x14ac:dyDescent="0.25">
      <c r="Q67" t="str">
        <f>'OC-Pull'!$A$32</f>
        <v>350 Grace Park</v>
      </c>
      <c r="R67">
        <v>136</v>
      </c>
    </row>
    <row r="68" spans="17:18" x14ac:dyDescent="0.25">
      <c r="Q68" t="str">
        <f>'OC-Pull'!$A$33</f>
        <v>360-51 AL/PC A</v>
      </c>
      <c r="R68">
        <v>137</v>
      </c>
    </row>
    <row r="69" spans="17:18" x14ac:dyDescent="0.25">
      <c r="Q69" t="str">
        <f>'OC-Pull'!$A$34</f>
        <v>360-52 AL B/APM Memory Support</v>
      </c>
      <c r="R69">
        <v>138</v>
      </c>
    </row>
    <row r="70" spans="17:18" x14ac:dyDescent="0.25">
      <c r="Q70" t="str">
        <f>'OC-Pull'!$A$35</f>
        <v>360 Ivy Gables</v>
      </c>
      <c r="R70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85C1-C4F3-4DDA-B245-1BB5A1552E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3F9C-905B-40EF-A30C-F78B7CD7B1C8}">
  <sheetPr>
    <tabColor rgb="FF92D050"/>
  </sheetPr>
  <dimension ref="A1:G47"/>
  <sheetViews>
    <sheetView tabSelected="1" workbookViewId="0">
      <pane ySplit="3" topLeftCell="A4" activePane="bottomLeft" state="frozen"/>
      <selection activeCell="D4" sqref="D4"/>
      <selection pane="bottomLeft" activeCell="A4" sqref="A4"/>
    </sheetView>
  </sheetViews>
  <sheetFormatPr defaultRowHeight="15" x14ac:dyDescent="0.25"/>
  <cols>
    <col min="1" max="1" width="5" bestFit="1" customWidth="1"/>
    <col min="2" max="2" width="27.28515625" bestFit="1" customWidth="1"/>
    <col min="3" max="3" width="28.42578125" bestFit="1" customWidth="1"/>
    <col min="4" max="4" width="22.7109375" bestFit="1" customWidth="1"/>
    <col min="5" max="5" width="19.42578125" bestFit="1" customWidth="1"/>
    <col min="6" max="6" width="9.85546875" bestFit="1" customWidth="1"/>
    <col min="7" max="7" width="51.28515625" bestFit="1" customWidth="1"/>
  </cols>
  <sheetData>
    <row r="1" spans="1:7" x14ac:dyDescent="0.25">
      <c r="A1" s="6" t="s">
        <v>78</v>
      </c>
      <c r="B1" s="6"/>
      <c r="C1" s="6"/>
      <c r="D1" s="6"/>
      <c r="E1" s="6"/>
      <c r="F1" s="6"/>
      <c r="G1" s="6"/>
    </row>
    <row r="2" spans="1:7" x14ac:dyDescent="0.25">
      <c r="A2" s="7" t="s">
        <v>77</v>
      </c>
      <c r="B2" s="7" t="s">
        <v>77</v>
      </c>
      <c r="C2" s="7" t="s">
        <v>77</v>
      </c>
      <c r="D2" s="7" t="s">
        <v>74</v>
      </c>
      <c r="E2" s="7" t="s">
        <v>74</v>
      </c>
      <c r="F2" s="7" t="s">
        <v>77</v>
      </c>
      <c r="G2" s="7" t="s">
        <v>77</v>
      </c>
    </row>
    <row r="3" spans="1:7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6</v>
      </c>
      <c r="G3" s="5" t="s">
        <v>5</v>
      </c>
    </row>
    <row r="4" spans="1:7" x14ac:dyDescent="0.25">
      <c r="A4">
        <v>2025</v>
      </c>
      <c r="B4" t="s">
        <v>7</v>
      </c>
      <c r="C4" t="s">
        <v>8</v>
      </c>
      <c r="D4" s="8">
        <f>_xlfn.XLOOKUP(LEFT($B4,3)&amp;"-"&amp;LEFT($C4,2),Prep!$I$6:$I$67,Prep!B$6:B$67)</f>
        <v>26645</v>
      </c>
      <c r="E4" s="8">
        <f>_xlfn.XLOOKUP(LEFT($B4,3)&amp;"-"&amp;LEFT($C4,2),Prep!$I$6:$I$67,Prep!C$6:C$67)</f>
        <v>25732.5</v>
      </c>
      <c r="F4" t="s">
        <v>10</v>
      </c>
      <c r="G4" t="s">
        <v>9</v>
      </c>
    </row>
    <row r="5" spans="1:7" x14ac:dyDescent="0.25">
      <c r="A5">
        <v>2025</v>
      </c>
      <c r="B5" t="s">
        <v>7</v>
      </c>
      <c r="C5" t="s">
        <v>16</v>
      </c>
      <c r="D5" s="8">
        <f>_xlfn.XLOOKUP(LEFT($B5,3)&amp;"-"&amp;LEFT($C5,2),Prep!$I$6:$I$67,Prep!B$6:B$67)</f>
        <v>15695</v>
      </c>
      <c r="E5" s="8">
        <f>_xlfn.XLOOKUP(LEFT($B5,3)&amp;"-"&amp;LEFT($C5,2),Prep!$I$6:$I$67,Prep!C$6:C$67)</f>
        <v>15330</v>
      </c>
      <c r="F5" t="s">
        <v>10</v>
      </c>
      <c r="G5" t="s">
        <v>9</v>
      </c>
    </row>
    <row r="6" spans="1:7" x14ac:dyDescent="0.25">
      <c r="A6">
        <v>2025</v>
      </c>
      <c r="B6" t="s">
        <v>7</v>
      </c>
      <c r="C6" t="s">
        <v>12</v>
      </c>
      <c r="D6" s="8">
        <f>_xlfn.XLOOKUP(LEFT($B6,3)&amp;"-"&amp;LEFT($C6,2),Prep!$I$6:$I$67,Prep!B$6:B$67)</f>
        <v>39785</v>
      </c>
      <c r="E6" s="8">
        <f>_xlfn.XLOOKUP(LEFT($B6,3)&amp;"-"&amp;LEFT($C6,2),Prep!$I$6:$I$67,Prep!C$6:C$67)</f>
        <v>23367</v>
      </c>
      <c r="F6" t="s">
        <v>10</v>
      </c>
      <c r="G6" t="s">
        <v>9</v>
      </c>
    </row>
    <row r="7" spans="1:7" x14ac:dyDescent="0.25">
      <c r="A7">
        <v>2025</v>
      </c>
      <c r="B7" t="s">
        <v>7</v>
      </c>
      <c r="C7" t="s">
        <v>19</v>
      </c>
      <c r="D7" s="8">
        <f>_xlfn.XLOOKUP(LEFT($B7,3)&amp;"-"&amp;LEFT($C7,2),Prep!$I$6:$I$67,Prep!B$6:B$67)</f>
        <v>67160</v>
      </c>
      <c r="E7" s="8">
        <f>_xlfn.XLOOKUP(LEFT($B7,3)&amp;"-"&amp;LEFT($C7,2),Prep!$I$6:$I$67,Prep!C$6:C$67)</f>
        <v>60052</v>
      </c>
      <c r="F7" t="s">
        <v>10</v>
      </c>
      <c r="G7" t="s">
        <v>9</v>
      </c>
    </row>
    <row r="8" spans="1:7" x14ac:dyDescent="0.25">
      <c r="A8">
        <v>2025</v>
      </c>
      <c r="B8" t="s">
        <v>7</v>
      </c>
      <c r="C8" t="s">
        <v>20</v>
      </c>
      <c r="D8" s="8">
        <f>_xlfn.XLOOKUP(LEFT($B8,3)&amp;"-"&amp;LEFT($C8,2),Prep!$I$6:$I$67,Prep!B$6:B$67)</f>
        <v>36135</v>
      </c>
      <c r="E8" s="8">
        <f>_xlfn.XLOOKUP(LEFT($B8,3)&amp;"-"&amp;LEFT($C8,2),Prep!$I$6:$I$67,Prep!C$6:C$67)</f>
        <v>32850</v>
      </c>
      <c r="F8" t="s">
        <v>10</v>
      </c>
      <c r="G8" t="s">
        <v>9</v>
      </c>
    </row>
    <row r="9" spans="1:7" x14ac:dyDescent="0.25">
      <c r="A9">
        <v>2025</v>
      </c>
      <c r="B9" t="s">
        <v>7</v>
      </c>
      <c r="C9" t="s">
        <v>21</v>
      </c>
      <c r="D9" s="8">
        <f>_xlfn.XLOOKUP(LEFT($B9,3)&amp;"-"&amp;LEFT($C9,2),Prep!$I$6:$I$67,Prep!B$6:B$67)</f>
        <v>23725</v>
      </c>
      <c r="E9" s="8">
        <f>_xlfn.XLOOKUP(LEFT($B9,3)&amp;"-"&amp;LEFT($C9,2),Prep!$I$6:$I$67,Prep!C$6:C$67)</f>
        <v>20989</v>
      </c>
      <c r="F9" t="s">
        <v>10</v>
      </c>
      <c r="G9" t="s">
        <v>9</v>
      </c>
    </row>
    <row r="10" spans="1:7" x14ac:dyDescent="0.25">
      <c r="A10">
        <v>2025</v>
      </c>
      <c r="B10" t="s">
        <v>7</v>
      </c>
      <c r="C10" t="s">
        <v>22</v>
      </c>
      <c r="D10" s="8">
        <f>_xlfn.XLOOKUP(LEFT($B10,3)&amp;"-"&amp;LEFT($C10,2),Prep!$I$6:$I$67,Prep!B$6:B$67)</f>
        <v>45990</v>
      </c>
      <c r="E10" s="8">
        <f>_xlfn.XLOOKUP(LEFT($B10,3)&amp;"-"&amp;LEFT($C10,2),Prep!$I$6:$I$67,Prep!C$6:C$67)</f>
        <v>35956</v>
      </c>
      <c r="F10" t="s">
        <v>10</v>
      </c>
      <c r="G10" t="s">
        <v>9</v>
      </c>
    </row>
    <row r="11" spans="1:7" x14ac:dyDescent="0.25">
      <c r="A11">
        <v>2025</v>
      </c>
      <c r="B11" t="s">
        <v>7</v>
      </c>
      <c r="C11" t="s">
        <v>23</v>
      </c>
      <c r="D11" s="8">
        <f>_xlfn.XLOOKUP(LEFT($B11,3)&amp;"-"&amp;LEFT($C11,2),Prep!$I$6:$I$67,Prep!B$6:B$67)</f>
        <v>45990</v>
      </c>
      <c r="E11" s="8">
        <f>_xlfn.XLOOKUP(LEFT($B11,3)&amp;"-"&amp;LEFT($C11,2),Prep!$I$6:$I$67,Prep!C$6:C$67)</f>
        <v>30118</v>
      </c>
      <c r="F11" t="s">
        <v>10</v>
      </c>
      <c r="G11" t="s">
        <v>9</v>
      </c>
    </row>
    <row r="12" spans="1:7" x14ac:dyDescent="0.25">
      <c r="A12">
        <v>2025</v>
      </c>
      <c r="B12" t="s">
        <v>7</v>
      </c>
      <c r="C12" t="s">
        <v>13</v>
      </c>
      <c r="D12" s="8">
        <f>_xlfn.XLOOKUP(LEFT($B12,3)&amp;"-"&amp;LEFT($C12,2),Prep!$I$6:$I$67,Prep!B$6:B$67)</f>
        <v>48545</v>
      </c>
      <c r="E12" s="8">
        <f>_xlfn.XLOOKUP(LEFT($B12,3)&amp;"-"&amp;LEFT($C12,2),Prep!$I$6:$I$67,Prep!C$6:C$67)</f>
        <v>45260</v>
      </c>
      <c r="F12" t="s">
        <v>10</v>
      </c>
      <c r="G12" t="s">
        <v>9</v>
      </c>
    </row>
    <row r="13" spans="1:7" x14ac:dyDescent="0.25">
      <c r="A13">
        <v>2025</v>
      </c>
      <c r="B13" t="s">
        <v>7</v>
      </c>
      <c r="C13" t="s">
        <v>14</v>
      </c>
      <c r="D13" s="8">
        <f>_xlfn.XLOOKUP(LEFT($B13,3)&amp;"-"&amp;LEFT($C13,2),Prep!$I$6:$I$67,Prep!B$6:B$67)</f>
        <v>50735</v>
      </c>
      <c r="E13" s="8">
        <f>_xlfn.XLOOKUP(LEFT($B13,3)&amp;"-"&amp;LEFT($C13,2),Prep!$I$6:$I$67,Prep!C$6:C$67)</f>
        <v>48545</v>
      </c>
      <c r="F13" t="s">
        <v>10</v>
      </c>
      <c r="G13" t="s">
        <v>9</v>
      </c>
    </row>
    <row r="14" spans="1:7" x14ac:dyDescent="0.25">
      <c r="A14">
        <v>2025</v>
      </c>
      <c r="B14" t="s">
        <v>7</v>
      </c>
      <c r="C14" t="s">
        <v>24</v>
      </c>
      <c r="D14" s="8">
        <f>_xlfn.XLOOKUP(LEFT($B14,3)&amp;"-"&amp;LEFT($C14,2),Prep!$I$6:$I$67,Prep!B$6:B$67)</f>
        <v>16790</v>
      </c>
      <c r="E14" s="8">
        <f>_xlfn.XLOOKUP(LEFT($B14,3)&amp;"-"&amp;LEFT($C14,2),Prep!$I$6:$I$67,Prep!C$6:C$67)</f>
        <v>16425</v>
      </c>
      <c r="F14" t="s">
        <v>10</v>
      </c>
      <c r="G14" t="s">
        <v>9</v>
      </c>
    </row>
    <row r="15" spans="1:7" x14ac:dyDescent="0.25">
      <c r="A15">
        <v>2025</v>
      </c>
      <c r="B15" t="s">
        <v>11</v>
      </c>
      <c r="C15" t="s">
        <v>8</v>
      </c>
      <c r="D15" s="8">
        <f>_xlfn.XLOOKUP(LEFT($B15,3)&amp;"-"&amp;LEFT($C15,2),Prep!$I$6:$I$67,Prep!B$6:B$67)</f>
        <v>26280</v>
      </c>
      <c r="E15" s="8">
        <f>_xlfn.XLOOKUP(LEFT($B15,3)&amp;"-"&amp;LEFT($C15,2),Prep!$I$6:$I$67,Prep!C$6:C$67)</f>
        <v>25915</v>
      </c>
      <c r="F15" t="s">
        <v>10</v>
      </c>
      <c r="G15" t="s">
        <v>9</v>
      </c>
    </row>
    <row r="16" spans="1:7" x14ac:dyDescent="0.25">
      <c r="A16">
        <v>2025</v>
      </c>
      <c r="B16" t="s">
        <v>11</v>
      </c>
      <c r="C16" t="s">
        <v>12</v>
      </c>
      <c r="D16" s="8">
        <f>_xlfn.XLOOKUP(LEFT($B16,3)&amp;"-"&amp;LEFT($C16,2),Prep!$I$6:$I$67,Prep!B$6:B$67)</f>
        <v>51830</v>
      </c>
      <c r="E16" s="8">
        <f>_xlfn.XLOOKUP(LEFT($B16,3)&amp;"-"&amp;LEFT($C16,2),Prep!$I$6:$I$67,Prep!C$6:C$67)</f>
        <v>48910</v>
      </c>
      <c r="F16" t="s">
        <v>10</v>
      </c>
      <c r="G16" t="s">
        <v>9</v>
      </c>
    </row>
    <row r="17" spans="1:7" x14ac:dyDescent="0.25">
      <c r="A17">
        <v>2025</v>
      </c>
      <c r="B17" t="s">
        <v>11</v>
      </c>
      <c r="C17" t="s">
        <v>19</v>
      </c>
      <c r="D17" s="8">
        <f>_xlfn.XLOOKUP(LEFT($B17,3)&amp;"-"&amp;LEFT($C17,2),Prep!$I$6:$I$67,Prep!B$6:B$67)</f>
        <v>31390</v>
      </c>
      <c r="E17" s="8">
        <f>_xlfn.XLOOKUP(LEFT($B17,3)&amp;"-"&amp;LEFT($C17,2),Prep!$I$6:$I$67,Prep!C$6:C$67)</f>
        <v>30295</v>
      </c>
      <c r="F17" t="s">
        <v>10</v>
      </c>
      <c r="G17" t="s">
        <v>9</v>
      </c>
    </row>
    <row r="18" spans="1:7" x14ac:dyDescent="0.25">
      <c r="A18">
        <v>2025</v>
      </c>
      <c r="B18" t="s">
        <v>11</v>
      </c>
      <c r="C18" t="s">
        <v>13</v>
      </c>
      <c r="D18" s="8">
        <f>_xlfn.XLOOKUP(LEFT($B18,3)&amp;"-"&amp;LEFT($C18,2),Prep!$I$6:$I$67,Prep!B$6:B$67)</f>
        <v>8760</v>
      </c>
      <c r="E18" s="8">
        <f>_xlfn.XLOOKUP(LEFT($B18,3)&amp;"-"&amp;LEFT($C18,2),Prep!$I$6:$I$67,Prep!C$6:C$67)</f>
        <v>8577.5</v>
      </c>
      <c r="F18" t="s">
        <v>10</v>
      </c>
      <c r="G18" t="s">
        <v>9</v>
      </c>
    </row>
    <row r="19" spans="1:7" x14ac:dyDescent="0.25">
      <c r="A19">
        <v>2025</v>
      </c>
      <c r="B19" t="s">
        <v>11</v>
      </c>
      <c r="C19" t="s">
        <v>14</v>
      </c>
      <c r="D19" s="8">
        <f>_xlfn.XLOOKUP(LEFT($B19,3)&amp;"-"&amp;LEFT($C19,2),Prep!$I$6:$I$67,Prep!B$6:B$67)</f>
        <v>17520</v>
      </c>
      <c r="E19" s="8">
        <f>_xlfn.XLOOKUP(LEFT($B19,3)&amp;"-"&amp;LEFT($C19,2),Prep!$I$6:$I$67,Prep!C$6:C$67)</f>
        <v>13687.5</v>
      </c>
      <c r="F19" t="s">
        <v>10</v>
      </c>
      <c r="G19" t="s">
        <v>9</v>
      </c>
    </row>
    <row r="20" spans="1:7" x14ac:dyDescent="0.25">
      <c r="A20">
        <v>2025</v>
      </c>
      <c r="B20" t="s">
        <v>15</v>
      </c>
      <c r="C20" t="s">
        <v>8</v>
      </c>
      <c r="D20" s="8">
        <f>_xlfn.XLOOKUP(LEFT($B20,3)&amp;"-"&amp;LEFT($C20,2),Prep!$I$6:$I$67,Prep!B$6:B$67)</f>
        <v>13140</v>
      </c>
      <c r="E20" s="8">
        <f>_xlfn.XLOOKUP(LEFT($B20,3)&amp;"-"&amp;LEFT($C20,2),Prep!$I$6:$I$67,Prep!C$6:C$67)</f>
        <v>12775</v>
      </c>
      <c r="F20" t="s">
        <v>10</v>
      </c>
      <c r="G20" t="s">
        <v>9</v>
      </c>
    </row>
    <row r="21" spans="1:7" x14ac:dyDescent="0.25">
      <c r="A21">
        <v>2025</v>
      </c>
      <c r="B21" t="s">
        <v>15</v>
      </c>
      <c r="C21" t="s">
        <v>12</v>
      </c>
      <c r="D21" s="8">
        <f>_xlfn.XLOOKUP(LEFT($B21,3)&amp;"-"&amp;LEFT($C21,2),Prep!$I$6:$I$67,Prep!B$6:B$67)</f>
        <v>44895</v>
      </c>
      <c r="E21" s="8">
        <f>_xlfn.XLOOKUP(LEFT($B21,3)&amp;"-"&amp;LEFT($C21,2),Prep!$I$6:$I$67,Prep!C$6:C$67)</f>
        <v>41245</v>
      </c>
      <c r="F21" t="s">
        <v>10</v>
      </c>
      <c r="G21" t="s">
        <v>9</v>
      </c>
    </row>
    <row r="22" spans="1:7" x14ac:dyDescent="0.25">
      <c r="A22">
        <v>2025</v>
      </c>
      <c r="B22" t="s">
        <v>15</v>
      </c>
      <c r="C22" t="s">
        <v>13</v>
      </c>
      <c r="D22" s="8">
        <f>_xlfn.XLOOKUP(LEFT($B22,3)&amp;"-"&amp;LEFT($C22,2),Prep!$I$6:$I$67,Prep!B$6:B$67)</f>
        <v>12775</v>
      </c>
      <c r="E22" s="8">
        <f>_xlfn.XLOOKUP(LEFT($B22,3)&amp;"-"&amp;LEFT($C22,2),Prep!$I$6:$I$67,Prep!C$6:C$67)</f>
        <v>12045</v>
      </c>
      <c r="F22" t="s">
        <v>10</v>
      </c>
      <c r="G22" t="s">
        <v>9</v>
      </c>
    </row>
    <row r="23" spans="1:7" x14ac:dyDescent="0.25">
      <c r="A23">
        <v>2025</v>
      </c>
      <c r="B23" t="s">
        <v>15</v>
      </c>
      <c r="C23" t="s">
        <v>14</v>
      </c>
      <c r="D23" s="8">
        <f>_xlfn.XLOOKUP(LEFT($B23,3)&amp;"-"&amp;LEFT($C23,2),Prep!$I$6:$I$67,Prep!B$6:B$67)</f>
        <v>27740</v>
      </c>
      <c r="E23" s="8">
        <f>_xlfn.XLOOKUP(LEFT($B23,3)&amp;"-"&amp;LEFT($C23,2),Prep!$I$6:$I$67,Prep!C$6:C$67)</f>
        <v>26645</v>
      </c>
      <c r="F23" t="s">
        <v>10</v>
      </c>
      <c r="G23" t="s">
        <v>9</v>
      </c>
    </row>
    <row r="24" spans="1:7" x14ac:dyDescent="0.25">
      <c r="A24">
        <v>2025</v>
      </c>
      <c r="B24" s="15" t="s">
        <v>82</v>
      </c>
      <c r="C24" s="15" t="str">
        <f>C29</f>
        <v>21 Villas/Cottages</v>
      </c>
      <c r="D24" s="8">
        <f>_xlfn.XLOOKUP(LEFT($B24,3)&amp;"-"&amp;LEFT($C24,2),Prep!$I$6:$I$67,Prep!B$6:B$67)</f>
        <v>4745</v>
      </c>
      <c r="E24" s="8">
        <f>_xlfn.XLOOKUP(LEFT($B24,3)&amp;"-"&amp;LEFT($C24,2),Prep!$I$6:$I$67,Prep!C$6:C$67)</f>
        <v>4380</v>
      </c>
      <c r="F24" t="s">
        <v>10</v>
      </c>
      <c r="G24" t="s">
        <v>9</v>
      </c>
    </row>
    <row r="25" spans="1:7" x14ac:dyDescent="0.25">
      <c r="A25">
        <v>2025</v>
      </c>
      <c r="B25" s="15" t="s">
        <v>82</v>
      </c>
      <c r="C25" s="15" t="str">
        <f>C42</f>
        <v>51 Assisted Living A</v>
      </c>
      <c r="D25" s="8">
        <f>_xlfn.XLOOKUP(LEFT($B25,3)&amp;"-"&amp;LEFT($C25,2),Prep!$I$6:$I$67,Prep!B$6:B$67)</f>
        <v>25550</v>
      </c>
      <c r="E25" s="8">
        <f>_xlfn.XLOOKUP(LEFT($B25,3)&amp;"-"&amp;LEFT($C25,2),Prep!$I$6:$I$67,Prep!C$6:C$67)</f>
        <v>24090</v>
      </c>
      <c r="F25" t="s">
        <v>10</v>
      </c>
      <c r="G25" t="s">
        <v>9</v>
      </c>
    </row>
    <row r="26" spans="1:7" x14ac:dyDescent="0.25">
      <c r="A26">
        <v>2025</v>
      </c>
      <c r="B26" s="15" t="s">
        <v>82</v>
      </c>
      <c r="C26" s="15" t="str">
        <f>C43</f>
        <v>52 Assisted Living B</v>
      </c>
      <c r="D26" s="8">
        <f>_xlfn.XLOOKUP(LEFT($B26,3)&amp;"-"&amp;LEFT($C26,2),Prep!$I$6:$I$67,Prep!B$6:B$67)</f>
        <v>4380</v>
      </c>
      <c r="E26" s="8">
        <f>_xlfn.XLOOKUP(LEFT($B26,3)&amp;"-"&amp;LEFT($C26,2),Prep!$I$6:$I$67,Prep!C$6:C$67)</f>
        <v>4015</v>
      </c>
      <c r="F26" t="s">
        <v>10</v>
      </c>
      <c r="G26" t="s">
        <v>9</v>
      </c>
    </row>
    <row r="27" spans="1:7" x14ac:dyDescent="0.25">
      <c r="A27">
        <v>2025</v>
      </c>
      <c r="B27" s="15" t="s">
        <v>85</v>
      </c>
      <c r="C27" s="15" t="str">
        <f>C25</f>
        <v>51 Assisted Living A</v>
      </c>
      <c r="D27" s="8">
        <f>_xlfn.XLOOKUP(LEFT($B27,3)&amp;"-"&amp;LEFT($C27,2),Prep!$I$6:$I$67,Prep!B$6:B$67)</f>
        <v>15695</v>
      </c>
      <c r="E27" s="8">
        <f>_xlfn.XLOOKUP(LEFT($B27,3)&amp;"-"&amp;LEFT($C27,2),Prep!$I$6:$I$67,Prep!C$6:C$67)</f>
        <v>13325</v>
      </c>
      <c r="F27" t="s">
        <v>10</v>
      </c>
      <c r="G27" t="s">
        <v>9</v>
      </c>
    </row>
    <row r="28" spans="1:7" x14ac:dyDescent="0.25">
      <c r="A28">
        <v>2025</v>
      </c>
      <c r="B28" s="15" t="s">
        <v>85</v>
      </c>
      <c r="C28" s="15" t="str">
        <f>C26</f>
        <v>52 Assisted Living B</v>
      </c>
      <c r="D28" s="8">
        <f>_xlfn.XLOOKUP(LEFT($B28,3)&amp;"-"&amp;LEFT($C28,2),Prep!$I$6:$I$67,Prep!B$6:B$67)</f>
        <v>3285</v>
      </c>
      <c r="E28" s="8">
        <f>_xlfn.XLOOKUP(LEFT($B28,3)&amp;"-"&amp;LEFT($C28,2),Prep!$I$6:$I$67,Prep!C$6:C$67)</f>
        <v>2920</v>
      </c>
      <c r="F28" t="s">
        <v>10</v>
      </c>
      <c r="G28" t="s">
        <v>9</v>
      </c>
    </row>
    <row r="29" spans="1:7" x14ac:dyDescent="0.25">
      <c r="A29">
        <v>2025</v>
      </c>
      <c r="B29" t="s">
        <v>18</v>
      </c>
      <c r="C29" t="s">
        <v>8</v>
      </c>
      <c r="D29" s="8">
        <f>_xlfn.XLOOKUP(LEFT($B29,3)&amp;"-"&amp;LEFT($C29,2),Prep!$I$6:$I$67,Prep!B$6:B$67)</f>
        <v>34675</v>
      </c>
      <c r="E29" s="8">
        <f>_xlfn.XLOOKUP(LEFT($B29,3)&amp;"-"&amp;LEFT($C29,2),Prep!$I$6:$I$67,Prep!C$6:C$67)</f>
        <v>33945</v>
      </c>
      <c r="F29" t="s">
        <v>10</v>
      </c>
      <c r="G29" t="s">
        <v>9</v>
      </c>
    </row>
    <row r="30" spans="1:7" x14ac:dyDescent="0.25">
      <c r="A30">
        <v>2025</v>
      </c>
      <c r="B30" t="s">
        <v>18</v>
      </c>
      <c r="C30" t="s">
        <v>16</v>
      </c>
      <c r="D30" s="8">
        <f>_xlfn.XLOOKUP(LEFT($B30,3)&amp;"-"&amp;LEFT($C30,2),Prep!$I$6:$I$67,Prep!B$6:B$67)</f>
        <v>17155</v>
      </c>
      <c r="E30" s="8">
        <f>_xlfn.XLOOKUP(LEFT($B30,3)&amp;"-"&amp;LEFT($C30,2),Prep!$I$6:$I$67,Prep!C$6:C$67)</f>
        <v>16790</v>
      </c>
      <c r="F30" t="s">
        <v>10</v>
      </c>
      <c r="G30" t="s">
        <v>9</v>
      </c>
    </row>
    <row r="31" spans="1:7" x14ac:dyDescent="0.25">
      <c r="A31">
        <v>2025</v>
      </c>
      <c r="B31" t="s">
        <v>18</v>
      </c>
      <c r="C31" t="s">
        <v>12</v>
      </c>
      <c r="D31" s="8">
        <f>_xlfn.XLOOKUP(LEFT($B31,3)&amp;"-"&amp;LEFT($C31,2),Prep!$I$6:$I$67,Prep!B$6:B$67)</f>
        <v>6205</v>
      </c>
      <c r="E31" s="8">
        <f>_xlfn.XLOOKUP(LEFT($B31,3)&amp;"-"&amp;LEFT($C31,2),Prep!$I$6:$I$67,Prep!C$6:C$67)</f>
        <v>5840</v>
      </c>
      <c r="F31" t="s">
        <v>10</v>
      </c>
      <c r="G31" t="s">
        <v>9</v>
      </c>
    </row>
    <row r="32" spans="1:7" x14ac:dyDescent="0.25">
      <c r="A32">
        <v>2025</v>
      </c>
      <c r="B32" t="s">
        <v>18</v>
      </c>
      <c r="C32" t="s">
        <v>19</v>
      </c>
      <c r="D32" s="8">
        <f>_xlfn.XLOOKUP(LEFT($B32,3)&amp;"-"&amp;LEFT($C32,2),Prep!$I$6:$I$67,Prep!B$6:B$67)</f>
        <v>34310</v>
      </c>
      <c r="E32" s="8">
        <f>_xlfn.XLOOKUP(LEFT($B32,3)&amp;"-"&amp;LEFT($C32,2),Prep!$I$6:$I$67,Prep!C$6:C$67)</f>
        <v>31207.5</v>
      </c>
      <c r="F32" t="s">
        <v>10</v>
      </c>
      <c r="G32" t="s">
        <v>9</v>
      </c>
    </row>
    <row r="33" spans="1:7" x14ac:dyDescent="0.25">
      <c r="A33">
        <v>2025</v>
      </c>
      <c r="B33" t="s">
        <v>18</v>
      </c>
      <c r="C33" t="s">
        <v>20</v>
      </c>
      <c r="D33" s="8">
        <f>_xlfn.XLOOKUP(LEFT($B33,3)&amp;"-"&amp;LEFT($C33,2),Prep!$I$6:$I$67,Prep!B$6:B$67)</f>
        <v>50370</v>
      </c>
      <c r="E33" s="8">
        <f>_xlfn.XLOOKUP(LEFT($B33,3)&amp;"-"&amp;LEFT($C33,2),Prep!$I$6:$I$67,Prep!C$6:C$67)</f>
        <v>48180</v>
      </c>
      <c r="F33" t="s">
        <v>10</v>
      </c>
      <c r="G33" t="s">
        <v>9</v>
      </c>
    </row>
    <row r="34" spans="1:7" x14ac:dyDescent="0.25">
      <c r="A34">
        <v>2025</v>
      </c>
      <c r="B34" t="s">
        <v>18</v>
      </c>
      <c r="C34" t="s">
        <v>13</v>
      </c>
      <c r="D34" s="8">
        <f>_xlfn.XLOOKUP(LEFT($B34,3)&amp;"-"&amp;LEFT($C34,2),Prep!$I$6:$I$67,Prep!B$6:B$67)</f>
        <v>36500</v>
      </c>
      <c r="E34" s="8">
        <f>_xlfn.XLOOKUP(LEFT($B34,3)&amp;"-"&amp;LEFT($C34,2),Prep!$I$6:$I$67,Prep!C$6:C$67)</f>
        <v>35222.5</v>
      </c>
      <c r="F34" t="s">
        <v>10</v>
      </c>
      <c r="G34" t="s">
        <v>9</v>
      </c>
    </row>
    <row r="35" spans="1:7" x14ac:dyDescent="0.25">
      <c r="A35">
        <v>2025</v>
      </c>
      <c r="B35" t="s">
        <v>18</v>
      </c>
      <c r="C35" t="s">
        <v>14</v>
      </c>
      <c r="D35" s="8">
        <f>_xlfn.XLOOKUP(LEFT($B35,3)&amp;"-"&amp;LEFT($C35,2),Prep!$I$6:$I$67,Prep!B$6:B$67)</f>
        <v>25185</v>
      </c>
      <c r="E35" s="8">
        <f>_xlfn.XLOOKUP(LEFT($B35,3)&amp;"-"&amp;LEFT($C35,2),Prep!$I$6:$I$67,Prep!C$6:C$67)</f>
        <v>24090</v>
      </c>
      <c r="F35" t="s">
        <v>10</v>
      </c>
      <c r="G35" t="s">
        <v>9</v>
      </c>
    </row>
    <row r="36" spans="1:7" x14ac:dyDescent="0.25">
      <c r="A36">
        <v>2025</v>
      </c>
      <c r="B36" t="s">
        <v>26</v>
      </c>
      <c r="C36" t="s">
        <v>8</v>
      </c>
      <c r="D36" s="8">
        <f>_xlfn.XLOOKUP(LEFT($B36,3)&amp;"-"&amp;LEFT($C36,2),Prep!$I$6:$I$67,Prep!B$6:B$67)</f>
        <v>18615</v>
      </c>
      <c r="E36" s="8">
        <f>_xlfn.XLOOKUP(LEFT($B36,3)&amp;"-"&amp;LEFT($C36,2),Prep!$I$6:$I$67,Prep!C$6:C$67)</f>
        <v>17520</v>
      </c>
      <c r="F36" t="s">
        <v>10</v>
      </c>
      <c r="G36" t="s">
        <v>9</v>
      </c>
    </row>
    <row r="37" spans="1:7" x14ac:dyDescent="0.25">
      <c r="A37">
        <v>2025</v>
      </c>
      <c r="B37" t="s">
        <v>26</v>
      </c>
      <c r="C37" t="s">
        <v>12</v>
      </c>
      <c r="D37" s="8">
        <f>_xlfn.XLOOKUP(LEFT($B37,3)&amp;"-"&amp;LEFT($C37,2),Prep!$I$6:$I$67,Prep!B$6:B$67)</f>
        <v>28470</v>
      </c>
      <c r="E37" s="8">
        <f>_xlfn.XLOOKUP(LEFT($B37,3)&amp;"-"&amp;LEFT($C37,2),Prep!$I$6:$I$67,Prep!C$6:C$67)</f>
        <v>26280</v>
      </c>
      <c r="F37" t="s">
        <v>10</v>
      </c>
      <c r="G37" t="s">
        <v>9</v>
      </c>
    </row>
    <row r="38" spans="1:7" x14ac:dyDescent="0.25">
      <c r="A38">
        <v>2025</v>
      </c>
      <c r="B38" t="s">
        <v>26</v>
      </c>
      <c r="C38" t="s">
        <v>13</v>
      </c>
      <c r="D38" s="8">
        <f>_xlfn.XLOOKUP(LEFT($B38,3)&amp;"-"&amp;LEFT($C38,2),Prep!$I$6:$I$67,Prep!B$6:B$67)</f>
        <v>13870</v>
      </c>
      <c r="E38" s="8">
        <f>_xlfn.XLOOKUP(LEFT($B38,3)&amp;"-"&amp;LEFT($C38,2),Prep!$I$6:$I$67,Prep!C$6:C$67)</f>
        <v>12899.100000000004</v>
      </c>
      <c r="F38" t="s">
        <v>10</v>
      </c>
      <c r="G38" t="s">
        <v>9</v>
      </c>
    </row>
    <row r="39" spans="1:7" x14ac:dyDescent="0.25">
      <c r="A39">
        <v>2025</v>
      </c>
      <c r="B39" t="s">
        <v>26</v>
      </c>
      <c r="C39" t="s">
        <v>14</v>
      </c>
      <c r="D39" s="8">
        <f>_xlfn.XLOOKUP(LEFT($B39,3)&amp;"-"&amp;LEFT($C39,2),Prep!$I$6:$I$67,Prep!B$6:B$67)</f>
        <v>0</v>
      </c>
      <c r="E39" s="8">
        <f>_xlfn.XLOOKUP(LEFT($B39,3)&amp;"-"&amp;LEFT($C39,2),Prep!$I$6:$I$67,Prep!C$6:C$67)</f>
        <v>0</v>
      </c>
      <c r="F39" t="s">
        <v>10</v>
      </c>
      <c r="G39" t="s">
        <v>9</v>
      </c>
    </row>
    <row r="40" spans="1:7" x14ac:dyDescent="0.25">
      <c r="A40">
        <v>2025</v>
      </c>
      <c r="B40" t="s">
        <v>25</v>
      </c>
      <c r="C40" t="s">
        <v>8</v>
      </c>
      <c r="D40" s="8">
        <f>_xlfn.XLOOKUP(LEFT($B40,3)&amp;"-"&amp;LEFT($C40,2),Prep!$I$6:$I$67,Prep!B$6:B$67)</f>
        <v>24090</v>
      </c>
      <c r="E40" s="8">
        <f>_xlfn.XLOOKUP(LEFT($B40,3)&amp;"-"&amp;LEFT($C40,2),Prep!$I$6:$I$67,Prep!C$6:C$67)</f>
        <v>22630</v>
      </c>
      <c r="F40" t="s">
        <v>10</v>
      </c>
      <c r="G40" t="s">
        <v>9</v>
      </c>
    </row>
    <row r="41" spans="1:7" x14ac:dyDescent="0.25">
      <c r="A41">
        <v>2025</v>
      </c>
      <c r="B41" t="s">
        <v>25</v>
      </c>
      <c r="C41" t="s">
        <v>12</v>
      </c>
      <c r="D41" s="8">
        <f>_xlfn.XLOOKUP(LEFT($B41,3)&amp;"-"&amp;LEFT($C41,2),Prep!$I$6:$I$67,Prep!B$6:B$67)</f>
        <v>32120</v>
      </c>
      <c r="E41" s="8">
        <f>_xlfn.XLOOKUP(LEFT($B41,3)&amp;"-"&amp;LEFT($C41,2),Prep!$I$6:$I$67,Prep!C$6:C$67)</f>
        <v>30660</v>
      </c>
      <c r="F41" t="s">
        <v>10</v>
      </c>
      <c r="G41" t="s">
        <v>9</v>
      </c>
    </row>
    <row r="42" spans="1:7" x14ac:dyDescent="0.25">
      <c r="A42">
        <v>2025</v>
      </c>
      <c r="B42" t="s">
        <v>25</v>
      </c>
      <c r="C42" t="s">
        <v>13</v>
      </c>
      <c r="D42" s="8">
        <f>_xlfn.XLOOKUP(LEFT($B42,3)&amp;"-"&amp;LEFT($C42,2),Prep!$I$6:$I$67,Prep!B$6:B$67)</f>
        <v>3285</v>
      </c>
      <c r="E42" s="8">
        <f>_xlfn.XLOOKUP(LEFT($B42,3)&amp;"-"&amp;LEFT($C42,2),Prep!$I$6:$I$67,Prep!C$6:C$67)</f>
        <v>3102.5</v>
      </c>
      <c r="F42" t="s">
        <v>10</v>
      </c>
      <c r="G42" t="s">
        <v>9</v>
      </c>
    </row>
    <row r="43" spans="1:7" x14ac:dyDescent="0.25">
      <c r="A43">
        <v>2025</v>
      </c>
      <c r="B43" t="s">
        <v>25</v>
      </c>
      <c r="C43" t="s">
        <v>17</v>
      </c>
      <c r="D43" s="8">
        <f>_xlfn.XLOOKUP(LEFT($B43,3)&amp;"-"&amp;LEFT($C43,2),Prep!$I$6:$I$67,Prep!B$6:B$67)</f>
        <v>5840</v>
      </c>
      <c r="E43" s="8">
        <f>_xlfn.XLOOKUP(LEFT($B43,3)&amp;"-"&amp;LEFT($C43,2),Prep!$I$6:$I$67,Prep!C$6:C$67)</f>
        <v>5657.5</v>
      </c>
      <c r="F43" t="s">
        <v>10</v>
      </c>
      <c r="G43" t="s">
        <v>9</v>
      </c>
    </row>
    <row r="44" spans="1:7" x14ac:dyDescent="0.25">
      <c r="A44">
        <v>2025</v>
      </c>
      <c r="B44" t="s">
        <v>25</v>
      </c>
      <c r="C44" t="s">
        <v>14</v>
      </c>
      <c r="D44" s="8">
        <f>_xlfn.XLOOKUP(LEFT($B44,3)&amp;"-"&amp;LEFT($C44,2),Prep!$I$6:$I$67,Prep!B$6:B$67)</f>
        <v>23360</v>
      </c>
      <c r="E44" s="8">
        <f>_xlfn.XLOOKUP(LEFT($B44,3)&amp;"-"&amp;LEFT($C44,2),Prep!$I$6:$I$67,Prep!C$6:C$67)</f>
        <v>22265</v>
      </c>
      <c r="F44" t="s">
        <v>10</v>
      </c>
      <c r="G44" t="s">
        <v>9</v>
      </c>
    </row>
    <row r="45" spans="1:7" x14ac:dyDescent="0.25">
      <c r="A45">
        <v>2025</v>
      </c>
      <c r="B45" t="s">
        <v>28</v>
      </c>
      <c r="C45" t="s">
        <v>8</v>
      </c>
      <c r="D45" s="8">
        <f>_xlfn.XLOOKUP(LEFT($B45,3)&amp;"-"&amp;LEFT($C45,2),Prep!$I$6:$I$67,Prep!B$6:B$67)</f>
        <v>11315</v>
      </c>
      <c r="E45" s="8">
        <f>_xlfn.XLOOKUP(LEFT($B45,3)&amp;"-"&amp;LEFT($C45,2),Prep!$I$6:$I$67,Prep!C$6:C$67)</f>
        <v>10950</v>
      </c>
      <c r="F45" t="s">
        <v>10</v>
      </c>
      <c r="G45" t="s">
        <v>9</v>
      </c>
    </row>
    <row r="46" spans="1:7" x14ac:dyDescent="0.25">
      <c r="A46">
        <v>2025</v>
      </c>
      <c r="B46" t="s">
        <v>28</v>
      </c>
      <c r="C46" t="s">
        <v>12</v>
      </c>
      <c r="D46" s="8">
        <f>_xlfn.XLOOKUP(LEFT($B46,3)&amp;"-"&amp;LEFT($C46,2),Prep!$I$6:$I$67,Prep!B$6:B$67)</f>
        <v>13140</v>
      </c>
      <c r="E46" s="8">
        <f>_xlfn.XLOOKUP(LEFT($B46,3)&amp;"-"&amp;LEFT($C46,2),Prep!$I$6:$I$67,Prep!C$6:C$67)</f>
        <v>12775</v>
      </c>
      <c r="F46" t="s">
        <v>10</v>
      </c>
      <c r="G46" t="s">
        <v>9</v>
      </c>
    </row>
    <row r="47" spans="1:7" x14ac:dyDescent="0.25">
      <c r="A47">
        <v>2025</v>
      </c>
      <c r="B47" t="s">
        <v>28</v>
      </c>
      <c r="C47" t="s">
        <v>13</v>
      </c>
      <c r="D47" s="8">
        <f>_xlfn.XLOOKUP(LEFT($B47,3)&amp;"-"&amp;LEFT($C47,2),Prep!$I$6:$I$67,Prep!B$6:B$67)</f>
        <v>14235</v>
      </c>
      <c r="E47" s="8">
        <f>_xlfn.XLOOKUP(LEFT($B47,3)&amp;"-"&amp;LEFT($C47,2),Prep!$I$6:$I$67,Prep!C$6:C$67)</f>
        <v>13505</v>
      </c>
      <c r="F47" t="s">
        <v>10</v>
      </c>
      <c r="G4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0E91-9D16-4F37-8E2D-8509CB6E6152}">
  <sheetPr>
    <tabColor theme="2"/>
  </sheetPr>
  <dimension ref="A1:J61"/>
  <sheetViews>
    <sheetView workbookViewId="0">
      <pane xSplit="1" ySplit="5" topLeftCell="B37" activePane="bottomRight" state="frozen"/>
      <selection activeCell="D4" sqref="D4"/>
      <selection pane="topRight" activeCell="D4" sqref="D4"/>
      <selection pane="bottomLeft" activeCell="D4" sqref="D4"/>
      <selection pane="bottomRight" activeCell="A37" sqref="A37"/>
    </sheetView>
  </sheetViews>
  <sheetFormatPr defaultRowHeight="15" x14ac:dyDescent="0.25"/>
  <cols>
    <col min="1" max="1" width="54.28515625" customWidth="1"/>
    <col min="2" max="5" width="20.28515625" customWidth="1"/>
    <col min="6" max="6" width="1.7109375" customWidth="1"/>
    <col min="11" max="11" width="1.7109375" customWidth="1"/>
  </cols>
  <sheetData>
    <row r="1" spans="1:10" x14ac:dyDescent="0.25">
      <c r="A1" s="6" t="s">
        <v>90</v>
      </c>
      <c r="B1" s="6"/>
      <c r="C1" s="6" t="s">
        <v>90</v>
      </c>
      <c r="D1" s="6"/>
      <c r="E1" s="6"/>
      <c r="G1" s="7" t="s">
        <v>74</v>
      </c>
      <c r="H1" s="7" t="s">
        <v>74</v>
      </c>
      <c r="I1" s="7" t="s">
        <v>74</v>
      </c>
      <c r="J1" s="7"/>
    </row>
    <row r="3" spans="1:10" x14ac:dyDescent="0.25">
      <c r="B3" s="2" t="str">
        <f>'OC-Pull'!B3</f>
        <v>FY2025</v>
      </c>
      <c r="C3" s="2" t="str">
        <f>'OC-Pull'!C3</f>
        <v>FY2025</v>
      </c>
      <c r="D3" s="2" t="str">
        <f>'OC-Pull'!D3</f>
        <v>FY2025</v>
      </c>
      <c r="E3" s="2" t="str">
        <f>'OC-Pull'!E3</f>
        <v>FY2025</v>
      </c>
    </row>
    <row r="4" spans="1:10" x14ac:dyDescent="0.25">
      <c r="B4" s="2" t="str">
        <f>'OC-Pull'!B4</f>
        <v>Budget 2025</v>
      </c>
      <c r="C4" s="2" t="str">
        <f>'OC-Pull'!C4</f>
        <v>Budget 2025</v>
      </c>
      <c r="D4" s="2" t="str">
        <f>'OC-Pull'!D4</f>
        <v>Budget 2025</v>
      </c>
      <c r="E4" s="2" t="str">
        <f>'OC-Pull'!E4</f>
        <v>Budget 2025</v>
      </c>
    </row>
    <row r="5" spans="1:10" ht="45" x14ac:dyDescent="0.25">
      <c r="B5" s="2" t="str">
        <f>'OC-Pull'!B5</f>
        <v>Maximum Resident Days</v>
      </c>
      <c r="C5" s="2" t="str">
        <f>'OC-Pull'!C5</f>
        <v>Forecasted Resident Days</v>
      </c>
      <c r="D5" s="2" t="str">
        <f>'OC-Pull'!D5</f>
        <v>Forecasted Occ. % - Actual Available Units</v>
      </c>
      <c r="E5" s="2" t="str">
        <f>'OC-Pull'!E5</f>
        <v>Forecasted Occ. %  - Budget Available Units</v>
      </c>
      <c r="G5" s="4" t="s">
        <v>72</v>
      </c>
      <c r="H5" s="4" t="s">
        <v>73</v>
      </c>
      <c r="I5" s="4" t="s">
        <v>75</v>
      </c>
      <c r="J5" s="4" t="s">
        <v>76</v>
      </c>
    </row>
    <row r="6" spans="1:10" x14ac:dyDescent="0.25">
      <c r="A6" s="9" t="s">
        <v>61</v>
      </c>
      <c r="B6" s="3">
        <v>26645</v>
      </c>
      <c r="C6" s="3">
        <v>25732.5</v>
      </c>
      <c r="D6" s="12">
        <v>0.96575342465753422</v>
      </c>
      <c r="E6" s="12">
        <v>0.96575342465753422</v>
      </c>
      <c r="G6">
        <f t="shared" ref="G6" si="0">IFERROR(VALUE(LEFT(A6,3)),"Rollup")</f>
        <v>100</v>
      </c>
      <c r="H6">
        <f t="shared" ref="H6" si="1">IFERROR(VALUE(MID(A6,5,2)),IF(ISNUMBER(G6),"Entity",G6))</f>
        <v>21</v>
      </c>
      <c r="I6" t="str">
        <f>G6&amp;"-"&amp;H6</f>
        <v>100-21</v>
      </c>
      <c r="J6" t="e">
        <f>_xlfn.XMATCH(I6,#REF!)</f>
        <v>#REF!</v>
      </c>
    </row>
    <row r="7" spans="1:10" x14ac:dyDescent="0.25">
      <c r="A7" s="9" t="s">
        <v>62</v>
      </c>
      <c r="B7" s="3">
        <v>15695</v>
      </c>
      <c r="C7" s="3">
        <v>15330</v>
      </c>
      <c r="D7" s="12">
        <v>0.97674418604651159</v>
      </c>
      <c r="E7" s="12">
        <v>0.97674418604651159</v>
      </c>
      <c r="G7">
        <f t="shared" ref="G7:G59" si="2">IFERROR(VALUE(LEFT(A7,3)),"Rollup")</f>
        <v>100</v>
      </c>
      <c r="H7">
        <f t="shared" ref="H7:H59" si="3">IFERROR(VALUE(MID(A7,5,2)),IF(ISNUMBER(G7),"Entity",G7))</f>
        <v>22</v>
      </c>
      <c r="I7" t="str">
        <f t="shared" ref="I7:I59" si="4">G7&amp;"-"&amp;H7</f>
        <v>100-22</v>
      </c>
      <c r="J7" t="e">
        <f>_xlfn.XMATCH(I7,#REF!)</f>
        <v>#REF!</v>
      </c>
    </row>
    <row r="8" spans="1:10" x14ac:dyDescent="0.25">
      <c r="A8" s="9" t="s">
        <v>63</v>
      </c>
      <c r="B8" s="3">
        <v>39785</v>
      </c>
      <c r="C8" s="3">
        <v>23367</v>
      </c>
      <c r="D8" s="12">
        <v>0.58733190901093379</v>
      </c>
      <c r="E8" s="12">
        <v>0.58733190901093379</v>
      </c>
      <c r="G8">
        <f t="shared" si="2"/>
        <v>100</v>
      </c>
      <c r="H8">
        <f t="shared" si="3"/>
        <v>31</v>
      </c>
      <c r="I8" t="str">
        <f t="shared" si="4"/>
        <v>100-31</v>
      </c>
      <c r="J8" t="e">
        <f>_xlfn.XMATCH(I8,#REF!)</f>
        <v>#REF!</v>
      </c>
    </row>
    <row r="9" spans="1:10" x14ac:dyDescent="0.25">
      <c r="A9" s="9" t="s">
        <v>64</v>
      </c>
      <c r="B9" s="3">
        <v>67160</v>
      </c>
      <c r="C9" s="3">
        <v>60052</v>
      </c>
      <c r="D9" s="12">
        <v>0.89416319237641451</v>
      </c>
      <c r="E9" s="12">
        <v>0.89416319237641451</v>
      </c>
      <c r="G9">
        <f t="shared" si="2"/>
        <v>100</v>
      </c>
      <c r="H9">
        <f t="shared" si="3"/>
        <v>32</v>
      </c>
      <c r="I9" t="str">
        <f t="shared" si="4"/>
        <v>100-32</v>
      </c>
      <c r="J9" t="e">
        <f>_xlfn.XMATCH(I9,#REF!)</f>
        <v>#REF!</v>
      </c>
    </row>
    <row r="10" spans="1:10" x14ac:dyDescent="0.25">
      <c r="A10" s="9" t="s">
        <v>65</v>
      </c>
      <c r="B10" s="3">
        <v>36135</v>
      </c>
      <c r="C10" s="3">
        <v>32850</v>
      </c>
      <c r="D10" s="12">
        <v>0.90909090909090917</v>
      </c>
      <c r="E10" s="12">
        <v>0.90909090909090917</v>
      </c>
      <c r="G10">
        <f t="shared" si="2"/>
        <v>100</v>
      </c>
      <c r="H10">
        <f t="shared" si="3"/>
        <v>33</v>
      </c>
      <c r="I10" t="str">
        <f t="shared" si="4"/>
        <v>100-33</v>
      </c>
      <c r="J10" t="e">
        <f>_xlfn.XMATCH(I10,#REF!)</f>
        <v>#REF!</v>
      </c>
    </row>
    <row r="11" spans="1:10" x14ac:dyDescent="0.25">
      <c r="A11" s="9" t="s">
        <v>66</v>
      </c>
      <c r="B11" s="3">
        <v>23725</v>
      </c>
      <c r="C11" s="3">
        <v>20989</v>
      </c>
      <c r="D11" s="12">
        <v>0.88467860906217066</v>
      </c>
      <c r="E11" s="12">
        <v>0.88467860906217066</v>
      </c>
      <c r="G11">
        <f t="shared" si="2"/>
        <v>100</v>
      </c>
      <c r="H11">
        <f t="shared" si="3"/>
        <v>34</v>
      </c>
      <c r="I11" t="str">
        <f t="shared" si="4"/>
        <v>100-34</v>
      </c>
      <c r="J11" t="e">
        <f>_xlfn.XMATCH(I11,#REF!)</f>
        <v>#REF!</v>
      </c>
    </row>
    <row r="12" spans="1:10" x14ac:dyDescent="0.25">
      <c r="A12" s="9" t="s">
        <v>67</v>
      </c>
      <c r="B12" s="3">
        <v>45990</v>
      </c>
      <c r="C12" s="3">
        <v>35956</v>
      </c>
      <c r="D12" s="12">
        <v>0.78182213524679278</v>
      </c>
      <c r="E12" s="12">
        <v>0.78182213524679278</v>
      </c>
      <c r="G12">
        <f t="shared" si="2"/>
        <v>100</v>
      </c>
      <c r="H12">
        <f t="shared" si="3"/>
        <v>35</v>
      </c>
      <c r="I12" t="str">
        <f t="shared" si="4"/>
        <v>100-35</v>
      </c>
      <c r="J12" t="e">
        <f>_xlfn.XMATCH(I12,#REF!)</f>
        <v>#REF!</v>
      </c>
    </row>
    <row r="13" spans="1:10" x14ac:dyDescent="0.25">
      <c r="A13" s="9" t="s">
        <v>68</v>
      </c>
      <c r="B13" s="3">
        <v>45990</v>
      </c>
      <c r="C13" s="3">
        <v>30118</v>
      </c>
      <c r="D13" s="12">
        <v>0.65488149597738643</v>
      </c>
      <c r="E13" s="12">
        <v>0.65488149597738643</v>
      </c>
      <c r="G13">
        <f t="shared" si="2"/>
        <v>100</v>
      </c>
      <c r="H13">
        <f t="shared" si="3"/>
        <v>36</v>
      </c>
      <c r="I13" t="str">
        <f t="shared" si="4"/>
        <v>100-36</v>
      </c>
      <c r="J13" t="e">
        <f>_xlfn.XMATCH(I13,#REF!)</f>
        <v>#REF!</v>
      </c>
    </row>
    <row r="14" spans="1:10" x14ac:dyDescent="0.25">
      <c r="A14" s="9" t="s">
        <v>69</v>
      </c>
      <c r="B14" s="3">
        <v>48545</v>
      </c>
      <c r="C14" s="3">
        <v>45260</v>
      </c>
      <c r="D14" s="12">
        <v>0.93233082706766923</v>
      </c>
      <c r="E14" s="12">
        <v>0.93233082706766923</v>
      </c>
      <c r="G14">
        <f t="shared" si="2"/>
        <v>100</v>
      </c>
      <c r="H14">
        <f t="shared" si="3"/>
        <v>51</v>
      </c>
      <c r="I14" t="str">
        <f t="shared" si="4"/>
        <v>100-51</v>
      </c>
      <c r="J14" t="e">
        <f>_xlfn.XMATCH(I14,#REF!)</f>
        <v>#REF!</v>
      </c>
    </row>
    <row r="15" spans="1:10" x14ac:dyDescent="0.25">
      <c r="A15" s="9" t="s">
        <v>70</v>
      </c>
      <c r="B15" s="3">
        <v>50735</v>
      </c>
      <c r="C15" s="3">
        <v>48545</v>
      </c>
      <c r="D15" s="12">
        <v>0.95683453237410077</v>
      </c>
      <c r="E15" s="12">
        <v>0.95683453237410077</v>
      </c>
      <c r="G15">
        <f t="shared" si="2"/>
        <v>100</v>
      </c>
      <c r="H15">
        <f t="shared" si="3"/>
        <v>61</v>
      </c>
      <c r="I15" t="str">
        <f t="shared" si="4"/>
        <v>100-61</v>
      </c>
      <c r="J15" t="e">
        <f>_xlfn.XMATCH(I15,#REF!)</f>
        <v>#REF!</v>
      </c>
    </row>
    <row r="16" spans="1:10" x14ac:dyDescent="0.25">
      <c r="A16" s="9" t="s">
        <v>71</v>
      </c>
      <c r="B16" s="3">
        <v>16790</v>
      </c>
      <c r="C16" s="3">
        <v>16425</v>
      </c>
      <c r="D16" s="12">
        <v>0.97826086956521741</v>
      </c>
      <c r="E16" s="12">
        <v>0.97826086956521741</v>
      </c>
      <c r="G16">
        <f t="shared" si="2"/>
        <v>100</v>
      </c>
      <c r="H16">
        <f t="shared" si="3"/>
        <v>62</v>
      </c>
      <c r="I16" t="str">
        <f t="shared" si="4"/>
        <v>100-62</v>
      </c>
      <c r="J16" t="e">
        <f>_xlfn.XMATCH(I16,#REF!)</f>
        <v>#REF!</v>
      </c>
    </row>
    <row r="17" spans="1:10" x14ac:dyDescent="0.25">
      <c r="A17" s="10" t="s">
        <v>7</v>
      </c>
      <c r="B17" s="3">
        <v>417195</v>
      </c>
      <c r="C17" s="3">
        <v>354624.5</v>
      </c>
      <c r="D17" s="12">
        <v>0.85002097340572158</v>
      </c>
      <c r="E17" s="12">
        <v>0.85002097340572158</v>
      </c>
      <c r="G17">
        <f t="shared" si="2"/>
        <v>100</v>
      </c>
      <c r="H17" t="str">
        <f t="shared" si="3"/>
        <v>Entity</v>
      </c>
      <c r="I17" t="str">
        <f t="shared" si="4"/>
        <v>100-Entity</v>
      </c>
      <c r="J17" t="e">
        <f>_xlfn.XMATCH(I17,#REF!)</f>
        <v>#REF!</v>
      </c>
    </row>
    <row r="18" spans="1:10" x14ac:dyDescent="0.25">
      <c r="A18" s="9" t="s">
        <v>56</v>
      </c>
      <c r="B18" s="3">
        <v>26280</v>
      </c>
      <c r="C18" s="3">
        <v>25915</v>
      </c>
      <c r="D18" s="12">
        <v>0.98611111111111116</v>
      </c>
      <c r="E18" s="12">
        <v>0.98611111111111116</v>
      </c>
      <c r="G18">
        <f t="shared" si="2"/>
        <v>200</v>
      </c>
      <c r="H18">
        <f t="shared" si="3"/>
        <v>21</v>
      </c>
      <c r="I18" t="str">
        <f t="shared" si="4"/>
        <v>200-21</v>
      </c>
      <c r="J18" t="e">
        <f>_xlfn.XMATCH(I18,#REF!)</f>
        <v>#REF!</v>
      </c>
    </row>
    <row r="19" spans="1:10" x14ac:dyDescent="0.25">
      <c r="A19" s="9" t="s">
        <v>57</v>
      </c>
      <c r="B19" s="3">
        <v>51830</v>
      </c>
      <c r="C19" s="3">
        <v>48910</v>
      </c>
      <c r="D19" s="12">
        <v>0.94366197183098599</v>
      </c>
      <c r="E19" s="12">
        <v>0.94366197183098599</v>
      </c>
      <c r="G19">
        <f t="shared" si="2"/>
        <v>200</v>
      </c>
      <c r="H19">
        <f t="shared" si="3"/>
        <v>31</v>
      </c>
      <c r="I19" t="str">
        <f t="shared" si="4"/>
        <v>200-31</v>
      </c>
      <c r="J19" t="e">
        <f>_xlfn.XMATCH(I19,#REF!)</f>
        <v>#REF!</v>
      </c>
    </row>
    <row r="20" spans="1:10" x14ac:dyDescent="0.25">
      <c r="A20" s="9" t="s">
        <v>58</v>
      </c>
      <c r="B20" s="3">
        <v>31390</v>
      </c>
      <c r="C20" s="3">
        <v>30295</v>
      </c>
      <c r="D20" s="12">
        <v>0.9651162790697676</v>
      </c>
      <c r="E20" s="12">
        <v>0.9651162790697676</v>
      </c>
      <c r="G20">
        <f t="shared" si="2"/>
        <v>200</v>
      </c>
      <c r="H20">
        <f t="shared" si="3"/>
        <v>32</v>
      </c>
      <c r="I20" t="str">
        <f t="shared" si="4"/>
        <v>200-32</v>
      </c>
      <c r="J20" t="e">
        <f>_xlfn.XMATCH(I20,#REF!)</f>
        <v>#REF!</v>
      </c>
    </row>
    <row r="21" spans="1:10" x14ac:dyDescent="0.25">
      <c r="A21" s="9" t="s">
        <v>59</v>
      </c>
      <c r="B21" s="3">
        <v>8760</v>
      </c>
      <c r="C21" s="3">
        <v>8577.5</v>
      </c>
      <c r="D21" s="12">
        <v>0.97916666666666663</v>
      </c>
      <c r="E21" s="12">
        <v>0.97916666666666663</v>
      </c>
      <c r="G21">
        <f t="shared" si="2"/>
        <v>200</v>
      </c>
      <c r="H21">
        <f t="shared" si="3"/>
        <v>51</v>
      </c>
      <c r="I21" t="str">
        <f t="shared" si="4"/>
        <v>200-51</v>
      </c>
      <c r="J21" t="e">
        <f>_xlfn.XMATCH(I21,#REF!)</f>
        <v>#REF!</v>
      </c>
    </row>
    <row r="22" spans="1:10" x14ac:dyDescent="0.25">
      <c r="A22" s="9" t="s">
        <v>60</v>
      </c>
      <c r="B22" s="3">
        <v>17520</v>
      </c>
      <c r="C22" s="3">
        <v>13687.5</v>
      </c>
      <c r="D22" s="12">
        <v>0.78125</v>
      </c>
      <c r="E22" s="12">
        <v>0.78125</v>
      </c>
      <c r="G22">
        <f t="shared" si="2"/>
        <v>200</v>
      </c>
      <c r="H22">
        <f t="shared" si="3"/>
        <v>61</v>
      </c>
      <c r="I22" t="str">
        <f t="shared" si="4"/>
        <v>200-61</v>
      </c>
      <c r="J22" t="e">
        <f>_xlfn.XMATCH(I22,#REF!)</f>
        <v>#REF!</v>
      </c>
    </row>
    <row r="23" spans="1:10" x14ac:dyDescent="0.25">
      <c r="A23" s="10" t="s">
        <v>11</v>
      </c>
      <c r="B23" s="3">
        <v>135780</v>
      </c>
      <c r="C23" s="3">
        <v>127385</v>
      </c>
      <c r="D23" s="12">
        <v>0.93817204301075285</v>
      </c>
      <c r="E23" s="12">
        <v>0.93817204301075285</v>
      </c>
      <c r="G23">
        <f t="shared" si="2"/>
        <v>200</v>
      </c>
      <c r="H23" t="str">
        <f t="shared" si="3"/>
        <v>Entity</v>
      </c>
      <c r="I23" t="str">
        <f t="shared" si="4"/>
        <v>200-Entity</v>
      </c>
      <c r="J23" t="e">
        <f>_xlfn.XMATCH(I23,#REF!)</f>
        <v>#REF!</v>
      </c>
    </row>
    <row r="24" spans="1:10" x14ac:dyDescent="0.25">
      <c r="A24" s="9" t="s">
        <v>52</v>
      </c>
      <c r="B24" s="3">
        <v>13140</v>
      </c>
      <c r="C24" s="3">
        <v>12775</v>
      </c>
      <c r="D24" s="12">
        <v>0.97222222222222221</v>
      </c>
      <c r="E24" s="12">
        <v>0.97222222222222221</v>
      </c>
      <c r="G24">
        <f t="shared" si="2"/>
        <v>324</v>
      </c>
      <c r="H24">
        <f t="shared" si="3"/>
        <v>21</v>
      </c>
      <c r="I24" t="str">
        <f t="shared" si="4"/>
        <v>324-21</v>
      </c>
      <c r="J24" t="e">
        <f>_xlfn.XMATCH(I24,#REF!)</f>
        <v>#REF!</v>
      </c>
    </row>
    <row r="25" spans="1:10" x14ac:dyDescent="0.25">
      <c r="A25" s="9" t="s">
        <v>53</v>
      </c>
      <c r="B25" s="3">
        <v>44895</v>
      </c>
      <c r="C25" s="3">
        <v>41245</v>
      </c>
      <c r="D25" s="12">
        <v>0.91869918699187003</v>
      </c>
      <c r="E25" s="12">
        <v>0.91869918699187003</v>
      </c>
      <c r="G25">
        <f t="shared" si="2"/>
        <v>324</v>
      </c>
      <c r="H25">
        <f t="shared" si="3"/>
        <v>31</v>
      </c>
      <c r="I25" t="str">
        <f t="shared" si="4"/>
        <v>324-31</v>
      </c>
      <c r="J25" t="e">
        <f>_xlfn.XMATCH(I25,#REF!)</f>
        <v>#REF!</v>
      </c>
    </row>
    <row r="26" spans="1:10" x14ac:dyDescent="0.25">
      <c r="A26" s="9" t="s">
        <v>54</v>
      </c>
      <c r="B26" s="3">
        <v>12775</v>
      </c>
      <c r="C26" s="3">
        <v>12045</v>
      </c>
      <c r="D26" s="12">
        <v>0.94285714285714284</v>
      </c>
      <c r="E26" s="12">
        <v>0.94285714285714284</v>
      </c>
      <c r="G26">
        <f t="shared" si="2"/>
        <v>324</v>
      </c>
      <c r="H26">
        <f t="shared" si="3"/>
        <v>51</v>
      </c>
      <c r="I26" t="str">
        <f t="shared" si="4"/>
        <v>324-51</v>
      </c>
      <c r="J26" t="e">
        <f>_xlfn.XMATCH(I26,#REF!)</f>
        <v>#REF!</v>
      </c>
    </row>
    <row r="27" spans="1:10" x14ac:dyDescent="0.25">
      <c r="A27" s="9" t="s">
        <v>55</v>
      </c>
      <c r="B27" s="3">
        <v>27740</v>
      </c>
      <c r="C27" s="3">
        <v>26645</v>
      </c>
      <c r="D27" s="12">
        <v>0.96052631578947356</v>
      </c>
      <c r="E27" s="12">
        <v>0.96052631578947356</v>
      </c>
      <c r="G27">
        <f t="shared" si="2"/>
        <v>324</v>
      </c>
      <c r="H27">
        <f t="shared" si="3"/>
        <v>61</v>
      </c>
      <c r="I27" t="str">
        <f t="shared" si="4"/>
        <v>324-61</v>
      </c>
      <c r="J27" t="e">
        <f>_xlfn.XMATCH(I27,#REF!)</f>
        <v>#REF!</v>
      </c>
    </row>
    <row r="28" spans="1:10" x14ac:dyDescent="0.25">
      <c r="A28" s="10" t="s">
        <v>15</v>
      </c>
      <c r="B28" s="3">
        <v>98550</v>
      </c>
      <c r="C28" s="3">
        <v>92710</v>
      </c>
      <c r="D28" s="12">
        <v>0.94074074074074077</v>
      </c>
      <c r="E28" s="12">
        <v>0.94074074074074077</v>
      </c>
      <c r="G28">
        <f t="shared" si="2"/>
        <v>324</v>
      </c>
      <c r="H28" t="str">
        <f t="shared" si="3"/>
        <v>Entity</v>
      </c>
      <c r="I28" t="str">
        <f t="shared" si="4"/>
        <v>324-Entity</v>
      </c>
      <c r="J28" t="e">
        <f>_xlfn.XMATCH(I28,#REF!)</f>
        <v>#REF!</v>
      </c>
    </row>
    <row r="29" spans="1:10" x14ac:dyDescent="0.25">
      <c r="A29" s="9" t="s">
        <v>79</v>
      </c>
      <c r="B29" s="3">
        <v>4745</v>
      </c>
      <c r="C29" s="3">
        <v>4380</v>
      </c>
      <c r="D29" s="12">
        <v>0.92307692307692324</v>
      </c>
      <c r="E29" s="12">
        <v>0.92307692307692324</v>
      </c>
      <c r="G29">
        <f t="shared" si="2"/>
        <v>350</v>
      </c>
      <c r="H29">
        <f t="shared" si="3"/>
        <v>21</v>
      </c>
      <c r="I29" t="str">
        <f t="shared" si="4"/>
        <v>350-21</v>
      </c>
      <c r="J29" t="e">
        <f>_xlfn.XMATCH(I29,#REF!)</f>
        <v>#REF!</v>
      </c>
    </row>
    <row r="30" spans="1:10" x14ac:dyDescent="0.25">
      <c r="A30" s="9" t="s">
        <v>80</v>
      </c>
      <c r="B30" s="3">
        <v>25550</v>
      </c>
      <c r="C30" s="3">
        <v>24090</v>
      </c>
      <c r="D30" s="12">
        <v>0.94285714285714284</v>
      </c>
      <c r="E30" s="12">
        <v>0.94285714285714284</v>
      </c>
      <c r="G30">
        <f t="shared" si="2"/>
        <v>350</v>
      </c>
      <c r="H30">
        <f t="shared" si="3"/>
        <v>51</v>
      </c>
      <c r="I30" t="str">
        <f t="shared" si="4"/>
        <v>350-51</v>
      </c>
      <c r="J30" t="e">
        <f>_xlfn.XMATCH(I30,#REF!)</f>
        <v>#REF!</v>
      </c>
    </row>
    <row r="31" spans="1:10" x14ac:dyDescent="0.25">
      <c r="A31" s="9" t="s">
        <v>81</v>
      </c>
      <c r="B31" s="3">
        <v>4380</v>
      </c>
      <c r="C31" s="3">
        <v>4015</v>
      </c>
      <c r="D31" s="12">
        <v>0.91666666666666663</v>
      </c>
      <c r="E31" s="12">
        <v>0.91666666666666663</v>
      </c>
      <c r="G31">
        <f t="shared" si="2"/>
        <v>350</v>
      </c>
      <c r="H31">
        <f t="shared" si="3"/>
        <v>52</v>
      </c>
      <c r="I31" t="str">
        <f t="shared" si="4"/>
        <v>350-52</v>
      </c>
      <c r="J31" t="e">
        <f>_xlfn.XMATCH(I31,#REF!)</f>
        <v>#REF!</v>
      </c>
    </row>
    <row r="32" spans="1:10" x14ac:dyDescent="0.25">
      <c r="A32" s="10" t="s">
        <v>82</v>
      </c>
      <c r="B32" s="3">
        <v>34675</v>
      </c>
      <c r="C32" s="3">
        <v>32485</v>
      </c>
      <c r="D32" s="12">
        <v>0.93684210526315803</v>
      </c>
      <c r="E32" s="12">
        <v>0.93684210526315803</v>
      </c>
      <c r="G32">
        <f t="shared" si="2"/>
        <v>350</v>
      </c>
      <c r="H32" t="str">
        <f t="shared" si="3"/>
        <v>Entity</v>
      </c>
      <c r="I32" t="str">
        <f t="shared" si="4"/>
        <v>350-Entity</v>
      </c>
      <c r="J32" t="e">
        <f>_xlfn.XMATCH(I32,#REF!)</f>
        <v>#REF!</v>
      </c>
    </row>
    <row r="33" spans="1:10" x14ac:dyDescent="0.25">
      <c r="A33" s="9" t="s">
        <v>83</v>
      </c>
      <c r="B33" s="3">
        <v>15695</v>
      </c>
      <c r="C33" s="3">
        <v>13325</v>
      </c>
      <c r="D33" s="12">
        <v>0.84899649569926727</v>
      </c>
      <c r="E33" s="12">
        <v>0.84899649569926727</v>
      </c>
      <c r="G33">
        <f t="shared" si="2"/>
        <v>360</v>
      </c>
      <c r="H33">
        <f t="shared" si="3"/>
        <v>51</v>
      </c>
      <c r="I33" t="str">
        <f t="shared" si="4"/>
        <v>360-51</v>
      </c>
      <c r="J33" t="e">
        <f>_xlfn.XMATCH(I33,#REF!)</f>
        <v>#REF!</v>
      </c>
    </row>
    <row r="34" spans="1:10" x14ac:dyDescent="0.25">
      <c r="A34" s="9" t="s">
        <v>84</v>
      </c>
      <c r="B34" s="3">
        <v>3285</v>
      </c>
      <c r="C34" s="3">
        <v>2920</v>
      </c>
      <c r="D34" s="12">
        <v>0.88888888888888884</v>
      </c>
      <c r="E34" s="12">
        <v>0.88888888888888884</v>
      </c>
      <c r="G34">
        <f t="shared" si="2"/>
        <v>360</v>
      </c>
      <c r="H34">
        <f t="shared" si="3"/>
        <v>52</v>
      </c>
      <c r="I34" t="str">
        <f t="shared" si="4"/>
        <v>360-52</v>
      </c>
      <c r="J34" t="e">
        <f>_xlfn.XMATCH(I34,#REF!)</f>
        <v>#REF!</v>
      </c>
    </row>
    <row r="35" spans="1:10" x14ac:dyDescent="0.25">
      <c r="A35" s="10" t="s">
        <v>85</v>
      </c>
      <c r="B35" s="3">
        <v>18980</v>
      </c>
      <c r="C35" s="3">
        <v>16245</v>
      </c>
      <c r="D35" s="12">
        <v>0.85590094836670183</v>
      </c>
      <c r="E35" s="12">
        <v>0.85590094836670183</v>
      </c>
      <c r="G35">
        <f t="shared" si="2"/>
        <v>360</v>
      </c>
      <c r="H35" t="str">
        <f t="shared" si="3"/>
        <v>Entity</v>
      </c>
      <c r="I35" t="str">
        <f t="shared" si="4"/>
        <v>360-Entity</v>
      </c>
      <c r="J35" t="e">
        <f>_xlfn.XMATCH(I35,#REF!)</f>
        <v>#REF!</v>
      </c>
    </row>
    <row r="36" spans="1:10" x14ac:dyDescent="0.25">
      <c r="A36" s="9" t="s">
        <v>45</v>
      </c>
      <c r="B36" s="3">
        <v>34675</v>
      </c>
      <c r="C36" s="3">
        <v>33945</v>
      </c>
      <c r="D36" s="12">
        <v>0.97894736842105279</v>
      </c>
      <c r="E36" s="12">
        <v>0.97894736842105279</v>
      </c>
      <c r="G36">
        <f t="shared" si="2"/>
        <v>810</v>
      </c>
      <c r="H36">
        <f t="shared" si="3"/>
        <v>21</v>
      </c>
      <c r="I36" t="str">
        <f t="shared" si="4"/>
        <v>810-21</v>
      </c>
      <c r="J36" t="e">
        <f>_xlfn.XMATCH(I36,#REF!)</f>
        <v>#REF!</v>
      </c>
    </row>
    <row r="37" spans="1:10" x14ac:dyDescent="0.25">
      <c r="A37" s="9" t="s">
        <v>46</v>
      </c>
      <c r="B37" s="3">
        <v>17155</v>
      </c>
      <c r="C37" s="3">
        <v>16790</v>
      </c>
      <c r="D37" s="12">
        <v>0.97872340425531923</v>
      </c>
      <c r="E37" s="12">
        <v>0.97872340425531923</v>
      </c>
      <c r="G37">
        <f t="shared" si="2"/>
        <v>810</v>
      </c>
      <c r="H37">
        <f t="shared" si="3"/>
        <v>22</v>
      </c>
      <c r="I37" t="str">
        <f t="shared" si="4"/>
        <v>810-22</v>
      </c>
      <c r="J37" t="e">
        <f>_xlfn.XMATCH(I37,#REF!)</f>
        <v>#REF!</v>
      </c>
    </row>
    <row r="38" spans="1:10" x14ac:dyDescent="0.25">
      <c r="A38" s="9" t="s">
        <v>47</v>
      </c>
      <c r="B38" s="3">
        <v>6205</v>
      </c>
      <c r="C38" s="3">
        <v>5840</v>
      </c>
      <c r="D38" s="12">
        <v>0.94117647058823517</v>
      </c>
      <c r="E38" s="12">
        <v>0.94117647058823517</v>
      </c>
      <c r="G38">
        <f t="shared" si="2"/>
        <v>810</v>
      </c>
      <c r="H38">
        <f t="shared" si="3"/>
        <v>31</v>
      </c>
      <c r="I38" t="str">
        <f t="shared" si="4"/>
        <v>810-31</v>
      </c>
      <c r="J38" t="e">
        <f>_xlfn.XMATCH(I38,#REF!)</f>
        <v>#REF!</v>
      </c>
    </row>
    <row r="39" spans="1:10" x14ac:dyDescent="0.25">
      <c r="A39" s="9" t="s">
        <v>48</v>
      </c>
      <c r="B39" s="3">
        <v>34310</v>
      </c>
      <c r="C39" s="3">
        <v>31207.5</v>
      </c>
      <c r="D39" s="12">
        <v>0.90957446808510645</v>
      </c>
      <c r="E39" s="12">
        <v>0.90957446808510645</v>
      </c>
      <c r="G39">
        <f t="shared" si="2"/>
        <v>810</v>
      </c>
      <c r="H39">
        <f t="shared" si="3"/>
        <v>32</v>
      </c>
      <c r="I39" t="str">
        <f t="shared" si="4"/>
        <v>810-32</v>
      </c>
      <c r="J39" t="e">
        <f>_xlfn.XMATCH(I39,#REF!)</f>
        <v>#REF!</v>
      </c>
    </row>
    <row r="40" spans="1:10" x14ac:dyDescent="0.25">
      <c r="A40" s="9" t="s">
        <v>49</v>
      </c>
      <c r="B40" s="3">
        <v>50370</v>
      </c>
      <c r="C40" s="3">
        <v>48180</v>
      </c>
      <c r="D40" s="12">
        <v>0.95652173913043481</v>
      </c>
      <c r="E40" s="12">
        <v>0.95652173913043481</v>
      </c>
      <c r="G40">
        <f t="shared" si="2"/>
        <v>810</v>
      </c>
      <c r="H40">
        <f t="shared" si="3"/>
        <v>33</v>
      </c>
      <c r="I40" t="str">
        <f t="shared" si="4"/>
        <v>810-33</v>
      </c>
      <c r="J40" t="e">
        <f>_xlfn.XMATCH(I40,#REF!)</f>
        <v>#REF!</v>
      </c>
    </row>
    <row r="41" spans="1:10" x14ac:dyDescent="0.25">
      <c r="A41" s="9" t="s">
        <v>50</v>
      </c>
      <c r="B41" s="3">
        <v>36500</v>
      </c>
      <c r="C41" s="3">
        <v>35222.5</v>
      </c>
      <c r="D41" s="12">
        <v>0.96499999999999997</v>
      </c>
      <c r="E41" s="12">
        <v>0.96499999999999997</v>
      </c>
      <c r="G41">
        <f t="shared" si="2"/>
        <v>810</v>
      </c>
      <c r="H41">
        <f t="shared" si="3"/>
        <v>51</v>
      </c>
      <c r="I41" t="str">
        <f t="shared" si="4"/>
        <v>810-51</v>
      </c>
      <c r="J41" t="e">
        <f>_xlfn.XMATCH(I41,#REF!)</f>
        <v>#REF!</v>
      </c>
    </row>
    <row r="42" spans="1:10" x14ac:dyDescent="0.25">
      <c r="A42" s="9" t="s">
        <v>51</v>
      </c>
      <c r="B42" s="3">
        <v>25185</v>
      </c>
      <c r="C42" s="3">
        <v>24090</v>
      </c>
      <c r="D42" s="12">
        <v>0.95652173913043481</v>
      </c>
      <c r="E42" s="12">
        <v>0.95652173913043481</v>
      </c>
      <c r="G42">
        <f t="shared" si="2"/>
        <v>810</v>
      </c>
      <c r="H42">
        <f t="shared" si="3"/>
        <v>61</v>
      </c>
      <c r="I42" t="str">
        <f t="shared" si="4"/>
        <v>810-61</v>
      </c>
      <c r="J42" t="e">
        <f>_xlfn.XMATCH(I42,#REF!)</f>
        <v>#REF!</v>
      </c>
    </row>
    <row r="43" spans="1:10" x14ac:dyDescent="0.25">
      <c r="A43" s="10" t="s">
        <v>18</v>
      </c>
      <c r="B43" s="3">
        <v>204400</v>
      </c>
      <c r="C43" s="3">
        <v>195275</v>
      </c>
      <c r="D43" s="12">
        <v>0.95535714285714279</v>
      </c>
      <c r="E43" s="12">
        <v>0.95535714285714279</v>
      </c>
      <c r="G43">
        <f t="shared" si="2"/>
        <v>810</v>
      </c>
      <c r="H43" t="str">
        <f t="shared" si="3"/>
        <v>Entity</v>
      </c>
      <c r="I43" t="str">
        <f t="shared" si="4"/>
        <v>810-Entity</v>
      </c>
      <c r="J43" t="e">
        <f>_xlfn.XMATCH(I43,#REF!)</f>
        <v>#REF!</v>
      </c>
    </row>
    <row r="44" spans="1:10" x14ac:dyDescent="0.25">
      <c r="A44" s="9" t="s">
        <v>42</v>
      </c>
      <c r="B44" s="3">
        <v>11315</v>
      </c>
      <c r="C44" s="3">
        <v>10950</v>
      </c>
      <c r="D44" s="12">
        <v>0.967741935483871</v>
      </c>
      <c r="E44" s="12">
        <v>0.967741935483871</v>
      </c>
      <c r="G44">
        <f t="shared" si="2"/>
        <v>925</v>
      </c>
      <c r="H44">
        <f t="shared" si="3"/>
        <v>21</v>
      </c>
      <c r="I44" t="str">
        <f t="shared" si="4"/>
        <v>925-21</v>
      </c>
      <c r="J44" t="e">
        <f>_xlfn.XMATCH(I44,#REF!)</f>
        <v>#REF!</v>
      </c>
    </row>
    <row r="45" spans="1:10" x14ac:dyDescent="0.25">
      <c r="A45" s="9" t="s">
        <v>43</v>
      </c>
      <c r="B45" s="3">
        <v>13140</v>
      </c>
      <c r="C45" s="3">
        <v>12775</v>
      </c>
      <c r="D45" s="12">
        <v>0.97222222222222221</v>
      </c>
      <c r="E45" s="12">
        <v>0.97222222222222221</v>
      </c>
      <c r="G45">
        <f t="shared" si="2"/>
        <v>925</v>
      </c>
      <c r="H45">
        <f t="shared" si="3"/>
        <v>31</v>
      </c>
      <c r="I45" t="str">
        <f t="shared" si="4"/>
        <v>925-31</v>
      </c>
      <c r="J45" t="e">
        <f>_xlfn.XMATCH(I45,#REF!)</f>
        <v>#REF!</v>
      </c>
    </row>
    <row r="46" spans="1:10" x14ac:dyDescent="0.25">
      <c r="A46" s="9" t="s">
        <v>44</v>
      </c>
      <c r="B46" s="3">
        <v>14235</v>
      </c>
      <c r="C46" s="3">
        <v>13505</v>
      </c>
      <c r="D46" s="12">
        <v>0.94871794871794879</v>
      </c>
      <c r="E46" s="12">
        <v>0.94871794871794879</v>
      </c>
      <c r="G46">
        <f t="shared" si="2"/>
        <v>925</v>
      </c>
      <c r="H46">
        <f t="shared" si="3"/>
        <v>51</v>
      </c>
      <c r="I46" t="str">
        <f t="shared" si="4"/>
        <v>925-51</v>
      </c>
      <c r="J46" t="e">
        <f>_xlfn.XMATCH(I46,#REF!)</f>
        <v>#REF!</v>
      </c>
    </row>
    <row r="47" spans="1:10" x14ac:dyDescent="0.25">
      <c r="A47" s="10" t="s">
        <v>28</v>
      </c>
      <c r="B47" s="3">
        <v>38690</v>
      </c>
      <c r="C47" s="3">
        <v>37230</v>
      </c>
      <c r="D47" s="12">
        <v>0.96226415094339623</v>
      </c>
      <c r="E47" s="12">
        <v>0.96226415094339623</v>
      </c>
      <c r="G47">
        <f t="shared" si="2"/>
        <v>925</v>
      </c>
      <c r="H47" t="str">
        <f t="shared" si="3"/>
        <v>Entity</v>
      </c>
      <c r="I47" t="str">
        <f t="shared" si="4"/>
        <v>925-Entity</v>
      </c>
      <c r="J47" t="e">
        <f>_xlfn.XMATCH(I47,#REF!)</f>
        <v>#REF!</v>
      </c>
    </row>
    <row r="48" spans="1:10" x14ac:dyDescent="0.25">
      <c r="A48" s="9" t="s">
        <v>38</v>
      </c>
      <c r="B48" s="3">
        <v>18615</v>
      </c>
      <c r="C48" s="3">
        <v>17520</v>
      </c>
      <c r="D48" s="12">
        <v>0.94117647058823517</v>
      </c>
      <c r="E48" s="12">
        <v>0.94117647058823517</v>
      </c>
      <c r="G48">
        <f t="shared" si="2"/>
        <v>835</v>
      </c>
      <c r="H48">
        <f t="shared" si="3"/>
        <v>21</v>
      </c>
      <c r="I48" t="str">
        <f t="shared" si="4"/>
        <v>835-21</v>
      </c>
      <c r="J48" t="e">
        <f>_xlfn.XMATCH(I48,#REF!)</f>
        <v>#REF!</v>
      </c>
    </row>
    <row r="49" spans="1:10" x14ac:dyDescent="0.25">
      <c r="A49" s="9" t="s">
        <v>39</v>
      </c>
      <c r="B49" s="3">
        <v>28470</v>
      </c>
      <c r="C49" s="3">
        <v>26280</v>
      </c>
      <c r="D49" s="12">
        <v>0.92307692307692324</v>
      </c>
      <c r="E49" s="12">
        <v>0.92307692307692324</v>
      </c>
      <c r="G49">
        <f t="shared" si="2"/>
        <v>835</v>
      </c>
      <c r="H49">
        <f t="shared" si="3"/>
        <v>31</v>
      </c>
      <c r="I49" t="str">
        <f t="shared" si="4"/>
        <v>835-31</v>
      </c>
      <c r="J49" t="e">
        <f>_xlfn.XMATCH(I49,#REF!)</f>
        <v>#REF!</v>
      </c>
    </row>
    <row r="50" spans="1:10" x14ac:dyDescent="0.25">
      <c r="A50" s="9" t="s">
        <v>40</v>
      </c>
      <c r="B50" s="3">
        <v>13870</v>
      </c>
      <c r="C50" s="3">
        <v>12899.100000000004</v>
      </c>
      <c r="D50" s="12">
        <v>0.93000000000000038</v>
      </c>
      <c r="E50" s="12">
        <v>0.93000000000000038</v>
      </c>
      <c r="G50">
        <f t="shared" si="2"/>
        <v>835</v>
      </c>
      <c r="H50">
        <f t="shared" si="3"/>
        <v>51</v>
      </c>
      <c r="I50" t="str">
        <f t="shared" si="4"/>
        <v>835-51</v>
      </c>
      <c r="J50" t="e">
        <f>_xlfn.XMATCH(I50,#REF!)</f>
        <v>#REF!</v>
      </c>
    </row>
    <row r="51" spans="1:10" x14ac:dyDescent="0.25">
      <c r="A51" s="9" t="s">
        <v>41</v>
      </c>
      <c r="B51" s="3">
        <v>0</v>
      </c>
      <c r="C51" s="3">
        <v>0</v>
      </c>
      <c r="D51" s="12">
        <v>0</v>
      </c>
      <c r="E51" s="12">
        <v>0</v>
      </c>
      <c r="G51">
        <f t="shared" si="2"/>
        <v>835</v>
      </c>
      <c r="H51">
        <f t="shared" si="3"/>
        <v>61</v>
      </c>
      <c r="I51" t="str">
        <f t="shared" si="4"/>
        <v>835-61</v>
      </c>
      <c r="J51" t="e">
        <f>_xlfn.XMATCH(I51,#REF!)</f>
        <v>#REF!</v>
      </c>
    </row>
    <row r="52" spans="1:10" x14ac:dyDescent="0.25">
      <c r="A52" s="10" t="s">
        <v>26</v>
      </c>
      <c r="B52" s="3">
        <v>60955</v>
      </c>
      <c r="C52" s="3">
        <v>56699.1</v>
      </c>
      <c r="D52" s="12">
        <v>0.93017964071856285</v>
      </c>
      <c r="E52" s="12">
        <v>0.93017964071856285</v>
      </c>
      <c r="G52">
        <f t="shared" si="2"/>
        <v>835</v>
      </c>
      <c r="H52" t="str">
        <f t="shared" si="3"/>
        <v>Entity</v>
      </c>
      <c r="I52" t="str">
        <f t="shared" si="4"/>
        <v>835-Entity</v>
      </c>
      <c r="J52" t="e">
        <f>_xlfn.XMATCH(I52,#REF!)</f>
        <v>#REF!</v>
      </c>
    </row>
    <row r="53" spans="1:10" x14ac:dyDescent="0.25">
      <c r="A53" s="9" t="s">
        <v>33</v>
      </c>
      <c r="B53" s="3">
        <v>24090</v>
      </c>
      <c r="C53" s="3">
        <v>22630</v>
      </c>
      <c r="D53" s="12">
        <v>0.93939393939393945</v>
      </c>
      <c r="E53" s="12">
        <v>0.93939393939393945</v>
      </c>
      <c r="G53">
        <f t="shared" si="2"/>
        <v>840</v>
      </c>
      <c r="H53">
        <f t="shared" si="3"/>
        <v>21</v>
      </c>
      <c r="I53" t="str">
        <f t="shared" si="4"/>
        <v>840-21</v>
      </c>
      <c r="J53" t="e">
        <f>_xlfn.XMATCH(I53,#REF!)</f>
        <v>#REF!</v>
      </c>
    </row>
    <row r="54" spans="1:10" x14ac:dyDescent="0.25">
      <c r="A54" s="9" t="s">
        <v>34</v>
      </c>
      <c r="B54" s="3">
        <v>32120</v>
      </c>
      <c r="C54" s="3">
        <v>30660</v>
      </c>
      <c r="D54" s="12">
        <v>0.95454545454545459</v>
      </c>
      <c r="E54" s="12">
        <v>0.95454545454545459</v>
      </c>
      <c r="G54">
        <f t="shared" si="2"/>
        <v>840</v>
      </c>
      <c r="H54">
        <f t="shared" si="3"/>
        <v>31</v>
      </c>
      <c r="I54" t="str">
        <f t="shared" si="4"/>
        <v>840-31</v>
      </c>
      <c r="J54" t="e">
        <f>_xlfn.XMATCH(I54,#REF!)</f>
        <v>#REF!</v>
      </c>
    </row>
    <row r="55" spans="1:10" x14ac:dyDescent="0.25">
      <c r="A55" s="9" t="s">
        <v>35</v>
      </c>
      <c r="B55" s="3">
        <v>3285</v>
      </c>
      <c r="C55" s="3">
        <v>3102.5</v>
      </c>
      <c r="D55" s="12">
        <v>0.94444444444444442</v>
      </c>
      <c r="E55" s="12">
        <v>0.94444444444444442</v>
      </c>
      <c r="G55">
        <f t="shared" si="2"/>
        <v>840</v>
      </c>
      <c r="H55">
        <f t="shared" si="3"/>
        <v>51</v>
      </c>
      <c r="I55" t="str">
        <f t="shared" si="4"/>
        <v>840-51</v>
      </c>
      <c r="J55" t="e">
        <f>_xlfn.XMATCH(I55,#REF!)</f>
        <v>#REF!</v>
      </c>
    </row>
    <row r="56" spans="1:10" x14ac:dyDescent="0.25">
      <c r="A56" s="9" t="s">
        <v>36</v>
      </c>
      <c r="B56" s="3">
        <v>5840</v>
      </c>
      <c r="C56" s="3">
        <v>5657.5</v>
      </c>
      <c r="D56" s="12">
        <v>0.96875</v>
      </c>
      <c r="E56" s="12">
        <v>0.96875</v>
      </c>
      <c r="G56">
        <f t="shared" si="2"/>
        <v>840</v>
      </c>
      <c r="H56">
        <f t="shared" si="3"/>
        <v>52</v>
      </c>
      <c r="I56" t="str">
        <f t="shared" si="4"/>
        <v>840-52</v>
      </c>
      <c r="J56" t="e">
        <f>_xlfn.XMATCH(I56,#REF!)</f>
        <v>#REF!</v>
      </c>
    </row>
    <row r="57" spans="1:10" x14ac:dyDescent="0.25">
      <c r="A57" s="9" t="s">
        <v>37</v>
      </c>
      <c r="B57" s="3">
        <v>23360</v>
      </c>
      <c r="C57" s="3">
        <v>22265</v>
      </c>
      <c r="D57" s="12">
        <v>0.953125</v>
      </c>
      <c r="E57" s="12">
        <v>0.953125</v>
      </c>
      <c r="G57">
        <f t="shared" si="2"/>
        <v>840</v>
      </c>
      <c r="H57">
        <f t="shared" si="3"/>
        <v>61</v>
      </c>
      <c r="I57" t="str">
        <f t="shared" si="4"/>
        <v>840-61</v>
      </c>
      <c r="J57" t="e">
        <f>_xlfn.XMATCH(I57,#REF!)</f>
        <v>#REF!</v>
      </c>
    </row>
    <row r="58" spans="1:10" x14ac:dyDescent="0.25">
      <c r="A58" s="10" t="s">
        <v>25</v>
      </c>
      <c r="B58" s="3">
        <v>88695</v>
      </c>
      <c r="C58" s="3">
        <v>84315</v>
      </c>
      <c r="D58" s="12">
        <v>0.95061728395061718</v>
      </c>
      <c r="E58" s="12">
        <v>0.95061728395061718</v>
      </c>
      <c r="G58">
        <f t="shared" si="2"/>
        <v>840</v>
      </c>
      <c r="H58" t="str">
        <f t="shared" si="3"/>
        <v>Entity</v>
      </c>
      <c r="I58" t="str">
        <f t="shared" si="4"/>
        <v>840-Entity</v>
      </c>
      <c r="J58" t="e">
        <f>_xlfn.XMATCH(I58,#REF!)</f>
        <v>#REF!</v>
      </c>
    </row>
    <row r="59" spans="1:10" x14ac:dyDescent="0.25">
      <c r="A59" s="11" t="s">
        <v>89</v>
      </c>
      <c r="B59" s="14">
        <v>1097920</v>
      </c>
      <c r="C59" s="14">
        <v>996968.6</v>
      </c>
      <c r="D59" s="13">
        <v>0.90805213494607984</v>
      </c>
      <c r="E59" s="13">
        <v>0.90805213494607984</v>
      </c>
      <c r="G59" t="str">
        <f t="shared" si="2"/>
        <v>Rollup</v>
      </c>
      <c r="H59" t="str">
        <f t="shared" si="3"/>
        <v>Rollup</v>
      </c>
      <c r="I59" t="str">
        <f t="shared" si="4"/>
        <v>Rollup-Rollup</v>
      </c>
      <c r="J59" t="e">
        <f>_xlfn.XMATCH(I59,#REF!)</f>
        <v>#REF!</v>
      </c>
    </row>
    <row r="61" spans="1:10" x14ac:dyDescent="0.25">
      <c r="A61" s="1" t="s">
        <v>27</v>
      </c>
      <c r="B61" s="16">
        <f>B59-SUMIFS(B$6:B$58,$H$6:$H$58,"&lt;&gt;Entity")</f>
        <v>0</v>
      </c>
      <c r="C61" s="16">
        <f>C59-SUMIFS(C$6:C$58,$H$6:$H$58,"&lt;&gt;Entity")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B830-EF02-48CD-B1C6-ABD36422DF4E}">
  <sheetPr>
    <tabColor theme="2"/>
  </sheetPr>
  <dimension ref="A3:E59"/>
  <sheetViews>
    <sheetView workbookViewId="0">
      <pane xSplit="1" ySplit="5" topLeftCell="B28" activePane="bottomRight" state="frozen"/>
      <selection activeCell="D4" sqref="D4"/>
      <selection pane="topRight" activeCell="D4" sqref="D4"/>
      <selection pane="bottomLeft" activeCell="D4" sqref="D4"/>
      <selection pane="bottomRight" activeCell="D4" sqref="D4"/>
    </sheetView>
  </sheetViews>
  <sheetFormatPr defaultRowHeight="15" x14ac:dyDescent="0.25"/>
  <cols>
    <col min="1" max="1" width="36.5703125" customWidth="1"/>
    <col min="2" max="5" width="20.28515625" customWidth="1"/>
  </cols>
  <sheetData>
    <row r="3" spans="1:5" x14ac:dyDescent="0.25">
      <c r="B3" s="2" t="s">
        <v>87</v>
      </c>
      <c r="C3" s="2" t="s">
        <v>87</v>
      </c>
      <c r="D3" s="2" t="s">
        <v>87</v>
      </c>
      <c r="E3" s="2" t="s">
        <v>87</v>
      </c>
    </row>
    <row r="4" spans="1:5" x14ac:dyDescent="0.25">
      <c r="B4" s="2" t="s">
        <v>88</v>
      </c>
      <c r="C4" s="2" t="s">
        <v>88</v>
      </c>
      <c r="D4" s="2" t="s">
        <v>88</v>
      </c>
      <c r="E4" s="2" t="s">
        <v>88</v>
      </c>
    </row>
    <row r="5" spans="1:5" ht="45" x14ac:dyDescent="0.25">
      <c r="B5" s="2" t="s">
        <v>30</v>
      </c>
      <c r="C5" s="2" t="s">
        <v>29</v>
      </c>
      <c r="D5" s="2" t="s">
        <v>31</v>
      </c>
      <c r="E5" s="2" t="s">
        <v>32</v>
      </c>
    </row>
    <row r="6" spans="1:5" x14ac:dyDescent="0.25">
      <c r="A6" s="9" t="s">
        <v>61</v>
      </c>
      <c r="B6" s="3">
        <v>26645</v>
      </c>
      <c r="C6" s="3">
        <v>25732.5</v>
      </c>
      <c r="D6" s="12">
        <v>0.96575342465753422</v>
      </c>
      <c r="E6" s="12">
        <v>0.96575342465753422</v>
      </c>
    </row>
    <row r="7" spans="1:5" x14ac:dyDescent="0.25">
      <c r="A7" s="9" t="s">
        <v>62</v>
      </c>
      <c r="B7" s="3">
        <v>15695</v>
      </c>
      <c r="C7" s="3">
        <v>15330</v>
      </c>
      <c r="D7" s="12">
        <v>0.97674418604651159</v>
      </c>
      <c r="E7" s="12">
        <v>0.97674418604651159</v>
      </c>
    </row>
    <row r="8" spans="1:5" x14ac:dyDescent="0.25">
      <c r="A8" s="9" t="s">
        <v>63</v>
      </c>
      <c r="B8" s="3">
        <v>39785</v>
      </c>
      <c r="C8" s="3">
        <v>23367</v>
      </c>
      <c r="D8" s="12">
        <v>0.58733190901093379</v>
      </c>
      <c r="E8" s="12">
        <v>0.58733190901093379</v>
      </c>
    </row>
    <row r="9" spans="1:5" x14ac:dyDescent="0.25">
      <c r="A9" s="9" t="s">
        <v>64</v>
      </c>
      <c r="B9" s="3">
        <v>67160</v>
      </c>
      <c r="C9" s="3">
        <v>60052</v>
      </c>
      <c r="D9" s="12">
        <v>0.89416319237641451</v>
      </c>
      <c r="E9" s="12">
        <v>0.89416319237641451</v>
      </c>
    </row>
    <row r="10" spans="1:5" x14ac:dyDescent="0.25">
      <c r="A10" s="9" t="s">
        <v>65</v>
      </c>
      <c r="B10" s="3">
        <v>36135</v>
      </c>
      <c r="C10" s="3">
        <v>32850</v>
      </c>
      <c r="D10" s="12">
        <v>0.90909090909090917</v>
      </c>
      <c r="E10" s="12">
        <v>0.90909090909090917</v>
      </c>
    </row>
    <row r="11" spans="1:5" x14ac:dyDescent="0.25">
      <c r="A11" s="9" t="s">
        <v>66</v>
      </c>
      <c r="B11" s="3">
        <v>23725</v>
      </c>
      <c r="C11" s="3">
        <v>20989</v>
      </c>
      <c r="D11" s="12">
        <v>0.88467860906217066</v>
      </c>
      <c r="E11" s="12">
        <v>0.88467860906217066</v>
      </c>
    </row>
    <row r="12" spans="1:5" x14ac:dyDescent="0.25">
      <c r="A12" s="9" t="s">
        <v>67</v>
      </c>
      <c r="B12" s="3">
        <v>45990</v>
      </c>
      <c r="C12" s="3">
        <v>35956</v>
      </c>
      <c r="D12" s="12">
        <v>0.78182213524679278</v>
      </c>
      <c r="E12" s="12">
        <v>0.78182213524679278</v>
      </c>
    </row>
    <row r="13" spans="1:5" x14ac:dyDescent="0.25">
      <c r="A13" s="9" t="s">
        <v>68</v>
      </c>
      <c r="B13" s="3">
        <v>45990</v>
      </c>
      <c r="C13" s="3">
        <v>30118</v>
      </c>
      <c r="D13" s="12">
        <v>0.65488149597738643</v>
      </c>
      <c r="E13" s="12">
        <v>0.65488149597738643</v>
      </c>
    </row>
    <row r="14" spans="1:5" x14ac:dyDescent="0.25">
      <c r="A14" s="9" t="s">
        <v>69</v>
      </c>
      <c r="B14" s="3">
        <v>48545</v>
      </c>
      <c r="C14" s="3">
        <v>45260</v>
      </c>
      <c r="D14" s="12">
        <v>0.93233082706766923</v>
      </c>
      <c r="E14" s="12">
        <v>0.93233082706766923</v>
      </c>
    </row>
    <row r="15" spans="1:5" x14ac:dyDescent="0.25">
      <c r="A15" s="9" t="s">
        <v>70</v>
      </c>
      <c r="B15" s="3">
        <v>50735</v>
      </c>
      <c r="C15" s="3">
        <v>48545</v>
      </c>
      <c r="D15" s="12">
        <v>0.95683453237410077</v>
      </c>
      <c r="E15" s="12">
        <v>0.95683453237410077</v>
      </c>
    </row>
    <row r="16" spans="1:5" x14ac:dyDescent="0.25">
      <c r="A16" s="9" t="s">
        <v>71</v>
      </c>
      <c r="B16" s="3">
        <v>16790</v>
      </c>
      <c r="C16" s="3">
        <v>16425</v>
      </c>
      <c r="D16" s="12">
        <v>0.97826086956521741</v>
      </c>
      <c r="E16" s="12">
        <v>0.97826086956521741</v>
      </c>
    </row>
    <row r="17" spans="1:5" x14ac:dyDescent="0.25">
      <c r="A17" s="10" t="s">
        <v>7</v>
      </c>
      <c r="B17" s="3">
        <v>417195</v>
      </c>
      <c r="C17" s="3">
        <v>354624.5</v>
      </c>
      <c r="D17" s="12">
        <v>0.85002097340572158</v>
      </c>
      <c r="E17" s="12">
        <v>0.85002097340572158</v>
      </c>
    </row>
    <row r="18" spans="1:5" x14ac:dyDescent="0.25">
      <c r="A18" s="9" t="s">
        <v>56</v>
      </c>
      <c r="B18" s="3">
        <v>26280</v>
      </c>
      <c r="C18" s="3">
        <v>25915</v>
      </c>
      <c r="D18" s="12">
        <v>0.98611111111111116</v>
      </c>
      <c r="E18" s="12">
        <v>0.98611111111111116</v>
      </c>
    </row>
    <row r="19" spans="1:5" x14ac:dyDescent="0.25">
      <c r="A19" s="9" t="s">
        <v>57</v>
      </c>
      <c r="B19" s="3">
        <v>51830</v>
      </c>
      <c r="C19" s="3">
        <v>48910</v>
      </c>
      <c r="D19" s="12">
        <v>0.94366197183098599</v>
      </c>
      <c r="E19" s="12">
        <v>0.94366197183098599</v>
      </c>
    </row>
    <row r="20" spans="1:5" x14ac:dyDescent="0.25">
      <c r="A20" s="9" t="s">
        <v>58</v>
      </c>
      <c r="B20" s="3">
        <v>31390</v>
      </c>
      <c r="C20" s="3">
        <v>30295</v>
      </c>
      <c r="D20" s="12">
        <v>0.9651162790697676</v>
      </c>
      <c r="E20" s="12">
        <v>0.9651162790697676</v>
      </c>
    </row>
    <row r="21" spans="1:5" x14ac:dyDescent="0.25">
      <c r="A21" s="9" t="s">
        <v>59</v>
      </c>
      <c r="B21" s="3">
        <v>8760</v>
      </c>
      <c r="C21" s="3">
        <v>8577.5</v>
      </c>
      <c r="D21" s="12">
        <v>0.97916666666666663</v>
      </c>
      <c r="E21" s="12">
        <v>0.97916666666666663</v>
      </c>
    </row>
    <row r="22" spans="1:5" x14ac:dyDescent="0.25">
      <c r="A22" s="9" t="s">
        <v>60</v>
      </c>
      <c r="B22" s="3">
        <v>17520</v>
      </c>
      <c r="C22" s="3">
        <v>13687.5</v>
      </c>
      <c r="D22" s="12">
        <v>0.78125</v>
      </c>
      <c r="E22" s="12">
        <v>0.78125</v>
      </c>
    </row>
    <row r="23" spans="1:5" x14ac:dyDescent="0.25">
      <c r="A23" s="10" t="s">
        <v>11</v>
      </c>
      <c r="B23" s="3">
        <v>135780</v>
      </c>
      <c r="C23" s="3">
        <v>127385</v>
      </c>
      <c r="D23" s="12">
        <v>0.93817204301075285</v>
      </c>
      <c r="E23" s="12">
        <v>0.93817204301075285</v>
      </c>
    </row>
    <row r="24" spans="1:5" x14ac:dyDescent="0.25">
      <c r="A24" s="9" t="s">
        <v>52</v>
      </c>
      <c r="B24" s="3">
        <v>13140</v>
      </c>
      <c r="C24" s="3">
        <v>12775</v>
      </c>
      <c r="D24" s="12">
        <v>0.97222222222222221</v>
      </c>
      <c r="E24" s="12">
        <v>0.97222222222222221</v>
      </c>
    </row>
    <row r="25" spans="1:5" x14ac:dyDescent="0.25">
      <c r="A25" s="9" t="s">
        <v>53</v>
      </c>
      <c r="B25" s="3">
        <v>44895</v>
      </c>
      <c r="C25" s="3">
        <v>41245</v>
      </c>
      <c r="D25" s="12">
        <v>0.91869918699187003</v>
      </c>
      <c r="E25" s="12">
        <v>0.91869918699187003</v>
      </c>
    </row>
    <row r="26" spans="1:5" x14ac:dyDescent="0.25">
      <c r="A26" s="9" t="s">
        <v>54</v>
      </c>
      <c r="B26" s="3">
        <v>12775</v>
      </c>
      <c r="C26" s="3">
        <v>12045</v>
      </c>
      <c r="D26" s="12">
        <v>0.94285714285714284</v>
      </c>
      <c r="E26" s="12">
        <v>0.94285714285714284</v>
      </c>
    </row>
    <row r="27" spans="1:5" x14ac:dyDescent="0.25">
      <c r="A27" s="9" t="s">
        <v>55</v>
      </c>
      <c r="B27" s="3">
        <v>27740</v>
      </c>
      <c r="C27" s="3">
        <v>26645</v>
      </c>
      <c r="D27" s="12">
        <v>0.96052631578947356</v>
      </c>
      <c r="E27" s="12">
        <v>0.96052631578947356</v>
      </c>
    </row>
    <row r="28" spans="1:5" x14ac:dyDescent="0.25">
      <c r="A28" s="10" t="s">
        <v>15</v>
      </c>
      <c r="B28" s="3">
        <v>98550</v>
      </c>
      <c r="C28" s="3">
        <v>92710</v>
      </c>
      <c r="D28" s="12">
        <v>0.94074074074074077</v>
      </c>
      <c r="E28" s="12">
        <v>0.94074074074074077</v>
      </c>
    </row>
    <row r="29" spans="1:5" x14ac:dyDescent="0.25">
      <c r="A29" s="9" t="s">
        <v>79</v>
      </c>
      <c r="B29" s="3">
        <v>4745</v>
      </c>
      <c r="C29" s="3">
        <v>4380</v>
      </c>
      <c r="D29" s="12">
        <v>0.92307692307692324</v>
      </c>
      <c r="E29" s="12">
        <v>0.92307692307692324</v>
      </c>
    </row>
    <row r="30" spans="1:5" x14ac:dyDescent="0.25">
      <c r="A30" s="9" t="s">
        <v>80</v>
      </c>
      <c r="B30" s="3">
        <v>25550</v>
      </c>
      <c r="C30" s="3">
        <v>24090</v>
      </c>
      <c r="D30" s="12">
        <v>0.94285714285714284</v>
      </c>
      <c r="E30" s="12">
        <v>0.94285714285714284</v>
      </c>
    </row>
    <row r="31" spans="1:5" x14ac:dyDescent="0.25">
      <c r="A31" s="9" t="s">
        <v>81</v>
      </c>
      <c r="B31" s="3">
        <v>4380</v>
      </c>
      <c r="C31" s="3">
        <v>4015</v>
      </c>
      <c r="D31" s="12">
        <v>0.91666666666666663</v>
      </c>
      <c r="E31" s="12">
        <v>0.91666666666666663</v>
      </c>
    </row>
    <row r="32" spans="1:5" x14ac:dyDescent="0.25">
      <c r="A32" s="10" t="s">
        <v>82</v>
      </c>
      <c r="B32" s="3">
        <v>34675</v>
      </c>
      <c r="C32" s="3">
        <v>32485</v>
      </c>
      <c r="D32" s="12">
        <v>0.93684210526315803</v>
      </c>
      <c r="E32" s="12">
        <v>0.93684210526315803</v>
      </c>
    </row>
    <row r="33" spans="1:5" x14ac:dyDescent="0.25">
      <c r="A33" s="9" t="s">
        <v>83</v>
      </c>
      <c r="B33" s="3">
        <v>15695</v>
      </c>
      <c r="C33" s="3">
        <v>13325</v>
      </c>
      <c r="D33" s="12">
        <v>0.84899649569926727</v>
      </c>
      <c r="E33" s="12">
        <v>0.84899649569926727</v>
      </c>
    </row>
    <row r="34" spans="1:5" x14ac:dyDescent="0.25">
      <c r="A34" s="9" t="s">
        <v>84</v>
      </c>
      <c r="B34" s="3">
        <v>3285</v>
      </c>
      <c r="C34" s="3">
        <v>2920</v>
      </c>
      <c r="D34" s="12">
        <v>0.88888888888888884</v>
      </c>
      <c r="E34" s="12">
        <v>0.88888888888888884</v>
      </c>
    </row>
    <row r="35" spans="1:5" x14ac:dyDescent="0.25">
      <c r="A35" s="10" t="s">
        <v>85</v>
      </c>
      <c r="B35" s="3">
        <v>18980</v>
      </c>
      <c r="C35" s="3">
        <v>16245</v>
      </c>
      <c r="D35" s="12">
        <v>0.85590094836670183</v>
      </c>
      <c r="E35" s="12">
        <v>0.85590094836670183</v>
      </c>
    </row>
    <row r="36" spans="1:5" x14ac:dyDescent="0.25">
      <c r="A36" s="9" t="s">
        <v>45</v>
      </c>
      <c r="B36" s="3">
        <v>34675</v>
      </c>
      <c r="C36" s="3">
        <v>33945</v>
      </c>
      <c r="D36" s="12">
        <v>0.97894736842105279</v>
      </c>
      <c r="E36" s="12">
        <v>0.97894736842105279</v>
      </c>
    </row>
    <row r="37" spans="1:5" x14ac:dyDescent="0.25">
      <c r="A37" s="9" t="s">
        <v>46</v>
      </c>
      <c r="B37" s="3">
        <v>17155</v>
      </c>
      <c r="C37" s="3">
        <v>16790</v>
      </c>
      <c r="D37" s="12">
        <v>0.97872340425531923</v>
      </c>
      <c r="E37" s="12">
        <v>0.97872340425531923</v>
      </c>
    </row>
    <row r="38" spans="1:5" x14ac:dyDescent="0.25">
      <c r="A38" s="9" t="s">
        <v>47</v>
      </c>
      <c r="B38" s="3">
        <v>6205</v>
      </c>
      <c r="C38" s="3">
        <v>5840</v>
      </c>
      <c r="D38" s="12">
        <v>0.94117647058823517</v>
      </c>
      <c r="E38" s="12">
        <v>0.94117647058823517</v>
      </c>
    </row>
    <row r="39" spans="1:5" x14ac:dyDescent="0.25">
      <c r="A39" s="9" t="s">
        <v>48</v>
      </c>
      <c r="B39" s="3">
        <v>34310</v>
      </c>
      <c r="C39" s="3">
        <v>31207.5</v>
      </c>
      <c r="D39" s="12">
        <v>0.90957446808510645</v>
      </c>
      <c r="E39" s="12">
        <v>0.90957446808510645</v>
      </c>
    </row>
    <row r="40" spans="1:5" x14ac:dyDescent="0.25">
      <c r="A40" s="9" t="s">
        <v>49</v>
      </c>
      <c r="B40" s="3">
        <v>50370</v>
      </c>
      <c r="C40" s="3">
        <v>48180</v>
      </c>
      <c r="D40" s="12">
        <v>0.95652173913043481</v>
      </c>
      <c r="E40" s="12">
        <v>0.95652173913043481</v>
      </c>
    </row>
    <row r="41" spans="1:5" x14ac:dyDescent="0.25">
      <c r="A41" s="9" t="s">
        <v>50</v>
      </c>
      <c r="B41" s="3">
        <v>36500</v>
      </c>
      <c r="C41" s="3">
        <v>35222.5</v>
      </c>
      <c r="D41" s="12">
        <v>0.96499999999999997</v>
      </c>
      <c r="E41" s="12">
        <v>0.96499999999999997</v>
      </c>
    </row>
    <row r="42" spans="1:5" x14ac:dyDescent="0.25">
      <c r="A42" s="9" t="s">
        <v>51</v>
      </c>
      <c r="B42" s="3">
        <v>25185</v>
      </c>
      <c r="C42" s="3">
        <v>24090</v>
      </c>
      <c r="D42" s="12">
        <v>0.95652173913043481</v>
      </c>
      <c r="E42" s="12">
        <v>0.95652173913043481</v>
      </c>
    </row>
    <row r="43" spans="1:5" x14ac:dyDescent="0.25">
      <c r="A43" s="10" t="s">
        <v>18</v>
      </c>
      <c r="B43" s="3">
        <v>204400</v>
      </c>
      <c r="C43" s="3">
        <v>195275</v>
      </c>
      <c r="D43" s="12">
        <v>0.95535714285714279</v>
      </c>
      <c r="E43" s="12">
        <v>0.95535714285714279</v>
      </c>
    </row>
    <row r="44" spans="1:5" x14ac:dyDescent="0.25">
      <c r="A44" s="9" t="s">
        <v>42</v>
      </c>
      <c r="B44" s="3">
        <v>11315</v>
      </c>
      <c r="C44" s="3">
        <v>10950</v>
      </c>
      <c r="D44" s="12">
        <v>0.967741935483871</v>
      </c>
      <c r="E44" s="12">
        <v>0.967741935483871</v>
      </c>
    </row>
    <row r="45" spans="1:5" x14ac:dyDescent="0.25">
      <c r="A45" s="9" t="s">
        <v>43</v>
      </c>
      <c r="B45" s="3">
        <v>13140</v>
      </c>
      <c r="C45" s="3">
        <v>12775</v>
      </c>
      <c r="D45" s="12">
        <v>0.97222222222222221</v>
      </c>
      <c r="E45" s="12">
        <v>0.97222222222222221</v>
      </c>
    </row>
    <row r="46" spans="1:5" x14ac:dyDescent="0.25">
      <c r="A46" s="9" t="s">
        <v>44</v>
      </c>
      <c r="B46" s="3">
        <v>14235</v>
      </c>
      <c r="C46" s="3">
        <v>13505</v>
      </c>
      <c r="D46" s="12">
        <v>0.94871794871794879</v>
      </c>
      <c r="E46" s="12">
        <v>0.94871794871794879</v>
      </c>
    </row>
    <row r="47" spans="1:5" x14ac:dyDescent="0.25">
      <c r="A47" s="10" t="s">
        <v>28</v>
      </c>
      <c r="B47" s="3">
        <v>38690</v>
      </c>
      <c r="C47" s="3">
        <v>37230</v>
      </c>
      <c r="D47" s="12">
        <v>0.96226415094339623</v>
      </c>
      <c r="E47" s="12">
        <v>0.96226415094339623</v>
      </c>
    </row>
    <row r="48" spans="1:5" x14ac:dyDescent="0.25">
      <c r="A48" s="9" t="s">
        <v>38</v>
      </c>
      <c r="B48" s="3">
        <v>18615</v>
      </c>
      <c r="C48" s="3">
        <v>17520</v>
      </c>
      <c r="D48" s="12">
        <v>0.94117647058823517</v>
      </c>
      <c r="E48" s="12">
        <v>0.94117647058823517</v>
      </c>
    </row>
    <row r="49" spans="1:5" x14ac:dyDescent="0.25">
      <c r="A49" s="9" t="s">
        <v>39</v>
      </c>
      <c r="B49" s="3">
        <v>28470</v>
      </c>
      <c r="C49" s="3">
        <v>26280</v>
      </c>
      <c r="D49" s="12">
        <v>0.92307692307692324</v>
      </c>
      <c r="E49" s="12">
        <v>0.92307692307692324</v>
      </c>
    </row>
    <row r="50" spans="1:5" x14ac:dyDescent="0.25">
      <c r="A50" s="9" t="s">
        <v>40</v>
      </c>
      <c r="B50" s="3">
        <v>13870</v>
      </c>
      <c r="C50" s="3">
        <v>12899.100000000004</v>
      </c>
      <c r="D50" s="12">
        <v>0.93000000000000038</v>
      </c>
      <c r="E50" s="12">
        <v>0.93000000000000038</v>
      </c>
    </row>
    <row r="51" spans="1:5" x14ac:dyDescent="0.25">
      <c r="A51" s="9" t="s">
        <v>41</v>
      </c>
      <c r="B51" s="3">
        <v>0</v>
      </c>
      <c r="C51" s="3">
        <v>0</v>
      </c>
      <c r="D51" s="12">
        <v>0</v>
      </c>
      <c r="E51" s="12">
        <v>0</v>
      </c>
    </row>
    <row r="52" spans="1:5" x14ac:dyDescent="0.25">
      <c r="A52" s="10" t="s">
        <v>26</v>
      </c>
      <c r="B52" s="3">
        <v>60955</v>
      </c>
      <c r="C52" s="3">
        <v>56699.1</v>
      </c>
      <c r="D52" s="12">
        <v>0.93017964071856285</v>
      </c>
      <c r="E52" s="12">
        <v>0.93017964071856285</v>
      </c>
    </row>
    <row r="53" spans="1:5" x14ac:dyDescent="0.25">
      <c r="A53" s="9" t="s">
        <v>33</v>
      </c>
      <c r="B53" s="3">
        <v>24090</v>
      </c>
      <c r="C53" s="3">
        <v>22630</v>
      </c>
      <c r="D53" s="12">
        <v>0.93939393939393945</v>
      </c>
      <c r="E53" s="12">
        <v>0.93939393939393945</v>
      </c>
    </row>
    <row r="54" spans="1:5" x14ac:dyDescent="0.25">
      <c r="A54" s="9" t="s">
        <v>34</v>
      </c>
      <c r="B54" s="3">
        <v>32120</v>
      </c>
      <c r="C54" s="3">
        <v>30660</v>
      </c>
      <c r="D54" s="12">
        <v>0.95454545454545459</v>
      </c>
      <c r="E54" s="12">
        <v>0.95454545454545459</v>
      </c>
    </row>
    <row r="55" spans="1:5" x14ac:dyDescent="0.25">
      <c r="A55" s="9" t="s">
        <v>35</v>
      </c>
      <c r="B55" s="3">
        <v>3285</v>
      </c>
      <c r="C55" s="3">
        <v>3102.5</v>
      </c>
      <c r="D55" s="12">
        <v>0.94444444444444442</v>
      </c>
      <c r="E55" s="12">
        <v>0.94444444444444442</v>
      </c>
    </row>
    <row r="56" spans="1:5" x14ac:dyDescent="0.25">
      <c r="A56" s="9" t="s">
        <v>36</v>
      </c>
      <c r="B56" s="3">
        <v>5840</v>
      </c>
      <c r="C56" s="3">
        <v>5657.5</v>
      </c>
      <c r="D56" s="12">
        <v>0.96875</v>
      </c>
      <c r="E56" s="12">
        <v>0.96875</v>
      </c>
    </row>
    <row r="57" spans="1:5" x14ac:dyDescent="0.25">
      <c r="A57" s="9" t="s">
        <v>37</v>
      </c>
      <c r="B57" s="3">
        <v>23360</v>
      </c>
      <c r="C57" s="3">
        <v>22265</v>
      </c>
      <c r="D57" s="12">
        <v>0.953125</v>
      </c>
      <c r="E57" s="12">
        <v>0.953125</v>
      </c>
    </row>
    <row r="58" spans="1:5" x14ac:dyDescent="0.25">
      <c r="A58" s="10" t="s">
        <v>25</v>
      </c>
      <c r="B58" s="3">
        <v>88695</v>
      </c>
      <c r="C58" s="3">
        <v>84315</v>
      </c>
      <c r="D58" s="12">
        <v>0.95061728395061718</v>
      </c>
      <c r="E58" s="12">
        <v>0.95061728395061718</v>
      </c>
    </row>
    <row r="59" spans="1:5" x14ac:dyDescent="0.25">
      <c r="A59" s="11" t="s">
        <v>89</v>
      </c>
      <c r="B59" s="14">
        <v>1097920</v>
      </c>
      <c r="C59" s="14">
        <v>996968.6</v>
      </c>
      <c r="D59" s="13">
        <v>0.90805213494607984</v>
      </c>
      <c r="E59" s="13">
        <v>0.90805213494607984</v>
      </c>
    </row>
  </sheetData>
  <pageMargins left="0.7" right="0.7" top="0.75" bottom="0.75" header="0.3" footer="0.3"/>
  <customProperties>
    <customPr name="AdaptiveCustomXmlPartId" r:id="rId1"/>
    <customPr name="AdaptiveReportingSheetKey" r:id="rId2"/>
    <customPr name="Current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document Id="401c1f16-f8e6-4907-a1ff-74c487338c84">
  <version>1</version>
  <createdBy>JMullen</createdBy>
  <modifiedBy>JMullen</modifiedBy>
  <createdDate>2023-11-15T18:37:47.8844518Z</createdDate>
  <modifiedDate>2024-11-12T21:25:55.4679686Z</modifiedDate>
  <sheets>
    <sheet Id="ff655d58-dd74-44a4-af34-c65de7737e90" Name="OC-Pull"/>
  </sheets>
  <documentDefinitions>
    <reportDocumentDefinition>
      <properties version="26" revision="0" isCriteriaEnabled="false" suppressions="10"/>
      <reportDate>2023-11-15T00:00:00</reportDate>
      <lastRefreshTime>2024-11-12T21:16:20.0005884Z</lastRefreshTime>
      <options areDatesRelativeByDefault="true" autoFitColumnsOnRefresh="false" rounding="0" displayZeroForBlank="true" clearDataOnSave="false" highlightEditableCells="true" refreshOnExpand="true" updateExpandedElementsOnRefresh="true" updateReportGroupsOnRefresh="true" enableUnknownFilters="false"/>
      <areLocationsHidden>false</areLocationsHidden>
      <adapterReportOptions>
        <option adapterId="2">
          <reportSettings UseLevelCurrency="true"/>
        </option>
      </adapterReportOptions>
      <instance adapterId="2">
        <instance code="ASBURYCOMMUNITIES1"/>
      </instance>
    </reportDocumentDefinition>
  </documentDefinitions>
</document>
</file>

<file path=customXml/item2.xml><?xml version="1.0" encoding="utf-8"?>
<AdaptiveCompressedXml id="ff655d58dd7444a4af34c65de7737e90">H4sIAAAAAAAEAO1dW48dR25+D5D/IOidqyKLdeFi7MXG6wcD2QvW3ofkjXWLhYwlQzPeXSPIfw9rLOsyntG0Dk4pglwwIEun+3T3aX7F4veRxbr43T+/u3z09/7i6unzZ589xt+4x7/7/F//5eLrb3u/fvRV++zxGDGEFjK0lhiYlUGHZ6gxtJ6ST13c40d/0u/6Z4///AX85YfLy8d2hUePLq7mNf7Qx9NnT6/t6lc3n9rnL/r3z19cf/320ZcH7fD3+uL66tU/X53/F/v45oF0RK0+K3gaBbjHAjn6DL6MXEt3Mqg8fuP7doV/f171rZu8/Pxpe3T94/f24PHxoye3D9Z+efn71l70q6tHL57/47PH9jPr88sfvrP3RHec/9/9x8/x4sn831s3f3Ln3S/qi6fX/cVTvX2Zftm/68+uv7bXr02/t3Pmj6bHt86bT//s6lqf1f6LI28csydu9vt+//W//e2v//HFn//4x7/96atvvvrya/zlD5iPeu8lf36sq7tu9vLYo6fzQSmh/PJhb86b7/qRnfj0+sdvbl77nU8xn+PlFR+8GcY7Xszd95IT7vWiX5rl/t6/0Mv+rOmLL1/e+/kYV/36Bgbthxc3xp03mYZC5+95ovryIl+1O4+/fQY65y6ePPCVh0+4vnmq++73i3eU735H8073XuniyT1v6Q543QOiVwcM9LfGzh2jZN7wZ4fwDjeRRk89lApespjfGgG0Zvujcy+1S6uFVrsJf4+boO0mzE3k7SbueKLtJj6om2AMVJ0iFJEOHF0Aoe6g+u5j8LGbp1jtJvgeN+G3m6BEbruJO55ou4kP6iakDwlOLJrQPIA9VRDBBFQiN/TOdU6r3US4x03wdhPmJnC7iTueaLuJD+omXAs+VFXoTgKwRGfRRGoQkgrnoez6GtIRX7sJd4+bCL96NxHC0XF7xzv/6SEO+ggM7A7HLXewxHff7ANPfaKSBBUM0gycaoScZEAPhNWnhIprMJ0exnT81WPab1CfRPs8YjCKB5WSGqh7B4OxA5cxjpEDG7CXgDo/DOr0qwd1OKwgb0y/xnRElkrYoWRnmO6lQjHOAqFoyFkodlyDaXkY0/lXj+l4X4i+Mf0OTHt0I2CvkOKU5ybvLiUmGIVdi2mUoW4JptE9DGrZoI4b1CcEH2ywJechjtCA1WeQgBVQyDlNXrHpGlDjw6BGt1F9ODO1Uf0a1b2KUisEiWu1kDp2MDzbH92JulBidGt4otHPh1G9KzPSYYV0o/oNVDtSTULgsQ9g44wgBmZjixZaR9fSqItQ7Q+gehcSpB1Wn1Icw57JawbttQC7gUYViwM/OSK2UOMqVPMBVO+8d9qi3im+GgPJcBFiVwW2EASyZwQmljKci6WENagOB1C907Q5bVSfwBa1+zw6Q/LVUC0ULaROFmHLSBKo2tG+BtUHkoq4s4rG2g/XA2xcv+Gt+xBJCUGKC8DVD8iZCEYeQX0kF2VRDHIgsYg7s8ibL56A6oxVQpYMsZB5a9cVinQBFzDGPkZog9eg+kBmEXdqEWlL1ifAGoeBOjmE6Hqy0Np3KB49qLTsgovcW1wD6wPJRdzZRaStWZ9S25SCxJIGVI0T1jLAAO3Bp5hzH2nUIUtgTQfSi7jzixZb88b1CZwxR57LYSFS88BaA6gb3eKRplQllcZ5Da4PZBhpZxjRH0bahvUbFU6xFN9zgNKCBdfF4hFRZNAi6hxm9WURrA+kGGmnGNHvbMwJsKbAWbRUGMViD+6dQEjdzMtU3/oIzi2C9YEcI+0cI+L21qd46xyD0MizPYeFHiUriI8emo9lSC2x1zVlTnQgyUg7yfge69g2rN/InTcnLeYCNSPOfAxCnuK1L8QxOEyhLuKMB7KMtLOMGDdlPEW41kyYSaFhyHP1gIDgqIDVOXbJIfW6BtYH0oy004y4a0JOgjUNl3AkSFTzrLXm2ekDAV0tzK13l9fkY+hAlpF2lhFvr7N7ddaG9TtgXbNHC0PEwBwH8HAKGtxcQuARPVJrY6yB9YE0I+00o2Ftw/r9Ya2EdRSPUOaaL1YWyCUW8K6h2gzYwyKBzx8IQvzWrf3tyfLVWRvW74A1dmVfssUfSRm4DYUyfIYRffWNRqtjEawPBCF+69Y+76KQU7rdcExYKIMj9MDZO8ixMWTnCg2PjIuaYvkDQYjfurXPuyjklHRM88xRBBLGG5ddQXsYUJMrhebSGLem4NofqHXyW7f2sitTT1FCSm5YMs4mpx24BgGN3ECz65hKyaxrdGs+UOvkt27tZSfPT1lGIAVDzRWSIwtCqDYoMlvuOYvqsrjSxxrdmg+UOvmtW3vZuvUpAh8NlDxm+wSNwEMS5GbYbkwh5Kgc+5pdLvhAqZPfurWXHVufAusRalPnYKAjYM0JpNQOxYm5akeZ3JqaED5Q6uS3bu3jbr13AqxDk1RHctAbMXBWAaGSAFmIR+65ql8D6wOlTn4vj8GUdxRyEq6bzzgCZC4BOBh7zGHmY/Jc5cgW25U1u2PwgVonv9fHGK53+vyU0tTqtWcfAT01I40+gIZSoJWgOqofsa1pK8kH8oy884yYZCcaT8nIjJxiyrOjdavmr2OHHAtDzdqixd2jhDXSNR9INPJONJq/3tr1SVV8LdaeLKBOw+LrUBnKQAUxiIcSOfjbO6CcC9cHMo28tWuk2+tJX522cf0OXFet0mMWKNgcMDcCLSmDT43JXPjAvKYHDh9INfIWrxF32/aT1p93X6PUCnGoxSGRFXJLBVSC2DvtDhf1VQgHco281WvEtCueTkk2pmKADgpJZxucMRJkkgicQ2DFgvn2mrpz4fpAspG3fI24S55OikMiFldqM7ZYb3AdQTl7cCVIL8PNbu5rcH0g28hbv5a4Zb5T5GtM2lyokMNcqusM1tISQlfnqfIsu16TRA8Hso285Wt0fqdlTlkmw7FL9xk0VTFcS5iRdYfQSueQfcHbbfHPhesD6caw5Wt0vHF9Sjs+zxmDKoiF0rO1Qp+4Zhi1DPsvuy5ravnCgXRj2PI1urDjkJPa8TVVigTtRr6mQZAlytz1C2MjpKFrVuuGI/tC74Uy6HbZ00nrGs0fiKS5ba5xR07eg2JrEMixWpCdjDquwfWBdGPYK2XQ7XTjaWVPFnAk6YANHbAiTTmkQI7JCGWrqesime9AujHsdKPsHRpPCq/FO1FO4OpsGoJtQAk0AOf+51JQCBfJIQeyjWGr1+TduqzMh4VaKZRaigq5TuUthG7BbswgdXSJI9Q+1mzFRUegtpU3orguMviwUPPEo1ejVFzrnKxlgPaEEGqTGnouuawRDfyBXHPcYphBbV2f0Q+cJmtOUi0WCKZiPD5miwu9KzaBeiyzHTkuKq/0B9K/cetTBrV15Tofuh3nGL04BzZrurmDZTAKkiqU1DG5hMgN10DtQEY2bsmIKKzjIB9anSxhBGXQ2INNoObachGDmg2nQFzI85pskj+QJY2b7RItXOTzgVvrDBdUMYFiLObV1LxadxGGy058V2a/phurP5C4jLve1aD2qXg1HSEEqRlaagrcpVis1iNk829VtIzc1pSg+gO5xLhLUG0CXZdz+cAM1PveQ+oQRBqw5Aglagb7qGdGck4XtXd8jTS6D2nvIatdaumXty9y3f95/fn/uP+9eHLzt1tHb77yhz6ePns6r/fy4Q32b0HyxuB3qKg3lv6q3WXaX2Ag3w3EO69w8eTWc936+bd/6NG0AElzXBs4NhNz4Qa5R4EUh2bV4cftFk7nt/MdEvNPdn6PIslt5wfSmuyYqQ6gpn0upbTxzB0h9Ro0YciUFylKr+3M99n5PbTLbecHdnKJNRanDtCc9KzhN+LDinPzC+pUkzZZ1L/0tZ3DPXZO7yEcbjs/wDooYJ/7Fkc0E9+ssiulJPBZtNqcjZQWNR16eH5O76HafdR2lv9/O4fU8jD/DMRRJ7uskJNXSNkPyhKdW7ThGD88P6f3kMy2nR8q61fXihPw0h0Ym2MQVwRwhDKqKvWxRkXgh+fn9B5VR9vOD9iZQ/LdHLVFXcHm5+HNb1earVpyN5/t2qItqfjA/PweuuS287vt3IxTxd6NTbXijVf1bPF2c5NEOypErdZFdSkH5uf3EAU/ajvfI+R80Hg7+xgCeRBvQ5lbq1BCLdBc51io+jIWrTI8MD+/hyK37fxAFyK10aupQ8ttdo3z5rfdrABC5dRnrTAtKp88MD9/KnrYR2BnFhXxHYEiF2PN6uf6YZ5+W3OoLsa+qPz7wPz8qehhH4Gde8qkhQqM2KYeZpO0hpRBRxg5Jj/kdnfNM9n5jdUrd7yGn+z8qehhd+Y4Pqydq9mxohkWFSuwp2y8Kis0KmnkOnyQNd0+08N2zp+KHvYR2HnuXu0HRWgSFFg7gzImEGYV49SRaY2d8wE7fyp62EdgZ5wLZtWIVMNg8/PACJnH1D0xuMSOsa7Rt+WAnT8VPewjsLNvap67EVSlNJvqFxAlArJBXfJIaSzqPo7ugKE/FUHsIzC06JDBxp0lkBGrYpwqDzLv3W1sp5qw+TUEGvGAoT8VRewjMHRFrdkVBnIqwBIGiM3KEIUx5qh19DURN9IBQ38qkthHYOhRC0p3A9KsH+LeEEpuHth1bK3kQn5NZwD0Bwz9qWhiH4GhS8iooxB4GbNfYDFDa1XwVXG02iwai2sMzQcM/amIYh+Bobu00jzO7ULn7qFBbHqeey3G3qrLQZsPi4KxcMDQn4oq9hEYOqHrRqMC2Lieqliay8LCTFYa01IkY9mLRvQBWSxvWex89Cpnz8VsnIMxKw5z0QKr0asoKdiMLcMtCsYO6GKydbHzzdG99oI01wiMmc9o0ZiV7yCNCqlF4qJr9BI8IIzJFsbOZ+hYeknOzYohMkP3DsX7AT1FH5zLiVeN6APKmGxl7HyuuzoW890Q/FRA0fx3cW0aOvuuqbVVUTcdUMZkK2Pni7pLMiLVCniXbUSjDWahls3aWHtX6nZ0jaEPKGOylbHz1XLXUUY01218ioHr3FQi2Rw9iHttSDm1NTW+dEAZk62MnS9JmaW2UTMkcWL0Cv3k0QVEOOWUxVVao4zRAWVMtjJ2PglUYuxFO7juZhNJZ0TLT5O7GEb3jVHXZKPpgDImWxk7X7lYZnXi6OXmKUanoIy5V6Gm4YUwKy8a0QeUMdnK2Pmibl+HG2j0qtlEzQ7R5ujuQDyL1No5lUXB2AFlTLYydjZDa2vDFfKQsM5CX84gkRKUXLC46nvpaxbi0AFlDN2Wxs5m6ZyFmxsCzs8llCodSh0IVGptrTS2+HuNpQ9IY+i2NnY+581S7IUyDBw3W2N7Y9I53vTp6TRXxvOiRdEHnDe6TaXPZukYWnTSmlHpEKcKiiA2bUN3Fc13C+NYE4/5Q957c+nzUazA3pU+N76a/cyDuJ/maa8ysnjB0hY1tDjkvTeZPt/Sq1rHILWR7KON6VgqFEkRiGbv+kCVeI085g9kNtBtNn2+WtBQvHISiCOMWfTrIec2QGPMWUOksqjDNh9IbaDbdPp8ugmXSr3GuctKnZ3sBHIhMdIVCXPU1suaZXZ8ILeBbvPp82WxkEMP6qCHpMCtq3lvn8ElccmRN7MvamByILmBuPn0+bIbWHLosUDTSLOmiKYWWiH4iM7F6qmv6U7JB7IbiJtPny8iS5iFZhwW0QNXC7u1tWKj21OysKxpXbNmgw+kNxB3scn5vHdlKT4EoBFsnhYOULpGsCAcIwdqIS2y9IH8BuKuNjlfRFZiaIIdnDlt4HKzkZLo7AZaw6gxGs1eY+kjGhlujex85SZpVOw2RatTG9PRHHdGo9dOs3Gv5udiyzWWPqKR4dbIzlcT2sygVTLMEiKztE9QPJbZEVS1S8LU1zRx5iMaGW4+fTZLBxxVXHGQzLbAapbOJHP1dBmBx/B+rFmhw0c0Mtx8+myWxlgYZ8KyU0pg4zvbcCa2v43MrWZiWVP+G45oZLT59PmylinX1mb3g5vllVjMe3MWCEHY81C24HyNpY9oZLT59Bk1shpyFPPegetk0R4kajCWpYyCGgKvKRcMRzQy2nz6fPN0tJmabJ7uzMayNAaQEhHMl9eMHEOsi7z3EY2MNp8+n0Ymjgr3BijBWewdKuQ6hkVkfbC58ND9ooaRRzQy2nz6fBFZ68O3ghaRmQvnhhGKdgVqvrhRakiLlliGIxoZbT59vorBJlUTKsTu52Y53mLvjAFs9i5x+NFqXTRPH9HIaNecnE8NlZIlRweN2ALwgg60zjE9N76SFByGRd77iEZGu+bkfGro3P9q1Agh9rlhTqpm6VgBVboP5CWlNVnLcEQjo62Rnc3StXBAVrOvzzams9m8kPHpmkeVEpIbaU11UTiikfnNp8+ohkoTnxt4wjGbXvTZ9MKm7VhyywGzve01lf2HLL1Z1tksnWb/Zo0CPs/OVE0LqAXd0B3aAPch66LVOv6IGuo3yzrfuixHnS38hmpmnREZQqZUgGpgh2MM9YuqgI+ooX6zrPPx6a7Np4Ygbe5yTExQhDr0UUvWyJwW1ZH5I2qo3yzrfGs4BjUmskHcPc12cwxSytyLNhiXDmq0a03NiT+ihvrNss43ptnFiDZFl0izEuGmPX81czffQ81JMa2pOfFH1FC/Wdb5qoBdCYLmuH3zYizLkY1pMqrloiYiTMaw11j6iBrqdyXCiZa+ePK9/fP13vMX3+rVF9/qs//qV58PvbzqF0/e+OTVWU+vvni5B/2Xz7Rc9vbzyb888Oo7l3p1/dc+zLTffvP0u/45OWKweA/pG8LfYvwtym8kB2N5/J/z6d8++9Vlrr59/o8vnj+7ttf2lf354qrX+eNfPe69x3+6ws9v4etve7++9e7ml9/6dH7p4snNqZ//H7hmsLKAJgEA</AdaptiveCompressedXml>
</file>

<file path=customXml/itemProps1.xml><?xml version="1.0" encoding="utf-8"?>
<ds:datastoreItem xmlns:ds="http://schemas.openxmlformats.org/officeDocument/2006/customXml" ds:itemID="{5F3F3491-A2C7-4D28-B2DE-C348DDCB5AA1}">
  <ds:schemaRefs/>
</ds:datastoreItem>
</file>

<file path=customXml/itemProps2.xml><?xml version="1.0" encoding="utf-8"?>
<ds:datastoreItem xmlns:ds="http://schemas.openxmlformats.org/officeDocument/2006/customXml" ds:itemID="{78A77761-4D3E-49DB-BAAE-948BCB3011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2025</vt:lpstr>
      <vt:lpstr>Prep</vt:lpstr>
      <vt:lpstr>OC-Pull</vt:lpstr>
    </vt:vector>
  </TitlesOfParts>
  <Company>The Asbury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Galliani, Paula (Asbury)</dc:creator>
  <cp:lastModifiedBy>Mullen, John (ASCC)</cp:lastModifiedBy>
  <dcterms:created xsi:type="dcterms:W3CDTF">2020-11-30T19:02:40Z</dcterms:created>
  <dcterms:modified xsi:type="dcterms:W3CDTF">2024-11-12T21:25:55Z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aptiveDocumentId">
    <vt:lpwstr>401c1f16-f8e6-4907-a1ff-74c487338c84</vt:lpwstr>
  </property>
  <property fmtid="{D5CDD505-2E9C-101B-9397-08002B2CF9AE}" pid="3" name="AdaptiveReportingVersion">
    <vt:lpwstr>5</vt:lpwstr>
  </property>
  <property fmtid="{D5CDD505-2E9C-101B-9397-08002B2CF9AE}" pid="4" name="AdaptiveReportingRevision">
    <vt:lpwstr>0</vt:lpwstr>
  </property>
  <property fmtid="{D5CDD505-2E9C-101B-9397-08002B2CF9AE}" pid="5" name="AdaptiveCustomXmlPartId">
    <vt:lpwstr>5f3f3491-a2c7-4d28-b2de-c348ddcb5aa1</vt:lpwstr>
  </property>
</Properties>
</file>