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sbury Services\Projections\Projections 2025\2025 Budget\Data Warehouse\"/>
    </mc:Choice>
  </mc:AlternateContent>
  <xr:revisionPtr revIDLastSave="0" documentId="13_ncr:1_{2FFC37F6-4D24-405B-AAF5-D99960805ED2}" xr6:coauthVersionLast="47" xr6:coauthVersionMax="47" xr10:uidLastSave="{00000000-0000-0000-0000-000000000000}"/>
  <bookViews>
    <workbookView xWindow="-28920" yWindow="-120" windowWidth="29040" windowHeight="16440" firstSheet="2" activeTab="2" xr2:uid="{B9FB2D14-EFBA-43AE-8417-824BAE988E10}"/>
  </bookViews>
  <sheets>
    <sheet name="CrossfireHiddenWorksheet" sheetId="5" state="veryHidden" r:id="rId1"/>
    <sheet name="OfficeConnectCellHighlights" sheetId="6" state="veryHidden" r:id="rId2"/>
    <sheet name="Nuance" sheetId="12" r:id="rId3"/>
    <sheet name="2025 Load" sheetId="11" r:id="rId4"/>
    <sheet name="OC" sheetId="4" r:id="rId5"/>
    <sheet name="OC-Days" sheetId="8" r:id="rId6"/>
    <sheet name="REF" sheetId="9" r:id="rId7"/>
  </sheets>
  <externalReferences>
    <externalReference r:id="rId8"/>
    <externalReference r:id="rId9"/>
  </externalReferences>
  <definedNames>
    <definedName name="_xlnm._FilterDatabase" localSheetId="3" hidden="1">'2025 Load'!$D$3:$D$77</definedName>
    <definedName name="_xlnm._FilterDatabase" localSheetId="4" hidden="1">OC!$DC$5:$DH$62</definedName>
    <definedName name="_xlnm._FilterDatabase" localSheetId="6" hidden="1">REF!$B$2:$D$74</definedName>
    <definedName name="_P">#REF!</definedName>
    <definedName name="basic">#REF!</definedName>
    <definedName name="Company">#REF!</definedName>
    <definedName name="CurrYr" localSheetId="5">[1]HQ!$B$19</definedName>
    <definedName name="CurrYr">[2]HQ!$B$19</definedName>
    <definedName name="CurrYrFCVersion" localSheetId="5">[1]HQ!$B$20</definedName>
    <definedName name="CurrYrFCVersion">[2]HQ!$B$20</definedName>
    <definedName name="dental">#REF!</definedName>
    <definedName name="dentcode">#REF!</definedName>
    <definedName name="Depart">#REF!</definedName>
    <definedName name="Facility">#REF!</definedName>
    <definedName name="FillColMatch" localSheetId="5">'[1]OC-Fill'!$B$1:$NB$1</definedName>
    <definedName name="FillColMatch">'[2]OC-Fill'!$B$1:$NB$1</definedName>
    <definedName name="FillDataArray" localSheetId="5">INDIRECT(RIGHT('[1]OC-Fill'!$NI$6,LEN('[1]OC-Fill'!$NI$6)-1))</definedName>
    <definedName name="FillDataArray">INDIRECT(RIGHT('[2]OC-Fill'!$NI$6,LEN('[2]OC-Fill'!$NI$6)-1))</definedName>
    <definedName name="FillRowMatch" localSheetId="5">INDIRECT(RIGHT('[1]OC-Fill'!$NI$7,LEN('[1]OC-Fill'!$NI$7)-1))</definedName>
    <definedName name="FillRowMatch">INDIRECT(RIGHT('[2]OC-Fill'!$NI$7,LEN('[2]OC-Fill'!$NI$7)-1))</definedName>
    <definedName name="FillSNFColMatch" localSheetId="5">'[1]OC-SNF Fill'!$B$1:$CX$1</definedName>
    <definedName name="FillSNFColMatch">'[2]OC-SNF Fill'!$B$1:$ET$1</definedName>
    <definedName name="FillSNFDataArray" localSheetId="5">'[1]OC-SNF Fill'!$B$9:$CX$15</definedName>
    <definedName name="FillSNFDataArray">'[2]OC-SNF Fill'!$B$9:$ET$30</definedName>
    <definedName name="FillSNFRowMatch" localSheetId="5">'[1]OC-SNF Fill'!$CZ$9:$CZ$15</definedName>
    <definedName name="FillSNFRowMatch">'[2]OC-SNF Fill'!$EV$9:$EV$30</definedName>
    <definedName name="health">#REF!</definedName>
    <definedName name="jobcode">#REF!</definedName>
    <definedName name="MainColMatch" localSheetId="5">'[1]OC-Main'!$B$1:$LD$1</definedName>
    <definedName name="MainColMatch">'[2]OC-Main'!$B$1:$LS$1</definedName>
    <definedName name="MainDataArray" localSheetId="5">'[1]OC-Main'!$B$9:$LD$74</definedName>
    <definedName name="MainDataArray">'[2]OC-Main'!$B$9:$LS$74</definedName>
    <definedName name="MainRowMatch" localSheetId="5">'[1]OC-Main'!$LE$9:$LE$74</definedName>
    <definedName name="MainRowMatch">'[2]OC-Main'!$LT$9:$LT$74</definedName>
    <definedName name="medcode">#REF!</definedName>
    <definedName name="NextYr" localSheetId="5">[1]HQ!$B$21</definedName>
    <definedName name="NextYr">[2]HQ!$B$21</definedName>
    <definedName name="parttm">#REF!</definedName>
    <definedName name="pension">#REF!</definedName>
    <definedName name="RaiseColMatch" localSheetId="5">'[1]OC-Raise'!$B$1:$D$1</definedName>
    <definedName name="RaiseColMatch">'[2]OC-Raise'!$B$1:$D$1</definedName>
    <definedName name="RaiseDataArray" localSheetId="5">INDIRECT(RIGHT('[1]OC-Raise'!$I$2,LEN('[1]OC-Raise'!$I$2)-1))</definedName>
    <definedName name="RaiseDataArray">INDIRECT(RIGHT('[2]OC-Raise'!$I$2,LEN('[2]OC-Raise'!$I$2)-1))</definedName>
    <definedName name="RaiseRowMatch" localSheetId="5">INDIRECT(RIGHT('[1]OC-Raise'!$I$3,LEN('[1]OC-Raise'!$I$3)-1))</definedName>
    <definedName name="RaiseRowMatch">INDIRECT(RIGHT('[2]OC-Raise'!$I$3,LEN('[2]OC-Raise'!$I$3)-1))</definedName>
    <definedName name="vachrs">#REF!</definedName>
    <definedName name="WASbasic">#REF!</definedName>
    <definedName name="WASmeddent">#REF!</definedName>
    <definedName name="workcomp">#REF!</definedName>
    <definedName name="workcompclass">#REF!</definedName>
  </definedNames>
  <calcPr calcId="191029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11" l="1"/>
  <c r="A53" i="11" a="1"/>
  <c r="A53" i="11"/>
  <c r="A54" i="11" a="1"/>
  <c r="A54" i="11"/>
  <c r="I54" i="11"/>
  <c r="B54" i="11" a="1"/>
  <c r="B54" i="11"/>
  <c r="B55" i="11" a="1"/>
  <c r="B55" i="11"/>
  <c r="I55" i="11"/>
  <c r="F55" i="11" a="1"/>
  <c r="F55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G71" i="11" a="1"/>
  <c r="G71" i="11"/>
  <c r="F8" i="11" a="1"/>
  <c r="F8" i="11"/>
  <c r="I75" i="11"/>
  <c r="G75" i="11" a="1"/>
  <c r="G75" i="11"/>
  <c r="I74" i="11"/>
  <c r="G74" i="11" a="1"/>
  <c r="G74" i="11"/>
  <c r="I73" i="11"/>
  <c r="G73" i="11" a="1"/>
  <c r="G73" i="11"/>
  <c r="I72" i="11"/>
  <c r="G72" i="11" a="1"/>
  <c r="G72" i="11"/>
  <c r="I71" i="11"/>
  <c r="B71" i="11" a="1"/>
  <c r="B71" i="11"/>
  <c r="I70" i="11"/>
  <c r="G70" i="11" a="1"/>
  <c r="G70" i="11"/>
  <c r="I69" i="11"/>
  <c r="G69" i="11" a="1"/>
  <c r="G69" i="11"/>
  <c r="I68" i="11"/>
  <c r="G68" i="11" a="1"/>
  <c r="G68" i="11"/>
  <c r="I67" i="11"/>
  <c r="A67" i="11" a="1"/>
  <c r="A67" i="11"/>
  <c r="I66" i="11"/>
  <c r="A66" i="11" a="1"/>
  <c r="A66" i="11"/>
  <c r="I65" i="11"/>
  <c r="G65" i="11" a="1"/>
  <c r="G65" i="11"/>
  <c r="I64" i="11"/>
  <c r="G64" i="11" a="1"/>
  <c r="G64" i="11"/>
  <c r="I63" i="11"/>
  <c r="G63" i="11" a="1"/>
  <c r="G63" i="11"/>
  <c r="I62" i="11"/>
  <c r="G62" i="11" a="1"/>
  <c r="G62" i="11"/>
  <c r="I61" i="11"/>
  <c r="G61" i="11" a="1"/>
  <c r="G61" i="11"/>
  <c r="I60" i="11"/>
  <c r="G60" i="11" a="1"/>
  <c r="G60" i="11"/>
  <c r="I59" i="11"/>
  <c r="G59" i="11" a="1"/>
  <c r="G59" i="11"/>
  <c r="I58" i="11"/>
  <c r="A58" i="11" a="1"/>
  <c r="A58" i="11"/>
  <c r="I57" i="11"/>
  <c r="G57" i="11" a="1"/>
  <c r="G57" i="11"/>
  <c r="I56" i="11"/>
  <c r="G56" i="11" a="1"/>
  <c r="G56" i="11"/>
  <c r="I52" i="11"/>
  <c r="G52" i="11" a="1"/>
  <c r="G52" i="11"/>
  <c r="I51" i="11"/>
  <c r="A51" i="11" a="1"/>
  <c r="A51" i="11"/>
  <c r="I50" i="11"/>
  <c r="G50" i="11" a="1"/>
  <c r="G50" i="11"/>
  <c r="I49" i="11"/>
  <c r="F49" i="11" a="1"/>
  <c r="F49" i="11"/>
  <c r="I48" i="11"/>
  <c r="G48" i="11" a="1"/>
  <c r="G48" i="11"/>
  <c r="I47" i="11"/>
  <c r="G47" i="11" a="1"/>
  <c r="G47" i="11"/>
  <c r="I46" i="11"/>
  <c r="G46" i="11" a="1"/>
  <c r="G46" i="11"/>
  <c r="I45" i="11"/>
  <c r="G45" i="11" a="1"/>
  <c r="G45" i="11"/>
  <c r="I44" i="11"/>
  <c r="F44" i="11" a="1"/>
  <c r="F44" i="11"/>
  <c r="I43" i="11"/>
  <c r="A43" i="11" a="1"/>
  <c r="A43" i="11"/>
  <c r="I42" i="11"/>
  <c r="A42" i="11" a="1"/>
  <c r="A42" i="11"/>
  <c r="I41" i="11"/>
  <c r="G41" i="11" a="1"/>
  <c r="G41" i="11"/>
  <c r="I40" i="11"/>
  <c r="G40" i="11" a="1"/>
  <c r="G40" i="11"/>
  <c r="I39" i="11"/>
  <c r="A39" i="11" a="1"/>
  <c r="A39" i="11"/>
  <c r="I38" i="11"/>
  <c r="G38" i="11" a="1"/>
  <c r="G38" i="11"/>
  <c r="I37" i="11"/>
  <c r="G37" i="11" a="1"/>
  <c r="G37" i="11"/>
  <c r="I36" i="11"/>
  <c r="G36" i="11" a="1"/>
  <c r="G36" i="11"/>
  <c r="I35" i="11"/>
  <c r="G35" i="11" a="1"/>
  <c r="G35" i="11"/>
  <c r="I34" i="11"/>
  <c r="A34" i="11" a="1"/>
  <c r="A34" i="11"/>
  <c r="I33" i="11"/>
  <c r="B33" i="11" a="1"/>
  <c r="B33" i="11"/>
  <c r="I32" i="11"/>
  <c r="G32" i="11" a="1"/>
  <c r="G32" i="11"/>
  <c r="I31" i="11"/>
  <c r="A31" i="11" a="1"/>
  <c r="A31" i="11"/>
  <c r="I30" i="11"/>
  <c r="A30" i="11" a="1"/>
  <c r="A30" i="11"/>
  <c r="I29" i="11"/>
  <c r="B29" i="11" a="1"/>
  <c r="B29" i="11"/>
  <c r="I28" i="11"/>
  <c r="G28" i="11" a="1"/>
  <c r="G28" i="11"/>
  <c r="I27" i="11"/>
  <c r="A27" i="11" a="1"/>
  <c r="A27" i="11"/>
  <c r="I26" i="11"/>
  <c r="G26" i="11" a="1"/>
  <c r="G26" i="11"/>
  <c r="I25" i="11"/>
  <c r="B25" i="11" a="1"/>
  <c r="B25" i="11"/>
  <c r="I24" i="11"/>
  <c r="G24" i="11" a="1"/>
  <c r="G24" i="11"/>
  <c r="I23" i="11"/>
  <c r="G23" i="11" a="1"/>
  <c r="G23" i="11"/>
  <c r="I22" i="11"/>
  <c r="G22" i="11" a="1"/>
  <c r="G22" i="11"/>
  <c r="I21" i="11"/>
  <c r="G21" i="11" a="1"/>
  <c r="G21" i="11"/>
  <c r="I20" i="11"/>
  <c r="F20" i="11" a="1"/>
  <c r="F20" i="11"/>
  <c r="I19" i="11"/>
  <c r="F19" i="11" a="1"/>
  <c r="F19" i="11"/>
  <c r="I18" i="11"/>
  <c r="B18" i="11" a="1"/>
  <c r="B18" i="11"/>
  <c r="I17" i="11"/>
  <c r="G17" i="11" a="1"/>
  <c r="G17" i="11"/>
  <c r="I16" i="11"/>
  <c r="G16" i="11" a="1"/>
  <c r="G16" i="11"/>
  <c r="I15" i="11"/>
  <c r="A15" i="11" a="1"/>
  <c r="A15" i="11"/>
  <c r="I14" i="11"/>
  <c r="G14" i="11" a="1"/>
  <c r="G14" i="11"/>
  <c r="I13" i="11"/>
  <c r="G13" i="11" a="1"/>
  <c r="G13" i="11"/>
  <c r="I12" i="11"/>
  <c r="G12" i="11" a="1"/>
  <c r="G12" i="11"/>
  <c r="I11" i="11"/>
  <c r="G11" i="11" a="1"/>
  <c r="G11" i="11"/>
  <c r="I10" i="11"/>
  <c r="G10" i="11" a="1"/>
  <c r="G10" i="11"/>
  <c r="I9" i="11"/>
  <c r="A9" i="11" a="1"/>
  <c r="A9" i="11"/>
  <c r="I8" i="11"/>
  <c r="G8" i="11" a="1"/>
  <c r="G8" i="11"/>
  <c r="I7" i="11"/>
  <c r="G7" i="11" a="1"/>
  <c r="G7" i="11"/>
  <c r="I6" i="11"/>
  <c r="G6" i="11" a="1"/>
  <c r="G6" i="11"/>
  <c r="I5" i="11"/>
  <c r="G5" i="11" a="1"/>
  <c r="G5" i="11"/>
  <c r="A69" i="11" a="1"/>
  <c r="A69" i="11"/>
  <c r="A71" i="11" a="1"/>
  <c r="A71" i="11"/>
  <c r="B50" i="11" a="1"/>
  <c r="B50" i="11"/>
  <c r="A8" i="11" a="1"/>
  <c r="A8" i="11"/>
  <c r="BN61" i="4"/>
  <c r="BM60" i="4"/>
  <c r="BN59" i="4"/>
  <c r="BL59" i="4"/>
  <c r="BM58" i="4"/>
  <c r="BK58" i="4"/>
  <c r="BL57" i="4"/>
  <c r="BJ57" i="4"/>
  <c r="BK56" i="4"/>
  <c r="BI56" i="4"/>
  <c r="BJ55" i="4"/>
  <c r="BH55" i="4"/>
  <c r="BI54" i="4"/>
  <c r="BG54" i="4"/>
  <c r="BH53" i="4"/>
  <c r="BG52" i="4"/>
  <c r="BN49" i="4"/>
  <c r="BM48" i="4"/>
  <c r="BN47" i="4"/>
  <c r="BL47" i="4"/>
  <c r="BM46" i="4"/>
  <c r="BK46" i="4"/>
  <c r="BL45" i="4"/>
  <c r="BJ45" i="4"/>
  <c r="BK44" i="4"/>
  <c r="BI44" i="4"/>
  <c r="BJ43" i="4"/>
  <c r="BH43" i="4"/>
  <c r="BI42" i="4"/>
  <c r="BG42" i="4"/>
  <c r="BH41" i="4"/>
  <c r="BG40" i="4"/>
  <c r="BN37" i="4"/>
  <c r="BM36" i="4"/>
  <c r="BN35" i="4"/>
  <c r="BL35" i="4"/>
  <c r="BM34" i="4"/>
  <c r="BK34" i="4"/>
  <c r="BL33" i="4"/>
  <c r="BJ33" i="4"/>
  <c r="BK32" i="4"/>
  <c r="BI32" i="4"/>
  <c r="BJ31" i="4"/>
  <c r="BH31" i="4"/>
  <c r="BI30" i="4"/>
  <c r="BG30" i="4"/>
  <c r="BH29" i="4"/>
  <c r="BG28" i="4"/>
  <c r="BN25" i="4"/>
  <c r="BM24" i="4"/>
  <c r="BN23" i="4"/>
  <c r="BL23" i="4"/>
  <c r="BM22" i="4"/>
  <c r="BK22" i="4"/>
  <c r="BL21" i="4"/>
  <c r="BJ21" i="4"/>
  <c r="BK20" i="4"/>
  <c r="BI20" i="4"/>
  <c r="BJ19" i="4"/>
  <c r="BH19" i="4"/>
  <c r="BI18" i="4"/>
  <c r="BG18" i="4"/>
  <c r="BH17" i="4"/>
  <c r="BG16" i="4"/>
  <c r="BN13" i="4"/>
  <c r="BM12" i="4"/>
  <c r="BN11" i="4"/>
  <c r="BL11" i="4"/>
  <c r="BM10" i="4"/>
  <c r="BK10" i="4"/>
  <c r="BL9" i="4"/>
  <c r="BJ9" i="4"/>
  <c r="BI8" i="4"/>
  <c r="BJ7" i="4"/>
  <c r="BH7" i="4"/>
  <c r="BI6" i="4"/>
  <c r="BG6" i="4"/>
  <c r="BC62" i="4"/>
  <c r="BC61" i="4"/>
  <c r="BC60" i="4"/>
  <c r="BC59" i="4"/>
  <c r="BC58" i="4"/>
  <c r="BC57" i="4"/>
  <c r="BC56" i="4"/>
  <c r="BC55" i="4"/>
  <c r="BC54" i="4"/>
  <c r="BC53" i="4"/>
  <c r="BC52" i="4"/>
  <c r="BC51" i="4"/>
  <c r="BC50" i="4"/>
  <c r="BC49" i="4"/>
  <c r="BC48" i="4"/>
  <c r="BC47" i="4"/>
  <c r="BC46" i="4"/>
  <c r="BC45" i="4"/>
  <c r="BC44" i="4"/>
  <c r="BC43" i="4"/>
  <c r="BC42" i="4"/>
  <c r="BC41" i="4"/>
  <c r="BC40" i="4"/>
  <c r="BC39" i="4"/>
  <c r="BC38" i="4"/>
  <c r="BC37" i="4"/>
  <c r="BC36" i="4"/>
  <c r="BC35" i="4"/>
  <c r="BC34" i="4"/>
  <c r="BC33" i="4"/>
  <c r="BC32" i="4"/>
  <c r="BC31" i="4"/>
  <c r="BC30" i="4"/>
  <c r="BC29" i="4"/>
  <c r="BC28" i="4"/>
  <c r="BC27" i="4"/>
  <c r="BC26" i="4"/>
  <c r="BC25" i="4"/>
  <c r="BC24" i="4"/>
  <c r="BC23" i="4"/>
  <c r="BC22" i="4"/>
  <c r="BC21" i="4"/>
  <c r="BC20" i="4"/>
  <c r="BC19" i="4"/>
  <c r="BC18" i="4"/>
  <c r="BC17" i="4"/>
  <c r="BC16" i="4"/>
  <c r="BC15" i="4"/>
  <c r="BC14" i="4"/>
  <c r="BC13" i="4"/>
  <c r="BC12" i="4"/>
  <c r="BC11" i="4"/>
  <c r="BC10" i="4"/>
  <c r="BC9" i="4"/>
  <c r="BC8" i="4"/>
  <c r="BC7" i="4"/>
  <c r="BC6" i="4"/>
  <c r="BA62" i="4"/>
  <c r="BN62" i="4"/>
  <c r="AZ62" i="4"/>
  <c r="BM62" i="4"/>
  <c r="AY62" i="4"/>
  <c r="BL62" i="4"/>
  <c r="AX62" i="4"/>
  <c r="BK62" i="4"/>
  <c r="AW62" i="4"/>
  <c r="BJ62" i="4"/>
  <c r="AV62" i="4"/>
  <c r="BI62" i="4"/>
  <c r="AU62" i="4"/>
  <c r="BH62" i="4"/>
  <c r="AT62" i="4"/>
  <c r="BG62" i="4"/>
  <c r="AS62" i="4"/>
  <c r="BF62" i="4"/>
  <c r="AR62" i="4"/>
  <c r="BE62" i="4"/>
  <c r="AQ62" i="4"/>
  <c r="BD62" i="4"/>
  <c r="AP62" i="4"/>
  <c r="BA61" i="4"/>
  <c r="AZ61" i="4"/>
  <c r="BM61" i="4"/>
  <c r="AY61" i="4"/>
  <c r="BL61" i="4"/>
  <c r="AX61" i="4"/>
  <c r="BK61" i="4"/>
  <c r="AW61" i="4"/>
  <c r="BJ61" i="4"/>
  <c r="AV61" i="4"/>
  <c r="BI61" i="4"/>
  <c r="AU61" i="4"/>
  <c r="BH61" i="4"/>
  <c r="AT61" i="4"/>
  <c r="BG61" i="4"/>
  <c r="AS61" i="4"/>
  <c r="BF61" i="4"/>
  <c r="AR61" i="4"/>
  <c r="BE61" i="4"/>
  <c r="AQ61" i="4"/>
  <c r="AP61" i="4"/>
  <c r="BD61" i="4"/>
  <c r="BA60" i="4"/>
  <c r="BN60" i="4"/>
  <c r="AZ60" i="4"/>
  <c r="AY60" i="4"/>
  <c r="BL60" i="4"/>
  <c r="AX60" i="4"/>
  <c r="BK60" i="4"/>
  <c r="AW60" i="4"/>
  <c r="BJ60" i="4"/>
  <c r="AV60" i="4"/>
  <c r="BI60" i="4"/>
  <c r="AU60" i="4"/>
  <c r="BH60" i="4"/>
  <c r="AT60" i="4"/>
  <c r="BG60" i="4"/>
  <c r="AS60" i="4"/>
  <c r="BF60" i="4"/>
  <c r="AR60" i="4"/>
  <c r="BE60" i="4"/>
  <c r="AQ60" i="4"/>
  <c r="BD60" i="4"/>
  <c r="AP60" i="4"/>
  <c r="BA59" i="4"/>
  <c r="AZ59" i="4"/>
  <c r="BM59" i="4"/>
  <c r="AY59" i="4"/>
  <c r="AX59" i="4"/>
  <c r="BK59" i="4"/>
  <c r="AW59" i="4"/>
  <c r="BJ59" i="4"/>
  <c r="AV59" i="4"/>
  <c r="BI59" i="4"/>
  <c r="AU59" i="4"/>
  <c r="BH59" i="4"/>
  <c r="AT59" i="4"/>
  <c r="BG59" i="4"/>
  <c r="AS59" i="4"/>
  <c r="BF59" i="4"/>
  <c r="AR59" i="4"/>
  <c r="BE59" i="4"/>
  <c r="AQ59" i="4"/>
  <c r="BD59" i="4"/>
  <c r="AP59" i="4"/>
  <c r="BA58" i="4"/>
  <c r="BN58" i="4"/>
  <c r="AZ58" i="4"/>
  <c r="AY58" i="4"/>
  <c r="BL58" i="4"/>
  <c r="AX58" i="4"/>
  <c r="AW58" i="4"/>
  <c r="BJ58" i="4"/>
  <c r="AV58" i="4"/>
  <c r="BI58" i="4"/>
  <c r="AU58" i="4"/>
  <c r="BH58" i="4"/>
  <c r="AT58" i="4"/>
  <c r="BG58" i="4"/>
  <c r="AS58" i="4"/>
  <c r="BF58" i="4"/>
  <c r="AR58" i="4"/>
  <c r="BE58" i="4"/>
  <c r="AQ58" i="4"/>
  <c r="BD58" i="4"/>
  <c r="AP58" i="4"/>
  <c r="BA57" i="4"/>
  <c r="BN57" i="4"/>
  <c r="AZ57" i="4"/>
  <c r="BM57" i="4"/>
  <c r="AY57" i="4"/>
  <c r="AX57" i="4"/>
  <c r="BK57" i="4"/>
  <c r="AW57" i="4"/>
  <c r="AV57" i="4"/>
  <c r="BI57" i="4"/>
  <c r="AU57" i="4"/>
  <c r="BH57" i="4"/>
  <c r="AT57" i="4"/>
  <c r="BG57" i="4"/>
  <c r="AS57" i="4"/>
  <c r="BF57" i="4"/>
  <c r="AR57" i="4"/>
  <c r="BE57" i="4"/>
  <c r="AQ57" i="4"/>
  <c r="BD57" i="4"/>
  <c r="AP57" i="4"/>
  <c r="BA56" i="4"/>
  <c r="BN56" i="4"/>
  <c r="AZ56" i="4"/>
  <c r="BM56" i="4"/>
  <c r="AY56" i="4"/>
  <c r="BL56" i="4"/>
  <c r="AX56" i="4"/>
  <c r="AW56" i="4"/>
  <c r="BJ56" i="4"/>
  <c r="AV56" i="4"/>
  <c r="AU56" i="4"/>
  <c r="BH56" i="4"/>
  <c r="AT56" i="4"/>
  <c r="BG56" i="4"/>
  <c r="AS56" i="4"/>
  <c r="BF56" i="4"/>
  <c r="AR56" i="4"/>
  <c r="BE56" i="4"/>
  <c r="AQ56" i="4"/>
  <c r="BD56" i="4"/>
  <c r="AP56" i="4"/>
  <c r="BA55" i="4"/>
  <c r="BN55" i="4"/>
  <c r="AZ55" i="4"/>
  <c r="BM55" i="4"/>
  <c r="AY55" i="4"/>
  <c r="BL55" i="4"/>
  <c r="AX55" i="4"/>
  <c r="BK55" i="4"/>
  <c r="AW55" i="4"/>
  <c r="AV55" i="4"/>
  <c r="BI55" i="4"/>
  <c r="AU55" i="4"/>
  <c r="AT55" i="4"/>
  <c r="BG55" i="4"/>
  <c r="AS55" i="4"/>
  <c r="BF55" i="4"/>
  <c r="AR55" i="4"/>
  <c r="BE55" i="4"/>
  <c r="AQ55" i="4"/>
  <c r="BD55" i="4"/>
  <c r="AP55" i="4"/>
  <c r="BA54" i="4"/>
  <c r="BN54" i="4"/>
  <c r="AZ54" i="4"/>
  <c r="BM54" i="4"/>
  <c r="AY54" i="4"/>
  <c r="BL54" i="4"/>
  <c r="AX54" i="4"/>
  <c r="BK54" i="4"/>
  <c r="AW54" i="4"/>
  <c r="BJ54" i="4"/>
  <c r="AV54" i="4"/>
  <c r="AU54" i="4"/>
  <c r="BH54" i="4"/>
  <c r="AT54" i="4"/>
  <c r="AS54" i="4"/>
  <c r="BF54" i="4"/>
  <c r="AR54" i="4"/>
  <c r="BE54" i="4"/>
  <c r="AQ54" i="4"/>
  <c r="BD54" i="4"/>
  <c r="AP54" i="4"/>
  <c r="BA53" i="4"/>
  <c r="BN53" i="4"/>
  <c r="AZ53" i="4"/>
  <c r="BM53" i="4"/>
  <c r="AY53" i="4"/>
  <c r="BL53" i="4"/>
  <c r="AX53" i="4"/>
  <c r="BK53" i="4"/>
  <c r="AW53" i="4"/>
  <c r="BJ53" i="4"/>
  <c r="AV53" i="4"/>
  <c r="BI53" i="4"/>
  <c r="AU53" i="4"/>
  <c r="AT53" i="4"/>
  <c r="BG53" i="4"/>
  <c r="AS53" i="4"/>
  <c r="AR53" i="4"/>
  <c r="BE53" i="4"/>
  <c r="AQ53" i="4"/>
  <c r="BD53" i="4"/>
  <c r="AP53" i="4"/>
  <c r="BA52" i="4"/>
  <c r="BN52" i="4"/>
  <c r="AZ52" i="4"/>
  <c r="BM52" i="4"/>
  <c r="AY52" i="4"/>
  <c r="BL52" i="4"/>
  <c r="AX52" i="4"/>
  <c r="BK52" i="4"/>
  <c r="AW52" i="4"/>
  <c r="BJ52" i="4"/>
  <c r="AV52" i="4"/>
  <c r="BI52" i="4"/>
  <c r="AU52" i="4"/>
  <c r="BH52" i="4"/>
  <c r="AT52" i="4"/>
  <c r="AS52" i="4"/>
  <c r="BF52" i="4"/>
  <c r="AR52" i="4"/>
  <c r="BE52" i="4"/>
  <c r="AQ52" i="4"/>
  <c r="BD52" i="4"/>
  <c r="AP52" i="4"/>
  <c r="BA51" i="4"/>
  <c r="BN51" i="4"/>
  <c r="AZ51" i="4"/>
  <c r="BM51" i="4"/>
  <c r="AY51" i="4"/>
  <c r="BL51" i="4"/>
  <c r="AX51" i="4"/>
  <c r="BK51" i="4"/>
  <c r="AW51" i="4"/>
  <c r="BJ51" i="4"/>
  <c r="AV51" i="4"/>
  <c r="BI51" i="4"/>
  <c r="AU51" i="4"/>
  <c r="BH51" i="4"/>
  <c r="AT51" i="4"/>
  <c r="BG51" i="4"/>
  <c r="AS51" i="4"/>
  <c r="AR51" i="4"/>
  <c r="BF51" i="4"/>
  <c r="AQ51" i="4"/>
  <c r="AP51" i="4"/>
  <c r="BD51" i="4"/>
  <c r="BA50" i="4"/>
  <c r="BN50" i="4"/>
  <c r="AZ50" i="4"/>
  <c r="BM50" i="4"/>
  <c r="AY50" i="4"/>
  <c r="BL50" i="4"/>
  <c r="AX50" i="4"/>
  <c r="BK50" i="4"/>
  <c r="AW50" i="4"/>
  <c r="BJ50" i="4"/>
  <c r="AV50" i="4"/>
  <c r="BI50" i="4"/>
  <c r="AU50" i="4"/>
  <c r="BH50" i="4"/>
  <c r="AT50" i="4"/>
  <c r="BG50" i="4"/>
  <c r="AS50" i="4"/>
  <c r="BF50" i="4"/>
  <c r="AR50" i="4"/>
  <c r="BE50" i="4"/>
  <c r="AQ50" i="4"/>
  <c r="BD50" i="4"/>
  <c r="AP50" i="4"/>
  <c r="BA49" i="4"/>
  <c r="AZ49" i="4"/>
  <c r="BM49" i="4"/>
  <c r="AY49" i="4"/>
  <c r="BL49" i="4"/>
  <c r="AX49" i="4"/>
  <c r="BK49" i="4"/>
  <c r="AW49" i="4"/>
  <c r="BJ49" i="4"/>
  <c r="AV49" i="4"/>
  <c r="BI49" i="4"/>
  <c r="AU49" i="4"/>
  <c r="BH49" i="4"/>
  <c r="AT49" i="4"/>
  <c r="BG49" i="4"/>
  <c r="AS49" i="4"/>
  <c r="BF49" i="4"/>
  <c r="AR49" i="4"/>
  <c r="BE49" i="4"/>
  <c r="AQ49" i="4"/>
  <c r="AP49" i="4"/>
  <c r="BD49" i="4"/>
  <c r="BA48" i="4"/>
  <c r="BN48" i="4"/>
  <c r="AZ48" i="4"/>
  <c r="AY48" i="4"/>
  <c r="BL48" i="4"/>
  <c r="AX48" i="4"/>
  <c r="BK48" i="4"/>
  <c r="AW48" i="4"/>
  <c r="BJ48" i="4"/>
  <c r="AV48" i="4"/>
  <c r="BI48" i="4"/>
  <c r="AU48" i="4"/>
  <c r="BH48" i="4"/>
  <c r="AT48" i="4"/>
  <c r="BG48" i="4"/>
  <c r="AS48" i="4"/>
  <c r="BF48" i="4"/>
  <c r="AR48" i="4"/>
  <c r="BE48" i="4"/>
  <c r="AQ48" i="4"/>
  <c r="BD48" i="4"/>
  <c r="AP48" i="4"/>
  <c r="BA47" i="4"/>
  <c r="AZ47" i="4"/>
  <c r="BM47" i="4"/>
  <c r="AY47" i="4"/>
  <c r="AX47" i="4"/>
  <c r="BK47" i="4"/>
  <c r="AW47" i="4"/>
  <c r="BJ47" i="4"/>
  <c r="AV47" i="4"/>
  <c r="BI47" i="4"/>
  <c r="AU47" i="4"/>
  <c r="BH47" i="4"/>
  <c r="AT47" i="4"/>
  <c r="BG47" i="4"/>
  <c r="AS47" i="4"/>
  <c r="BF47" i="4"/>
  <c r="AR47" i="4"/>
  <c r="BE47" i="4"/>
  <c r="AQ47" i="4"/>
  <c r="BD47" i="4"/>
  <c r="AP47" i="4"/>
  <c r="BA46" i="4"/>
  <c r="BN46" i="4"/>
  <c r="AZ46" i="4"/>
  <c r="AY46" i="4"/>
  <c r="BL46" i="4"/>
  <c r="AX46" i="4"/>
  <c r="AW46" i="4"/>
  <c r="BJ46" i="4"/>
  <c r="AV46" i="4"/>
  <c r="BI46" i="4"/>
  <c r="AU46" i="4"/>
  <c r="BH46" i="4"/>
  <c r="AT46" i="4"/>
  <c r="BG46" i="4"/>
  <c r="AS46" i="4"/>
  <c r="BF46" i="4"/>
  <c r="AR46" i="4"/>
  <c r="BE46" i="4"/>
  <c r="AQ46" i="4"/>
  <c r="BD46" i="4"/>
  <c r="AP46" i="4"/>
  <c r="BA45" i="4"/>
  <c r="BN45" i="4"/>
  <c r="AZ45" i="4"/>
  <c r="BM45" i="4"/>
  <c r="AY45" i="4"/>
  <c r="AX45" i="4"/>
  <c r="BK45" i="4"/>
  <c r="AW45" i="4"/>
  <c r="AV45" i="4"/>
  <c r="BI45" i="4"/>
  <c r="AU45" i="4"/>
  <c r="BH45" i="4"/>
  <c r="AT45" i="4"/>
  <c r="BG45" i="4"/>
  <c r="AS45" i="4"/>
  <c r="BF45" i="4"/>
  <c r="AR45" i="4"/>
  <c r="BE45" i="4"/>
  <c r="AQ45" i="4"/>
  <c r="BD45" i="4"/>
  <c r="AP45" i="4"/>
  <c r="BA44" i="4"/>
  <c r="BN44" i="4"/>
  <c r="AZ44" i="4"/>
  <c r="BM44" i="4"/>
  <c r="AY44" i="4"/>
  <c r="BL44" i="4"/>
  <c r="AX44" i="4"/>
  <c r="AW44" i="4"/>
  <c r="BJ44" i="4"/>
  <c r="AV44" i="4"/>
  <c r="AU44" i="4"/>
  <c r="BH44" i="4"/>
  <c r="AT44" i="4"/>
  <c r="BG44" i="4"/>
  <c r="AS44" i="4"/>
  <c r="BF44" i="4"/>
  <c r="AR44" i="4"/>
  <c r="BE44" i="4"/>
  <c r="AQ44" i="4"/>
  <c r="BD44" i="4"/>
  <c r="AP44" i="4"/>
  <c r="BA43" i="4"/>
  <c r="BN43" i="4"/>
  <c r="AZ43" i="4"/>
  <c r="BM43" i="4"/>
  <c r="AY43" i="4"/>
  <c r="BL43" i="4"/>
  <c r="AX43" i="4"/>
  <c r="BK43" i="4"/>
  <c r="AW43" i="4"/>
  <c r="AV43" i="4"/>
  <c r="BI43" i="4"/>
  <c r="AU43" i="4"/>
  <c r="AT43" i="4"/>
  <c r="BG43" i="4"/>
  <c r="AS43" i="4"/>
  <c r="BF43" i="4"/>
  <c r="AR43" i="4"/>
  <c r="BE43" i="4"/>
  <c r="AQ43" i="4"/>
  <c r="BD43" i="4"/>
  <c r="AP43" i="4"/>
  <c r="BA42" i="4"/>
  <c r="BN42" i="4"/>
  <c r="AZ42" i="4"/>
  <c r="BM42" i="4"/>
  <c r="AY42" i="4"/>
  <c r="BL42" i="4"/>
  <c r="AX42" i="4"/>
  <c r="BK42" i="4"/>
  <c r="AW42" i="4"/>
  <c r="BJ42" i="4"/>
  <c r="AV42" i="4"/>
  <c r="AU42" i="4"/>
  <c r="BH42" i="4"/>
  <c r="AT42" i="4"/>
  <c r="AS42" i="4"/>
  <c r="BF42" i="4"/>
  <c r="AR42" i="4"/>
  <c r="BE42" i="4"/>
  <c r="AQ42" i="4"/>
  <c r="BD42" i="4"/>
  <c r="AP42" i="4"/>
  <c r="BA41" i="4"/>
  <c r="BN41" i="4"/>
  <c r="AZ41" i="4"/>
  <c r="BM41" i="4"/>
  <c r="AY41" i="4"/>
  <c r="BL41" i="4"/>
  <c r="AX41" i="4"/>
  <c r="BK41" i="4"/>
  <c r="AW41" i="4"/>
  <c r="BJ41" i="4"/>
  <c r="AV41" i="4"/>
  <c r="BI41" i="4"/>
  <c r="AU41" i="4"/>
  <c r="AT41" i="4"/>
  <c r="BG41" i="4"/>
  <c r="AS41" i="4"/>
  <c r="AR41" i="4"/>
  <c r="BE41" i="4"/>
  <c r="AQ41" i="4"/>
  <c r="BD41" i="4"/>
  <c r="AP41" i="4"/>
  <c r="BA40" i="4"/>
  <c r="BN40" i="4"/>
  <c r="AZ40" i="4"/>
  <c r="BM40" i="4"/>
  <c r="AY40" i="4"/>
  <c r="BL40" i="4"/>
  <c r="AX40" i="4"/>
  <c r="BK40" i="4"/>
  <c r="AW40" i="4"/>
  <c r="BJ40" i="4"/>
  <c r="AV40" i="4"/>
  <c r="BI40" i="4"/>
  <c r="AU40" i="4"/>
  <c r="BH40" i="4"/>
  <c r="AT40" i="4"/>
  <c r="AS40" i="4"/>
  <c r="BF40" i="4"/>
  <c r="AR40" i="4"/>
  <c r="BE40" i="4"/>
  <c r="AQ40" i="4"/>
  <c r="BD40" i="4"/>
  <c r="AP40" i="4"/>
  <c r="BA39" i="4"/>
  <c r="BN39" i="4"/>
  <c r="AZ39" i="4"/>
  <c r="BM39" i="4"/>
  <c r="AY39" i="4"/>
  <c r="BL39" i="4"/>
  <c r="AX39" i="4"/>
  <c r="BK39" i="4"/>
  <c r="AW39" i="4"/>
  <c r="BJ39" i="4"/>
  <c r="AV39" i="4"/>
  <c r="BI39" i="4"/>
  <c r="AU39" i="4"/>
  <c r="BH39" i="4"/>
  <c r="AT39" i="4"/>
  <c r="BG39" i="4"/>
  <c r="AS39" i="4"/>
  <c r="AR39" i="4"/>
  <c r="BF39" i="4"/>
  <c r="AQ39" i="4"/>
  <c r="AP39" i="4"/>
  <c r="BD39" i="4"/>
  <c r="BA38" i="4"/>
  <c r="BN38" i="4"/>
  <c r="AZ38" i="4"/>
  <c r="BM38" i="4"/>
  <c r="AY38" i="4"/>
  <c r="BL38" i="4"/>
  <c r="AX38" i="4"/>
  <c r="BK38" i="4"/>
  <c r="AW38" i="4"/>
  <c r="BJ38" i="4"/>
  <c r="AV38" i="4"/>
  <c r="BI38" i="4"/>
  <c r="AU38" i="4"/>
  <c r="BH38" i="4"/>
  <c r="AT38" i="4"/>
  <c r="BG38" i="4"/>
  <c r="AS38" i="4"/>
  <c r="BF38" i="4"/>
  <c r="AR38" i="4"/>
  <c r="BE38" i="4"/>
  <c r="AQ38" i="4"/>
  <c r="BD38" i="4"/>
  <c r="AP38" i="4"/>
  <c r="BA37" i="4"/>
  <c r="AZ37" i="4"/>
  <c r="BM37" i="4"/>
  <c r="AY37" i="4"/>
  <c r="BL37" i="4"/>
  <c r="AX37" i="4"/>
  <c r="BK37" i="4"/>
  <c r="AW37" i="4"/>
  <c r="BJ37" i="4"/>
  <c r="AV37" i="4"/>
  <c r="BI37" i="4"/>
  <c r="AU37" i="4"/>
  <c r="BH37" i="4"/>
  <c r="AT37" i="4"/>
  <c r="BG37" i="4"/>
  <c r="AS37" i="4"/>
  <c r="BF37" i="4"/>
  <c r="AR37" i="4"/>
  <c r="BE37" i="4"/>
  <c r="AQ37" i="4"/>
  <c r="AP37" i="4"/>
  <c r="BD37" i="4"/>
  <c r="BA36" i="4"/>
  <c r="BN36" i="4"/>
  <c r="AZ36" i="4"/>
  <c r="AY36" i="4"/>
  <c r="BL36" i="4"/>
  <c r="AX36" i="4"/>
  <c r="BK36" i="4"/>
  <c r="AW36" i="4"/>
  <c r="BJ36" i="4"/>
  <c r="AV36" i="4"/>
  <c r="BI36" i="4"/>
  <c r="AU36" i="4"/>
  <c r="BH36" i="4"/>
  <c r="AT36" i="4"/>
  <c r="BG36" i="4"/>
  <c r="AS36" i="4"/>
  <c r="BF36" i="4"/>
  <c r="AR36" i="4"/>
  <c r="BE36" i="4"/>
  <c r="AQ36" i="4"/>
  <c r="BD36" i="4"/>
  <c r="AP36" i="4"/>
  <c r="BA35" i="4"/>
  <c r="AZ35" i="4"/>
  <c r="BM35" i="4"/>
  <c r="AY35" i="4"/>
  <c r="AX35" i="4"/>
  <c r="BK35" i="4"/>
  <c r="AW35" i="4"/>
  <c r="BJ35" i="4"/>
  <c r="AV35" i="4"/>
  <c r="BI35" i="4"/>
  <c r="AU35" i="4"/>
  <c r="BH35" i="4"/>
  <c r="AT35" i="4"/>
  <c r="BG35" i="4"/>
  <c r="AS35" i="4"/>
  <c r="BF35" i="4"/>
  <c r="AR35" i="4"/>
  <c r="BE35" i="4"/>
  <c r="AQ35" i="4"/>
  <c r="BD35" i="4"/>
  <c r="AP35" i="4"/>
  <c r="BA34" i="4"/>
  <c r="BN34" i="4"/>
  <c r="AZ34" i="4"/>
  <c r="AY34" i="4"/>
  <c r="BL34" i="4"/>
  <c r="AX34" i="4"/>
  <c r="AW34" i="4"/>
  <c r="BJ34" i="4"/>
  <c r="AV34" i="4"/>
  <c r="BI34" i="4"/>
  <c r="AU34" i="4"/>
  <c r="BH34" i="4"/>
  <c r="AT34" i="4"/>
  <c r="BG34" i="4"/>
  <c r="AS34" i="4"/>
  <c r="BF34" i="4"/>
  <c r="AR34" i="4"/>
  <c r="BE34" i="4"/>
  <c r="AQ34" i="4"/>
  <c r="BD34" i="4"/>
  <c r="AP34" i="4"/>
  <c r="BA33" i="4"/>
  <c r="BN33" i="4"/>
  <c r="AZ33" i="4"/>
  <c r="BM33" i="4"/>
  <c r="AY33" i="4"/>
  <c r="AX33" i="4"/>
  <c r="BK33" i="4"/>
  <c r="AW33" i="4"/>
  <c r="AV33" i="4"/>
  <c r="BI33" i="4"/>
  <c r="AU33" i="4"/>
  <c r="BH33" i="4"/>
  <c r="AT33" i="4"/>
  <c r="BG33" i="4"/>
  <c r="AS33" i="4"/>
  <c r="BF33" i="4"/>
  <c r="AR33" i="4"/>
  <c r="BE33" i="4"/>
  <c r="AQ33" i="4"/>
  <c r="BD33" i="4"/>
  <c r="AP33" i="4"/>
  <c r="BA32" i="4"/>
  <c r="BN32" i="4"/>
  <c r="AZ32" i="4"/>
  <c r="BM32" i="4"/>
  <c r="AY32" i="4"/>
  <c r="BL32" i="4"/>
  <c r="AX32" i="4"/>
  <c r="AW32" i="4"/>
  <c r="BJ32" i="4"/>
  <c r="AV32" i="4"/>
  <c r="AU32" i="4"/>
  <c r="BH32" i="4"/>
  <c r="AT32" i="4"/>
  <c r="BG32" i="4"/>
  <c r="AS32" i="4"/>
  <c r="BF32" i="4"/>
  <c r="AR32" i="4"/>
  <c r="BE32" i="4"/>
  <c r="AQ32" i="4"/>
  <c r="BD32" i="4"/>
  <c r="AP32" i="4"/>
  <c r="BA31" i="4"/>
  <c r="BN31" i="4"/>
  <c r="AZ31" i="4"/>
  <c r="BM31" i="4"/>
  <c r="AY31" i="4"/>
  <c r="BL31" i="4"/>
  <c r="AX31" i="4"/>
  <c r="BK31" i="4"/>
  <c r="AW31" i="4"/>
  <c r="AV31" i="4"/>
  <c r="BI31" i="4"/>
  <c r="AU31" i="4"/>
  <c r="AT31" i="4"/>
  <c r="BG31" i="4"/>
  <c r="AS31" i="4"/>
  <c r="BF31" i="4"/>
  <c r="AR31" i="4"/>
  <c r="BE31" i="4"/>
  <c r="AQ31" i="4"/>
  <c r="BD31" i="4"/>
  <c r="AP31" i="4"/>
  <c r="BA30" i="4"/>
  <c r="BN30" i="4"/>
  <c r="AZ30" i="4"/>
  <c r="BM30" i="4"/>
  <c r="AY30" i="4"/>
  <c r="BL30" i="4"/>
  <c r="AX30" i="4"/>
  <c r="BK30" i="4"/>
  <c r="AW30" i="4"/>
  <c r="BJ30" i="4"/>
  <c r="AV30" i="4"/>
  <c r="AU30" i="4"/>
  <c r="BH30" i="4"/>
  <c r="AT30" i="4"/>
  <c r="AS30" i="4"/>
  <c r="BF30" i="4"/>
  <c r="AR30" i="4"/>
  <c r="BE30" i="4"/>
  <c r="AQ30" i="4"/>
  <c r="BD30" i="4"/>
  <c r="AP30" i="4"/>
  <c r="BA29" i="4"/>
  <c r="BN29" i="4"/>
  <c r="AZ29" i="4"/>
  <c r="BM29" i="4"/>
  <c r="AY29" i="4"/>
  <c r="BL29" i="4"/>
  <c r="AX29" i="4"/>
  <c r="BK29" i="4"/>
  <c r="AW29" i="4"/>
  <c r="BJ29" i="4"/>
  <c r="AV29" i="4"/>
  <c r="BI29" i="4"/>
  <c r="AU29" i="4"/>
  <c r="AT29" i="4"/>
  <c r="BG29" i="4"/>
  <c r="AS29" i="4"/>
  <c r="AR29" i="4"/>
  <c r="BE29" i="4"/>
  <c r="AQ29" i="4"/>
  <c r="BD29" i="4"/>
  <c r="AP29" i="4"/>
  <c r="BA28" i="4"/>
  <c r="BN28" i="4"/>
  <c r="AZ28" i="4"/>
  <c r="BM28" i="4"/>
  <c r="AY28" i="4"/>
  <c r="BL28" i="4"/>
  <c r="AX28" i="4"/>
  <c r="BK28" i="4"/>
  <c r="AW28" i="4"/>
  <c r="BJ28" i="4"/>
  <c r="AV28" i="4"/>
  <c r="BI28" i="4"/>
  <c r="AU28" i="4"/>
  <c r="BH28" i="4"/>
  <c r="AT28" i="4"/>
  <c r="AS28" i="4"/>
  <c r="BF28" i="4"/>
  <c r="AR28" i="4"/>
  <c r="BE28" i="4"/>
  <c r="AQ28" i="4"/>
  <c r="BD28" i="4"/>
  <c r="AP28" i="4"/>
  <c r="BA27" i="4"/>
  <c r="BN27" i="4"/>
  <c r="AZ27" i="4"/>
  <c r="BM27" i="4"/>
  <c r="AY27" i="4"/>
  <c r="BL27" i="4"/>
  <c r="AX27" i="4"/>
  <c r="BK27" i="4"/>
  <c r="AW27" i="4"/>
  <c r="BJ27" i="4"/>
  <c r="AV27" i="4"/>
  <c r="BI27" i="4"/>
  <c r="AU27" i="4"/>
  <c r="BH27" i="4"/>
  <c r="AT27" i="4"/>
  <c r="BG27" i="4"/>
  <c r="AS27" i="4"/>
  <c r="AR27" i="4"/>
  <c r="BF27" i="4"/>
  <c r="AQ27" i="4"/>
  <c r="AP27" i="4"/>
  <c r="BD27" i="4"/>
  <c r="BA26" i="4"/>
  <c r="BN26" i="4"/>
  <c r="AZ26" i="4"/>
  <c r="BM26" i="4"/>
  <c r="AY26" i="4"/>
  <c r="BL26" i="4"/>
  <c r="AX26" i="4"/>
  <c r="BK26" i="4"/>
  <c r="AW26" i="4"/>
  <c r="BJ26" i="4"/>
  <c r="AV26" i="4"/>
  <c r="BI26" i="4"/>
  <c r="AU26" i="4"/>
  <c r="BH26" i="4"/>
  <c r="AT26" i="4"/>
  <c r="BG26" i="4"/>
  <c r="AS26" i="4"/>
  <c r="BF26" i="4"/>
  <c r="AR26" i="4"/>
  <c r="BE26" i="4"/>
  <c r="AQ26" i="4"/>
  <c r="BD26" i="4"/>
  <c r="AP26" i="4"/>
  <c r="BA25" i="4"/>
  <c r="AZ25" i="4"/>
  <c r="BM25" i="4"/>
  <c r="AY25" i="4"/>
  <c r="BL25" i="4"/>
  <c r="AX25" i="4"/>
  <c r="BK25" i="4"/>
  <c r="AW25" i="4"/>
  <c r="BJ25" i="4"/>
  <c r="AV25" i="4"/>
  <c r="BI25" i="4"/>
  <c r="AU25" i="4"/>
  <c r="BH25" i="4"/>
  <c r="AT25" i="4"/>
  <c r="BG25" i="4"/>
  <c r="AS25" i="4"/>
  <c r="BF25" i="4"/>
  <c r="AR25" i="4"/>
  <c r="BE25" i="4"/>
  <c r="AQ25" i="4"/>
  <c r="AP25" i="4"/>
  <c r="BD25" i="4"/>
  <c r="BA24" i="4"/>
  <c r="BN24" i="4"/>
  <c r="AZ24" i="4"/>
  <c r="AY24" i="4"/>
  <c r="BL24" i="4"/>
  <c r="AX24" i="4"/>
  <c r="BK24" i="4"/>
  <c r="AW24" i="4"/>
  <c r="BJ24" i="4"/>
  <c r="AV24" i="4"/>
  <c r="BI24" i="4"/>
  <c r="AU24" i="4"/>
  <c r="BH24" i="4"/>
  <c r="AT24" i="4"/>
  <c r="BG24" i="4"/>
  <c r="AS24" i="4"/>
  <c r="BF24" i="4"/>
  <c r="AR24" i="4"/>
  <c r="BE24" i="4"/>
  <c r="AQ24" i="4"/>
  <c r="BD24" i="4"/>
  <c r="AP24" i="4"/>
  <c r="BA23" i="4"/>
  <c r="AZ23" i="4"/>
  <c r="BM23" i="4"/>
  <c r="AY23" i="4"/>
  <c r="AX23" i="4"/>
  <c r="BK23" i="4"/>
  <c r="AW23" i="4"/>
  <c r="BJ23" i="4"/>
  <c r="AV23" i="4"/>
  <c r="BI23" i="4"/>
  <c r="AU23" i="4"/>
  <c r="BH23" i="4"/>
  <c r="AT23" i="4"/>
  <c r="BG23" i="4"/>
  <c r="AS23" i="4"/>
  <c r="BF23" i="4"/>
  <c r="AR23" i="4"/>
  <c r="BE23" i="4"/>
  <c r="AQ23" i="4"/>
  <c r="BD23" i="4"/>
  <c r="AP23" i="4"/>
  <c r="BA22" i="4"/>
  <c r="BN22" i="4"/>
  <c r="AZ22" i="4"/>
  <c r="AY22" i="4"/>
  <c r="BL22" i="4"/>
  <c r="AX22" i="4"/>
  <c r="AW22" i="4"/>
  <c r="BJ22" i="4"/>
  <c r="AV22" i="4"/>
  <c r="BI22" i="4"/>
  <c r="AU22" i="4"/>
  <c r="BH22" i="4"/>
  <c r="AT22" i="4"/>
  <c r="BG22" i="4"/>
  <c r="AS22" i="4"/>
  <c r="BF22" i="4"/>
  <c r="AR22" i="4"/>
  <c r="BE22" i="4"/>
  <c r="AQ22" i="4"/>
  <c r="BD22" i="4"/>
  <c r="AP22" i="4"/>
  <c r="BA21" i="4"/>
  <c r="BN21" i="4"/>
  <c r="AZ21" i="4"/>
  <c r="BM21" i="4"/>
  <c r="AY21" i="4"/>
  <c r="AX21" i="4"/>
  <c r="BK21" i="4"/>
  <c r="AW21" i="4"/>
  <c r="AV21" i="4"/>
  <c r="BI21" i="4"/>
  <c r="AU21" i="4"/>
  <c r="BH21" i="4"/>
  <c r="AT21" i="4"/>
  <c r="BG21" i="4"/>
  <c r="AS21" i="4"/>
  <c r="BF21" i="4"/>
  <c r="AR21" i="4"/>
  <c r="BE21" i="4"/>
  <c r="AQ21" i="4"/>
  <c r="BD21" i="4"/>
  <c r="AP21" i="4"/>
  <c r="BA20" i="4"/>
  <c r="BN20" i="4"/>
  <c r="AZ20" i="4"/>
  <c r="BM20" i="4"/>
  <c r="AY20" i="4"/>
  <c r="BL20" i="4"/>
  <c r="AX20" i="4"/>
  <c r="AW20" i="4"/>
  <c r="BJ20" i="4"/>
  <c r="AV20" i="4"/>
  <c r="AU20" i="4"/>
  <c r="BH20" i="4"/>
  <c r="AT20" i="4"/>
  <c r="BG20" i="4"/>
  <c r="AS20" i="4"/>
  <c r="BF20" i="4"/>
  <c r="AR20" i="4"/>
  <c r="BE20" i="4"/>
  <c r="AQ20" i="4"/>
  <c r="BD20" i="4"/>
  <c r="AP20" i="4"/>
  <c r="BA19" i="4"/>
  <c r="BN19" i="4"/>
  <c r="AZ19" i="4"/>
  <c r="BM19" i="4"/>
  <c r="AY19" i="4"/>
  <c r="BL19" i="4"/>
  <c r="AX19" i="4"/>
  <c r="BK19" i="4"/>
  <c r="AW19" i="4"/>
  <c r="AV19" i="4"/>
  <c r="BI19" i="4"/>
  <c r="AU19" i="4"/>
  <c r="AT19" i="4"/>
  <c r="BG19" i="4"/>
  <c r="AS19" i="4"/>
  <c r="BF19" i="4"/>
  <c r="AR19" i="4"/>
  <c r="BE19" i="4"/>
  <c r="AQ19" i="4"/>
  <c r="BD19" i="4"/>
  <c r="AP19" i="4"/>
  <c r="BA18" i="4"/>
  <c r="BN18" i="4"/>
  <c r="AZ18" i="4"/>
  <c r="BM18" i="4"/>
  <c r="AY18" i="4"/>
  <c r="BL18" i="4"/>
  <c r="AX18" i="4"/>
  <c r="BK18" i="4"/>
  <c r="AW18" i="4"/>
  <c r="BJ18" i="4"/>
  <c r="AV18" i="4"/>
  <c r="AU18" i="4"/>
  <c r="BH18" i="4"/>
  <c r="AT18" i="4"/>
  <c r="AS18" i="4"/>
  <c r="BF18" i="4"/>
  <c r="AR18" i="4"/>
  <c r="BE18" i="4"/>
  <c r="AQ18" i="4"/>
  <c r="BD18" i="4"/>
  <c r="AP18" i="4"/>
  <c r="BA17" i="4"/>
  <c r="BN17" i="4"/>
  <c r="AZ17" i="4"/>
  <c r="BM17" i="4"/>
  <c r="AY17" i="4"/>
  <c r="BL17" i="4"/>
  <c r="AX17" i="4"/>
  <c r="BK17" i="4"/>
  <c r="AW17" i="4"/>
  <c r="BJ17" i="4"/>
  <c r="AV17" i="4"/>
  <c r="BI17" i="4"/>
  <c r="AU17" i="4"/>
  <c r="AT17" i="4"/>
  <c r="BG17" i="4"/>
  <c r="AS17" i="4"/>
  <c r="AR17" i="4"/>
  <c r="BE17" i="4"/>
  <c r="AQ17" i="4"/>
  <c r="BD17" i="4"/>
  <c r="AP17" i="4"/>
  <c r="BA16" i="4"/>
  <c r="BN16" i="4"/>
  <c r="AZ16" i="4"/>
  <c r="BM16" i="4"/>
  <c r="AY16" i="4"/>
  <c r="BL16" i="4"/>
  <c r="AX16" i="4"/>
  <c r="BK16" i="4"/>
  <c r="AW16" i="4"/>
  <c r="BJ16" i="4"/>
  <c r="AV16" i="4"/>
  <c r="BI16" i="4"/>
  <c r="AU16" i="4"/>
  <c r="BH16" i="4"/>
  <c r="AT16" i="4"/>
  <c r="AS16" i="4"/>
  <c r="BF16" i="4"/>
  <c r="AR16" i="4"/>
  <c r="BE16" i="4"/>
  <c r="AQ16" i="4"/>
  <c r="BD16" i="4"/>
  <c r="AP16" i="4"/>
  <c r="BA15" i="4"/>
  <c r="BN15" i="4"/>
  <c r="AZ15" i="4"/>
  <c r="BM15" i="4"/>
  <c r="AY15" i="4"/>
  <c r="BL15" i="4"/>
  <c r="AX15" i="4"/>
  <c r="BK15" i="4"/>
  <c r="AW15" i="4"/>
  <c r="BJ15" i="4"/>
  <c r="AV15" i="4"/>
  <c r="BI15" i="4"/>
  <c r="AU15" i="4"/>
  <c r="BH15" i="4"/>
  <c r="AT15" i="4"/>
  <c r="BG15" i="4"/>
  <c r="AS15" i="4"/>
  <c r="AR15" i="4"/>
  <c r="BF15" i="4"/>
  <c r="AQ15" i="4"/>
  <c r="AP15" i="4"/>
  <c r="BD15" i="4"/>
  <c r="BA14" i="4"/>
  <c r="BN14" i="4"/>
  <c r="AZ14" i="4"/>
  <c r="BM14" i="4"/>
  <c r="AY14" i="4"/>
  <c r="BL14" i="4"/>
  <c r="AX14" i="4"/>
  <c r="BK14" i="4"/>
  <c r="AW14" i="4"/>
  <c r="BJ14" i="4"/>
  <c r="AV14" i="4"/>
  <c r="BI14" i="4"/>
  <c r="AU14" i="4"/>
  <c r="BH14" i="4"/>
  <c r="AT14" i="4"/>
  <c r="BG14" i="4"/>
  <c r="AS14" i="4"/>
  <c r="BF14" i="4"/>
  <c r="AR14" i="4"/>
  <c r="BE14" i="4"/>
  <c r="AQ14" i="4"/>
  <c r="BD14" i="4"/>
  <c r="AP14" i="4"/>
  <c r="BA13" i="4"/>
  <c r="AZ13" i="4"/>
  <c r="BM13" i="4"/>
  <c r="AY13" i="4"/>
  <c r="BL13" i="4"/>
  <c r="AX13" i="4"/>
  <c r="BK13" i="4"/>
  <c r="AW13" i="4"/>
  <c r="BJ13" i="4"/>
  <c r="AV13" i="4"/>
  <c r="BI13" i="4"/>
  <c r="AU13" i="4"/>
  <c r="BH13" i="4"/>
  <c r="AT13" i="4"/>
  <c r="BG13" i="4"/>
  <c r="AS13" i="4"/>
  <c r="BF13" i="4"/>
  <c r="AR13" i="4"/>
  <c r="BE13" i="4"/>
  <c r="AQ13" i="4"/>
  <c r="AP13" i="4"/>
  <c r="BD13" i="4"/>
  <c r="BA12" i="4"/>
  <c r="BN12" i="4"/>
  <c r="AZ12" i="4"/>
  <c r="AY12" i="4"/>
  <c r="BL12" i="4"/>
  <c r="AX12" i="4"/>
  <c r="BK12" i="4"/>
  <c r="AW12" i="4"/>
  <c r="BJ12" i="4"/>
  <c r="AV12" i="4"/>
  <c r="BI12" i="4"/>
  <c r="AU12" i="4"/>
  <c r="BH12" i="4"/>
  <c r="AT12" i="4"/>
  <c r="BG12" i="4"/>
  <c r="AS12" i="4"/>
  <c r="BF12" i="4"/>
  <c r="AR12" i="4"/>
  <c r="BE12" i="4"/>
  <c r="AQ12" i="4"/>
  <c r="BD12" i="4"/>
  <c r="AP12" i="4"/>
  <c r="BA11" i="4"/>
  <c r="AZ11" i="4"/>
  <c r="BM11" i="4"/>
  <c r="AY11" i="4"/>
  <c r="AX11" i="4"/>
  <c r="BK11" i="4"/>
  <c r="AW11" i="4"/>
  <c r="BJ11" i="4"/>
  <c r="AV11" i="4"/>
  <c r="BI11" i="4"/>
  <c r="AU11" i="4"/>
  <c r="BH11" i="4"/>
  <c r="AT11" i="4"/>
  <c r="BG11" i="4"/>
  <c r="AS11" i="4"/>
  <c r="BF11" i="4"/>
  <c r="AR11" i="4"/>
  <c r="BE11" i="4"/>
  <c r="AQ11" i="4"/>
  <c r="BD11" i="4"/>
  <c r="AP11" i="4"/>
  <c r="BA10" i="4"/>
  <c r="BN10" i="4"/>
  <c r="AZ10" i="4"/>
  <c r="AY10" i="4"/>
  <c r="BL10" i="4"/>
  <c r="AX10" i="4"/>
  <c r="AW10" i="4"/>
  <c r="BJ10" i="4"/>
  <c r="AV10" i="4"/>
  <c r="BI10" i="4"/>
  <c r="AU10" i="4"/>
  <c r="BH10" i="4"/>
  <c r="AT10" i="4"/>
  <c r="BG10" i="4"/>
  <c r="AS10" i="4"/>
  <c r="BF10" i="4"/>
  <c r="AR10" i="4"/>
  <c r="BE10" i="4"/>
  <c r="AQ10" i="4"/>
  <c r="BD10" i="4"/>
  <c r="AP10" i="4"/>
  <c r="BA9" i="4"/>
  <c r="BN9" i="4"/>
  <c r="AZ9" i="4"/>
  <c r="BM9" i="4"/>
  <c r="AY9" i="4"/>
  <c r="AX9" i="4"/>
  <c r="BK9" i="4"/>
  <c r="AW9" i="4"/>
  <c r="AV9" i="4"/>
  <c r="BI9" i="4"/>
  <c r="AU9" i="4"/>
  <c r="BH9" i="4"/>
  <c r="AT9" i="4"/>
  <c r="BG9" i="4"/>
  <c r="AS9" i="4"/>
  <c r="BF9" i="4"/>
  <c r="AR9" i="4"/>
  <c r="BE9" i="4"/>
  <c r="AQ9" i="4"/>
  <c r="BD9" i="4"/>
  <c r="AP9" i="4"/>
  <c r="BA8" i="4"/>
  <c r="BN8" i="4"/>
  <c r="AZ8" i="4"/>
  <c r="BM8" i="4"/>
  <c r="AY8" i="4"/>
  <c r="BL8" i="4"/>
  <c r="AX8" i="4"/>
  <c r="BK8" i="4"/>
  <c r="AW8" i="4"/>
  <c r="BJ8" i="4"/>
  <c r="AV8" i="4"/>
  <c r="AU8" i="4"/>
  <c r="BH8" i="4"/>
  <c r="AT8" i="4"/>
  <c r="BG8" i="4"/>
  <c r="AS8" i="4"/>
  <c r="BF8" i="4"/>
  <c r="AR8" i="4"/>
  <c r="BE8" i="4"/>
  <c r="AQ8" i="4"/>
  <c r="BD8" i="4"/>
  <c r="AP8" i="4"/>
  <c r="BA7" i="4"/>
  <c r="BN7" i="4"/>
  <c r="AZ7" i="4"/>
  <c r="BM7" i="4"/>
  <c r="AY7" i="4"/>
  <c r="BL7" i="4"/>
  <c r="AX7" i="4"/>
  <c r="BK7" i="4"/>
  <c r="AW7" i="4"/>
  <c r="AV7" i="4"/>
  <c r="BI7" i="4"/>
  <c r="AU7" i="4"/>
  <c r="AT7" i="4"/>
  <c r="BG7" i="4"/>
  <c r="AS7" i="4"/>
  <c r="BF7" i="4"/>
  <c r="AR7" i="4"/>
  <c r="BE7" i="4"/>
  <c r="AQ7" i="4"/>
  <c r="BD7" i="4"/>
  <c r="AP7" i="4"/>
  <c r="BA6" i="4"/>
  <c r="BN6" i="4"/>
  <c r="AZ6" i="4"/>
  <c r="BM6" i="4"/>
  <c r="AY6" i="4"/>
  <c r="BL6" i="4"/>
  <c r="AX6" i="4"/>
  <c r="BK6" i="4"/>
  <c r="AW6" i="4"/>
  <c r="BJ6" i="4"/>
  <c r="AV6" i="4"/>
  <c r="AU6" i="4"/>
  <c r="BH6" i="4"/>
  <c r="AT6" i="4"/>
  <c r="AS6" i="4"/>
  <c r="BF6" i="4"/>
  <c r="AR6" i="4"/>
  <c r="BE6" i="4"/>
  <c r="AQ6" i="4"/>
  <c r="BD6" i="4"/>
  <c r="AP6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N9" i="4"/>
  <c r="AM9" i="4"/>
  <c r="AL9" i="4"/>
  <c r="AK9" i="4"/>
  <c r="AJ9" i="4"/>
  <c r="AI9" i="4"/>
  <c r="AH9" i="4"/>
  <c r="AG9" i="4"/>
  <c r="AF9" i="4"/>
  <c r="AE9" i="4"/>
  <c r="AD9" i="4"/>
  <c r="AC9" i="4"/>
  <c r="AN8" i="4"/>
  <c r="AM8" i="4"/>
  <c r="AL8" i="4"/>
  <c r="AK8" i="4"/>
  <c r="AJ8" i="4"/>
  <c r="AI8" i="4"/>
  <c r="AH8" i="4"/>
  <c r="AG8" i="4"/>
  <c r="AF8" i="4"/>
  <c r="AE8" i="4"/>
  <c r="AD8" i="4"/>
  <c r="AC8" i="4"/>
  <c r="AN7" i="4"/>
  <c r="AM7" i="4"/>
  <c r="AL7" i="4"/>
  <c r="AK7" i="4"/>
  <c r="AJ7" i="4"/>
  <c r="AI7" i="4"/>
  <c r="AH7" i="4"/>
  <c r="AG7" i="4"/>
  <c r="AF7" i="4"/>
  <c r="AE7" i="4"/>
  <c r="AD7" i="4"/>
  <c r="AC7" i="4"/>
  <c r="AN6" i="4"/>
  <c r="AM6" i="4"/>
  <c r="AL6" i="4"/>
  <c r="AK6" i="4"/>
  <c r="AJ6" i="4"/>
  <c r="AI6" i="4"/>
  <c r="AH6" i="4"/>
  <c r="AG6" i="4"/>
  <c r="AF6" i="4"/>
  <c r="AE6" i="4"/>
  <c r="AD6" i="4"/>
  <c r="AC6" i="4"/>
  <c r="C39" i="8"/>
  <c r="D39" i="8"/>
  <c r="E39" i="8"/>
  <c r="F39" i="8"/>
  <c r="G39" i="8"/>
  <c r="C40" i="8"/>
  <c r="D40" i="8"/>
  <c r="E40" i="8"/>
  <c r="G40" i="8"/>
  <c r="C41" i="8"/>
  <c r="D41" i="8"/>
  <c r="E41" i="8"/>
  <c r="C42" i="8"/>
  <c r="D42" i="8"/>
  <c r="E42" i="8"/>
  <c r="C43" i="8"/>
  <c r="D43" i="8"/>
  <c r="G43" i="8"/>
  <c r="E43" i="8"/>
  <c r="F43" i="8"/>
  <c r="C44" i="8"/>
  <c r="D44" i="8"/>
  <c r="E44" i="8"/>
  <c r="F44" i="8"/>
  <c r="G44" i="8"/>
  <c r="C45" i="8"/>
  <c r="D45" i="8"/>
  <c r="E45" i="8"/>
  <c r="F45" i="8"/>
  <c r="G45" i="8"/>
  <c r="C46" i="8"/>
  <c r="D46" i="8"/>
  <c r="E46" i="8"/>
  <c r="C47" i="8"/>
  <c r="D47" i="8"/>
  <c r="E47" i="8"/>
  <c r="C48" i="8"/>
  <c r="F48" i="8"/>
  <c r="D48" i="8"/>
  <c r="G48" i="8"/>
  <c r="E48" i="8"/>
  <c r="C49" i="8"/>
  <c r="D49" i="8"/>
  <c r="E49" i="8"/>
  <c r="F49" i="8"/>
  <c r="G49" i="8"/>
  <c r="C50" i="8"/>
  <c r="D50" i="8"/>
  <c r="E50" i="8"/>
  <c r="F50" i="8"/>
  <c r="G50" i="8"/>
  <c r="M41" i="5"/>
  <c r="M42" i="5"/>
  <c r="M43" i="5"/>
  <c r="M44" i="5"/>
  <c r="M45" i="5"/>
  <c r="M46" i="5"/>
  <c r="M47" i="5"/>
  <c r="M48" i="5"/>
  <c r="M49" i="5"/>
  <c r="M50" i="5"/>
  <c r="M51" i="5"/>
  <c r="M52" i="5"/>
  <c r="DD73" i="4"/>
  <c r="DC73" i="4"/>
  <c r="DD72" i="4"/>
  <c r="DC72" i="4"/>
  <c r="DD71" i="4"/>
  <c r="DC71" i="4"/>
  <c r="DD70" i="4"/>
  <c r="DC70" i="4"/>
  <c r="DD69" i="4"/>
  <c r="DC69" i="4"/>
  <c r="DD68" i="4"/>
  <c r="DC68" i="4"/>
  <c r="DE68" i="4"/>
  <c r="DD67" i="4"/>
  <c r="DC67" i="4"/>
  <c r="DD66" i="4"/>
  <c r="DC66" i="4"/>
  <c r="DD65" i="4"/>
  <c r="DC65" i="4"/>
  <c r="DE65" i="4"/>
  <c r="DD64" i="4"/>
  <c r="DC64" i="4"/>
  <c r="A50" i="9"/>
  <c r="A49" i="9"/>
  <c r="DM3" i="4"/>
  <c r="DL3" i="4"/>
  <c r="DK3" i="4"/>
  <c r="DJ3" i="4"/>
  <c r="DQ5" i="4"/>
  <c r="DP5" i="4"/>
  <c r="DO5" i="4"/>
  <c r="DN5" i="4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3" i="9"/>
  <c r="A55" i="11" a="1"/>
  <c r="A55" i="11"/>
  <c r="G53" i="11" a="1"/>
  <c r="G53" i="11"/>
  <c r="F59" i="11" a="1"/>
  <c r="F59" i="11"/>
  <c r="G54" i="11" a="1"/>
  <c r="G54" i="11"/>
  <c r="F53" i="11" a="1"/>
  <c r="F53" i="11"/>
  <c r="G55" i="11" a="1"/>
  <c r="G55" i="11"/>
  <c r="F54" i="11" a="1"/>
  <c r="F54" i="11"/>
  <c r="B53" i="11" a="1"/>
  <c r="B53" i="11"/>
  <c r="A38" i="11" a="1"/>
  <c r="A38" i="11"/>
  <c r="A62" i="11" a="1"/>
  <c r="A62" i="11"/>
  <c r="G20" i="11" a="1"/>
  <c r="G20" i="11"/>
  <c r="G25" i="11" a="1"/>
  <c r="G25" i="11"/>
  <c r="A74" i="11" a="1"/>
  <c r="A74" i="11"/>
  <c r="F26" i="11" a="1"/>
  <c r="F26" i="11"/>
  <c r="F32" i="11" a="1"/>
  <c r="F32" i="11"/>
  <c r="G44" i="11" a="1"/>
  <c r="G44" i="11"/>
  <c r="G49" i="11" a="1"/>
  <c r="G49" i="11"/>
  <c r="F50" i="11" a="1"/>
  <c r="F50" i="11"/>
  <c r="F25" i="11" a="1"/>
  <c r="F25" i="11"/>
  <c r="B65" i="11" a="1"/>
  <c r="B65" i="11"/>
  <c r="A12" i="11" a="1"/>
  <c r="A12" i="11"/>
  <c r="A13" i="11" a="1"/>
  <c r="A13" i="11"/>
  <c r="F13" i="11" a="1"/>
  <c r="F13" i="11"/>
  <c r="F37" i="11" a="1"/>
  <c r="F37" i="11"/>
  <c r="F64" i="11" a="1"/>
  <c r="F64" i="11"/>
  <c r="A75" i="11" a="1"/>
  <c r="A75" i="11"/>
  <c r="A63" i="11" a="1"/>
  <c r="A63" i="11"/>
  <c r="A26" i="11" a="1"/>
  <c r="A26" i="11"/>
  <c r="F14" i="11" a="1"/>
  <c r="F14" i="11"/>
  <c r="F38" i="11" a="1"/>
  <c r="F38" i="11"/>
  <c r="F65" i="11" a="1"/>
  <c r="F65" i="11"/>
  <c r="A35" i="11" a="1"/>
  <c r="A35" i="11"/>
  <c r="A11" i="11" a="1"/>
  <c r="A11" i="11"/>
  <c r="A36" i="11" a="1"/>
  <c r="A36" i="11"/>
  <c r="F71" i="11" a="1"/>
  <c r="F71" i="11"/>
  <c r="F7" i="11" a="1"/>
  <c r="F7" i="11"/>
  <c r="F58" i="11" a="1"/>
  <c r="F58" i="11"/>
  <c r="F70" i="11" a="1"/>
  <c r="F70" i="11"/>
  <c r="G19" i="11" a="1"/>
  <c r="G19" i="11"/>
  <c r="G31" i="11" a="1"/>
  <c r="G31" i="11"/>
  <c r="G43" i="11" a="1"/>
  <c r="G43" i="11"/>
  <c r="G58" i="11" a="1"/>
  <c r="G58" i="11"/>
  <c r="A72" i="11" a="1"/>
  <c r="A72" i="11"/>
  <c r="F9" i="11" a="1"/>
  <c r="F9" i="11"/>
  <c r="F15" i="11" a="1"/>
  <c r="F15" i="11"/>
  <c r="F21" i="11" a="1"/>
  <c r="F21" i="11"/>
  <c r="F27" i="11" a="1"/>
  <c r="F27" i="11"/>
  <c r="F33" i="11" a="1"/>
  <c r="F33" i="11"/>
  <c r="F39" i="11" a="1"/>
  <c r="F39" i="11"/>
  <c r="F45" i="11" a="1"/>
  <c r="F45" i="11"/>
  <c r="F51" i="11" a="1"/>
  <c r="F51" i="11"/>
  <c r="F60" i="11" a="1"/>
  <c r="F60" i="11"/>
  <c r="F66" i="11" a="1"/>
  <c r="F66" i="11"/>
  <c r="F72" i="11" a="1"/>
  <c r="F72" i="11"/>
  <c r="G9" i="11" a="1"/>
  <c r="G9" i="11"/>
  <c r="G15" i="11" a="1"/>
  <c r="G15" i="11"/>
  <c r="G27" i="11" a="1"/>
  <c r="G27" i="11"/>
  <c r="G33" i="11" a="1"/>
  <c r="G33" i="11"/>
  <c r="G39" i="11" a="1"/>
  <c r="G39" i="11"/>
  <c r="G51" i="11" a="1"/>
  <c r="G51" i="11"/>
  <c r="G66" i="11" a="1"/>
  <c r="G66" i="11"/>
  <c r="F43" i="11" a="1"/>
  <c r="F43" i="11"/>
  <c r="F10" i="11" a="1"/>
  <c r="F10" i="11"/>
  <c r="F16" i="11" a="1"/>
  <c r="F16" i="11"/>
  <c r="F22" i="11" a="1"/>
  <c r="F22" i="11"/>
  <c r="F28" i="11" a="1"/>
  <c r="F28" i="11"/>
  <c r="F34" i="11" a="1"/>
  <c r="F34" i="11"/>
  <c r="F40" i="11" a="1"/>
  <c r="F40" i="11"/>
  <c r="F46" i="11" a="1"/>
  <c r="F46" i="11"/>
  <c r="F52" i="11" a="1"/>
  <c r="F52" i="11"/>
  <c r="F61" i="11" a="1"/>
  <c r="F61" i="11"/>
  <c r="F67" i="11" a="1"/>
  <c r="F67" i="11"/>
  <c r="F73" i="11" a="1"/>
  <c r="F73" i="11"/>
  <c r="A22" i="11" a="1"/>
  <c r="A22" i="11"/>
  <c r="G34" i="11" a="1"/>
  <c r="G34" i="11"/>
  <c r="G67" i="11" a="1"/>
  <c r="G67" i="11"/>
  <c r="F31" i="11" a="1"/>
  <c r="F31" i="11"/>
  <c r="F5" i="11" a="1"/>
  <c r="F5" i="11"/>
  <c r="F11" i="11" a="1"/>
  <c r="F11" i="11"/>
  <c r="F17" i="11" a="1"/>
  <c r="F17" i="11"/>
  <c r="F23" i="11" a="1"/>
  <c r="F23" i="11"/>
  <c r="F29" i="11" a="1"/>
  <c r="F29" i="11"/>
  <c r="F35" i="11" a="1"/>
  <c r="F35" i="11"/>
  <c r="F41" i="11" a="1"/>
  <c r="F41" i="11"/>
  <c r="F47" i="11" a="1"/>
  <c r="F47" i="11"/>
  <c r="F56" i="11" a="1"/>
  <c r="F56" i="11"/>
  <c r="F62" i="11" a="1"/>
  <c r="F62" i="11"/>
  <c r="F68" i="11" a="1"/>
  <c r="F68" i="11"/>
  <c r="F74" i="11" a="1"/>
  <c r="F74" i="11"/>
  <c r="G29" i="11" a="1"/>
  <c r="G29" i="11"/>
  <c r="F6" i="11" a="1"/>
  <c r="F6" i="11"/>
  <c r="F12" i="11" a="1"/>
  <c r="F12" i="11"/>
  <c r="F18" i="11" a="1"/>
  <c r="F18" i="11"/>
  <c r="F24" i="11" a="1"/>
  <c r="F24" i="11"/>
  <c r="F30" i="11" a="1"/>
  <c r="F30" i="11"/>
  <c r="F36" i="11" a="1"/>
  <c r="F36" i="11"/>
  <c r="F42" i="11" a="1"/>
  <c r="F42" i="11"/>
  <c r="F48" i="11" a="1"/>
  <c r="F48" i="11"/>
  <c r="F57" i="11" a="1"/>
  <c r="F57" i="11"/>
  <c r="F63" i="11" a="1"/>
  <c r="F63" i="11"/>
  <c r="F69" i="11" a="1"/>
  <c r="F69" i="11"/>
  <c r="F75" i="11" a="1"/>
  <c r="F75" i="11"/>
  <c r="G18" i="11" a="1"/>
  <c r="G18" i="11"/>
  <c r="G30" i="11" a="1"/>
  <c r="G30" i="11"/>
  <c r="G42" i="11" a="1"/>
  <c r="G42" i="11"/>
  <c r="B70" i="11" a="1"/>
  <c r="B70" i="11"/>
  <c r="A70" i="11" a="1"/>
  <c r="A70" i="11"/>
  <c r="B69" i="11" a="1"/>
  <c r="B69" i="11"/>
  <c r="B45" i="11" a="1"/>
  <c r="B45" i="11"/>
  <c r="B44" i="11" a="1"/>
  <c r="B44" i="11"/>
  <c r="A64" i="11" a="1"/>
  <c r="A64" i="11"/>
  <c r="B61" i="11" a="1"/>
  <c r="B61" i="11"/>
  <c r="B23" i="11" a="1"/>
  <c r="B23" i="11"/>
  <c r="B73" i="11" a="1"/>
  <c r="B73" i="11"/>
  <c r="B21" i="11" a="1"/>
  <c r="B21" i="11"/>
  <c r="A47" i="11" a="1"/>
  <c r="A47" i="11"/>
  <c r="A25" i="11" a="1"/>
  <c r="A25" i="11"/>
  <c r="B64" i="11" a="1"/>
  <c r="B64" i="11"/>
  <c r="B24" i="11" a="1"/>
  <c r="B24" i="11"/>
  <c r="A73" i="11" a="1"/>
  <c r="A73" i="11"/>
  <c r="A61" i="11" a="1"/>
  <c r="A61" i="11"/>
  <c r="A40" i="11" a="1"/>
  <c r="A40" i="11"/>
  <c r="A21" i="11" a="1"/>
  <c r="A21" i="11"/>
  <c r="B59" i="11" a="1"/>
  <c r="B59" i="11"/>
  <c r="B39" i="11" a="1"/>
  <c r="B39" i="11"/>
  <c r="A18" i="11" a="1"/>
  <c r="A18" i="11"/>
  <c r="B57" i="11" a="1"/>
  <c r="B57" i="11"/>
  <c r="A37" i="11" a="1"/>
  <c r="A37" i="11"/>
  <c r="A17" i="11" a="1"/>
  <c r="A17" i="11"/>
  <c r="B56" i="11" a="1"/>
  <c r="B56" i="11"/>
  <c r="B36" i="11" a="1"/>
  <c r="B36" i="11"/>
  <c r="B13" i="11" a="1"/>
  <c r="B13" i="11"/>
  <c r="B35" i="11" a="1"/>
  <c r="B35" i="11"/>
  <c r="B9" i="11" a="1"/>
  <c r="B9" i="11"/>
  <c r="B49" i="11" a="1"/>
  <c r="B49" i="11"/>
  <c r="B32" i="11" a="1"/>
  <c r="B32" i="11"/>
  <c r="B7" i="11" a="1"/>
  <c r="B7" i="11"/>
  <c r="A49" i="11" a="1"/>
  <c r="A49" i="11"/>
  <c r="A29" i="11" a="1"/>
  <c r="A29" i="11"/>
  <c r="A7" i="11" a="1"/>
  <c r="A7" i="11"/>
  <c r="B68" i="11" a="1"/>
  <c r="B68" i="11"/>
  <c r="B47" i="11" a="1"/>
  <c r="B47" i="11"/>
  <c r="B27" i="11" a="1"/>
  <c r="B27" i="11"/>
  <c r="A14" i="11" a="1"/>
  <c r="A14" i="11"/>
  <c r="A65" i="11" a="1"/>
  <c r="A65" i="11"/>
  <c r="A57" i="11" a="1"/>
  <c r="A57" i="11"/>
  <c r="A50" i="11" a="1"/>
  <c r="A50" i="11"/>
  <c r="A45" i="11" a="1"/>
  <c r="A45" i="11"/>
  <c r="A41" i="11" a="1"/>
  <c r="A41" i="11"/>
  <c r="A33" i="11" a="1"/>
  <c r="A33" i="11"/>
  <c r="B28" i="11" a="1"/>
  <c r="B28" i="11"/>
  <c r="B17" i="11" a="1"/>
  <c r="B17" i="11"/>
  <c r="B10" i="11" a="1"/>
  <c r="B10" i="11"/>
  <c r="B72" i="11" a="1"/>
  <c r="B72" i="11"/>
  <c r="B60" i="11" a="1"/>
  <c r="B60" i="11"/>
  <c r="B40" i="11" a="1"/>
  <c r="B40" i="11"/>
  <c r="A32" i="11" a="1"/>
  <c r="A32" i="11"/>
  <c r="A28" i="11" a="1"/>
  <c r="A28" i="11"/>
  <c r="B20" i="11" a="1"/>
  <c r="B20" i="11"/>
  <c r="A10" i="11" a="1"/>
  <c r="A10" i="11"/>
  <c r="A68" i="11" a="1"/>
  <c r="A68" i="11"/>
  <c r="A60" i="11" a="1"/>
  <c r="A60" i="11"/>
  <c r="A56" i="11" a="1"/>
  <c r="A56" i="11"/>
  <c r="A44" i="11" a="1"/>
  <c r="A44" i="11"/>
  <c r="B31" i="11" a="1"/>
  <c r="B31" i="11"/>
  <c r="A24" i="11" a="1"/>
  <c r="A24" i="11"/>
  <c r="A20" i="11" a="1"/>
  <c r="A20" i="11"/>
  <c r="B16" i="11" a="1"/>
  <c r="B16" i="11"/>
  <c r="B6" i="11" a="1"/>
  <c r="B6" i="11"/>
  <c r="B75" i="11" a="1"/>
  <c r="B75" i="11"/>
  <c r="B67" i="11" a="1"/>
  <c r="B67" i="11"/>
  <c r="B63" i="11" a="1"/>
  <c r="B63" i="11"/>
  <c r="B52" i="11" a="1"/>
  <c r="B52" i="11"/>
  <c r="B43" i="11" a="1"/>
  <c r="B43" i="11"/>
  <c r="A23" i="11" a="1"/>
  <c r="A23" i="11"/>
  <c r="B19" i="11" a="1"/>
  <c r="B19" i="11"/>
  <c r="A16" i="11" a="1"/>
  <c r="A16" i="11"/>
  <c r="B12" i="11" a="1"/>
  <c r="B12" i="11"/>
  <c r="A6" i="11" a="1"/>
  <c r="A6" i="11"/>
  <c r="A59" i="11" a="1"/>
  <c r="A59" i="11"/>
  <c r="B34" i="11" a="1"/>
  <c r="B34" i="11"/>
  <c r="B74" i="11" a="1"/>
  <c r="B74" i="11"/>
  <c r="B62" i="11" a="1"/>
  <c r="B62" i="11"/>
  <c r="A52" i="11" a="1"/>
  <c r="A52" i="11"/>
  <c r="B48" i="11" a="1"/>
  <c r="B48" i="11"/>
  <c r="B38" i="11" a="1"/>
  <c r="B38" i="11"/>
  <c r="B30" i="11" a="1"/>
  <c r="B30" i="11"/>
  <c r="B26" i="11" a="1"/>
  <c r="B26" i="11"/>
  <c r="B22" i="11" a="1"/>
  <c r="B22" i="11"/>
  <c r="A19" i="11" a="1"/>
  <c r="A19" i="11"/>
  <c r="B15" i="11" a="1"/>
  <c r="B15" i="11"/>
  <c r="B5" i="11" a="1"/>
  <c r="B5" i="11"/>
  <c r="B66" i="11" a="1"/>
  <c r="B66" i="11"/>
  <c r="B58" i="11" a="1"/>
  <c r="B58" i="11"/>
  <c r="B51" i="11" a="1"/>
  <c r="B51" i="11"/>
  <c r="B46" i="11" a="1"/>
  <c r="B46" i="11"/>
  <c r="B42" i="11" a="1"/>
  <c r="B42" i="11"/>
  <c r="B8" i="11" a="1"/>
  <c r="B8" i="11"/>
  <c r="A5" i="11" a="1"/>
  <c r="A5" i="11"/>
  <c r="A48" i="11" a="1"/>
  <c r="A48" i="11"/>
  <c r="B37" i="11" a="1"/>
  <c r="B37" i="11"/>
  <c r="B11" i="11" a="1"/>
  <c r="B11" i="11"/>
  <c r="A46" i="11" a="1"/>
  <c r="A46" i="11"/>
  <c r="B41" i="11" a="1"/>
  <c r="B41" i="11"/>
  <c r="B14" i="11" a="1"/>
  <c r="B14" i="11"/>
  <c r="BF17" i="4"/>
  <c r="BF29" i="4"/>
  <c r="BF41" i="4"/>
  <c r="BF53" i="4"/>
  <c r="BE15" i="4"/>
  <c r="BE27" i="4"/>
  <c r="BE39" i="4"/>
  <c r="BE51" i="4"/>
  <c r="DE64" i="4"/>
  <c r="DE66" i="4"/>
  <c r="DE72" i="4"/>
  <c r="DE67" i="4"/>
  <c r="DE71" i="4"/>
  <c r="F42" i="8"/>
  <c r="F41" i="8"/>
  <c r="F40" i="8"/>
  <c r="F47" i="8"/>
  <c r="F46" i="8"/>
  <c r="G47" i="8"/>
  <c r="G42" i="8"/>
  <c r="G46" i="8"/>
  <c r="G41" i="8"/>
  <c r="DS5" i="4"/>
  <c r="DS3" i="4"/>
  <c r="DO3" i="4"/>
  <c r="DT5" i="4"/>
  <c r="DP3" i="4"/>
  <c r="DQ3" i="4"/>
  <c r="DE70" i="4"/>
  <c r="DR5" i="4"/>
  <c r="DU5" i="4"/>
  <c r="DE69" i="4"/>
  <c r="DE73" i="4"/>
  <c r="DR3" i="4"/>
  <c r="DN3" i="4"/>
  <c r="E4" i="11"/>
  <c r="I4" i="11"/>
  <c r="O47" i="11"/>
  <c r="P47" i="11"/>
  <c r="O46" i="11"/>
  <c r="P46" i="11"/>
  <c r="O45" i="11"/>
  <c r="P45" i="11"/>
  <c r="O44" i="11"/>
  <c r="P44" i="11"/>
  <c r="O43" i="11"/>
  <c r="P43" i="11"/>
  <c r="O42" i="11"/>
  <c r="P42" i="11"/>
  <c r="O41" i="11"/>
  <c r="P41" i="11"/>
  <c r="O40" i="11"/>
  <c r="P40" i="11"/>
  <c r="O39" i="11"/>
  <c r="P39" i="11"/>
  <c r="O38" i="11"/>
  <c r="P38" i="11"/>
  <c r="O37" i="11"/>
  <c r="P37" i="11"/>
  <c r="O36" i="11"/>
  <c r="P36" i="11"/>
  <c r="O35" i="11"/>
  <c r="P35" i="11"/>
  <c r="O34" i="11"/>
  <c r="P34" i="11"/>
  <c r="O33" i="11"/>
  <c r="P33" i="11"/>
  <c r="O32" i="11"/>
  <c r="P32" i="11"/>
  <c r="O31" i="11"/>
  <c r="P31" i="11"/>
  <c r="O30" i="11"/>
  <c r="P30" i="11"/>
  <c r="O29" i="11"/>
  <c r="P29" i="11"/>
  <c r="O28" i="11"/>
  <c r="P28" i="11"/>
  <c r="O27" i="11"/>
  <c r="P27" i="11"/>
  <c r="O26" i="11"/>
  <c r="P26" i="11"/>
  <c r="O25" i="11"/>
  <c r="P25" i="11"/>
  <c r="O24" i="11"/>
  <c r="P24" i="11"/>
  <c r="O23" i="11"/>
  <c r="P23" i="11"/>
  <c r="O22" i="11"/>
  <c r="P22" i="11"/>
  <c r="O21" i="11"/>
  <c r="P21" i="11"/>
  <c r="O20" i="11"/>
  <c r="P20" i="11"/>
  <c r="O19" i="11"/>
  <c r="P19" i="11"/>
  <c r="O18" i="11"/>
  <c r="P18" i="11"/>
  <c r="O17" i="11"/>
  <c r="P17" i="11"/>
  <c r="O16" i="11"/>
  <c r="P16" i="11"/>
  <c r="O15" i="11"/>
  <c r="P15" i="11"/>
  <c r="O14" i="11"/>
  <c r="P14" i="11"/>
  <c r="O13" i="11"/>
  <c r="P13" i="11"/>
  <c r="O12" i="11"/>
  <c r="P12" i="11"/>
  <c r="O11" i="11"/>
  <c r="P11" i="11"/>
  <c r="O10" i="11"/>
  <c r="P10" i="11"/>
  <c r="O9" i="11"/>
  <c r="P9" i="11"/>
  <c r="O8" i="11"/>
  <c r="P8" i="11"/>
  <c r="O7" i="11"/>
  <c r="P7" i="11"/>
  <c r="O6" i="11"/>
  <c r="P6" i="11"/>
  <c r="O5" i="11"/>
  <c r="P5" i="11"/>
  <c r="O4" i="11"/>
  <c r="P4" i="11"/>
  <c r="DD62" i="4"/>
  <c r="DC62" i="4"/>
  <c r="DD61" i="4"/>
  <c r="DC61" i="4"/>
  <c r="DD60" i="4"/>
  <c r="DC60" i="4"/>
  <c r="DD59" i="4"/>
  <c r="DC59" i="4"/>
  <c r="DD58" i="4"/>
  <c r="DC58" i="4"/>
  <c r="DD57" i="4"/>
  <c r="DC57" i="4"/>
  <c r="DE57" i="4"/>
  <c r="DD56" i="4"/>
  <c r="DC56" i="4"/>
  <c r="DD55" i="4"/>
  <c r="DC55" i="4"/>
  <c r="DD54" i="4"/>
  <c r="DC54" i="4"/>
  <c r="DD53" i="4"/>
  <c r="DC53" i="4"/>
  <c r="DD52" i="4"/>
  <c r="DC52" i="4"/>
  <c r="DD51" i="4"/>
  <c r="DC51" i="4"/>
  <c r="DE51" i="4"/>
  <c r="DD50" i="4"/>
  <c r="DC50" i="4"/>
  <c r="DD49" i="4"/>
  <c r="DC49" i="4"/>
  <c r="DD48" i="4"/>
  <c r="DC48" i="4"/>
  <c r="DD47" i="4"/>
  <c r="DC47" i="4"/>
  <c r="DD46" i="4"/>
  <c r="DC46" i="4"/>
  <c r="DD45" i="4"/>
  <c r="DC45" i="4"/>
  <c r="DE45" i="4"/>
  <c r="DD44" i="4"/>
  <c r="DC44" i="4"/>
  <c r="DD43" i="4"/>
  <c r="DC43" i="4"/>
  <c r="DD42" i="4"/>
  <c r="DC42" i="4"/>
  <c r="DD41" i="4"/>
  <c r="DC41" i="4"/>
  <c r="DD40" i="4"/>
  <c r="DC40" i="4"/>
  <c r="DD39" i="4"/>
  <c r="DC39" i="4"/>
  <c r="DE39" i="4"/>
  <c r="DD38" i="4"/>
  <c r="DC38" i="4"/>
  <c r="DD37" i="4"/>
  <c r="DC37" i="4"/>
  <c r="DD36" i="4"/>
  <c r="DC36" i="4"/>
  <c r="DD35" i="4"/>
  <c r="DC35" i="4"/>
  <c r="DD34" i="4"/>
  <c r="DC34" i="4"/>
  <c r="DD33" i="4"/>
  <c r="DC33" i="4"/>
  <c r="DE33" i="4"/>
  <c r="DD32" i="4"/>
  <c r="DC32" i="4"/>
  <c r="DD31" i="4"/>
  <c r="DC31" i="4"/>
  <c r="DD30" i="4"/>
  <c r="DC30" i="4"/>
  <c r="DD29" i="4"/>
  <c r="DC29" i="4"/>
  <c r="DD28" i="4"/>
  <c r="DC28" i="4"/>
  <c r="DD27" i="4"/>
  <c r="DC27" i="4"/>
  <c r="DD26" i="4"/>
  <c r="DC26" i="4"/>
  <c r="DD25" i="4"/>
  <c r="DC25" i="4"/>
  <c r="DD24" i="4"/>
  <c r="DC24" i="4"/>
  <c r="DD23" i="4"/>
  <c r="DC23" i="4"/>
  <c r="DD22" i="4"/>
  <c r="DC22" i="4"/>
  <c r="DE22" i="4"/>
  <c r="DD21" i="4"/>
  <c r="DC21" i="4"/>
  <c r="DD20" i="4"/>
  <c r="DC20" i="4"/>
  <c r="DD19" i="4"/>
  <c r="DC19" i="4"/>
  <c r="DD18" i="4"/>
  <c r="DC18" i="4"/>
  <c r="DE18" i="4"/>
  <c r="DD17" i="4"/>
  <c r="DC17" i="4"/>
  <c r="DD16" i="4"/>
  <c r="DC16" i="4"/>
  <c r="DE16" i="4"/>
  <c r="DD15" i="4"/>
  <c r="DC15" i="4"/>
  <c r="DD14" i="4"/>
  <c r="DC14" i="4"/>
  <c r="DD13" i="4"/>
  <c r="DC13" i="4"/>
  <c r="DD12" i="4"/>
  <c r="DC12" i="4"/>
  <c r="DE12" i="4"/>
  <c r="DD11" i="4"/>
  <c r="DC11" i="4"/>
  <c r="DD10" i="4"/>
  <c r="DC10" i="4"/>
  <c r="DE10" i="4"/>
  <c r="DD9" i="4"/>
  <c r="DC9" i="4"/>
  <c r="DD8" i="4"/>
  <c r="DC8" i="4"/>
  <c r="DD7" i="4"/>
  <c r="DC7" i="4"/>
  <c r="DD6" i="4"/>
  <c r="DC6" i="4"/>
  <c r="DE6" i="4"/>
  <c r="AC5" i="4"/>
  <c r="AD5" i="4"/>
  <c r="AE5" i="4"/>
  <c r="AF5" i="4"/>
  <c r="AG5" i="4"/>
  <c r="AH5" i="4"/>
  <c r="AI5" i="4"/>
  <c r="AJ5" i="4"/>
  <c r="AK5" i="4"/>
  <c r="AL5" i="4"/>
  <c r="AM5" i="4"/>
  <c r="AN5" i="4"/>
  <c r="AP5" i="4"/>
  <c r="AQ5" i="4"/>
  <c r="AR5" i="4"/>
  <c r="AS5" i="4"/>
  <c r="AT5" i="4"/>
  <c r="AU5" i="4"/>
  <c r="AV5" i="4"/>
  <c r="AW5" i="4"/>
  <c r="AX5" i="4"/>
  <c r="AY5" i="4"/>
  <c r="AZ5" i="4"/>
  <c r="BA5" i="4"/>
  <c r="O5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D38" i="8"/>
  <c r="C38" i="8"/>
  <c r="D37" i="8"/>
  <c r="C37" i="8"/>
  <c r="G37" i="8"/>
  <c r="G36" i="8"/>
  <c r="D36" i="8"/>
  <c r="C36" i="8"/>
  <c r="D35" i="8"/>
  <c r="G35" i="8"/>
  <c r="C35" i="8"/>
  <c r="D34" i="8"/>
  <c r="G34" i="8"/>
  <c r="C34" i="8"/>
  <c r="D33" i="8"/>
  <c r="G33" i="8"/>
  <c r="C33" i="8"/>
  <c r="G32" i="8"/>
  <c r="D32" i="8"/>
  <c r="C32" i="8"/>
  <c r="G31" i="8"/>
  <c r="D31" i="8"/>
  <c r="C31" i="8"/>
  <c r="D30" i="8"/>
  <c r="C30" i="8"/>
  <c r="G29" i="8"/>
  <c r="E29" i="8"/>
  <c r="F29" i="8"/>
  <c r="D29" i="8"/>
  <c r="C29" i="8"/>
  <c r="D28" i="8"/>
  <c r="E28" i="8"/>
  <c r="C28" i="8"/>
  <c r="E27" i="8"/>
  <c r="D27" i="8"/>
  <c r="C27" i="8"/>
  <c r="G27" i="8"/>
  <c r="D26" i="8"/>
  <c r="G26" i="8"/>
  <c r="C26" i="8"/>
  <c r="D25" i="8"/>
  <c r="C25" i="8"/>
  <c r="G24" i="8"/>
  <c r="D24" i="8"/>
  <c r="C24" i="8"/>
  <c r="D23" i="8"/>
  <c r="G23" i="8"/>
  <c r="C23" i="8"/>
  <c r="D22" i="8"/>
  <c r="G22" i="8"/>
  <c r="C22" i="8"/>
  <c r="D21" i="8"/>
  <c r="G21" i="8"/>
  <c r="C21" i="8"/>
  <c r="D20" i="8"/>
  <c r="G20" i="8"/>
  <c r="C20" i="8"/>
  <c r="G19" i="8"/>
  <c r="D19" i="8"/>
  <c r="C19" i="8"/>
  <c r="D18" i="8"/>
  <c r="C18" i="8"/>
  <c r="G17" i="8"/>
  <c r="E17" i="8"/>
  <c r="F17" i="8"/>
  <c r="D17" i="8"/>
  <c r="C17" i="8"/>
  <c r="D16" i="8"/>
  <c r="G16" i="8"/>
  <c r="C16" i="8"/>
  <c r="E15" i="8"/>
  <c r="D15" i="8"/>
  <c r="C15" i="8"/>
  <c r="G15" i="8"/>
  <c r="D14" i="8"/>
  <c r="G14" i="8"/>
  <c r="C14" i="8"/>
  <c r="D13" i="8"/>
  <c r="C13" i="8"/>
  <c r="G13" i="8"/>
  <c r="D12" i="8"/>
  <c r="G12" i="8"/>
  <c r="C12" i="8"/>
  <c r="D11" i="8"/>
  <c r="C11" i="8"/>
  <c r="G11" i="8"/>
  <c r="D10" i="8"/>
  <c r="G10" i="8"/>
  <c r="C10" i="8"/>
  <c r="D9" i="8"/>
  <c r="C9" i="8"/>
  <c r="G9" i="8"/>
  <c r="D8" i="8"/>
  <c r="G8" i="8"/>
  <c r="C8" i="8"/>
  <c r="D7" i="8"/>
  <c r="C7" i="8"/>
  <c r="G7" i="8"/>
  <c r="D6" i="8"/>
  <c r="G6" i="8"/>
  <c r="C6" i="8"/>
  <c r="J5" i="8"/>
  <c r="J6" i="8"/>
  <c r="J7" i="8"/>
  <c r="E5" i="8"/>
  <c r="D5" i="8"/>
  <c r="G5" i="8"/>
  <c r="C5" i="8"/>
  <c r="F5" i="8"/>
  <c r="J4" i="8"/>
  <c r="D4" i="8"/>
  <c r="G4" i="8"/>
  <c r="C4" i="8"/>
  <c r="D3" i="8"/>
  <c r="G3" i="8"/>
  <c r="C3" i="8"/>
  <c r="DE8" i="4"/>
  <c r="DE14" i="4"/>
  <c r="DE20" i="4"/>
  <c r="DE26" i="4"/>
  <c r="DE24" i="4"/>
  <c r="DE28" i="4"/>
  <c r="DE41" i="4"/>
  <c r="DE47" i="4"/>
  <c r="DE53" i="4"/>
  <c r="DE59" i="4"/>
  <c r="DE31" i="4"/>
  <c r="DE37" i="4"/>
  <c r="DE43" i="4"/>
  <c r="DE49" i="4"/>
  <c r="DE55" i="4"/>
  <c r="DE29" i="4"/>
  <c r="DE35" i="4"/>
  <c r="G38" i="8"/>
  <c r="AV73" i="4"/>
  <c r="AV70" i="4"/>
  <c r="AV71" i="4"/>
  <c r="AV64" i="4"/>
  <c r="AV67" i="4"/>
  <c r="AV72" i="4"/>
  <c r="AV65" i="4"/>
  <c r="AV66" i="4"/>
  <c r="AV69" i="4"/>
  <c r="AV68" i="4"/>
  <c r="AI73" i="4"/>
  <c r="AI69" i="4"/>
  <c r="AI65" i="4"/>
  <c r="AI66" i="4"/>
  <c r="AI71" i="4"/>
  <c r="AI67" i="4"/>
  <c r="AI64" i="4"/>
  <c r="AI72" i="4"/>
  <c r="AI68" i="4"/>
  <c r="AI70" i="4"/>
  <c r="DV5" i="4"/>
  <c r="DX5" i="4"/>
  <c r="DT3" i="4"/>
  <c r="AU70" i="4"/>
  <c r="AU73" i="4"/>
  <c r="AU71" i="4"/>
  <c r="AU66" i="4"/>
  <c r="AU64" i="4"/>
  <c r="AU65" i="4"/>
  <c r="AU67" i="4"/>
  <c r="AU69" i="4"/>
  <c r="AU72" i="4"/>
  <c r="AU68" i="4"/>
  <c r="AH70" i="4"/>
  <c r="AH71" i="4"/>
  <c r="AH68" i="4"/>
  <c r="AH73" i="4"/>
  <c r="AH66" i="4"/>
  <c r="AH69" i="4"/>
  <c r="AH72" i="4"/>
  <c r="AH65" i="4"/>
  <c r="AH67" i="4"/>
  <c r="AH64" i="4"/>
  <c r="DE9" i="4"/>
  <c r="DE15" i="4"/>
  <c r="DE21" i="4"/>
  <c r="DE27" i="4"/>
  <c r="DE32" i="4"/>
  <c r="DE36" i="4"/>
  <c r="DE42" i="4"/>
  <c r="DE48" i="4"/>
  <c r="DE54" i="4"/>
  <c r="DE60" i="4"/>
  <c r="AT66" i="4"/>
  <c r="AT72" i="4"/>
  <c r="AT64" i="4"/>
  <c r="AT70" i="4"/>
  <c r="AT68" i="4"/>
  <c r="AT71" i="4"/>
  <c r="AT65" i="4"/>
  <c r="AT67" i="4"/>
  <c r="AT69" i="4"/>
  <c r="AT73" i="4"/>
  <c r="AG70" i="4"/>
  <c r="AG71" i="4"/>
  <c r="AG68" i="4"/>
  <c r="AG73" i="4"/>
  <c r="AG69" i="4"/>
  <c r="AG66" i="4"/>
  <c r="AG72" i="4"/>
  <c r="AG64" i="4"/>
  <c r="AG65" i="4"/>
  <c r="AG67" i="4"/>
  <c r="AW67" i="4"/>
  <c r="AW65" i="4"/>
  <c r="AW69" i="4"/>
  <c r="AW73" i="4"/>
  <c r="AW66" i="4"/>
  <c r="AW71" i="4"/>
  <c r="AW70" i="4"/>
  <c r="AW64" i="4"/>
  <c r="AW72" i="4"/>
  <c r="AW68" i="4"/>
  <c r="AS73" i="4"/>
  <c r="AS64" i="4"/>
  <c r="AS71" i="4"/>
  <c r="AS67" i="4"/>
  <c r="AS72" i="4"/>
  <c r="AS65" i="4"/>
  <c r="AS70" i="4"/>
  <c r="AS66" i="4"/>
  <c r="AS69" i="4"/>
  <c r="AS68" i="4"/>
  <c r="AF73" i="4"/>
  <c r="AF64" i="4"/>
  <c r="AF66" i="4"/>
  <c r="AF72" i="4"/>
  <c r="AF67" i="4"/>
  <c r="AF70" i="4"/>
  <c r="AF65" i="4"/>
  <c r="AF69" i="4"/>
  <c r="AF68" i="4"/>
  <c r="AF71" i="4"/>
  <c r="DE61" i="4"/>
  <c r="BA73" i="4"/>
  <c r="BA69" i="4"/>
  <c r="BA65" i="4"/>
  <c r="BA71" i="4"/>
  <c r="BA70" i="4"/>
  <c r="BA67" i="4"/>
  <c r="BA66" i="4"/>
  <c r="BA72" i="4"/>
  <c r="BA68" i="4"/>
  <c r="BA64" i="4"/>
  <c r="AN73" i="4"/>
  <c r="AN68" i="4"/>
  <c r="AN72" i="4"/>
  <c r="AN69" i="4"/>
  <c r="AN71" i="4"/>
  <c r="AN70" i="4"/>
  <c r="AN66" i="4"/>
  <c r="AN64" i="4"/>
  <c r="AN65" i="4"/>
  <c r="AN67" i="4"/>
  <c r="AR68" i="4"/>
  <c r="AR73" i="4"/>
  <c r="AR67" i="4"/>
  <c r="AR65" i="4"/>
  <c r="AR71" i="4"/>
  <c r="AR70" i="4"/>
  <c r="AR69" i="4"/>
  <c r="AR66" i="4"/>
  <c r="AR64" i="4"/>
  <c r="AR72" i="4"/>
  <c r="AE68" i="4"/>
  <c r="AE71" i="4"/>
  <c r="AE67" i="4"/>
  <c r="AE64" i="4"/>
  <c r="AE72" i="4"/>
  <c r="AE73" i="4"/>
  <c r="AE69" i="4"/>
  <c r="AE66" i="4"/>
  <c r="AE65" i="4"/>
  <c r="AE70" i="4"/>
  <c r="AP71" i="4"/>
  <c r="AP67" i="4"/>
  <c r="AP64" i="4"/>
  <c r="AP68" i="4"/>
  <c r="AP72" i="4"/>
  <c r="AP69" i="4"/>
  <c r="AP65" i="4"/>
  <c r="AP70" i="4"/>
  <c r="AP73" i="4"/>
  <c r="AP66" i="4"/>
  <c r="AJ67" i="4"/>
  <c r="AJ65" i="4"/>
  <c r="AJ70" i="4"/>
  <c r="AJ71" i="4"/>
  <c r="AJ72" i="4"/>
  <c r="AJ66" i="4"/>
  <c r="AJ68" i="4"/>
  <c r="AJ64" i="4"/>
  <c r="AJ73" i="4"/>
  <c r="AJ69" i="4"/>
  <c r="AQ66" i="4"/>
  <c r="AQ72" i="4"/>
  <c r="AQ68" i="4"/>
  <c r="AQ71" i="4"/>
  <c r="AQ65" i="4"/>
  <c r="AQ70" i="4"/>
  <c r="AQ67" i="4"/>
  <c r="AQ73" i="4"/>
  <c r="AQ69" i="4"/>
  <c r="AQ64" i="4"/>
  <c r="AD66" i="4"/>
  <c r="AD67" i="4"/>
  <c r="AD73" i="4"/>
  <c r="AD64" i="4"/>
  <c r="AD70" i="4"/>
  <c r="AD69" i="4"/>
  <c r="AD71" i="4"/>
  <c r="AD72" i="4"/>
  <c r="AD65" i="4"/>
  <c r="AD68" i="4"/>
  <c r="DY5" i="4"/>
  <c r="DU3" i="4"/>
  <c r="DW5" i="4"/>
  <c r="AC71" i="4"/>
  <c r="AC72" i="4"/>
  <c r="AC73" i="4"/>
  <c r="AC70" i="4"/>
  <c r="AC66" i="4"/>
  <c r="AC65" i="4"/>
  <c r="AC67" i="4"/>
  <c r="AC64" i="4"/>
  <c r="AC69" i="4"/>
  <c r="AC68" i="4"/>
  <c r="AZ73" i="4"/>
  <c r="AZ68" i="4"/>
  <c r="AZ69" i="4"/>
  <c r="AZ71" i="4"/>
  <c r="AZ67" i="4"/>
  <c r="AZ70" i="4"/>
  <c r="AZ64" i="4"/>
  <c r="AZ66" i="4"/>
  <c r="AZ72" i="4"/>
  <c r="AZ65" i="4"/>
  <c r="AM73" i="4"/>
  <c r="AM69" i="4"/>
  <c r="AM65" i="4"/>
  <c r="AM71" i="4"/>
  <c r="AM72" i="4"/>
  <c r="AM66" i="4"/>
  <c r="AM64" i="4"/>
  <c r="AM68" i="4"/>
  <c r="AM70" i="4"/>
  <c r="AM67" i="4"/>
  <c r="AY69" i="4"/>
  <c r="AY70" i="4"/>
  <c r="AY68" i="4"/>
  <c r="AY66" i="4"/>
  <c r="AY64" i="4"/>
  <c r="AY65" i="4"/>
  <c r="AY67" i="4"/>
  <c r="AY73" i="4"/>
  <c r="AY72" i="4"/>
  <c r="AY71" i="4"/>
  <c r="AL69" i="4"/>
  <c r="AL68" i="4"/>
  <c r="AL72" i="4"/>
  <c r="AL66" i="4"/>
  <c r="AL64" i="4"/>
  <c r="AL71" i="4"/>
  <c r="AL65" i="4"/>
  <c r="AL70" i="4"/>
  <c r="AL73" i="4"/>
  <c r="AL67" i="4"/>
  <c r="AX73" i="4"/>
  <c r="AX72" i="4"/>
  <c r="AX65" i="4"/>
  <c r="BK65" i="4"/>
  <c r="BW65" i="4"/>
  <c r="AX70" i="4"/>
  <c r="AX67" i="4"/>
  <c r="AX68" i="4"/>
  <c r="BK68" i="4"/>
  <c r="BW68" i="4"/>
  <c r="AX69" i="4"/>
  <c r="AX64" i="4"/>
  <c r="AX71" i="4"/>
  <c r="AX66" i="4"/>
  <c r="AK73" i="4"/>
  <c r="AK72" i="4"/>
  <c r="AK70" i="4"/>
  <c r="AK69" i="4"/>
  <c r="AK68" i="4"/>
  <c r="AK66" i="4"/>
  <c r="AK64" i="4"/>
  <c r="AK65" i="4"/>
  <c r="AK71" i="4"/>
  <c r="AK67" i="4"/>
  <c r="DE11" i="4"/>
  <c r="DE17" i="4"/>
  <c r="DE23" i="4"/>
  <c r="DE34" i="4"/>
  <c r="DE38" i="4"/>
  <c r="DE44" i="4"/>
  <c r="DE50" i="4"/>
  <c r="DE56" i="4"/>
  <c r="DE62" i="4"/>
  <c r="DE7" i="4"/>
  <c r="DE13" i="4"/>
  <c r="DE19" i="4"/>
  <c r="DE25" i="4"/>
  <c r="DE30" i="4"/>
  <c r="DE40" i="4"/>
  <c r="DE46" i="4"/>
  <c r="DE52" i="4"/>
  <c r="DE58" i="4"/>
  <c r="BQ5" i="4"/>
  <c r="CQ5" i="4"/>
  <c r="BP5" i="4"/>
  <c r="CP5" i="4"/>
  <c r="BC5" i="4"/>
  <c r="BD5" i="4"/>
  <c r="CD5" i="4"/>
  <c r="BZ27" i="4"/>
  <c r="BF5" i="4"/>
  <c r="CF5" i="4"/>
  <c r="BE5" i="4"/>
  <c r="CE5" i="4"/>
  <c r="BN5" i="4"/>
  <c r="CN5" i="4"/>
  <c r="BZ5" i="4"/>
  <c r="CZ5" i="4"/>
  <c r="BM5" i="4"/>
  <c r="CM5" i="4"/>
  <c r="BR5" i="4"/>
  <c r="CR5" i="4"/>
  <c r="CA5" i="4"/>
  <c r="BY5" i="4"/>
  <c r="CY5" i="4"/>
  <c r="BL5" i="4"/>
  <c r="CL5" i="4"/>
  <c r="BX26" i="4"/>
  <c r="BT5" i="4"/>
  <c r="CT5" i="4"/>
  <c r="BX5" i="4"/>
  <c r="CX5" i="4"/>
  <c r="BK5" i="4"/>
  <c r="CK5" i="4"/>
  <c r="BZ33" i="4"/>
  <c r="BW5" i="4"/>
  <c r="CW5" i="4"/>
  <c r="BJ5" i="4"/>
  <c r="CJ5" i="4"/>
  <c r="BS21" i="4"/>
  <c r="BG5" i="4"/>
  <c r="CG5" i="4"/>
  <c r="BV5" i="4"/>
  <c r="CV5" i="4"/>
  <c r="BI5" i="4"/>
  <c r="CI5" i="4"/>
  <c r="BS5" i="4"/>
  <c r="CS5" i="4"/>
  <c r="BU5" i="4"/>
  <c r="CU5" i="4"/>
  <c r="BH5" i="4"/>
  <c r="CH5" i="4"/>
  <c r="BU21" i="4"/>
  <c r="F16" i="8"/>
  <c r="E30" i="8"/>
  <c r="F30" i="8"/>
  <c r="F21" i="8"/>
  <c r="J8" i="8"/>
  <c r="J9" i="8"/>
  <c r="E19" i="8"/>
  <c r="E7" i="8"/>
  <c r="E31" i="8"/>
  <c r="F31" i="8"/>
  <c r="F6" i="8"/>
  <c r="F28" i="8"/>
  <c r="E32" i="8"/>
  <c r="F32" i="8"/>
  <c r="F3" i="8"/>
  <c r="E18" i="8"/>
  <c r="F18" i="8"/>
  <c r="F4" i="8"/>
  <c r="F19" i="8"/>
  <c r="E3" i="8"/>
  <c r="F7" i="8"/>
  <c r="F15" i="8"/>
  <c r="E20" i="8"/>
  <c r="F20" i="8"/>
  <c r="F27" i="8"/>
  <c r="G25" i="8"/>
  <c r="E16" i="8"/>
  <c r="G18" i="8"/>
  <c r="G30" i="8"/>
  <c r="E4" i="8"/>
  <c r="E8" i="8"/>
  <c r="F8" i="8"/>
  <c r="E21" i="8"/>
  <c r="E33" i="8"/>
  <c r="F33" i="8"/>
  <c r="G28" i="8"/>
  <c r="E6" i="8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I18" i="5"/>
  <c r="I19" i="5"/>
  <c r="I20" i="5"/>
  <c r="I21" i="5"/>
  <c r="I22" i="5"/>
  <c r="I23" i="5"/>
  <c r="I24" i="5"/>
  <c r="I25" i="5"/>
  <c r="I26" i="5"/>
  <c r="I27" i="5"/>
  <c r="I28" i="5"/>
  <c r="I17" i="5"/>
  <c r="I6" i="5"/>
  <c r="I7" i="5"/>
  <c r="I8" i="5"/>
  <c r="I9" i="5"/>
  <c r="I10" i="5"/>
  <c r="I11" i="5"/>
  <c r="I12" i="5"/>
  <c r="I13" i="5"/>
  <c r="I14" i="5"/>
  <c r="I15" i="5"/>
  <c r="I16" i="5"/>
  <c r="I5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BQ26" i="4"/>
  <c r="BX14" i="4"/>
  <c r="BV28" i="4"/>
  <c r="BY27" i="4"/>
  <c r="BK72" i="4"/>
  <c r="BW72" i="4"/>
  <c r="BM72" i="4"/>
  <c r="BY72" i="4"/>
  <c r="BD69" i="4"/>
  <c r="BP69" i="4"/>
  <c r="CP69" i="4"/>
  <c r="BK73" i="4"/>
  <c r="BW73" i="4"/>
  <c r="BJ68" i="4"/>
  <c r="BV68" i="4"/>
  <c r="BQ32" i="4"/>
  <c r="BY15" i="4"/>
  <c r="BM71" i="4"/>
  <c r="BY71" i="4"/>
  <c r="BF70" i="4"/>
  <c r="BR70" i="4"/>
  <c r="BK67" i="4"/>
  <c r="BW67" i="4"/>
  <c r="BJ65" i="4"/>
  <c r="BV65" i="4"/>
  <c r="BJ64" i="4"/>
  <c r="BV64" i="4"/>
  <c r="BE65" i="4"/>
  <c r="BQ65" i="4"/>
  <c r="BH64" i="4"/>
  <c r="BT64" i="4"/>
  <c r="BQ28" i="4"/>
  <c r="BF68" i="4"/>
  <c r="BR68" i="4"/>
  <c r="BM69" i="4"/>
  <c r="BY69" i="4"/>
  <c r="BD68" i="4"/>
  <c r="BP68" i="4"/>
  <c r="CP68" i="4"/>
  <c r="BG64" i="4"/>
  <c r="BS64" i="4"/>
  <c r="BL66" i="4"/>
  <c r="BX66" i="4"/>
  <c r="BN66" i="4"/>
  <c r="BZ66" i="4"/>
  <c r="BH68" i="4"/>
  <c r="BT68" i="4"/>
  <c r="BL68" i="4"/>
  <c r="BX68" i="4"/>
  <c r="BM73" i="4"/>
  <c r="BY73" i="4"/>
  <c r="BN67" i="4"/>
  <c r="BZ67" i="4"/>
  <c r="BR28" i="4"/>
  <c r="BD64" i="4"/>
  <c r="BE71" i="4"/>
  <c r="BQ71" i="4"/>
  <c r="BF73" i="4"/>
  <c r="BR73" i="4"/>
  <c r="BW26" i="4"/>
  <c r="BG73" i="4"/>
  <c r="BS73" i="4"/>
  <c r="BH65" i="4"/>
  <c r="BT65" i="4"/>
  <c r="EC5" i="4"/>
  <c r="DY3" i="4"/>
  <c r="BN65" i="4"/>
  <c r="BZ65" i="4"/>
  <c r="BG69" i="4"/>
  <c r="BS69" i="4"/>
  <c r="BI66" i="4"/>
  <c r="BU66" i="4"/>
  <c r="BR21" i="4"/>
  <c r="BQ41" i="4"/>
  <c r="BQ57" i="4"/>
  <c r="BL71" i="4"/>
  <c r="BX71" i="4"/>
  <c r="BM66" i="4"/>
  <c r="BY66" i="4"/>
  <c r="BD73" i="4"/>
  <c r="BP73" i="4"/>
  <c r="BE67" i="4"/>
  <c r="BQ67" i="4"/>
  <c r="BH67" i="4"/>
  <c r="BT67" i="4"/>
  <c r="BG67" i="4"/>
  <c r="BS67" i="4"/>
  <c r="BI65" i="4"/>
  <c r="BU65" i="4"/>
  <c r="CA68" i="4"/>
  <c r="CA72" i="4"/>
  <c r="CA73" i="4"/>
  <c r="CA66" i="4"/>
  <c r="CA64" i="4"/>
  <c r="CA69" i="4"/>
  <c r="CA65" i="4"/>
  <c r="CA71" i="4"/>
  <c r="CA70" i="4"/>
  <c r="CA67" i="4"/>
  <c r="BL72" i="4"/>
  <c r="BX72" i="4"/>
  <c r="BM64" i="4"/>
  <c r="BY64" i="4"/>
  <c r="EA5" i="4"/>
  <c r="DW3" i="4"/>
  <c r="BD67" i="4"/>
  <c r="BP67" i="4"/>
  <c r="BE73" i="4"/>
  <c r="BQ73" i="4"/>
  <c r="BJ72" i="4"/>
  <c r="BV72" i="4"/>
  <c r="BG65" i="4"/>
  <c r="BS65" i="4"/>
  <c r="BH71" i="4"/>
  <c r="BT71" i="4"/>
  <c r="EB5" i="4"/>
  <c r="DX3" i="4"/>
  <c r="BI72" i="4"/>
  <c r="BU72" i="4"/>
  <c r="BW28" i="4"/>
  <c r="BK66" i="4"/>
  <c r="BW66" i="4"/>
  <c r="BL73" i="4"/>
  <c r="BX73" i="4"/>
  <c r="BM70" i="4"/>
  <c r="BY70" i="4"/>
  <c r="BD70" i="4"/>
  <c r="BP70" i="4"/>
  <c r="BE68" i="4"/>
  <c r="BQ68" i="4"/>
  <c r="BF69" i="4"/>
  <c r="BR69" i="4"/>
  <c r="BG71" i="4"/>
  <c r="BS71" i="4"/>
  <c r="BH73" i="4"/>
  <c r="BT73" i="4"/>
  <c r="BI67" i="4"/>
  <c r="BU67" i="4"/>
  <c r="BZ35" i="4"/>
  <c r="BK71" i="4"/>
  <c r="BW71" i="4"/>
  <c r="BL67" i="4"/>
  <c r="BX67" i="4"/>
  <c r="BM67" i="4"/>
  <c r="BY67" i="4"/>
  <c r="BD65" i="4"/>
  <c r="BP65" i="4"/>
  <c r="BN64" i="4"/>
  <c r="BZ64" i="4"/>
  <c r="BF66" i="4"/>
  <c r="BR66" i="4"/>
  <c r="BJ70" i="4"/>
  <c r="BV70" i="4"/>
  <c r="BG68" i="4"/>
  <c r="BS68" i="4"/>
  <c r="BH70" i="4"/>
  <c r="BT70" i="4"/>
  <c r="BI64" i="4"/>
  <c r="BU64" i="4"/>
  <c r="BL64" i="4"/>
  <c r="BX64" i="4"/>
  <c r="BK64" i="4"/>
  <c r="BW64" i="4"/>
  <c r="BM65" i="4"/>
  <c r="BY65" i="4"/>
  <c r="BL65" i="4"/>
  <c r="BX65" i="4"/>
  <c r="BD71" i="4"/>
  <c r="BP71" i="4"/>
  <c r="BN68" i="4"/>
  <c r="BZ68" i="4"/>
  <c r="BJ71" i="4"/>
  <c r="BV71" i="4"/>
  <c r="BG70" i="4"/>
  <c r="BS70" i="4"/>
  <c r="BI71" i="4"/>
  <c r="BU71" i="4"/>
  <c r="BK69" i="4"/>
  <c r="BW69" i="4"/>
  <c r="BE72" i="4"/>
  <c r="BQ72" i="4"/>
  <c r="BF65" i="4"/>
  <c r="BR65" i="4"/>
  <c r="BJ66" i="4"/>
  <c r="BV66" i="4"/>
  <c r="BI70" i="4"/>
  <c r="BU70" i="4"/>
  <c r="BM68" i="4"/>
  <c r="BY68" i="4"/>
  <c r="BD72" i="4"/>
  <c r="BP72" i="4"/>
  <c r="BE64" i="4"/>
  <c r="BQ64" i="4"/>
  <c r="BF72" i="4"/>
  <c r="BR72" i="4"/>
  <c r="BJ73" i="4"/>
  <c r="BV73" i="4"/>
  <c r="BG72" i="4"/>
  <c r="BS72" i="4"/>
  <c r="BI73" i="4"/>
  <c r="BU73" i="4"/>
  <c r="BD66" i="4"/>
  <c r="BP66" i="4"/>
  <c r="BE66" i="4"/>
  <c r="BQ66" i="4"/>
  <c r="BF67" i="4"/>
  <c r="BR67" i="4"/>
  <c r="BH66" i="4"/>
  <c r="BT66" i="4"/>
  <c r="BG66" i="4"/>
  <c r="BS66" i="4"/>
  <c r="BH72" i="4"/>
  <c r="BT72" i="4"/>
  <c r="BK70" i="4"/>
  <c r="BW70" i="4"/>
  <c r="BL70" i="4"/>
  <c r="BX70" i="4"/>
  <c r="BE69" i="4"/>
  <c r="BQ69" i="4"/>
  <c r="BF71" i="4"/>
  <c r="BR71" i="4"/>
  <c r="BH69" i="4"/>
  <c r="BT69" i="4"/>
  <c r="BJ69" i="4"/>
  <c r="BV69" i="4"/>
  <c r="BI69" i="4"/>
  <c r="BU69" i="4"/>
  <c r="BR47" i="4"/>
  <c r="CC5" i="4"/>
  <c r="BC71" i="4"/>
  <c r="BC68" i="4"/>
  <c r="BC67" i="4"/>
  <c r="BC70" i="4"/>
  <c r="BC69" i="4"/>
  <c r="BC66" i="4"/>
  <c r="BC64" i="4"/>
  <c r="BC73" i="4"/>
  <c r="BC65" i="4"/>
  <c r="BC72" i="4"/>
  <c r="BL69" i="4"/>
  <c r="BX69" i="4"/>
  <c r="BE70" i="4"/>
  <c r="BQ70" i="4"/>
  <c r="BF64" i="4"/>
  <c r="BR64" i="4"/>
  <c r="BJ67" i="4"/>
  <c r="BV67" i="4"/>
  <c r="DZ5" i="4"/>
  <c r="DV3" i="4"/>
  <c r="BI68" i="4"/>
  <c r="BU68" i="4"/>
  <c r="BX11" i="4"/>
  <c r="BR22" i="4"/>
  <c r="BU26" i="4"/>
  <c r="BY9" i="4"/>
  <c r="BW16" i="4"/>
  <c r="BQ40" i="4"/>
  <c r="BQ55" i="4"/>
  <c r="BQ62" i="4"/>
  <c r="BW13" i="4"/>
  <c r="BQ31" i="4"/>
  <c r="BX15" i="4"/>
  <c r="BW7" i="4"/>
  <c r="BQ42" i="4"/>
  <c r="BQ59" i="4"/>
  <c r="BX7" i="4"/>
  <c r="BZ58" i="4"/>
  <c r="BT30" i="4"/>
  <c r="BT39" i="4"/>
  <c r="BT51" i="4"/>
  <c r="CA57" i="4"/>
  <c r="CA45" i="4"/>
  <c r="CA35" i="4"/>
  <c r="CA25" i="4"/>
  <c r="CA13" i="4"/>
  <c r="CA55" i="4"/>
  <c r="CA11" i="4"/>
  <c r="CA41" i="4"/>
  <c r="CA56" i="4"/>
  <c r="CA44" i="4"/>
  <c r="CA34" i="4"/>
  <c r="CA24" i="4"/>
  <c r="CA12" i="4"/>
  <c r="CA33" i="4"/>
  <c r="CA53" i="4"/>
  <c r="CA54" i="4"/>
  <c r="CA42" i="4"/>
  <c r="CA22" i="4"/>
  <c r="CA10" i="4"/>
  <c r="DA5" i="4"/>
  <c r="CA32" i="4"/>
  <c r="CA52" i="4"/>
  <c r="CA40" i="4"/>
  <c r="CA31" i="4"/>
  <c r="CA20" i="4"/>
  <c r="CA8" i="4"/>
  <c r="CA21" i="4"/>
  <c r="CA51" i="4"/>
  <c r="CA39" i="4"/>
  <c r="CA30" i="4"/>
  <c r="CA19" i="4"/>
  <c r="CA7" i="4"/>
  <c r="CA62" i="4"/>
  <c r="CA50" i="4"/>
  <c r="CA38" i="4"/>
  <c r="CA29" i="4"/>
  <c r="CA18" i="4"/>
  <c r="CA6" i="4"/>
  <c r="CA59" i="4"/>
  <c r="CA61" i="4"/>
  <c r="CA49" i="4"/>
  <c r="CA37" i="4"/>
  <c r="CA17" i="4"/>
  <c r="CA27" i="4"/>
  <c r="CA60" i="4"/>
  <c r="CA48" i="4"/>
  <c r="CA36" i="4"/>
  <c r="CA28" i="4"/>
  <c r="CA16" i="4"/>
  <c r="CA15" i="4"/>
  <c r="CA47" i="4"/>
  <c r="CA58" i="4"/>
  <c r="CA46" i="4"/>
  <c r="CA26" i="4"/>
  <c r="CA14" i="4"/>
  <c r="CA43" i="4"/>
  <c r="CA23" i="4"/>
  <c r="CA9" i="4"/>
  <c r="BV27" i="4"/>
  <c r="BX23" i="4"/>
  <c r="BQ11" i="4"/>
  <c r="BR61" i="4"/>
  <c r="BW11" i="4"/>
  <c r="BR53" i="4"/>
  <c r="BW24" i="4"/>
  <c r="BX19" i="4"/>
  <c r="BX13" i="4"/>
  <c r="BX17" i="4"/>
  <c r="BW19" i="4"/>
  <c r="BR33" i="4"/>
  <c r="BR43" i="4"/>
  <c r="BV13" i="4"/>
  <c r="BP26" i="4"/>
  <c r="BQ18" i="4"/>
  <c r="BQ6" i="4"/>
  <c r="BZ62" i="4"/>
  <c r="BW22" i="4"/>
  <c r="BX6" i="4"/>
  <c r="BY19" i="4"/>
  <c r="BX16" i="4"/>
  <c r="BR59" i="4"/>
  <c r="BX10" i="4"/>
  <c r="BT22" i="4"/>
  <c r="BQ10" i="4"/>
  <c r="BW15" i="4"/>
  <c r="BY21" i="4"/>
  <c r="BV24" i="4"/>
  <c r="BX9" i="4"/>
  <c r="BP24" i="4"/>
  <c r="BZ19" i="4"/>
  <c r="BZ13" i="4"/>
  <c r="BZ7" i="4"/>
  <c r="BX21" i="4"/>
  <c r="BY7" i="4"/>
  <c r="BY13" i="4"/>
  <c r="BY11" i="4"/>
  <c r="BQ39" i="4"/>
  <c r="BQ53" i="4"/>
  <c r="BQ60" i="4"/>
  <c r="BQ19" i="4"/>
  <c r="BQ13" i="4"/>
  <c r="BQ7" i="4"/>
  <c r="BQ36" i="4"/>
  <c r="BQ48" i="4"/>
  <c r="BQ54" i="4"/>
  <c r="BQ37" i="4"/>
  <c r="BQ49" i="4"/>
  <c r="BQ56" i="4"/>
  <c r="BV23" i="4"/>
  <c r="BW9" i="4"/>
  <c r="BQ12" i="4"/>
  <c r="BQ38" i="4"/>
  <c r="BQ51" i="4"/>
  <c r="BQ58" i="4"/>
  <c r="BR9" i="4"/>
  <c r="BZ45" i="4"/>
  <c r="BR52" i="4"/>
  <c r="BQ17" i="4"/>
  <c r="BX24" i="4"/>
  <c r="BZ53" i="4"/>
  <c r="BQ16" i="4"/>
  <c r="BW18" i="4"/>
  <c r="BT47" i="4"/>
  <c r="BT59" i="4"/>
  <c r="BY26" i="4"/>
  <c r="BR19" i="4"/>
  <c r="BR13" i="4"/>
  <c r="BR7" i="4"/>
  <c r="BW21" i="4"/>
  <c r="BW14" i="4"/>
  <c r="BQ14" i="4"/>
  <c r="BY20" i="4"/>
  <c r="BQ20" i="4"/>
  <c r="BQ8" i="4"/>
  <c r="BX18" i="4"/>
  <c r="BT24" i="4"/>
  <c r="BZ22" i="4"/>
  <c r="BY16" i="4"/>
  <c r="BP34" i="4"/>
  <c r="BP44" i="4"/>
  <c r="BZ44" i="4"/>
  <c r="BY24" i="4"/>
  <c r="BW27" i="4"/>
  <c r="BZ34" i="4"/>
  <c r="BQ30" i="4"/>
  <c r="BR26" i="4"/>
  <c r="BR58" i="4"/>
  <c r="BY10" i="4"/>
  <c r="BR60" i="4"/>
  <c r="BT20" i="4"/>
  <c r="BT14" i="4"/>
  <c r="BR27" i="4"/>
  <c r="BV19" i="4"/>
  <c r="BT42" i="4"/>
  <c r="BT54" i="4"/>
  <c r="BR11" i="4"/>
  <c r="BR38" i="4"/>
  <c r="BQ29" i="4"/>
  <c r="BP23" i="4"/>
  <c r="BX20" i="4"/>
  <c r="BW10" i="4"/>
  <c r="BR39" i="4"/>
  <c r="BR51" i="4"/>
  <c r="BW12" i="4"/>
  <c r="BY25" i="4"/>
  <c r="BT33" i="4"/>
  <c r="BT43" i="4"/>
  <c r="BT55" i="4"/>
  <c r="BR50" i="4"/>
  <c r="BP14" i="4"/>
  <c r="BZ61" i="4"/>
  <c r="BP18" i="4"/>
  <c r="BP6" i="4"/>
  <c r="BP20" i="4"/>
  <c r="BZ30" i="4"/>
  <c r="BZ52" i="4"/>
  <c r="BP8" i="4"/>
  <c r="BU16" i="4"/>
  <c r="BU10" i="4"/>
  <c r="BT36" i="4"/>
  <c r="BT60" i="4"/>
  <c r="BZ18" i="4"/>
  <c r="BZ6" i="4"/>
  <c r="BR24" i="4"/>
  <c r="BR34" i="4"/>
  <c r="BR44" i="4"/>
  <c r="BZ38" i="4"/>
  <c r="BT29" i="4"/>
  <c r="BT38" i="4"/>
  <c r="BT50" i="4"/>
  <c r="BT62" i="4"/>
  <c r="BV25" i="4"/>
  <c r="BS18" i="4"/>
  <c r="BS12" i="4"/>
  <c r="BS6" i="4"/>
  <c r="BT11" i="4"/>
  <c r="BR46" i="4"/>
  <c r="BQ33" i="4"/>
  <c r="BQ43" i="4"/>
  <c r="BQ61" i="4"/>
  <c r="BZ20" i="4"/>
  <c r="BZ14" i="4"/>
  <c r="BW20" i="4"/>
  <c r="BR54" i="4"/>
  <c r="BP47" i="4"/>
  <c r="BP52" i="4"/>
  <c r="BR56" i="4"/>
  <c r="BP27" i="4"/>
  <c r="BZ54" i="4"/>
  <c r="BR25" i="4"/>
  <c r="BV32" i="4"/>
  <c r="BV41" i="4"/>
  <c r="BV53" i="4"/>
  <c r="BZ42" i="4"/>
  <c r="BT15" i="4"/>
  <c r="BT9" i="4"/>
  <c r="BU20" i="4"/>
  <c r="BU14" i="4"/>
  <c r="BU8" i="4"/>
  <c r="BY18" i="4"/>
  <c r="BZ25" i="4"/>
  <c r="BT32" i="4"/>
  <c r="BT53" i="4"/>
  <c r="BX28" i="4"/>
  <c r="BS37" i="4"/>
  <c r="BR36" i="4"/>
  <c r="BR37" i="4"/>
  <c r="BS10" i="4"/>
  <c r="BT41" i="4"/>
  <c r="BZ43" i="4"/>
  <c r="BQ23" i="4"/>
  <c r="BW6" i="4"/>
  <c r="BQ24" i="4"/>
  <c r="BS11" i="4"/>
  <c r="BR18" i="4"/>
  <c r="BR12" i="4"/>
  <c r="BR6" i="4"/>
  <c r="BZ36" i="4"/>
  <c r="BP21" i="4"/>
  <c r="BP15" i="4"/>
  <c r="BP9" i="4"/>
  <c r="BY37" i="4"/>
  <c r="BY50" i="4"/>
  <c r="BY59" i="4"/>
  <c r="BQ22" i="4"/>
  <c r="BY14" i="4"/>
  <c r="BZ55" i="4"/>
  <c r="BR49" i="4"/>
  <c r="BU18" i="4"/>
  <c r="BU12" i="4"/>
  <c r="BU6" i="4"/>
  <c r="BT34" i="4"/>
  <c r="BT44" i="4"/>
  <c r="BT56" i="4"/>
  <c r="BR29" i="4"/>
  <c r="BR62" i="4"/>
  <c r="BS27" i="4"/>
  <c r="BT19" i="4"/>
  <c r="BT13" i="4"/>
  <c r="BT7" i="4"/>
  <c r="BU31" i="4"/>
  <c r="BU40" i="4"/>
  <c r="BU52" i="4"/>
  <c r="BZ23" i="4"/>
  <c r="BV34" i="4"/>
  <c r="BV44" i="4"/>
  <c r="BV56" i="4"/>
  <c r="BU28" i="4"/>
  <c r="BZ57" i="4"/>
  <c r="BZ40" i="4"/>
  <c r="BX8" i="4"/>
  <c r="BT57" i="4"/>
  <c r="BR17" i="4"/>
  <c r="BS61" i="4"/>
  <c r="BX30" i="4"/>
  <c r="BX39" i="4"/>
  <c r="BX51" i="4"/>
  <c r="BQ35" i="4"/>
  <c r="BQ45" i="4"/>
  <c r="BT45" i="4"/>
  <c r="BU17" i="4"/>
  <c r="BU11" i="4"/>
  <c r="BT46" i="4"/>
  <c r="BT58" i="4"/>
  <c r="BR40" i="4"/>
  <c r="BY23" i="4"/>
  <c r="BQ46" i="4"/>
  <c r="BQ50" i="4"/>
  <c r="BY31" i="4"/>
  <c r="BY40" i="4"/>
  <c r="BY56" i="4"/>
  <c r="BZ11" i="4"/>
  <c r="BT26" i="4"/>
  <c r="BT35" i="4"/>
  <c r="BR30" i="4"/>
  <c r="BR32" i="4"/>
  <c r="BR41" i="4"/>
  <c r="BU33" i="4"/>
  <c r="BU43" i="4"/>
  <c r="BU55" i="4"/>
  <c r="BS9" i="4"/>
  <c r="BR16" i="4"/>
  <c r="BR10" i="4"/>
  <c r="BZ60" i="4"/>
  <c r="BQ47" i="4"/>
  <c r="BQ52" i="4"/>
  <c r="BP19" i="4"/>
  <c r="BP13" i="4"/>
  <c r="BP7" i="4"/>
  <c r="BY6" i="4"/>
  <c r="BX22" i="4"/>
  <c r="BT48" i="4"/>
  <c r="BR42" i="4"/>
  <c r="BU22" i="4"/>
  <c r="BW36" i="4"/>
  <c r="BW48" i="4"/>
  <c r="BW60" i="4"/>
  <c r="BS31" i="4"/>
  <c r="BS40" i="4"/>
  <c r="BS52" i="4"/>
  <c r="BX42" i="4"/>
  <c r="BX54" i="4"/>
  <c r="BR48" i="4"/>
  <c r="BR23" i="4"/>
  <c r="BR55" i="4"/>
  <c r="BR15" i="4"/>
  <c r="BY28" i="4"/>
  <c r="BU15" i="4"/>
  <c r="BU9" i="4"/>
  <c r="BT16" i="4"/>
  <c r="BT10" i="4"/>
  <c r="BQ27" i="4"/>
  <c r="BZ51" i="4"/>
  <c r="BQ25" i="4"/>
  <c r="BZ15" i="4"/>
  <c r="BZ9" i="4"/>
  <c r="BR57" i="4"/>
  <c r="BZ26" i="4"/>
  <c r="BS19" i="4"/>
  <c r="BS13" i="4"/>
  <c r="BS7" i="4"/>
  <c r="BW30" i="4"/>
  <c r="BW39" i="4"/>
  <c r="BW51" i="4"/>
  <c r="BW23" i="4"/>
  <c r="BP11" i="4"/>
  <c r="BT23" i="4"/>
  <c r="BU24" i="4"/>
  <c r="BR31" i="4"/>
  <c r="BU32" i="4"/>
  <c r="BU41" i="4"/>
  <c r="BU53" i="4"/>
  <c r="BV42" i="4"/>
  <c r="BV54" i="4"/>
  <c r="BW37" i="4"/>
  <c r="BW49" i="4"/>
  <c r="BW61" i="4"/>
  <c r="BS29" i="4"/>
  <c r="BS38" i="4"/>
  <c r="BS50" i="4"/>
  <c r="BS62" i="4"/>
  <c r="BX31" i="4"/>
  <c r="BX40" i="4"/>
  <c r="BX52" i="4"/>
  <c r="BZ59" i="4"/>
  <c r="BY29" i="4"/>
  <c r="BY38" i="4"/>
  <c r="BY52" i="4"/>
  <c r="BY61" i="4"/>
  <c r="BP35" i="4"/>
  <c r="BP45" i="4"/>
  <c r="BX12" i="4"/>
  <c r="BV18" i="4"/>
  <c r="BT18" i="4"/>
  <c r="BT12" i="4"/>
  <c r="BT6" i="4"/>
  <c r="BU42" i="4"/>
  <c r="BU54" i="4"/>
  <c r="BS17" i="4"/>
  <c r="BV33" i="4"/>
  <c r="BV43" i="4"/>
  <c r="BV55" i="4"/>
  <c r="BW29" i="4"/>
  <c r="BW38" i="4"/>
  <c r="BW50" i="4"/>
  <c r="BW62" i="4"/>
  <c r="BS30" i="4"/>
  <c r="BS39" i="4"/>
  <c r="BS51" i="4"/>
  <c r="BX32" i="4"/>
  <c r="BX41" i="4"/>
  <c r="BX53" i="4"/>
  <c r="BY30" i="4"/>
  <c r="BY39" i="4"/>
  <c r="BY54" i="4"/>
  <c r="BV14" i="4"/>
  <c r="BP25" i="4"/>
  <c r="BP46" i="4"/>
  <c r="BP50" i="4"/>
  <c r="BV8" i="4"/>
  <c r="BR20" i="4"/>
  <c r="BR14" i="4"/>
  <c r="BR8" i="4"/>
  <c r="BT25" i="4"/>
  <c r="BS49" i="4"/>
  <c r="BT37" i="4"/>
  <c r="BT49" i="4"/>
  <c r="BT61" i="4"/>
  <c r="BT17" i="4"/>
  <c r="BU34" i="4"/>
  <c r="BU44" i="4"/>
  <c r="BU56" i="4"/>
  <c r="BW17" i="4"/>
  <c r="BS16" i="4"/>
  <c r="BV35" i="4"/>
  <c r="BV45" i="4"/>
  <c r="BV57" i="4"/>
  <c r="BW8" i="4"/>
  <c r="BW31" i="4"/>
  <c r="BW40" i="4"/>
  <c r="BW52" i="4"/>
  <c r="BS32" i="4"/>
  <c r="BS41" i="4"/>
  <c r="BS53" i="4"/>
  <c r="BX33" i="4"/>
  <c r="BX43" i="4"/>
  <c r="BX55" i="4"/>
  <c r="BZ50" i="4"/>
  <c r="BY32" i="4"/>
  <c r="BY41" i="4"/>
  <c r="BY58" i="4"/>
  <c r="BY49" i="4"/>
  <c r="BZ47" i="4"/>
  <c r="BY8" i="4"/>
  <c r="BP36" i="4"/>
  <c r="BP48" i="4"/>
  <c r="BP54" i="4"/>
  <c r="BS28" i="4"/>
  <c r="BS24" i="4"/>
  <c r="BU35" i="4"/>
  <c r="BU45" i="4"/>
  <c r="BU57" i="4"/>
  <c r="BV22" i="4"/>
  <c r="BV46" i="4"/>
  <c r="BV58" i="4"/>
  <c r="BZ31" i="4"/>
  <c r="BW32" i="4"/>
  <c r="BW41" i="4"/>
  <c r="BW53" i="4"/>
  <c r="BS42" i="4"/>
  <c r="BS54" i="4"/>
  <c r="BX34" i="4"/>
  <c r="BX44" i="4"/>
  <c r="BX56" i="4"/>
  <c r="BS25" i="4"/>
  <c r="BY42" i="4"/>
  <c r="BY60" i="4"/>
  <c r="BZ41" i="4"/>
  <c r="BU23" i="4"/>
  <c r="BP37" i="4"/>
  <c r="BP49" i="4"/>
  <c r="BP56" i="4"/>
  <c r="BR35" i="4"/>
  <c r="BR45" i="4"/>
  <c r="BU46" i="4"/>
  <c r="BU58" i="4"/>
  <c r="BS15" i="4"/>
  <c r="BV47" i="4"/>
  <c r="BV59" i="4"/>
  <c r="BY22" i="4"/>
  <c r="BW42" i="4"/>
  <c r="BW54" i="4"/>
  <c r="BS33" i="4"/>
  <c r="BS43" i="4"/>
  <c r="BS55" i="4"/>
  <c r="BX35" i="4"/>
  <c r="BX45" i="4"/>
  <c r="BX57" i="4"/>
  <c r="BP12" i="4"/>
  <c r="BY33" i="4"/>
  <c r="BY43" i="4"/>
  <c r="BY62" i="4"/>
  <c r="BZ16" i="4"/>
  <c r="BZ10" i="4"/>
  <c r="BP29" i="4"/>
  <c r="BP38" i="4"/>
  <c r="BP51" i="4"/>
  <c r="BP58" i="4"/>
  <c r="BT21" i="4"/>
  <c r="BT27" i="4"/>
  <c r="BT31" i="4"/>
  <c r="BT40" i="4"/>
  <c r="BT52" i="4"/>
  <c r="BU47" i="4"/>
  <c r="BU59" i="4"/>
  <c r="BV36" i="4"/>
  <c r="BV48" i="4"/>
  <c r="BV60" i="4"/>
  <c r="BV15" i="4"/>
  <c r="BU25" i="4"/>
  <c r="BW33" i="4"/>
  <c r="BW43" i="4"/>
  <c r="BW55" i="4"/>
  <c r="BS34" i="4"/>
  <c r="BS44" i="4"/>
  <c r="BS56" i="4"/>
  <c r="BX46" i="4"/>
  <c r="BX58" i="4"/>
  <c r="BY34" i="4"/>
  <c r="BY44" i="4"/>
  <c r="BZ32" i="4"/>
  <c r="BP22" i="4"/>
  <c r="BP30" i="4"/>
  <c r="BP39" i="4"/>
  <c r="BP53" i="4"/>
  <c r="BP60" i="4"/>
  <c r="BV21" i="4"/>
  <c r="BW25" i="4"/>
  <c r="BU36" i="4"/>
  <c r="BU48" i="4"/>
  <c r="BU60" i="4"/>
  <c r="BS20" i="4"/>
  <c r="BS14" i="4"/>
  <c r="BS8" i="4"/>
  <c r="BV37" i="4"/>
  <c r="BV49" i="4"/>
  <c r="BV61" i="4"/>
  <c r="BV9" i="4"/>
  <c r="BW34" i="4"/>
  <c r="BW44" i="4"/>
  <c r="BW56" i="4"/>
  <c r="BS35" i="4"/>
  <c r="BS45" i="4"/>
  <c r="BS57" i="4"/>
  <c r="BX47" i="4"/>
  <c r="BX59" i="4"/>
  <c r="BP17" i="4"/>
  <c r="BY35" i="4"/>
  <c r="BY45" i="4"/>
  <c r="BY51" i="4"/>
  <c r="BZ24" i="4"/>
  <c r="BZ29" i="4"/>
  <c r="BZ21" i="4"/>
  <c r="BV11" i="4"/>
  <c r="BY12" i="4"/>
  <c r="BP31" i="4"/>
  <c r="BP40" i="4"/>
  <c r="BP55" i="4"/>
  <c r="BP62" i="4"/>
  <c r="BV17" i="4"/>
  <c r="BU19" i="4"/>
  <c r="BU13" i="4"/>
  <c r="BU7" i="4"/>
  <c r="BS23" i="4"/>
  <c r="BU37" i="4"/>
  <c r="BU49" i="4"/>
  <c r="BU61" i="4"/>
  <c r="BV29" i="4"/>
  <c r="BV38" i="4"/>
  <c r="BV50" i="4"/>
  <c r="BV62" i="4"/>
  <c r="BW35" i="4"/>
  <c r="BW45" i="4"/>
  <c r="BW57" i="4"/>
  <c r="BS46" i="4"/>
  <c r="BS58" i="4"/>
  <c r="BX36" i="4"/>
  <c r="BX48" i="4"/>
  <c r="BX60" i="4"/>
  <c r="BZ28" i="4"/>
  <c r="BY46" i="4"/>
  <c r="BY53" i="4"/>
  <c r="BV6" i="4"/>
  <c r="BP32" i="4"/>
  <c r="BP41" i="4"/>
  <c r="BP57" i="4"/>
  <c r="BV12" i="4"/>
  <c r="BV26" i="4"/>
  <c r="BX25" i="4"/>
  <c r="BT8" i="4"/>
  <c r="BU29" i="4"/>
  <c r="BU38" i="4"/>
  <c r="BU50" i="4"/>
  <c r="BU62" i="4"/>
  <c r="BV30" i="4"/>
  <c r="BV39" i="4"/>
  <c r="BV51" i="4"/>
  <c r="BW46" i="4"/>
  <c r="BW58" i="4"/>
  <c r="BV20" i="4"/>
  <c r="BS47" i="4"/>
  <c r="BS59" i="4"/>
  <c r="BQ21" i="4"/>
  <c r="BQ15" i="4"/>
  <c r="BQ9" i="4"/>
  <c r="BX37" i="4"/>
  <c r="BX49" i="4"/>
  <c r="BX61" i="4"/>
  <c r="BZ56" i="4"/>
  <c r="BV16" i="4"/>
  <c r="BS22" i="4"/>
  <c r="BP16" i="4"/>
  <c r="BP10" i="4"/>
  <c r="BY47" i="4"/>
  <c r="BY55" i="4"/>
  <c r="BP28" i="4"/>
  <c r="BY17" i="4"/>
  <c r="BP42" i="4"/>
  <c r="BP59" i="4"/>
  <c r="BS26" i="4"/>
  <c r="BV7" i="4"/>
  <c r="BX27" i="4"/>
  <c r="BU30" i="4"/>
  <c r="BU39" i="4"/>
  <c r="BU51" i="4"/>
  <c r="BV31" i="4"/>
  <c r="BV40" i="4"/>
  <c r="BV52" i="4"/>
  <c r="BZ37" i="4"/>
  <c r="BW47" i="4"/>
  <c r="BW59" i="4"/>
  <c r="BV10" i="4"/>
  <c r="BS36" i="4"/>
  <c r="BS48" i="4"/>
  <c r="BS60" i="4"/>
  <c r="BT28" i="4"/>
  <c r="BX29" i="4"/>
  <c r="BX38" i="4"/>
  <c r="BX50" i="4"/>
  <c r="BX62" i="4"/>
  <c r="BQ34" i="4"/>
  <c r="BQ44" i="4"/>
  <c r="BY36" i="4"/>
  <c r="BY48" i="4"/>
  <c r="BY57" i="4"/>
  <c r="BP33" i="4"/>
  <c r="BP43" i="4"/>
  <c r="BP61" i="4"/>
  <c r="BZ46" i="4"/>
  <c r="BZ39" i="4"/>
  <c r="J10" i="8"/>
  <c r="E9" i="8"/>
  <c r="F9" i="8"/>
  <c r="DA68" i="4"/>
  <c r="CE64" i="4"/>
  <c r="DH68" i="4"/>
  <c r="DW68" i="4" a="1"/>
  <c r="DW68" i="4"/>
  <c r="CU68" i="4"/>
  <c r="BP64" i="4"/>
  <c r="CU64" i="4"/>
  <c r="CX68" i="4"/>
  <c r="CW69" i="4"/>
  <c r="CZ68" i="4"/>
  <c r="CW68" i="4"/>
  <c r="CQ68" i="4"/>
  <c r="CR68" i="4"/>
  <c r="CT68" i="4"/>
  <c r="DA67" i="4"/>
  <c r="CV69" i="4"/>
  <c r="CQ69" i="4"/>
  <c r="CY69" i="4"/>
  <c r="EG5" i="4"/>
  <c r="EC3" i="4"/>
  <c r="CY68" i="4"/>
  <c r="CL71" i="4"/>
  <c r="CJ71" i="4"/>
  <c r="CD71" i="4"/>
  <c r="CF71" i="4"/>
  <c r="CM71" i="4"/>
  <c r="CK71" i="4"/>
  <c r="CG71" i="4"/>
  <c r="CI71" i="4"/>
  <c r="CC71" i="4"/>
  <c r="CE71" i="4"/>
  <c r="CH71" i="4"/>
  <c r="CC72" i="4"/>
  <c r="CJ72" i="4"/>
  <c r="CE72" i="4"/>
  <c r="CK72" i="4"/>
  <c r="CH72" i="4"/>
  <c r="CG72" i="4"/>
  <c r="CL72" i="4"/>
  <c r="CF72" i="4"/>
  <c r="CM72" i="4"/>
  <c r="CD72" i="4"/>
  <c r="CI72" i="4"/>
  <c r="CX69" i="4"/>
  <c r="CS73" i="4"/>
  <c r="CT73" i="4"/>
  <c r="CR73" i="4"/>
  <c r="CQ73" i="4"/>
  <c r="CP73" i="4"/>
  <c r="CY73" i="4"/>
  <c r="CX73" i="4"/>
  <c r="CW73" i="4"/>
  <c r="CV73" i="4"/>
  <c r="CU73" i="4"/>
  <c r="CC65" i="4"/>
  <c r="CL65" i="4"/>
  <c r="CD65" i="4"/>
  <c r="CE65" i="4"/>
  <c r="CI65" i="4"/>
  <c r="CH65" i="4"/>
  <c r="CK65" i="4"/>
  <c r="CJ65" i="4"/>
  <c r="CG65" i="4"/>
  <c r="CM65" i="4"/>
  <c r="CN65" i="4"/>
  <c r="DG65" i="4"/>
  <c r="EB65" i="4" a="1"/>
  <c r="EB65" i="4"/>
  <c r="CF65" i="4"/>
  <c r="EF5" i="4"/>
  <c r="EB3" i="4"/>
  <c r="CG73" i="4"/>
  <c r="CM73" i="4"/>
  <c r="CJ73" i="4"/>
  <c r="CI73" i="4"/>
  <c r="CF73" i="4"/>
  <c r="CC73" i="4"/>
  <c r="CK73" i="4"/>
  <c r="CH73" i="4"/>
  <c r="CE73" i="4"/>
  <c r="CD73" i="4"/>
  <c r="CL73" i="4"/>
  <c r="CX71" i="4"/>
  <c r="CQ71" i="4"/>
  <c r="CW71" i="4"/>
  <c r="CV71" i="4"/>
  <c r="CU71" i="4"/>
  <c r="CT71" i="4"/>
  <c r="CY71" i="4"/>
  <c r="CR71" i="4"/>
  <c r="CS71" i="4"/>
  <c r="CP71" i="4"/>
  <c r="CC64" i="4"/>
  <c r="CF64" i="4"/>
  <c r="DG64" i="4"/>
  <c r="EB64" i="4" a="1"/>
  <c r="EB64" i="4"/>
  <c r="CL64" i="4"/>
  <c r="CM64" i="4"/>
  <c r="CK64" i="4"/>
  <c r="CI64" i="4"/>
  <c r="CD64" i="4"/>
  <c r="CH64" i="4"/>
  <c r="CG64" i="4"/>
  <c r="CJ64" i="4"/>
  <c r="CN64" i="4"/>
  <c r="CZ64" i="4"/>
  <c r="CV64" i="4"/>
  <c r="CX64" i="4"/>
  <c r="CY64" i="4"/>
  <c r="CW64" i="4"/>
  <c r="CS64" i="4"/>
  <c r="CQ64" i="4"/>
  <c r="CR64" i="4"/>
  <c r="CP64" i="4"/>
  <c r="EE5" i="4"/>
  <c r="EA3" i="4"/>
  <c r="ED5" i="4"/>
  <c r="DZ3" i="4"/>
  <c r="CF66" i="4"/>
  <c r="CD66" i="4"/>
  <c r="DG66" i="4"/>
  <c r="CC66" i="4"/>
  <c r="CE66" i="4"/>
  <c r="CJ66" i="4"/>
  <c r="CI66" i="4"/>
  <c r="CL66" i="4"/>
  <c r="CK66" i="4"/>
  <c r="CN66" i="4"/>
  <c r="CM66" i="4"/>
  <c r="CH66" i="4"/>
  <c r="CG66" i="4"/>
  <c r="CT65" i="4"/>
  <c r="DH65" i="4"/>
  <c r="EA65" i="4" a="1"/>
  <c r="EA65" i="4"/>
  <c r="CQ65" i="4"/>
  <c r="CP65" i="4"/>
  <c r="DA65" i="4"/>
  <c r="CZ65" i="4"/>
  <c r="CU65" i="4"/>
  <c r="CY65" i="4"/>
  <c r="CS65" i="4"/>
  <c r="CX65" i="4"/>
  <c r="CR65" i="4"/>
  <c r="CV65" i="4"/>
  <c r="CW65" i="4"/>
  <c r="CR69" i="4"/>
  <c r="CT69" i="4"/>
  <c r="CS68" i="4"/>
  <c r="CC69" i="4"/>
  <c r="CG69" i="4"/>
  <c r="CF69" i="4"/>
  <c r="CE69" i="4"/>
  <c r="CD69" i="4"/>
  <c r="CH69" i="4"/>
  <c r="CM69" i="4"/>
  <c r="CJ69" i="4"/>
  <c r="CK69" i="4"/>
  <c r="CL69" i="4"/>
  <c r="CI69" i="4"/>
  <c r="CR72" i="4"/>
  <c r="CS72" i="4"/>
  <c r="CQ72" i="4"/>
  <c r="CP72" i="4"/>
  <c r="CY72" i="4"/>
  <c r="CX72" i="4"/>
  <c r="CW72" i="4"/>
  <c r="CV72" i="4"/>
  <c r="CU72" i="4"/>
  <c r="CT72" i="4"/>
  <c r="CE70" i="4"/>
  <c r="CC70" i="4"/>
  <c r="CD70" i="4"/>
  <c r="CF70" i="4"/>
  <c r="CJ70" i="4"/>
  <c r="CI70" i="4"/>
  <c r="CL70" i="4"/>
  <c r="CM70" i="4"/>
  <c r="CG70" i="4"/>
  <c r="CK70" i="4"/>
  <c r="CH70" i="4"/>
  <c r="CU70" i="4"/>
  <c r="CV70" i="4"/>
  <c r="CT70" i="4"/>
  <c r="CS70" i="4"/>
  <c r="CP70" i="4"/>
  <c r="CY70" i="4"/>
  <c r="CX70" i="4"/>
  <c r="CR70" i="4"/>
  <c r="CW70" i="4"/>
  <c r="CQ70" i="4"/>
  <c r="CY67" i="4"/>
  <c r="CX67" i="4"/>
  <c r="CW67" i="4"/>
  <c r="CS67" i="4"/>
  <c r="CR67" i="4"/>
  <c r="CP67" i="4"/>
  <c r="CQ67" i="4"/>
  <c r="DH67" i="4"/>
  <c r="CZ67" i="4"/>
  <c r="CU67" i="4"/>
  <c r="CV67" i="4"/>
  <c r="CT67" i="4"/>
  <c r="CS69" i="4"/>
  <c r="CV68" i="4"/>
  <c r="CL67" i="4"/>
  <c r="CM67" i="4"/>
  <c r="CC67" i="4"/>
  <c r="CN67" i="4"/>
  <c r="CI67" i="4"/>
  <c r="CG67" i="4"/>
  <c r="CE67" i="4"/>
  <c r="CK67" i="4"/>
  <c r="CJ67" i="4"/>
  <c r="CH67" i="4"/>
  <c r="CF67" i="4"/>
  <c r="CD67" i="4"/>
  <c r="DG67" i="4"/>
  <c r="CG68" i="4"/>
  <c r="CD68" i="4"/>
  <c r="CM68" i="4"/>
  <c r="CL68" i="4"/>
  <c r="CC68" i="4"/>
  <c r="CJ68" i="4"/>
  <c r="DG68" i="4"/>
  <c r="EB68" i="4" a="1"/>
  <c r="EB68" i="4"/>
  <c r="CN68" i="4"/>
  <c r="CE68" i="4"/>
  <c r="CK68" i="4"/>
  <c r="CF68" i="4"/>
  <c r="CH68" i="4"/>
  <c r="CI68" i="4"/>
  <c r="CT66" i="4"/>
  <c r="CS66" i="4"/>
  <c r="DH66" i="4"/>
  <c r="CQ66" i="4"/>
  <c r="CR66" i="4"/>
  <c r="CP66" i="4"/>
  <c r="DA66" i="4"/>
  <c r="CX66" i="4"/>
  <c r="CW66" i="4"/>
  <c r="CY66" i="4"/>
  <c r="CV66" i="4"/>
  <c r="CU66" i="4"/>
  <c r="CZ66" i="4"/>
  <c r="CU69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G14" i="4"/>
  <c r="CE14" i="4"/>
  <c r="CF14" i="4"/>
  <c r="CD14" i="4"/>
  <c r="CC14" i="4"/>
  <c r="CN14" i="4"/>
  <c r="CM14" i="4"/>
  <c r="CI14" i="4"/>
  <c r="CL14" i="4"/>
  <c r="CK14" i="4"/>
  <c r="CJ14" i="4"/>
  <c r="CH14" i="4"/>
  <c r="CG23" i="4"/>
  <c r="CE23" i="4"/>
  <c r="CF23" i="4"/>
  <c r="CD23" i="4"/>
  <c r="CC23" i="4"/>
  <c r="CN23" i="4"/>
  <c r="CM23" i="4"/>
  <c r="CI23" i="4"/>
  <c r="CL23" i="4"/>
  <c r="CK23" i="4"/>
  <c r="CJ23" i="4"/>
  <c r="CH23" i="4"/>
  <c r="CN47" i="4"/>
  <c r="CM47" i="4"/>
  <c r="CL47" i="4"/>
  <c r="CK47" i="4"/>
  <c r="CI47" i="4"/>
  <c r="CH47" i="4"/>
  <c r="CG47" i="4"/>
  <c r="CF47" i="4"/>
  <c r="CC47" i="4"/>
  <c r="CJ47" i="4"/>
  <c r="CE47" i="4"/>
  <c r="CD47" i="4"/>
  <c r="CG6" i="4"/>
  <c r="CF6" i="4"/>
  <c r="CD6" i="4"/>
  <c r="CN6" i="4"/>
  <c r="CM6" i="4"/>
  <c r="CI6" i="4"/>
  <c r="CL6" i="4"/>
  <c r="CK6" i="4"/>
  <c r="CJ6" i="4"/>
  <c r="CC6" i="4"/>
  <c r="CH6" i="4"/>
  <c r="CE6" i="4"/>
  <c r="CG8" i="4"/>
  <c r="CF8" i="4"/>
  <c r="CE8" i="4"/>
  <c r="CD8" i="4"/>
  <c r="CC8" i="4"/>
  <c r="CM8" i="4"/>
  <c r="CL8" i="4"/>
  <c r="CI8" i="4"/>
  <c r="CK8" i="4"/>
  <c r="CJ8" i="4"/>
  <c r="CH8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Y17" i="4"/>
  <c r="CX17" i="4"/>
  <c r="CW17" i="4"/>
  <c r="CV17" i="4"/>
  <c r="CU17" i="4"/>
  <c r="CT17" i="4"/>
  <c r="CS17" i="4"/>
  <c r="CR17" i="4"/>
  <c r="CQ17" i="4"/>
  <c r="CP17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G9" i="4"/>
  <c r="CF9" i="4"/>
  <c r="CD9" i="4"/>
  <c r="CN9" i="4"/>
  <c r="CI9" i="4"/>
  <c r="CM9" i="4"/>
  <c r="CC9" i="4"/>
  <c r="CL9" i="4"/>
  <c r="CK9" i="4"/>
  <c r="CJ9" i="4"/>
  <c r="CH9" i="4"/>
  <c r="CE9" i="4"/>
  <c r="CG33" i="4"/>
  <c r="CF33" i="4"/>
  <c r="CD33" i="4"/>
  <c r="CC33" i="4"/>
  <c r="CN33" i="4"/>
  <c r="CM33" i="4"/>
  <c r="CL33" i="4"/>
  <c r="CK33" i="4"/>
  <c r="CJ33" i="4"/>
  <c r="CI33" i="4"/>
  <c r="CH33" i="4"/>
  <c r="CE33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G18" i="4"/>
  <c r="CE18" i="4"/>
  <c r="CF18" i="4"/>
  <c r="CD18" i="4"/>
  <c r="CC18" i="4"/>
  <c r="CN18" i="4"/>
  <c r="CM18" i="4"/>
  <c r="CL18" i="4"/>
  <c r="CK18" i="4"/>
  <c r="CJ18" i="4"/>
  <c r="CI18" i="4"/>
  <c r="CH18" i="4"/>
  <c r="CG20" i="4"/>
  <c r="CF20" i="4"/>
  <c r="CE20" i="4"/>
  <c r="CD20" i="4"/>
  <c r="CC20" i="4"/>
  <c r="CN20" i="4"/>
  <c r="CM20" i="4"/>
  <c r="CL20" i="4"/>
  <c r="CK20" i="4"/>
  <c r="CJ20" i="4"/>
  <c r="CI20" i="4"/>
  <c r="CH20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G21" i="4"/>
  <c r="CF21" i="4"/>
  <c r="CD21" i="4"/>
  <c r="CC21" i="4"/>
  <c r="CN21" i="4"/>
  <c r="CM21" i="4"/>
  <c r="CL21" i="4"/>
  <c r="CK21" i="4"/>
  <c r="CI21" i="4"/>
  <c r="CJ21" i="4"/>
  <c r="CH21" i="4"/>
  <c r="CE21" i="4"/>
  <c r="CN43" i="4"/>
  <c r="CM43" i="4"/>
  <c r="CL43" i="4"/>
  <c r="CK43" i="4"/>
  <c r="CI43" i="4"/>
  <c r="CH43" i="4"/>
  <c r="CG43" i="4"/>
  <c r="CF43" i="4"/>
  <c r="CJ43" i="4"/>
  <c r="CE43" i="4"/>
  <c r="CD43" i="4"/>
  <c r="CC43" i="4"/>
  <c r="CG16" i="4"/>
  <c r="CF16" i="4"/>
  <c r="CE16" i="4"/>
  <c r="CD16" i="4"/>
  <c r="CC16" i="4"/>
  <c r="CN16" i="4"/>
  <c r="CM16" i="4"/>
  <c r="CL16" i="4"/>
  <c r="CK16" i="4"/>
  <c r="CI16" i="4"/>
  <c r="CJ16" i="4"/>
  <c r="CH16" i="4"/>
  <c r="CG29" i="4"/>
  <c r="CF29" i="4"/>
  <c r="CE29" i="4"/>
  <c r="CD29" i="4"/>
  <c r="CC29" i="4"/>
  <c r="CN29" i="4"/>
  <c r="CM29" i="4"/>
  <c r="CL29" i="4"/>
  <c r="CI29" i="4"/>
  <c r="CK29" i="4"/>
  <c r="CJ29" i="4"/>
  <c r="CH29" i="4"/>
  <c r="CG31" i="4"/>
  <c r="CF31" i="4"/>
  <c r="CE31" i="4"/>
  <c r="CD31" i="4"/>
  <c r="CC31" i="4"/>
  <c r="CN31" i="4"/>
  <c r="CM31" i="4"/>
  <c r="CL31" i="4"/>
  <c r="CK31" i="4"/>
  <c r="CJ31" i="4"/>
  <c r="CI31" i="4"/>
  <c r="CH31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Y8" i="4"/>
  <c r="CX8" i="4"/>
  <c r="CW8" i="4"/>
  <c r="CV8" i="4"/>
  <c r="CU8" i="4"/>
  <c r="CT8" i="4"/>
  <c r="CS8" i="4"/>
  <c r="CR8" i="4"/>
  <c r="CQ8" i="4"/>
  <c r="CP8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Y49" i="4"/>
  <c r="CX49" i="4"/>
  <c r="CW49" i="4"/>
  <c r="CV49" i="4"/>
  <c r="CU49" i="4"/>
  <c r="CT49" i="4"/>
  <c r="CS49" i="4"/>
  <c r="CR49" i="4"/>
  <c r="CQ49" i="4"/>
  <c r="CP49" i="4"/>
  <c r="CG26" i="4"/>
  <c r="CF26" i="4"/>
  <c r="CE26" i="4"/>
  <c r="CD26" i="4"/>
  <c r="CC26" i="4"/>
  <c r="CN26" i="4"/>
  <c r="CM26" i="4"/>
  <c r="CL26" i="4"/>
  <c r="CK26" i="4"/>
  <c r="CJ26" i="4"/>
  <c r="CI26" i="4"/>
  <c r="CH26" i="4"/>
  <c r="CG32" i="4"/>
  <c r="CF32" i="4"/>
  <c r="CE32" i="4"/>
  <c r="CD32" i="4"/>
  <c r="CC32" i="4"/>
  <c r="CN32" i="4"/>
  <c r="CM32" i="4"/>
  <c r="CL32" i="4"/>
  <c r="CK32" i="4"/>
  <c r="CJ32" i="4"/>
  <c r="CI32" i="4"/>
  <c r="CH32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G28" i="4"/>
  <c r="CF28" i="4"/>
  <c r="CE28" i="4"/>
  <c r="CD28" i="4"/>
  <c r="CC28" i="4"/>
  <c r="CN28" i="4"/>
  <c r="CM28" i="4"/>
  <c r="CL28" i="4"/>
  <c r="CK28" i="4"/>
  <c r="CI28" i="4"/>
  <c r="CJ28" i="4"/>
  <c r="CH28" i="4"/>
  <c r="CG38" i="4"/>
  <c r="CF38" i="4"/>
  <c r="CE38" i="4"/>
  <c r="CD38" i="4"/>
  <c r="CC38" i="4"/>
  <c r="CN38" i="4"/>
  <c r="CM38" i="4"/>
  <c r="CL38" i="4"/>
  <c r="CK38" i="4"/>
  <c r="CI38" i="4"/>
  <c r="CJ38" i="4"/>
  <c r="CH38" i="4"/>
  <c r="CG40" i="4"/>
  <c r="CF40" i="4"/>
  <c r="CE40" i="4"/>
  <c r="CD40" i="4"/>
  <c r="CC40" i="4"/>
  <c r="CN40" i="4"/>
  <c r="CM40" i="4"/>
  <c r="CL40" i="4"/>
  <c r="CK40" i="4"/>
  <c r="CJ40" i="4"/>
  <c r="CI40" i="4"/>
  <c r="CH40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G25" i="4"/>
  <c r="CF25" i="4"/>
  <c r="CD25" i="4"/>
  <c r="CC25" i="4"/>
  <c r="CN25" i="4"/>
  <c r="CM25" i="4"/>
  <c r="CL25" i="4"/>
  <c r="CK25" i="4"/>
  <c r="CJ25" i="4"/>
  <c r="CI25" i="4"/>
  <c r="CH25" i="4"/>
  <c r="CE25" i="4"/>
  <c r="CG41" i="4"/>
  <c r="CF41" i="4"/>
  <c r="CE41" i="4"/>
  <c r="CD41" i="4"/>
  <c r="CC41" i="4"/>
  <c r="CN41" i="4"/>
  <c r="CM41" i="4"/>
  <c r="CL41" i="4"/>
  <c r="CK41" i="4"/>
  <c r="CJ41" i="4"/>
  <c r="CI41" i="4"/>
  <c r="CH41" i="4"/>
  <c r="CG12" i="4"/>
  <c r="CF12" i="4"/>
  <c r="CE12" i="4"/>
  <c r="CD12" i="4"/>
  <c r="CC12" i="4"/>
  <c r="CM12" i="4"/>
  <c r="CL12" i="4"/>
  <c r="CK12" i="4"/>
  <c r="CJ12" i="4"/>
  <c r="CI12" i="4"/>
  <c r="CH12" i="4"/>
  <c r="CG36" i="4"/>
  <c r="CF36" i="4"/>
  <c r="CE36" i="4"/>
  <c r="CD36" i="4"/>
  <c r="CC36" i="4"/>
  <c r="CN36" i="4"/>
  <c r="CM36" i="4"/>
  <c r="CL36" i="4"/>
  <c r="CK36" i="4"/>
  <c r="CJ36" i="4"/>
  <c r="CI36" i="4"/>
  <c r="CH36" i="4"/>
  <c r="CN50" i="4"/>
  <c r="CM50" i="4"/>
  <c r="CL50" i="4"/>
  <c r="CK50" i="4"/>
  <c r="CI50" i="4"/>
  <c r="CH50" i="4"/>
  <c r="CG50" i="4"/>
  <c r="CF50" i="4"/>
  <c r="CC50" i="4"/>
  <c r="CJ50" i="4"/>
  <c r="CE50" i="4"/>
  <c r="CD50" i="4"/>
  <c r="CN52" i="4"/>
  <c r="CM52" i="4"/>
  <c r="CL52" i="4"/>
  <c r="CK52" i="4"/>
  <c r="CI52" i="4"/>
  <c r="CH52" i="4"/>
  <c r="CG52" i="4"/>
  <c r="CF52" i="4"/>
  <c r="CJ52" i="4"/>
  <c r="CE52" i="4"/>
  <c r="CD52" i="4"/>
  <c r="CC52" i="4"/>
  <c r="DA9" i="4"/>
  <c r="CZ9" i="4"/>
  <c r="CY9" i="4"/>
  <c r="CX9" i="4"/>
  <c r="CW9" i="4"/>
  <c r="CV9" i="4"/>
  <c r="CU9" i="4"/>
  <c r="CT9" i="4"/>
  <c r="CS9" i="4"/>
  <c r="CR9" i="4"/>
  <c r="CQ9" i="4"/>
  <c r="CP9" i="4"/>
  <c r="CT27" i="4"/>
  <c r="CS27" i="4"/>
  <c r="CR27" i="4"/>
  <c r="CQ27" i="4"/>
  <c r="CP27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G35" i="4"/>
  <c r="CF35" i="4"/>
  <c r="CE35" i="4"/>
  <c r="CD35" i="4"/>
  <c r="CC35" i="4"/>
  <c r="CN35" i="4"/>
  <c r="CI35" i="4"/>
  <c r="CM35" i="4"/>
  <c r="CL35" i="4"/>
  <c r="CK35" i="4"/>
  <c r="CJ35" i="4"/>
  <c r="CH35" i="4"/>
  <c r="CN53" i="4"/>
  <c r="CM53" i="4"/>
  <c r="CL53" i="4"/>
  <c r="CK53" i="4"/>
  <c r="CJ53" i="4"/>
  <c r="CI53" i="4"/>
  <c r="CH53" i="4"/>
  <c r="CG53" i="4"/>
  <c r="CF53" i="4"/>
  <c r="CC53" i="4"/>
  <c r="CE53" i="4"/>
  <c r="CD53" i="4"/>
  <c r="CG24" i="4"/>
  <c r="CF24" i="4"/>
  <c r="CE24" i="4"/>
  <c r="CD24" i="4"/>
  <c r="CC24" i="4"/>
  <c r="CN24" i="4"/>
  <c r="CI24" i="4"/>
  <c r="CM24" i="4"/>
  <c r="CL24" i="4"/>
  <c r="CK24" i="4"/>
  <c r="CJ24" i="4"/>
  <c r="CH24" i="4"/>
  <c r="CM48" i="4"/>
  <c r="CL48" i="4"/>
  <c r="CK48" i="4"/>
  <c r="CI48" i="4"/>
  <c r="CH48" i="4"/>
  <c r="CG48" i="4"/>
  <c r="CF48" i="4"/>
  <c r="CJ48" i="4"/>
  <c r="CE48" i="4"/>
  <c r="CD48" i="4"/>
  <c r="CC48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Y12" i="4"/>
  <c r="CX12" i="4"/>
  <c r="CW12" i="4"/>
  <c r="CV12" i="4"/>
  <c r="CU12" i="4"/>
  <c r="CT12" i="4"/>
  <c r="CS12" i="4"/>
  <c r="CR12" i="4"/>
  <c r="CQ12" i="4"/>
  <c r="CP12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G10" i="4"/>
  <c r="CF10" i="4"/>
  <c r="CE10" i="4"/>
  <c r="CD10" i="4"/>
  <c r="CN10" i="4"/>
  <c r="CM10" i="4"/>
  <c r="CL10" i="4"/>
  <c r="CK10" i="4"/>
  <c r="CI10" i="4"/>
  <c r="CJ10" i="4"/>
  <c r="CC10" i="4"/>
  <c r="CH10" i="4"/>
  <c r="CG34" i="4"/>
  <c r="CE34" i="4"/>
  <c r="CF34" i="4"/>
  <c r="CD34" i="4"/>
  <c r="CC34" i="4"/>
  <c r="CN34" i="4"/>
  <c r="CM34" i="4"/>
  <c r="CL34" i="4"/>
  <c r="CK34" i="4"/>
  <c r="CJ34" i="4"/>
  <c r="CI34" i="4"/>
  <c r="CH34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G7" i="4"/>
  <c r="CE7" i="4"/>
  <c r="CF7" i="4"/>
  <c r="CD7" i="4"/>
  <c r="CN7" i="4"/>
  <c r="CM7" i="4"/>
  <c r="CL7" i="4"/>
  <c r="CC7" i="4"/>
  <c r="CK7" i="4"/>
  <c r="CJ7" i="4"/>
  <c r="CI7" i="4"/>
  <c r="CH7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DA6" i="4"/>
  <c r="CZ6" i="4"/>
  <c r="CY6" i="4"/>
  <c r="CX6" i="4"/>
  <c r="CW6" i="4"/>
  <c r="CV6" i="4"/>
  <c r="CU6" i="4"/>
  <c r="CT6" i="4"/>
  <c r="CS6" i="4"/>
  <c r="CP6" i="4"/>
  <c r="CR6" i="4"/>
  <c r="CQ6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Y48" i="4"/>
  <c r="CX48" i="4"/>
  <c r="CW48" i="4"/>
  <c r="CV48" i="4"/>
  <c r="CU48" i="4"/>
  <c r="CT48" i="4"/>
  <c r="CS48" i="4"/>
  <c r="CR48" i="4"/>
  <c r="CQ48" i="4"/>
  <c r="CP48" i="4"/>
  <c r="CN45" i="4"/>
  <c r="CM45" i="4"/>
  <c r="CL45" i="4"/>
  <c r="CK45" i="4"/>
  <c r="CI45" i="4"/>
  <c r="CH45" i="4"/>
  <c r="CG45" i="4"/>
  <c r="CF45" i="4"/>
  <c r="CJ45" i="4"/>
  <c r="CE45" i="4"/>
  <c r="CD45" i="4"/>
  <c r="CC45" i="4"/>
  <c r="CG22" i="4"/>
  <c r="CF22" i="4"/>
  <c r="CE22" i="4"/>
  <c r="CD22" i="4"/>
  <c r="CC22" i="4"/>
  <c r="CN22" i="4"/>
  <c r="CM22" i="4"/>
  <c r="CL22" i="4"/>
  <c r="CI22" i="4"/>
  <c r="CK22" i="4"/>
  <c r="CJ22" i="4"/>
  <c r="CH22" i="4"/>
  <c r="CN44" i="4"/>
  <c r="CM44" i="4"/>
  <c r="CL44" i="4"/>
  <c r="CK44" i="4"/>
  <c r="CI44" i="4"/>
  <c r="CH44" i="4"/>
  <c r="CG44" i="4"/>
  <c r="CF44" i="4"/>
  <c r="CC44" i="4"/>
  <c r="CJ44" i="4"/>
  <c r="CE44" i="4"/>
  <c r="CD44" i="4"/>
  <c r="CG17" i="4"/>
  <c r="CF17" i="4"/>
  <c r="CD17" i="4"/>
  <c r="CC17" i="4"/>
  <c r="CI17" i="4"/>
  <c r="CM17" i="4"/>
  <c r="CL17" i="4"/>
  <c r="CK17" i="4"/>
  <c r="CJ17" i="4"/>
  <c r="CH17" i="4"/>
  <c r="CE17" i="4"/>
  <c r="CG19" i="4"/>
  <c r="CF19" i="4"/>
  <c r="CE19" i="4"/>
  <c r="CD19" i="4"/>
  <c r="CC19" i="4"/>
  <c r="CN19" i="4"/>
  <c r="CM19" i="4"/>
  <c r="CL19" i="4"/>
  <c r="CI19" i="4"/>
  <c r="CK19" i="4"/>
  <c r="CJ19" i="4"/>
  <c r="CH19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N46" i="4"/>
  <c r="CM46" i="4"/>
  <c r="CL46" i="4"/>
  <c r="CK46" i="4"/>
  <c r="CI46" i="4"/>
  <c r="CH46" i="4"/>
  <c r="CG46" i="4"/>
  <c r="CF46" i="4"/>
  <c r="CJ46" i="4"/>
  <c r="CE46" i="4"/>
  <c r="CD46" i="4"/>
  <c r="CC4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G30" i="4"/>
  <c r="CF30" i="4"/>
  <c r="CE30" i="4"/>
  <c r="CD30" i="4"/>
  <c r="CC30" i="4"/>
  <c r="CN30" i="4"/>
  <c r="CM30" i="4"/>
  <c r="CL30" i="4"/>
  <c r="CK30" i="4"/>
  <c r="CJ30" i="4"/>
  <c r="CI30" i="4"/>
  <c r="CH30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N57" i="4"/>
  <c r="CM57" i="4"/>
  <c r="CL57" i="4"/>
  <c r="CK57" i="4"/>
  <c r="CJ57" i="4"/>
  <c r="CI57" i="4"/>
  <c r="CH57" i="4"/>
  <c r="CG57" i="4"/>
  <c r="CF57" i="4"/>
  <c r="CC57" i="4"/>
  <c r="CE57" i="4"/>
  <c r="CD57" i="4"/>
  <c r="CG42" i="4"/>
  <c r="CF42" i="4"/>
  <c r="CE42" i="4"/>
  <c r="CD42" i="4"/>
  <c r="CC42" i="4"/>
  <c r="CN42" i="4"/>
  <c r="CM42" i="4"/>
  <c r="CL42" i="4"/>
  <c r="CK42" i="4"/>
  <c r="CJ42" i="4"/>
  <c r="CI42" i="4"/>
  <c r="CH42" i="4"/>
  <c r="CG15" i="4"/>
  <c r="CF15" i="4"/>
  <c r="CE15" i="4"/>
  <c r="CD15" i="4"/>
  <c r="CC15" i="4"/>
  <c r="CN15" i="4"/>
  <c r="CM15" i="4"/>
  <c r="CL15" i="4"/>
  <c r="CK15" i="4"/>
  <c r="CJ15" i="4"/>
  <c r="CI15" i="4"/>
  <c r="CH15" i="4"/>
  <c r="CG37" i="4"/>
  <c r="CF37" i="4"/>
  <c r="CE37" i="4"/>
  <c r="CD37" i="4"/>
  <c r="CC37" i="4"/>
  <c r="CN37" i="4"/>
  <c r="CM37" i="4"/>
  <c r="CI37" i="4"/>
  <c r="CL37" i="4"/>
  <c r="CK37" i="4"/>
  <c r="CJ37" i="4"/>
  <c r="CH37" i="4"/>
  <c r="CG39" i="4"/>
  <c r="CF39" i="4"/>
  <c r="CE39" i="4"/>
  <c r="CD39" i="4"/>
  <c r="CC39" i="4"/>
  <c r="CN39" i="4"/>
  <c r="CM39" i="4"/>
  <c r="CL39" i="4"/>
  <c r="CK39" i="4"/>
  <c r="CJ39" i="4"/>
  <c r="CI39" i="4"/>
  <c r="CH39" i="4"/>
  <c r="DA10" i="4"/>
  <c r="CZ10" i="4"/>
  <c r="CY10" i="4"/>
  <c r="CX10" i="4"/>
  <c r="CW10" i="4"/>
  <c r="CV10" i="4"/>
  <c r="CU10" i="4"/>
  <c r="CT10" i="4"/>
  <c r="CS10" i="4"/>
  <c r="CP10" i="4"/>
  <c r="CR10" i="4"/>
  <c r="CQ10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G27" i="4"/>
  <c r="CF27" i="4"/>
  <c r="CE27" i="4"/>
  <c r="CD27" i="4"/>
  <c r="CC27" i="4"/>
  <c r="CN27" i="4"/>
  <c r="CM27" i="4"/>
  <c r="CL27" i="4"/>
  <c r="CI27" i="4"/>
  <c r="CK27" i="4"/>
  <c r="CJ27" i="4"/>
  <c r="CH27" i="4"/>
  <c r="CM49" i="4"/>
  <c r="CL49" i="4"/>
  <c r="CK49" i="4"/>
  <c r="CI49" i="4"/>
  <c r="CH49" i="4"/>
  <c r="CG49" i="4"/>
  <c r="CF49" i="4"/>
  <c r="CJ49" i="4"/>
  <c r="CE49" i="4"/>
  <c r="CD49" i="4"/>
  <c r="CC49" i="4"/>
  <c r="CN51" i="4"/>
  <c r="CM51" i="4"/>
  <c r="CL51" i="4"/>
  <c r="CK51" i="4"/>
  <c r="CI51" i="4"/>
  <c r="CH51" i="4"/>
  <c r="CG51" i="4"/>
  <c r="CF51" i="4"/>
  <c r="CJ51" i="4"/>
  <c r="CE51" i="4"/>
  <c r="CD51" i="4"/>
  <c r="CC51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G13" i="4"/>
  <c r="CF13" i="4"/>
  <c r="CD13" i="4"/>
  <c r="CC13" i="4"/>
  <c r="CN13" i="4"/>
  <c r="CM13" i="4"/>
  <c r="CL13" i="4"/>
  <c r="CI13" i="4"/>
  <c r="CK13" i="4"/>
  <c r="CJ13" i="4"/>
  <c r="CH13" i="4"/>
  <c r="CE13" i="4"/>
  <c r="CG11" i="4"/>
  <c r="CE11" i="4"/>
  <c r="CF11" i="4"/>
  <c r="CD11" i="4"/>
  <c r="CN11" i="4"/>
  <c r="CM11" i="4"/>
  <c r="CL11" i="4"/>
  <c r="CK11" i="4"/>
  <c r="CC11" i="4"/>
  <c r="CJ11" i="4"/>
  <c r="CI11" i="4"/>
  <c r="CH11" i="4"/>
  <c r="CN61" i="4"/>
  <c r="CM61" i="4"/>
  <c r="CL61" i="4"/>
  <c r="CK61" i="4"/>
  <c r="CJ61" i="4"/>
  <c r="CI61" i="4"/>
  <c r="CH61" i="4"/>
  <c r="CG61" i="4"/>
  <c r="CF61" i="4"/>
  <c r="CC61" i="4"/>
  <c r="CE61" i="4"/>
  <c r="CD61" i="4"/>
  <c r="DA7" i="4"/>
  <c r="CZ7" i="4"/>
  <c r="CY7" i="4"/>
  <c r="CX7" i="4"/>
  <c r="CW7" i="4"/>
  <c r="CV7" i="4"/>
  <c r="CU7" i="4"/>
  <c r="CT7" i="4"/>
  <c r="CS7" i="4"/>
  <c r="CR7" i="4"/>
  <c r="CQ7" i="4"/>
  <c r="CP7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BU27" i="4"/>
  <c r="CW27" i="4"/>
  <c r="DG58" i="4"/>
  <c r="DG54" i="4"/>
  <c r="DG27" i="4"/>
  <c r="DG51" i="4"/>
  <c r="DG21" i="4"/>
  <c r="DG43" i="4"/>
  <c r="DG29" i="4"/>
  <c r="DG13" i="4"/>
  <c r="DG11" i="4"/>
  <c r="DG61" i="4"/>
  <c r="DH7" i="4"/>
  <c r="DG14" i="4"/>
  <c r="DG23" i="4"/>
  <c r="DG47" i="4"/>
  <c r="DG6" i="4"/>
  <c r="DH13" i="4"/>
  <c r="DH14" i="4"/>
  <c r="DG9" i="4"/>
  <c r="DG33" i="4"/>
  <c r="DG59" i="4"/>
  <c r="DG18" i="4"/>
  <c r="DG20" i="4"/>
  <c r="DG26" i="4"/>
  <c r="DG32" i="4"/>
  <c r="DG55" i="4"/>
  <c r="DG28" i="4"/>
  <c r="DG38" i="4"/>
  <c r="DG40" i="4"/>
  <c r="DG25" i="4"/>
  <c r="DG41" i="4"/>
  <c r="DG36" i="4"/>
  <c r="DG50" i="4"/>
  <c r="DG52" i="4"/>
  <c r="DH9" i="4"/>
  <c r="DG35" i="4"/>
  <c r="DG53" i="4"/>
  <c r="DG24" i="4"/>
  <c r="DG62" i="4"/>
  <c r="DG10" i="4"/>
  <c r="DG34" i="4"/>
  <c r="DG60" i="4"/>
  <c r="DG7" i="4"/>
  <c r="DH11" i="4"/>
  <c r="DH6" i="4"/>
  <c r="DG31" i="4"/>
  <c r="DH10" i="4"/>
  <c r="DG45" i="4"/>
  <c r="DG22" i="4"/>
  <c r="DG44" i="4"/>
  <c r="DG19" i="4"/>
  <c r="DG46" i="4"/>
  <c r="DG56" i="4"/>
  <c r="DG30" i="4"/>
  <c r="DG16" i="4"/>
  <c r="DG57" i="4"/>
  <c r="DG42" i="4"/>
  <c r="DG15" i="4"/>
  <c r="DG37" i="4"/>
  <c r="DG39" i="4"/>
  <c r="J11" i="8"/>
  <c r="E22" i="8"/>
  <c r="F22" i="8"/>
  <c r="E34" i="8"/>
  <c r="F34" i="8"/>
  <c r="E10" i="8"/>
  <c r="F10" i="8"/>
  <c r="DA64" i="4"/>
  <c r="DO68" i="4" a="1"/>
  <c r="DO68" i="4"/>
  <c r="CT64" i="4"/>
  <c r="DH64" i="4"/>
  <c r="EA64" i="4" a="1"/>
  <c r="EA64" i="4"/>
  <c r="EA68" i="4" a="1"/>
  <c r="EA68" i="4"/>
  <c r="DS68" i="4" a="1"/>
  <c r="DS68" i="4"/>
  <c r="EA66" i="4" a="1"/>
  <c r="EA66" i="4"/>
  <c r="DK68" i="4" a="1"/>
  <c r="DK68" i="4"/>
  <c r="EB66" i="4" a="1"/>
  <c r="EB66" i="4"/>
  <c r="EC68" i="4" a="1"/>
  <c r="EC68" i="4"/>
  <c r="EC65" i="4" a="1"/>
  <c r="EC65" i="4"/>
  <c r="EC66" i="4" a="1"/>
  <c r="EC66" i="4"/>
  <c r="DZ66" i="4" a="1"/>
  <c r="DZ66" i="4"/>
  <c r="DK64" i="4" a="1"/>
  <c r="DK64" i="4"/>
  <c r="EH5" i="4"/>
  <c r="ED68" i="4" a="1"/>
  <c r="ED68" i="4"/>
  <c r="ED64" i="4" a="1"/>
  <c r="ED64" i="4"/>
  <c r="ED66" i="4" a="1"/>
  <c r="ED66" i="4"/>
  <c r="ED65" i="4" a="1"/>
  <c r="ED65" i="4"/>
  <c r="ED3" i="4"/>
  <c r="DM64" i="4" a="1"/>
  <c r="DM64" i="4"/>
  <c r="DJ64" i="4" a="1"/>
  <c r="DJ64" i="4"/>
  <c r="DL64" i="4" a="1"/>
  <c r="DL64" i="4"/>
  <c r="DP64" i="4" a="1"/>
  <c r="DP64" i="4"/>
  <c r="DQ64" i="4" a="1"/>
  <c r="DQ64" i="4"/>
  <c r="DN64" i="4" a="1"/>
  <c r="DN64" i="4"/>
  <c r="DR64" i="4" a="1"/>
  <c r="DR64" i="4"/>
  <c r="DT64" i="4" a="1"/>
  <c r="DT64" i="4"/>
  <c r="DU64" i="4" a="1"/>
  <c r="DU64" i="4"/>
  <c r="DY64" i="4" a="1"/>
  <c r="DY64" i="4"/>
  <c r="DX64" i="4" a="1"/>
  <c r="DX64" i="4"/>
  <c r="DV64" i="4" a="1"/>
  <c r="DV64" i="4"/>
  <c r="DK65" i="4" a="1"/>
  <c r="DK65" i="4"/>
  <c r="DO65" i="4" a="1"/>
  <c r="DO65" i="4"/>
  <c r="DS65" i="4" a="1"/>
  <c r="DS65" i="4"/>
  <c r="DW65" i="4" a="1"/>
  <c r="DW65" i="4"/>
  <c r="DM66" i="4" a="1"/>
  <c r="DM66" i="4"/>
  <c r="DJ66" i="4" a="1"/>
  <c r="DJ66" i="4"/>
  <c r="DL66" i="4" a="1"/>
  <c r="DL66" i="4"/>
  <c r="DN66" i="4" a="1"/>
  <c r="DN66" i="4"/>
  <c r="DQ66" i="4" a="1"/>
  <c r="DQ66" i="4"/>
  <c r="DP66" i="4" a="1"/>
  <c r="DP66" i="4"/>
  <c r="DU66" i="4" a="1"/>
  <c r="DU66" i="4"/>
  <c r="DR66" i="4" a="1"/>
  <c r="DR66" i="4"/>
  <c r="DT66" i="4" a="1"/>
  <c r="DT66" i="4"/>
  <c r="DY66" i="4" a="1"/>
  <c r="DY66" i="4"/>
  <c r="DV66" i="4" a="1"/>
  <c r="DV66" i="4"/>
  <c r="DX66" i="4" a="1"/>
  <c r="DX66" i="4"/>
  <c r="EI5" i="4"/>
  <c r="EI13" i="4" a="1"/>
  <c r="EI13" i="4"/>
  <c r="EE68" i="4" a="1"/>
  <c r="EE68" i="4"/>
  <c r="EE65" i="4" a="1"/>
  <c r="EE65" i="4"/>
  <c r="EE64" i="4" a="1"/>
  <c r="EE64" i="4"/>
  <c r="EE66" i="4" a="1"/>
  <c r="EE66" i="4"/>
  <c r="EE3" i="4"/>
  <c r="EJ5" i="4"/>
  <c r="EJ52" i="4" a="1"/>
  <c r="EJ52" i="4"/>
  <c r="EF66" i="4" a="1"/>
  <c r="EF66" i="4"/>
  <c r="EF65" i="4" a="1"/>
  <c r="EF65" i="4"/>
  <c r="EF64" i="4" a="1"/>
  <c r="EF64" i="4"/>
  <c r="EF68" i="4" a="1"/>
  <c r="EF68" i="4"/>
  <c r="EF3" i="4"/>
  <c r="EK5" i="4"/>
  <c r="EK27" i="4" a="1"/>
  <c r="EK27" i="4"/>
  <c r="EG68" i="4" a="1"/>
  <c r="EG68" i="4"/>
  <c r="EG65" i="4" a="1"/>
  <c r="EG65" i="4"/>
  <c r="EG66" i="4" a="1"/>
  <c r="EG66" i="4"/>
  <c r="EG64" i="4" a="1"/>
  <c r="EG64" i="4"/>
  <c r="EG3" i="4"/>
  <c r="DM65" i="4" a="1"/>
  <c r="DM65" i="4"/>
  <c r="DL65" i="4" a="1"/>
  <c r="DL65" i="4"/>
  <c r="DJ65" i="4" a="1"/>
  <c r="DJ65" i="4"/>
  <c r="DP65" i="4" a="1"/>
  <c r="DP65" i="4"/>
  <c r="DQ65" i="4" a="1"/>
  <c r="DQ65" i="4"/>
  <c r="DN65" i="4" a="1"/>
  <c r="DN65" i="4"/>
  <c r="DR65" i="4" a="1"/>
  <c r="DR65" i="4"/>
  <c r="DU65" i="4" a="1"/>
  <c r="DU65" i="4"/>
  <c r="DT65" i="4" a="1"/>
  <c r="DT65" i="4"/>
  <c r="DY65" i="4" a="1"/>
  <c r="DY65" i="4"/>
  <c r="DX65" i="4" a="1"/>
  <c r="DX65" i="4"/>
  <c r="DV65" i="4" a="1"/>
  <c r="DV65" i="4"/>
  <c r="DZ64" i="4" a="1"/>
  <c r="DZ64" i="4"/>
  <c r="DL68" i="4" a="1"/>
  <c r="DL68" i="4"/>
  <c r="DJ68" i="4" a="1"/>
  <c r="DJ68" i="4"/>
  <c r="DM68" i="4" a="1"/>
  <c r="DM68" i="4"/>
  <c r="DN68" i="4" a="1"/>
  <c r="DN68" i="4"/>
  <c r="DP68" i="4" a="1"/>
  <c r="DP68" i="4"/>
  <c r="DQ68" i="4" a="1"/>
  <c r="DQ68" i="4"/>
  <c r="DT68" i="4" a="1"/>
  <c r="DT68" i="4"/>
  <c r="DU68" i="4" a="1"/>
  <c r="DU68" i="4"/>
  <c r="DR68" i="4" a="1"/>
  <c r="DR68" i="4"/>
  <c r="DY68" i="4" a="1"/>
  <c r="DY68" i="4"/>
  <c r="DV68" i="4" a="1"/>
  <c r="DV68" i="4"/>
  <c r="DX68" i="4" a="1"/>
  <c r="DX68" i="4"/>
  <c r="DZ68" i="4" a="1"/>
  <c r="DZ68" i="4"/>
  <c r="DK66" i="4" a="1"/>
  <c r="DK66" i="4"/>
  <c r="DO66" i="4" a="1"/>
  <c r="DO66" i="4"/>
  <c r="DS66" i="4" a="1"/>
  <c r="DS66" i="4"/>
  <c r="DW66" i="4" a="1"/>
  <c r="DW66" i="4"/>
  <c r="DZ65" i="4" a="1"/>
  <c r="DZ65" i="4"/>
  <c r="EC64" i="4" a="1"/>
  <c r="EC64" i="4"/>
  <c r="DN56" i="4" a="1"/>
  <c r="DN56" i="4"/>
  <c r="DV56" i="4" a="1"/>
  <c r="DV56" i="4"/>
  <c r="DM56" i="4" a="1"/>
  <c r="DM56" i="4"/>
  <c r="ED56" i="4" a="1"/>
  <c r="ED56" i="4"/>
  <c r="DU56" i="4" a="1"/>
  <c r="DU56" i="4"/>
  <c r="DT56" i="4" a="1"/>
  <c r="DT56" i="4"/>
  <c r="DL56" i="4" a="1"/>
  <c r="DL56" i="4"/>
  <c r="EC56" i="4" a="1"/>
  <c r="EC56" i="4"/>
  <c r="EB56" i="4" a="1"/>
  <c r="EB56" i="4"/>
  <c r="DJ56" i="4" a="1"/>
  <c r="DJ56" i="4"/>
  <c r="DR56" i="4" a="1"/>
  <c r="DR56" i="4"/>
  <c r="DQ56" i="4" a="1"/>
  <c r="DQ56" i="4"/>
  <c r="DP56" i="4" a="1"/>
  <c r="DP56" i="4"/>
  <c r="EG56" i="4" a="1"/>
  <c r="EG56" i="4"/>
  <c r="DZ56" i="4" a="1"/>
  <c r="DZ56" i="4"/>
  <c r="EF56" i="4" a="1"/>
  <c r="EF56" i="4"/>
  <c r="DY56" i="4" a="1"/>
  <c r="DY56" i="4"/>
  <c r="DX56" i="4" a="1"/>
  <c r="DX56" i="4"/>
  <c r="EF52" i="4" a="1"/>
  <c r="EF52" i="4"/>
  <c r="DV52" i="4" a="1"/>
  <c r="DV52" i="4"/>
  <c r="DM52" i="4" a="1"/>
  <c r="DM52" i="4"/>
  <c r="DU52" i="4" a="1"/>
  <c r="DU52" i="4"/>
  <c r="DL52" i="4" a="1"/>
  <c r="DL52" i="4"/>
  <c r="ED52" i="4" a="1"/>
  <c r="ED52" i="4"/>
  <c r="DT52" i="4" a="1"/>
  <c r="DT52" i="4"/>
  <c r="EC52" i="4" a="1"/>
  <c r="EC52" i="4"/>
  <c r="EB52" i="4" a="1"/>
  <c r="EB52" i="4"/>
  <c r="DR52" i="4" a="1"/>
  <c r="DR52" i="4"/>
  <c r="DJ52" i="4" a="1"/>
  <c r="DJ52" i="4"/>
  <c r="DQ52" i="4" a="1"/>
  <c r="DQ52" i="4"/>
  <c r="DZ52" i="4" a="1"/>
  <c r="DZ52" i="4"/>
  <c r="DY52" i="4" a="1"/>
  <c r="DY52" i="4"/>
  <c r="DX52" i="4" a="1"/>
  <c r="DX52" i="4"/>
  <c r="DP52" i="4" a="1"/>
  <c r="DP52" i="4"/>
  <c r="DN52" i="4" a="1"/>
  <c r="DN52" i="4"/>
  <c r="EG52" i="4" a="1"/>
  <c r="EG52" i="4"/>
  <c r="ED26" i="4" a="1"/>
  <c r="ED26" i="4"/>
  <c r="DJ26" i="4" a="1"/>
  <c r="DJ26" i="4"/>
  <c r="EC26" i="4" a="1"/>
  <c r="EC26" i="4"/>
  <c r="DR26" i="4" a="1"/>
  <c r="DR26" i="4"/>
  <c r="EB26" i="4" a="1"/>
  <c r="EB26" i="4"/>
  <c r="DQ26" i="4" a="1"/>
  <c r="DQ26" i="4"/>
  <c r="DN26" i="4" a="1"/>
  <c r="DN26" i="4"/>
  <c r="DZ26" i="4" a="1"/>
  <c r="DZ26" i="4"/>
  <c r="DP26" i="4" a="1"/>
  <c r="DP26" i="4"/>
  <c r="DY26" i="4" a="1"/>
  <c r="DY26" i="4"/>
  <c r="DX26" i="4" a="1"/>
  <c r="DX26" i="4"/>
  <c r="DM26" i="4" a="1"/>
  <c r="DM26" i="4"/>
  <c r="DL26" i="4" a="1"/>
  <c r="DL26" i="4"/>
  <c r="DV26" i="4" a="1"/>
  <c r="DV26" i="4"/>
  <c r="EG26" i="4" a="1"/>
  <c r="EG26" i="4"/>
  <c r="DU26" i="4" a="1"/>
  <c r="DU26" i="4"/>
  <c r="DT26" i="4" a="1"/>
  <c r="DT26" i="4"/>
  <c r="EF26" i="4" a="1"/>
  <c r="EF26" i="4"/>
  <c r="ED14" i="4" a="1"/>
  <c r="ED14" i="4"/>
  <c r="EC14" i="4" a="1"/>
  <c r="EC14" i="4"/>
  <c r="DU14" i="4" a="1"/>
  <c r="DU14" i="4"/>
  <c r="DN14" i="4" a="1"/>
  <c r="DN14" i="4"/>
  <c r="DM14" i="4" a="1"/>
  <c r="DM14" i="4"/>
  <c r="EB14" i="4" a="1"/>
  <c r="EB14" i="4"/>
  <c r="DT14" i="4" a="1"/>
  <c r="DT14" i="4"/>
  <c r="DL14" i="4" a="1"/>
  <c r="DL14" i="4"/>
  <c r="DJ14" i="4" a="1"/>
  <c r="DJ14" i="4"/>
  <c r="DZ14" i="4" a="1"/>
  <c r="DZ14" i="4"/>
  <c r="DR14" i="4" a="1"/>
  <c r="DR14" i="4"/>
  <c r="EG14" i="4" a="1"/>
  <c r="EG14" i="4"/>
  <c r="DY14" i="4" a="1"/>
  <c r="DY14" i="4"/>
  <c r="DQ14" i="4" a="1"/>
  <c r="DQ14" i="4"/>
  <c r="DX14" i="4" a="1"/>
  <c r="DX14" i="4"/>
  <c r="DV14" i="4" a="1"/>
  <c r="DV14" i="4"/>
  <c r="DP14" i="4" a="1"/>
  <c r="DP14" i="4"/>
  <c r="EF14" i="4" a="1"/>
  <c r="EF14" i="4"/>
  <c r="DV27" i="4" a="1"/>
  <c r="DV27" i="4"/>
  <c r="DN27" i="4" a="1"/>
  <c r="DN27" i="4"/>
  <c r="ED27" i="4" a="1"/>
  <c r="ED27" i="4"/>
  <c r="DU27" i="4" a="1"/>
  <c r="DU27" i="4"/>
  <c r="DM27" i="4" a="1"/>
  <c r="DM27" i="4"/>
  <c r="DT27" i="4" a="1"/>
  <c r="DT27" i="4"/>
  <c r="EC27" i="4" a="1"/>
  <c r="EC27" i="4"/>
  <c r="DL27" i="4" a="1"/>
  <c r="DL27" i="4"/>
  <c r="DY27" i="4" a="1"/>
  <c r="DY27" i="4"/>
  <c r="EB27" i="4" a="1"/>
  <c r="EB27" i="4"/>
  <c r="DR27" i="4" a="1"/>
  <c r="DR27" i="4"/>
  <c r="DZ27" i="4" a="1"/>
  <c r="DZ27" i="4"/>
  <c r="DQ27" i="4" a="1"/>
  <c r="DQ27" i="4"/>
  <c r="DJ27" i="4" a="1"/>
  <c r="DJ27" i="4"/>
  <c r="EG27" i="4" a="1"/>
  <c r="EG27" i="4"/>
  <c r="DP27" i="4" a="1"/>
  <c r="DP27" i="4"/>
  <c r="EF27" i="4" a="1"/>
  <c r="EF27" i="4"/>
  <c r="DX27" i="4" a="1"/>
  <c r="DX27" i="4"/>
  <c r="DU53" i="4" a="1"/>
  <c r="DU53" i="4"/>
  <c r="ED53" i="4" a="1"/>
  <c r="ED53" i="4"/>
  <c r="DT53" i="4" a="1"/>
  <c r="DT53" i="4"/>
  <c r="DJ53" i="4" a="1"/>
  <c r="DJ53" i="4"/>
  <c r="EC53" i="4" a="1"/>
  <c r="EC53" i="4"/>
  <c r="DR53" i="4" a="1"/>
  <c r="DR53" i="4"/>
  <c r="EB53" i="4" a="1"/>
  <c r="EB53" i="4"/>
  <c r="DQ53" i="4" a="1"/>
  <c r="DQ53" i="4"/>
  <c r="DZ53" i="4" a="1"/>
  <c r="DZ53" i="4"/>
  <c r="DP53" i="4" a="1"/>
  <c r="DP53" i="4"/>
  <c r="DY53" i="4" a="1"/>
  <c r="DY53" i="4"/>
  <c r="EG53" i="4" a="1"/>
  <c r="EG53" i="4"/>
  <c r="EF53" i="4" a="1"/>
  <c r="EF53" i="4"/>
  <c r="DX53" i="4" a="1"/>
  <c r="DX53" i="4"/>
  <c r="DN53" i="4" a="1"/>
  <c r="DN53" i="4"/>
  <c r="DV53" i="4" a="1"/>
  <c r="DV53" i="4"/>
  <c r="DM53" i="4" a="1"/>
  <c r="DM53" i="4"/>
  <c r="DL53" i="4" a="1"/>
  <c r="DL53" i="4"/>
  <c r="DX21" i="4" a="1"/>
  <c r="DX21" i="4"/>
  <c r="DP21" i="4" a="1"/>
  <c r="DP21" i="4"/>
  <c r="EG21" i="4" a="1"/>
  <c r="EG21" i="4"/>
  <c r="EF21" i="4" a="1"/>
  <c r="EF21" i="4"/>
  <c r="DV21" i="4" a="1"/>
  <c r="DV21" i="4"/>
  <c r="DN21" i="4" a="1"/>
  <c r="DN21" i="4"/>
  <c r="DU21" i="4" a="1"/>
  <c r="DU21" i="4"/>
  <c r="DM21" i="4" a="1"/>
  <c r="DM21" i="4"/>
  <c r="ED21" i="4" a="1"/>
  <c r="ED21" i="4"/>
  <c r="DL21" i="4" a="1"/>
  <c r="DL21" i="4"/>
  <c r="EB21" i="4" a="1"/>
  <c r="EB21" i="4"/>
  <c r="EC21" i="4" a="1"/>
  <c r="EC21" i="4"/>
  <c r="DT21" i="4" a="1"/>
  <c r="DT21" i="4"/>
  <c r="DR21" i="4" a="1"/>
  <c r="DR21" i="4"/>
  <c r="DJ21" i="4" a="1"/>
  <c r="DJ21" i="4"/>
  <c r="DQ21" i="4" a="1"/>
  <c r="DQ21" i="4"/>
  <c r="DY21" i="4" a="1"/>
  <c r="DY21" i="4"/>
  <c r="DZ21" i="4" a="1"/>
  <c r="DZ21" i="4"/>
  <c r="EC46" i="4" a="1"/>
  <c r="EC46" i="4"/>
  <c r="DR46" i="4" a="1"/>
  <c r="DR46" i="4"/>
  <c r="EB46" i="4" a="1"/>
  <c r="EB46" i="4"/>
  <c r="DQ46" i="4" a="1"/>
  <c r="DQ46" i="4"/>
  <c r="EK46" i="4" a="1"/>
  <c r="EK46" i="4"/>
  <c r="DZ46" i="4" a="1"/>
  <c r="DZ46" i="4"/>
  <c r="DP46" i="4" a="1"/>
  <c r="DP46" i="4"/>
  <c r="DY46" i="4" a="1"/>
  <c r="DY46" i="4"/>
  <c r="DX46" i="4" a="1"/>
  <c r="DX46" i="4"/>
  <c r="DN46" i="4" a="1"/>
  <c r="DN46" i="4"/>
  <c r="EG46" i="4" a="1"/>
  <c r="EG46" i="4"/>
  <c r="DM46" i="4" a="1"/>
  <c r="DM46" i="4"/>
  <c r="EF46" i="4" a="1"/>
  <c r="EF46" i="4"/>
  <c r="ED46" i="4" a="1"/>
  <c r="ED46" i="4"/>
  <c r="DV46" i="4" a="1"/>
  <c r="DV46" i="4"/>
  <c r="DU46" i="4" a="1"/>
  <c r="DU46" i="4"/>
  <c r="DT46" i="4" a="1"/>
  <c r="DT46" i="4"/>
  <c r="DL46" i="4" a="1"/>
  <c r="DL46" i="4"/>
  <c r="DJ46" i="4" a="1"/>
  <c r="DJ46" i="4"/>
  <c r="DQ20" i="4" a="1"/>
  <c r="DQ20" i="4"/>
  <c r="DY20" i="4" a="1"/>
  <c r="DY20" i="4"/>
  <c r="DZ20" i="4" a="1"/>
  <c r="DZ20" i="4"/>
  <c r="DP20" i="4" a="1"/>
  <c r="DP20" i="4"/>
  <c r="EG20" i="4" a="1"/>
  <c r="EG20" i="4"/>
  <c r="DX20" i="4" a="1"/>
  <c r="DX20" i="4"/>
  <c r="DN20" i="4" a="1"/>
  <c r="DN20" i="4"/>
  <c r="DM20" i="4" a="1"/>
  <c r="DM20" i="4"/>
  <c r="EF20" i="4" a="1"/>
  <c r="EF20" i="4"/>
  <c r="DL20" i="4" a="1"/>
  <c r="DL20" i="4"/>
  <c r="DV20" i="4" a="1"/>
  <c r="DV20" i="4"/>
  <c r="DJ20" i="4" a="1"/>
  <c r="DJ20" i="4"/>
  <c r="ED20" i="4" a="1"/>
  <c r="ED20" i="4"/>
  <c r="DU20" i="4" a="1"/>
  <c r="DU20" i="4"/>
  <c r="DT20" i="4" a="1"/>
  <c r="DT20" i="4"/>
  <c r="EC20" i="4" a="1"/>
  <c r="EC20" i="4"/>
  <c r="EB20" i="4" a="1"/>
  <c r="EB20" i="4"/>
  <c r="DR20" i="4" a="1"/>
  <c r="DR20" i="4"/>
  <c r="DR19" i="4" a="1"/>
  <c r="DR19" i="4"/>
  <c r="EB19" i="4" a="1"/>
  <c r="EB19" i="4"/>
  <c r="DQ19" i="4" a="1"/>
  <c r="DQ19" i="4"/>
  <c r="DP19" i="4" a="1"/>
  <c r="DP19" i="4"/>
  <c r="DZ19" i="4" a="1"/>
  <c r="DZ19" i="4"/>
  <c r="DY19" i="4" a="1"/>
  <c r="DY19" i="4"/>
  <c r="DN19" i="4" a="1"/>
  <c r="DN19" i="4"/>
  <c r="DX19" i="4" a="1"/>
  <c r="DX19" i="4"/>
  <c r="DM19" i="4" a="1"/>
  <c r="DM19" i="4"/>
  <c r="EG19" i="4" a="1"/>
  <c r="EG19" i="4"/>
  <c r="EF19" i="4" a="1"/>
  <c r="EF19" i="4"/>
  <c r="DV19" i="4" a="1"/>
  <c r="DV19" i="4"/>
  <c r="DL19" i="4" a="1"/>
  <c r="DL19" i="4"/>
  <c r="DJ19" i="4" a="1"/>
  <c r="DJ19" i="4"/>
  <c r="EC19" i="4" a="1"/>
  <c r="EC19" i="4"/>
  <c r="DU19" i="4" a="1"/>
  <c r="DU19" i="4"/>
  <c r="DT19" i="4" a="1"/>
  <c r="DT19" i="4"/>
  <c r="ED19" i="4" a="1"/>
  <c r="ED19" i="4"/>
  <c r="EC10" i="4" a="1"/>
  <c r="EC10" i="4"/>
  <c r="DU10" i="4" a="1"/>
  <c r="DU10" i="4"/>
  <c r="DM10" i="4" a="1"/>
  <c r="DM10" i="4"/>
  <c r="EH10" i="4" a="1"/>
  <c r="EH10" i="4"/>
  <c r="DR10" i="4" a="1"/>
  <c r="DR10" i="4"/>
  <c r="DJ10" i="4" a="1"/>
  <c r="DJ10" i="4"/>
  <c r="EG10" i="4" a="1"/>
  <c r="EG10" i="4"/>
  <c r="DZ10" i="4" a="1"/>
  <c r="DZ10" i="4"/>
  <c r="DQ10" i="4" a="1"/>
  <c r="DQ10" i="4"/>
  <c r="DY10" i="4" a="1"/>
  <c r="DY10" i="4"/>
  <c r="DP10" i="4" a="1"/>
  <c r="DP10" i="4"/>
  <c r="EF10" i="4" a="1"/>
  <c r="EF10" i="4"/>
  <c r="ED10" i="4" a="1"/>
  <c r="ED10" i="4"/>
  <c r="DN10" i="4" a="1"/>
  <c r="DN10" i="4"/>
  <c r="DL10" i="4" a="1"/>
  <c r="DL10" i="4"/>
  <c r="DT10" i="4" a="1"/>
  <c r="DT10" i="4"/>
  <c r="DV10" i="4" a="1"/>
  <c r="DV10" i="4"/>
  <c r="EB10" i="4" a="1"/>
  <c r="EB10" i="4"/>
  <c r="DX10" i="4" a="1"/>
  <c r="DX10" i="4"/>
  <c r="EH36" i="4" a="1"/>
  <c r="EH36" i="4"/>
  <c r="DY36" i="4" a="1"/>
  <c r="DY36" i="4"/>
  <c r="DN36" i="4" a="1"/>
  <c r="DN36" i="4"/>
  <c r="EG36" i="4" a="1"/>
  <c r="EG36" i="4"/>
  <c r="DX36" i="4" a="1"/>
  <c r="DX36" i="4"/>
  <c r="DM36" i="4" a="1"/>
  <c r="DM36" i="4"/>
  <c r="EF36" i="4" a="1"/>
  <c r="EF36" i="4"/>
  <c r="DV36" i="4" a="1"/>
  <c r="DV36" i="4"/>
  <c r="DL36" i="4" a="1"/>
  <c r="DL36" i="4"/>
  <c r="DU36" i="4" a="1"/>
  <c r="DU36" i="4"/>
  <c r="ED36" i="4" a="1"/>
  <c r="ED36" i="4"/>
  <c r="DT36" i="4" a="1"/>
  <c r="DT36" i="4"/>
  <c r="DJ36" i="4" a="1"/>
  <c r="DJ36" i="4"/>
  <c r="EC36" i="4" a="1"/>
  <c r="EC36" i="4"/>
  <c r="EB36" i="4" a="1"/>
  <c r="EB36" i="4"/>
  <c r="DQ36" i="4" a="1"/>
  <c r="DQ36" i="4"/>
  <c r="DR36" i="4" a="1"/>
  <c r="DR36" i="4"/>
  <c r="DZ36" i="4" a="1"/>
  <c r="DZ36" i="4"/>
  <c r="DP36" i="4" a="1"/>
  <c r="DP36" i="4"/>
  <c r="EB18" i="4" a="1"/>
  <c r="EB18" i="4"/>
  <c r="DJ18" i="4" a="1"/>
  <c r="DJ18" i="4"/>
  <c r="DZ18" i="4" a="1"/>
  <c r="DZ18" i="4"/>
  <c r="EK18" i="4" a="1"/>
  <c r="EK18" i="4"/>
  <c r="DR18" i="4" a="1"/>
  <c r="DR18" i="4"/>
  <c r="DY18" i="4" a="1"/>
  <c r="DY18" i="4"/>
  <c r="DQ18" i="4" a="1"/>
  <c r="DQ18" i="4"/>
  <c r="EH18" i="4" a="1"/>
  <c r="EH18" i="4"/>
  <c r="EG18" i="4" a="1"/>
  <c r="EG18" i="4"/>
  <c r="DX18" i="4" a="1"/>
  <c r="DX18" i="4"/>
  <c r="DP18" i="4" a="1"/>
  <c r="DP18" i="4"/>
  <c r="EF18" i="4" a="1"/>
  <c r="EF18" i="4"/>
  <c r="DN18" i="4" a="1"/>
  <c r="DN18" i="4"/>
  <c r="DU18" i="4" a="1"/>
  <c r="DU18" i="4"/>
  <c r="DV18" i="4" a="1"/>
  <c r="DV18" i="4"/>
  <c r="ED18" i="4" a="1"/>
  <c r="ED18" i="4"/>
  <c r="DT18" i="4" a="1"/>
  <c r="DT18" i="4"/>
  <c r="EC18" i="4" a="1"/>
  <c r="EC18" i="4"/>
  <c r="DM18" i="4" a="1"/>
  <c r="DM18" i="4"/>
  <c r="DL18" i="4" a="1"/>
  <c r="DL18" i="4"/>
  <c r="DO7" i="4" a="1"/>
  <c r="DO7" i="4"/>
  <c r="DK7" i="4" a="1"/>
  <c r="DK7" i="4"/>
  <c r="DS7" i="4" a="1"/>
  <c r="DS7" i="4"/>
  <c r="DW7" i="4" a="1"/>
  <c r="DW7" i="4"/>
  <c r="EE7" i="4" a="1"/>
  <c r="EE7" i="4"/>
  <c r="EA7" i="4" a="1"/>
  <c r="EA7" i="4"/>
  <c r="DN58" i="4" a="1"/>
  <c r="DN58" i="4"/>
  <c r="DV58" i="4" a="1"/>
  <c r="DV58" i="4"/>
  <c r="DM58" i="4" a="1"/>
  <c r="DM58" i="4"/>
  <c r="ED58" i="4" a="1"/>
  <c r="ED58" i="4"/>
  <c r="DU58" i="4" a="1"/>
  <c r="DU58" i="4"/>
  <c r="DT58" i="4" a="1"/>
  <c r="DT58" i="4"/>
  <c r="DL58" i="4" a="1"/>
  <c r="DL58" i="4"/>
  <c r="EC58" i="4" a="1"/>
  <c r="EC58" i="4"/>
  <c r="EB58" i="4" a="1"/>
  <c r="EB58" i="4"/>
  <c r="DJ58" i="4" a="1"/>
  <c r="DJ58" i="4"/>
  <c r="DZ58" i="4" a="1"/>
  <c r="DZ58" i="4"/>
  <c r="DY58" i="4" a="1"/>
  <c r="DY58" i="4"/>
  <c r="DX58" i="4" a="1"/>
  <c r="DX58" i="4"/>
  <c r="DR58" i="4" a="1"/>
  <c r="DR58" i="4"/>
  <c r="DQ58" i="4" a="1"/>
  <c r="DQ58" i="4"/>
  <c r="DP58" i="4" a="1"/>
  <c r="DP58" i="4"/>
  <c r="EG58" i="4" a="1"/>
  <c r="EG58" i="4"/>
  <c r="EF58" i="4" a="1"/>
  <c r="EF58" i="4"/>
  <c r="EC6" i="4" a="1"/>
  <c r="EC6" i="4"/>
  <c r="DU6" i="4" a="1"/>
  <c r="DU6" i="4"/>
  <c r="DT6" i="4" a="1"/>
  <c r="DT6" i="4"/>
  <c r="DR6" i="4" a="1"/>
  <c r="DR6" i="4"/>
  <c r="DQ6" i="4" a="1"/>
  <c r="DQ6" i="4"/>
  <c r="DZ6" i="4" a="1"/>
  <c r="DZ6" i="4"/>
  <c r="DP6" i="4" a="1"/>
  <c r="DP6" i="4"/>
  <c r="EG6" i="4" a="1"/>
  <c r="EG6" i="4"/>
  <c r="DY6" i="4" a="1"/>
  <c r="DY6" i="4"/>
  <c r="ED6" i="4" a="1"/>
  <c r="ED6" i="4"/>
  <c r="EB6" i="4" a="1"/>
  <c r="EB6" i="4"/>
  <c r="DX6" i="4" a="1"/>
  <c r="DX6" i="4"/>
  <c r="DV6" i="4" a="1"/>
  <c r="DV6" i="4"/>
  <c r="DN6" i="4" a="1"/>
  <c r="DN6" i="4"/>
  <c r="EF6" i="4" a="1"/>
  <c r="EF6" i="4"/>
  <c r="EC55" i="4" a="1"/>
  <c r="EC55" i="4"/>
  <c r="EB55" i="4" a="1"/>
  <c r="EB55" i="4"/>
  <c r="DJ55" i="4" a="1"/>
  <c r="DJ55" i="4"/>
  <c r="DZ55" i="4" a="1"/>
  <c r="DZ55" i="4"/>
  <c r="DR55" i="4" a="1"/>
  <c r="DR55" i="4"/>
  <c r="EH55" i="4" a="1"/>
  <c r="EH55" i="4"/>
  <c r="DY55" i="4" a="1"/>
  <c r="DY55" i="4"/>
  <c r="EG55" i="4" a="1"/>
  <c r="EG55" i="4"/>
  <c r="DQ55" i="4" a="1"/>
  <c r="DQ55" i="4"/>
  <c r="EF55" i="4" a="1"/>
  <c r="EF55" i="4"/>
  <c r="DX55" i="4" a="1"/>
  <c r="DX55" i="4"/>
  <c r="DP55" i="4" a="1"/>
  <c r="DP55" i="4"/>
  <c r="DN55" i="4" a="1"/>
  <c r="DN55" i="4"/>
  <c r="DM55" i="4" a="1"/>
  <c r="DM55" i="4"/>
  <c r="DL55" i="4" a="1"/>
  <c r="DL55" i="4"/>
  <c r="ED55" i="4" a="1"/>
  <c r="ED55" i="4"/>
  <c r="DT55" i="4" a="1"/>
  <c r="DT55" i="4"/>
  <c r="DU55" i="4" a="1"/>
  <c r="DU55" i="4"/>
  <c r="DV55" i="4" a="1"/>
  <c r="DV55" i="4"/>
  <c r="DN34" i="4" a="1"/>
  <c r="DN34" i="4"/>
  <c r="EG34" i="4" a="1"/>
  <c r="EG34" i="4"/>
  <c r="DV34" i="4" a="1"/>
  <c r="DV34" i="4"/>
  <c r="EF34" i="4" a="1"/>
  <c r="EF34" i="4"/>
  <c r="DU34" i="4" a="1"/>
  <c r="DU34" i="4"/>
  <c r="DM34" i="4" a="1"/>
  <c r="DM34" i="4"/>
  <c r="DT34" i="4" a="1"/>
  <c r="DT34" i="4"/>
  <c r="DL34" i="4" a="1"/>
  <c r="DL34" i="4"/>
  <c r="ED34" i="4" a="1"/>
  <c r="ED34" i="4"/>
  <c r="DJ34" i="4" a="1"/>
  <c r="DJ34" i="4"/>
  <c r="EC34" i="4" a="1"/>
  <c r="EC34" i="4"/>
  <c r="DR34" i="4" a="1"/>
  <c r="DR34" i="4"/>
  <c r="EB34" i="4" a="1"/>
  <c r="EB34" i="4"/>
  <c r="DZ34" i="4" a="1"/>
  <c r="DZ34" i="4"/>
  <c r="DY34" i="4" a="1"/>
  <c r="DY34" i="4"/>
  <c r="DX34" i="4" a="1"/>
  <c r="DX34" i="4"/>
  <c r="DQ34" i="4" a="1"/>
  <c r="DQ34" i="4"/>
  <c r="DP34" i="4" a="1"/>
  <c r="DP34" i="4"/>
  <c r="DQ50" i="4" a="1"/>
  <c r="DQ50" i="4"/>
  <c r="DZ50" i="4" a="1"/>
  <c r="DZ50" i="4"/>
  <c r="DP50" i="4" a="1"/>
  <c r="DP50" i="4"/>
  <c r="DY50" i="4" a="1"/>
  <c r="DY50" i="4"/>
  <c r="DX50" i="4" a="1"/>
  <c r="DX50" i="4"/>
  <c r="DN50" i="4" a="1"/>
  <c r="DN50" i="4"/>
  <c r="EG50" i="4" a="1"/>
  <c r="EG50" i="4"/>
  <c r="DM50" i="4" a="1"/>
  <c r="DM50" i="4"/>
  <c r="EF50" i="4" a="1"/>
  <c r="EF50" i="4"/>
  <c r="DV50" i="4" a="1"/>
  <c r="DV50" i="4"/>
  <c r="DL50" i="4" a="1"/>
  <c r="DL50" i="4"/>
  <c r="DJ50" i="4" a="1"/>
  <c r="DJ50" i="4"/>
  <c r="ED50" i="4" a="1"/>
  <c r="ED50" i="4"/>
  <c r="EC50" i="4" a="1"/>
  <c r="EC50" i="4"/>
  <c r="DU50" i="4" a="1"/>
  <c r="DU50" i="4"/>
  <c r="EB50" i="4" a="1"/>
  <c r="EB50" i="4"/>
  <c r="DT50" i="4" a="1"/>
  <c r="DT50" i="4"/>
  <c r="DR50" i="4" a="1"/>
  <c r="DR50" i="4"/>
  <c r="EG39" i="4" a="1"/>
  <c r="EG39" i="4"/>
  <c r="DQ39" i="4" a="1"/>
  <c r="DQ39" i="4"/>
  <c r="DY39" i="4" a="1"/>
  <c r="DY39" i="4"/>
  <c r="DP39" i="4" a="1"/>
  <c r="DP39" i="4"/>
  <c r="EF39" i="4" a="1"/>
  <c r="EF39" i="4"/>
  <c r="DX39" i="4" a="1"/>
  <c r="DX39" i="4"/>
  <c r="DV39" i="4" a="1"/>
  <c r="DV39" i="4"/>
  <c r="ED39" i="4" a="1"/>
  <c r="ED39" i="4"/>
  <c r="DN39" i="4" a="1"/>
  <c r="DN39" i="4"/>
  <c r="EC39" i="4" a="1"/>
  <c r="EC39" i="4"/>
  <c r="DU39" i="4" a="1"/>
  <c r="DU39" i="4"/>
  <c r="DM39" i="4" a="1"/>
  <c r="DM39" i="4"/>
  <c r="EB39" i="4" a="1"/>
  <c r="EB39" i="4"/>
  <c r="DT39" i="4" a="1"/>
  <c r="DT39" i="4"/>
  <c r="DL39" i="4" a="1"/>
  <c r="DL39" i="4"/>
  <c r="DZ39" i="4" a="1"/>
  <c r="DZ39" i="4"/>
  <c r="DR39" i="4" a="1"/>
  <c r="DR39" i="4"/>
  <c r="EH39" i="4" a="1"/>
  <c r="EH39" i="4"/>
  <c r="DJ39" i="4" a="1"/>
  <c r="DJ39" i="4"/>
  <c r="EF37" i="4" a="1"/>
  <c r="EF37" i="4"/>
  <c r="DY37" i="4" a="1"/>
  <c r="DY37" i="4"/>
  <c r="DP37" i="4" a="1"/>
  <c r="DP37" i="4"/>
  <c r="DX37" i="4" a="1"/>
  <c r="DX37" i="4"/>
  <c r="DN37" i="4" a="1"/>
  <c r="DN37" i="4"/>
  <c r="DM37" i="4" a="1"/>
  <c r="DM37" i="4"/>
  <c r="ED37" i="4" a="1"/>
  <c r="ED37" i="4"/>
  <c r="DV37" i="4" a="1"/>
  <c r="DV37" i="4"/>
  <c r="DL37" i="4" a="1"/>
  <c r="DL37" i="4"/>
  <c r="EC37" i="4" a="1"/>
  <c r="EC37" i="4"/>
  <c r="DU37" i="4" a="1"/>
  <c r="DU37" i="4"/>
  <c r="EK37" i="4" a="1"/>
  <c r="EK37" i="4"/>
  <c r="DT37" i="4" a="1"/>
  <c r="DT37" i="4"/>
  <c r="DJ37" i="4" a="1"/>
  <c r="DJ37" i="4"/>
  <c r="DR37" i="4" a="1"/>
  <c r="DR37" i="4"/>
  <c r="DQ37" i="4" a="1"/>
  <c r="DQ37" i="4"/>
  <c r="EG37" i="4" a="1"/>
  <c r="EG37" i="4"/>
  <c r="EB37" i="4" a="1"/>
  <c r="EB37" i="4"/>
  <c r="DZ37" i="4" a="1"/>
  <c r="DZ37" i="4"/>
  <c r="EF44" i="4" a="1"/>
  <c r="EF44" i="4"/>
  <c r="DP44" i="4" a="1"/>
  <c r="DP44" i="4"/>
  <c r="DX44" i="4" a="1"/>
  <c r="DX44" i="4"/>
  <c r="DV44" i="4" a="1"/>
  <c r="DV44" i="4"/>
  <c r="DN44" i="4" a="1"/>
  <c r="DN44" i="4"/>
  <c r="ED44" i="4" a="1"/>
  <c r="ED44" i="4"/>
  <c r="EC44" i="4" a="1"/>
  <c r="EC44" i="4"/>
  <c r="DU44" i="4" a="1"/>
  <c r="DU44" i="4"/>
  <c r="DM44" i="4" a="1"/>
  <c r="DM44" i="4"/>
  <c r="EB44" i="4" a="1"/>
  <c r="EB44" i="4"/>
  <c r="DT44" i="4" a="1"/>
  <c r="DT44" i="4"/>
  <c r="DL44" i="4" a="1"/>
  <c r="DL44" i="4"/>
  <c r="DZ44" i="4" a="1"/>
  <c r="DZ44" i="4"/>
  <c r="DY44" i="4" a="1"/>
  <c r="DY44" i="4"/>
  <c r="DR44" i="4" a="1"/>
  <c r="DR44" i="4"/>
  <c r="DQ44" i="4" a="1"/>
  <c r="DQ44" i="4"/>
  <c r="DJ44" i="4" a="1"/>
  <c r="DJ44" i="4"/>
  <c r="EG44" i="4" a="1"/>
  <c r="EG44" i="4"/>
  <c r="EH44" i="4" a="1"/>
  <c r="EH44" i="4"/>
  <c r="DY41" i="4" a="1"/>
  <c r="DY41" i="4"/>
  <c r="EG41" i="4" a="1"/>
  <c r="EG41" i="4"/>
  <c r="DX41" i="4" a="1"/>
  <c r="DX41" i="4"/>
  <c r="EF41" i="4" a="1"/>
  <c r="EF41" i="4"/>
  <c r="DV41" i="4" a="1"/>
  <c r="DV41" i="4"/>
  <c r="DN41" i="4" a="1"/>
  <c r="DN41" i="4"/>
  <c r="DM41" i="4" a="1"/>
  <c r="DM41" i="4"/>
  <c r="DU41" i="4" a="1"/>
  <c r="DU41" i="4"/>
  <c r="DL41" i="4" a="1"/>
  <c r="DL41" i="4"/>
  <c r="ED41" i="4" a="1"/>
  <c r="ED41" i="4"/>
  <c r="DT41" i="4" a="1"/>
  <c r="DT41" i="4"/>
  <c r="EK41" i="4" a="1"/>
  <c r="EK41" i="4"/>
  <c r="EC41" i="4" a="1"/>
  <c r="EC41" i="4"/>
  <c r="EB41" i="4" a="1"/>
  <c r="EB41" i="4"/>
  <c r="DZ41" i="4" a="1"/>
  <c r="DZ41" i="4"/>
  <c r="DR41" i="4" a="1"/>
  <c r="DR41" i="4"/>
  <c r="DQ41" i="4" a="1"/>
  <c r="DQ41" i="4"/>
  <c r="DJ41" i="4" a="1"/>
  <c r="DJ41" i="4"/>
  <c r="EH41" i="4" a="1"/>
  <c r="EH41" i="4"/>
  <c r="DP41" i="4" a="1"/>
  <c r="DP41" i="4"/>
  <c r="EG33" i="4" a="1"/>
  <c r="EG33" i="4"/>
  <c r="DM33" i="4" a="1"/>
  <c r="DM33" i="4"/>
  <c r="EF33" i="4" a="1"/>
  <c r="EF33" i="4"/>
  <c r="DV33" i="4" a="1"/>
  <c r="DV33" i="4"/>
  <c r="DU33" i="4" a="1"/>
  <c r="DU33" i="4"/>
  <c r="DL33" i="4" a="1"/>
  <c r="DL33" i="4"/>
  <c r="ED33" i="4" a="1"/>
  <c r="ED33" i="4"/>
  <c r="DT33" i="4" a="1"/>
  <c r="DT33" i="4"/>
  <c r="EC33" i="4" a="1"/>
  <c r="EC33" i="4"/>
  <c r="DJ33" i="4" a="1"/>
  <c r="DJ33" i="4"/>
  <c r="EB33" i="4" a="1"/>
  <c r="EB33" i="4"/>
  <c r="DR33" i="4" a="1"/>
  <c r="DR33" i="4"/>
  <c r="DZ33" i="4" a="1"/>
  <c r="DZ33" i="4"/>
  <c r="DQ33" i="4" a="1"/>
  <c r="DQ33" i="4"/>
  <c r="DP33" i="4" a="1"/>
  <c r="DP33" i="4"/>
  <c r="DN33" i="4" a="1"/>
  <c r="DN33" i="4"/>
  <c r="DY33" i="4" a="1"/>
  <c r="DY33" i="4"/>
  <c r="DX33" i="4" a="1"/>
  <c r="DX33" i="4"/>
  <c r="DY7" i="4" a="1"/>
  <c r="DY7" i="4"/>
  <c r="EF7" i="4" a="1"/>
  <c r="EF7" i="4"/>
  <c r="DX7" i="4" a="1"/>
  <c r="DX7" i="4"/>
  <c r="DV7" i="4" a="1"/>
  <c r="DV7" i="4"/>
  <c r="DM7" i="4" a="1"/>
  <c r="DM7" i="4"/>
  <c r="ED7" i="4" a="1"/>
  <c r="ED7" i="4"/>
  <c r="EC7" i="4" a="1"/>
  <c r="EC7" i="4"/>
  <c r="DU7" i="4" a="1"/>
  <c r="DU7" i="4"/>
  <c r="DL7" i="4" a="1"/>
  <c r="DL7" i="4"/>
  <c r="DT7" i="4" a="1"/>
  <c r="DT7" i="4"/>
  <c r="EB7" i="4" a="1"/>
  <c r="EB7" i="4"/>
  <c r="DJ7" i="4" a="1"/>
  <c r="DJ7" i="4"/>
  <c r="DR7" i="4" a="1"/>
  <c r="DR7" i="4"/>
  <c r="DP7" i="4" a="1"/>
  <c r="DP7" i="4"/>
  <c r="EG7" i="4" a="1"/>
  <c r="EG7" i="4"/>
  <c r="DN7" i="4" a="1"/>
  <c r="DN7" i="4"/>
  <c r="DQ7" i="4" a="1"/>
  <c r="DQ7" i="4"/>
  <c r="DZ7" i="4" a="1"/>
  <c r="DZ7" i="4"/>
  <c r="EG59" i="4" a="1"/>
  <c r="EG59" i="4"/>
  <c r="DY59" i="4" a="1"/>
  <c r="DY59" i="4"/>
  <c r="DQ59" i="4" a="1"/>
  <c r="DQ59" i="4"/>
  <c r="DJ59" i="4" a="1"/>
  <c r="DJ59" i="4"/>
  <c r="EF59" i="4" a="1"/>
  <c r="EF59" i="4"/>
  <c r="DX59" i="4" a="1"/>
  <c r="DX59" i="4"/>
  <c r="DP59" i="4" a="1"/>
  <c r="DP59" i="4"/>
  <c r="ED59" i="4" a="1"/>
  <c r="ED59" i="4"/>
  <c r="DV59" i="4" a="1"/>
  <c r="DV59" i="4"/>
  <c r="DN59" i="4" a="1"/>
  <c r="DN59" i="4"/>
  <c r="EK59" i="4" a="1"/>
  <c r="EK59" i="4"/>
  <c r="EC59" i="4" a="1"/>
  <c r="EC59" i="4"/>
  <c r="DM59" i="4" a="1"/>
  <c r="DM59" i="4"/>
  <c r="EB59" i="4" a="1"/>
  <c r="EB59" i="4"/>
  <c r="DU59" i="4" a="1"/>
  <c r="DU59" i="4"/>
  <c r="DZ59" i="4" a="1"/>
  <c r="DZ59" i="4"/>
  <c r="DT59" i="4" a="1"/>
  <c r="DT59" i="4"/>
  <c r="DL59" i="4" a="1"/>
  <c r="DL59" i="4"/>
  <c r="EH59" i="4" a="1"/>
  <c r="EH59" i="4"/>
  <c r="DR59" i="4" a="1"/>
  <c r="DR59" i="4"/>
  <c r="DV15" i="4" a="1"/>
  <c r="DV15" i="4"/>
  <c r="DU15" i="4" a="1"/>
  <c r="DU15" i="4"/>
  <c r="DN15" i="4" a="1"/>
  <c r="DN15" i="4"/>
  <c r="ED15" i="4" a="1"/>
  <c r="ED15" i="4"/>
  <c r="DM15" i="4" a="1"/>
  <c r="DM15" i="4"/>
  <c r="EC15" i="4" a="1"/>
  <c r="EC15" i="4"/>
  <c r="DL15" i="4" a="1"/>
  <c r="DL15" i="4"/>
  <c r="EK15" i="4" a="1"/>
  <c r="EK15" i="4"/>
  <c r="EB15" i="4" a="1"/>
  <c r="EB15" i="4"/>
  <c r="DT15" i="4" a="1"/>
  <c r="DT15" i="4"/>
  <c r="DJ15" i="4" a="1"/>
  <c r="DJ15" i="4"/>
  <c r="DR15" i="4" a="1"/>
  <c r="DR15" i="4"/>
  <c r="DZ15" i="4" a="1"/>
  <c r="DZ15" i="4"/>
  <c r="DQ15" i="4" a="1"/>
  <c r="DQ15" i="4"/>
  <c r="DY15" i="4" a="1"/>
  <c r="DY15" i="4"/>
  <c r="DX15" i="4" a="1"/>
  <c r="DX15" i="4"/>
  <c r="DP15" i="4" a="1"/>
  <c r="DP15" i="4"/>
  <c r="EF15" i="4" a="1"/>
  <c r="EF15" i="4"/>
  <c r="EG15" i="4" a="1"/>
  <c r="EG15" i="4"/>
  <c r="DN22" i="4" a="1"/>
  <c r="DN22" i="4"/>
  <c r="DV22" i="4" a="1"/>
  <c r="DV22" i="4"/>
  <c r="EG22" i="4" a="1"/>
  <c r="EG22" i="4"/>
  <c r="DM22" i="4" a="1"/>
  <c r="DM22" i="4"/>
  <c r="EF22" i="4" a="1"/>
  <c r="EF22" i="4"/>
  <c r="DU22" i="4" a="1"/>
  <c r="DU22" i="4"/>
  <c r="DL22" i="4" a="1"/>
  <c r="DL22" i="4"/>
  <c r="DT22" i="4" a="1"/>
  <c r="DT22" i="4"/>
  <c r="ED22" i="4" a="1"/>
  <c r="ED22" i="4"/>
  <c r="EC22" i="4" a="1"/>
  <c r="EC22" i="4"/>
  <c r="DJ22" i="4" a="1"/>
  <c r="DJ22" i="4"/>
  <c r="EK22" i="4" a="1"/>
  <c r="EK22" i="4"/>
  <c r="DQ22" i="4" a="1"/>
  <c r="DQ22" i="4"/>
  <c r="EB22" i="4" a="1"/>
  <c r="EB22" i="4"/>
  <c r="DR22" i="4" a="1"/>
  <c r="DR22" i="4"/>
  <c r="DZ22" i="4" a="1"/>
  <c r="DZ22" i="4"/>
  <c r="DX22" i="4" a="1"/>
  <c r="DX22" i="4"/>
  <c r="DY22" i="4" a="1"/>
  <c r="DY22" i="4"/>
  <c r="DP22" i="4" a="1"/>
  <c r="DP22" i="4"/>
  <c r="DV25" i="4" a="1"/>
  <c r="DV25" i="4"/>
  <c r="DM25" i="4" a="1"/>
  <c r="DM25" i="4"/>
  <c r="ED25" i="4" a="1"/>
  <c r="ED25" i="4"/>
  <c r="DU25" i="4" a="1"/>
  <c r="DU25" i="4"/>
  <c r="DL25" i="4" a="1"/>
  <c r="DL25" i="4"/>
  <c r="EC25" i="4" a="1"/>
  <c r="EC25" i="4"/>
  <c r="DT25" i="4" a="1"/>
  <c r="DT25" i="4"/>
  <c r="EK25" i="4" a="1"/>
  <c r="EK25" i="4"/>
  <c r="EB25" i="4" a="1"/>
  <c r="EB25" i="4"/>
  <c r="DR25" i="4" a="1"/>
  <c r="DR25" i="4"/>
  <c r="DJ25" i="4" a="1"/>
  <c r="DJ25" i="4"/>
  <c r="DZ25" i="4" a="1"/>
  <c r="DZ25" i="4"/>
  <c r="DY25" i="4" a="1"/>
  <c r="DY25" i="4"/>
  <c r="DQ25" i="4" a="1"/>
  <c r="DQ25" i="4"/>
  <c r="DX25" i="4" a="1"/>
  <c r="DX25" i="4"/>
  <c r="DP25" i="4" a="1"/>
  <c r="DP25" i="4"/>
  <c r="DN25" i="4" a="1"/>
  <c r="DN25" i="4"/>
  <c r="EG25" i="4" a="1"/>
  <c r="EG25" i="4"/>
  <c r="EF25" i="4" a="1"/>
  <c r="EF25" i="4"/>
  <c r="DN9" i="4" a="1"/>
  <c r="DN9" i="4"/>
  <c r="ED9" i="4" a="1"/>
  <c r="ED9" i="4"/>
  <c r="DV9" i="4" a="1"/>
  <c r="DV9" i="4"/>
  <c r="DM9" i="4" a="1"/>
  <c r="DM9" i="4"/>
  <c r="DU9" i="4" a="1"/>
  <c r="DU9" i="4"/>
  <c r="EB9" i="4" a="1"/>
  <c r="EB9" i="4"/>
  <c r="DT9" i="4" a="1"/>
  <c r="DT9" i="4"/>
  <c r="DJ9" i="4" a="1"/>
  <c r="DJ9" i="4"/>
  <c r="DR9" i="4" a="1"/>
  <c r="DR9" i="4"/>
  <c r="EH9" i="4" a="1"/>
  <c r="EH9" i="4"/>
  <c r="EC9" i="4" a="1"/>
  <c r="EC9" i="4"/>
  <c r="DQ9" i="4" a="1"/>
  <c r="DQ9" i="4"/>
  <c r="DZ9" i="4" a="1"/>
  <c r="DZ9" i="4"/>
  <c r="DY9" i="4" a="1"/>
  <c r="DY9" i="4"/>
  <c r="DP9" i="4" a="1"/>
  <c r="DP9" i="4"/>
  <c r="DX9" i="4" a="1"/>
  <c r="DX9" i="4"/>
  <c r="EG9" i="4" a="1"/>
  <c r="EG9" i="4"/>
  <c r="EK9" i="4" a="1"/>
  <c r="EK9" i="4"/>
  <c r="EF9" i="4" a="1"/>
  <c r="EF9" i="4"/>
  <c r="DL9" i="4" a="1"/>
  <c r="DL9" i="4"/>
  <c r="DY30" i="4" a="1"/>
  <c r="DY30" i="4"/>
  <c r="DJ30" i="4" a="1"/>
  <c r="DJ30" i="4"/>
  <c r="EF30" i="4" a="1"/>
  <c r="EF30" i="4"/>
  <c r="DQ30" i="4" a="1"/>
  <c r="DQ30" i="4"/>
  <c r="DX30" i="4" a="1"/>
  <c r="DX30" i="4"/>
  <c r="DP30" i="4" a="1"/>
  <c r="DP30" i="4"/>
  <c r="ED30" i="4" a="1"/>
  <c r="ED30" i="4"/>
  <c r="DV30" i="4" a="1"/>
  <c r="DV30" i="4"/>
  <c r="EC30" i="4" a="1"/>
  <c r="EC30" i="4"/>
  <c r="DU30" i="4" a="1"/>
  <c r="DU30" i="4"/>
  <c r="DN30" i="4" a="1"/>
  <c r="DN30" i="4"/>
  <c r="DT30" i="4" a="1"/>
  <c r="DT30" i="4"/>
  <c r="DM30" i="4" a="1"/>
  <c r="DM30" i="4"/>
  <c r="DL30" i="4" a="1"/>
  <c r="DL30" i="4"/>
  <c r="EH30" i="4" a="1"/>
  <c r="EH30" i="4"/>
  <c r="EG30" i="4" a="1"/>
  <c r="EG30" i="4"/>
  <c r="EB30" i="4" a="1"/>
  <c r="EB30" i="4"/>
  <c r="DZ30" i="4" a="1"/>
  <c r="DZ30" i="4"/>
  <c r="DR30" i="4" a="1"/>
  <c r="DR30" i="4"/>
  <c r="EA11" i="4" a="1"/>
  <c r="EA11" i="4"/>
  <c r="EE11" i="4" a="1"/>
  <c r="EE11" i="4"/>
  <c r="DW11" i="4" a="1"/>
  <c r="DW11" i="4"/>
  <c r="DO11" i="4" a="1"/>
  <c r="DO11" i="4"/>
  <c r="DS11" i="4" a="1"/>
  <c r="DS11" i="4"/>
  <c r="DK11" i="4" a="1"/>
  <c r="DK11" i="4"/>
  <c r="EG42" i="4" a="1"/>
  <c r="EG42" i="4"/>
  <c r="DQ42" i="4" a="1"/>
  <c r="DQ42" i="4"/>
  <c r="DY42" i="4" a="1"/>
  <c r="DY42" i="4"/>
  <c r="DP42" i="4" a="1"/>
  <c r="DP42" i="4"/>
  <c r="EF42" i="4" a="1"/>
  <c r="EF42" i="4"/>
  <c r="DX42" i="4" a="1"/>
  <c r="DX42" i="4"/>
  <c r="DV42" i="4" a="1"/>
  <c r="DV42" i="4"/>
  <c r="ED42" i="4" a="1"/>
  <c r="ED42" i="4"/>
  <c r="DN42" i="4" a="1"/>
  <c r="DN42" i="4"/>
  <c r="EK42" i="4" a="1"/>
  <c r="EK42" i="4"/>
  <c r="EC42" i="4" a="1"/>
  <c r="EC42" i="4"/>
  <c r="DU42" i="4" a="1"/>
  <c r="DU42" i="4"/>
  <c r="DM42" i="4" a="1"/>
  <c r="DM42" i="4"/>
  <c r="EB42" i="4" a="1"/>
  <c r="EB42" i="4"/>
  <c r="DZ42" i="4" a="1"/>
  <c r="DZ42" i="4"/>
  <c r="DT42" i="4" a="1"/>
  <c r="DT42" i="4"/>
  <c r="DL42" i="4" a="1"/>
  <c r="DL42" i="4"/>
  <c r="DR42" i="4" a="1"/>
  <c r="DR42" i="4"/>
  <c r="EH42" i="4" a="1"/>
  <c r="EH42" i="4"/>
  <c r="DJ42" i="4" a="1"/>
  <c r="DJ42" i="4"/>
  <c r="EB45" i="4" a="1"/>
  <c r="EB45" i="4"/>
  <c r="DT45" i="4" a="1"/>
  <c r="DT45" i="4"/>
  <c r="DM45" i="4" a="1"/>
  <c r="DM45" i="4"/>
  <c r="EK45" i="4" a="1"/>
  <c r="EK45" i="4"/>
  <c r="DL45" i="4" a="1"/>
  <c r="DL45" i="4"/>
  <c r="DZ45" i="4" a="1"/>
  <c r="DZ45" i="4"/>
  <c r="DY45" i="4" a="1"/>
  <c r="DY45" i="4"/>
  <c r="DR45" i="4" a="1"/>
  <c r="DR45" i="4"/>
  <c r="DX45" i="4" a="1"/>
  <c r="DX45" i="4"/>
  <c r="DJ45" i="4" a="1"/>
  <c r="DJ45" i="4"/>
  <c r="EH45" i="4" a="1"/>
  <c r="EH45" i="4"/>
  <c r="DQ45" i="4" a="1"/>
  <c r="DQ45" i="4"/>
  <c r="EG45" i="4" a="1"/>
  <c r="EG45" i="4"/>
  <c r="DP45" i="4" a="1"/>
  <c r="DP45" i="4"/>
  <c r="EF45" i="4" a="1"/>
  <c r="EF45" i="4"/>
  <c r="DV45" i="4" a="1"/>
  <c r="DV45" i="4"/>
  <c r="DU45" i="4" a="1"/>
  <c r="DU45" i="4"/>
  <c r="DN45" i="4" a="1"/>
  <c r="DN45" i="4"/>
  <c r="ED45" i="4" a="1"/>
  <c r="ED45" i="4"/>
  <c r="EC45" i="4" a="1"/>
  <c r="EC45" i="4"/>
  <c r="EA14" i="4" a="1"/>
  <c r="EA14" i="4"/>
  <c r="DS14" i="4" a="1"/>
  <c r="DS14" i="4"/>
  <c r="DK14" i="4" a="1"/>
  <c r="DK14" i="4"/>
  <c r="DW14" i="4" a="1"/>
  <c r="DW14" i="4"/>
  <c r="DO14" i="4" a="1"/>
  <c r="DO14" i="4"/>
  <c r="EE14" i="4" a="1"/>
  <c r="EE14" i="4"/>
  <c r="DL11" i="4" a="1"/>
  <c r="DL11" i="4"/>
  <c r="EH11" i="4" a="1"/>
  <c r="EH11" i="4"/>
  <c r="DT11" i="4" a="1"/>
  <c r="DT11" i="4"/>
  <c r="EG11" i="4" a="1"/>
  <c r="EG11" i="4"/>
  <c r="DZ11" i="4" a="1"/>
  <c r="DZ11" i="4"/>
  <c r="DR11" i="4" a="1"/>
  <c r="DR11" i="4"/>
  <c r="DY11" i="4" a="1"/>
  <c r="DY11" i="4"/>
  <c r="DJ11" i="4" a="1"/>
  <c r="DJ11" i="4"/>
  <c r="EF11" i="4" a="1"/>
  <c r="EF11" i="4"/>
  <c r="DQ11" i="4" a="1"/>
  <c r="DQ11" i="4"/>
  <c r="DX11" i="4" a="1"/>
  <c r="DX11" i="4"/>
  <c r="DP11" i="4" a="1"/>
  <c r="DP11" i="4"/>
  <c r="EJ11" i="4" a="1"/>
  <c r="EJ11" i="4"/>
  <c r="DV11" i="4" a="1"/>
  <c r="DV11" i="4"/>
  <c r="DU11" i="4" a="1"/>
  <c r="DU11" i="4"/>
  <c r="ED11" i="4" a="1"/>
  <c r="ED11" i="4"/>
  <c r="DN11" i="4" a="1"/>
  <c r="DN11" i="4"/>
  <c r="EB11" i="4" a="1"/>
  <c r="EB11" i="4"/>
  <c r="EC11" i="4" a="1"/>
  <c r="EC11" i="4"/>
  <c r="DM11" i="4" a="1"/>
  <c r="DM11" i="4"/>
  <c r="EA6" i="4" a="1"/>
  <c r="EA6" i="4"/>
  <c r="DS6" i="4" a="1"/>
  <c r="DS6" i="4"/>
  <c r="DW6" i="4" a="1"/>
  <c r="DW6" i="4"/>
  <c r="DO6" i="4" a="1"/>
  <c r="DO6" i="4"/>
  <c r="EE6" i="4" a="1"/>
  <c r="EE6" i="4"/>
  <c r="EH51" i="4" a="1"/>
  <c r="EH51" i="4"/>
  <c r="DX51" i="4" a="1"/>
  <c r="DX51" i="4"/>
  <c r="EG51" i="4" a="1"/>
  <c r="EG51" i="4"/>
  <c r="DN51" i="4" a="1"/>
  <c r="DN51" i="4"/>
  <c r="EF51" i="4" a="1"/>
  <c r="EF51" i="4"/>
  <c r="DM51" i="4" a="1"/>
  <c r="DM51" i="4"/>
  <c r="DV51" i="4" a="1"/>
  <c r="DV51" i="4"/>
  <c r="DL51" i="4" a="1"/>
  <c r="DL51" i="4"/>
  <c r="ED51" i="4" a="1"/>
  <c r="ED51" i="4"/>
  <c r="DU51" i="4" a="1"/>
  <c r="DU51" i="4"/>
  <c r="DT51" i="4" a="1"/>
  <c r="DT51" i="4"/>
  <c r="DJ51" i="4" a="1"/>
  <c r="DJ51" i="4"/>
  <c r="EC51" i="4" a="1"/>
  <c r="EC51" i="4"/>
  <c r="DR51" i="4" a="1"/>
  <c r="DR51" i="4"/>
  <c r="DQ51" i="4" a="1"/>
  <c r="DQ51" i="4"/>
  <c r="DP51" i="4" a="1"/>
  <c r="DP51" i="4"/>
  <c r="EK51" i="4" a="1"/>
  <c r="EK51" i="4"/>
  <c r="EB51" i="4" a="1"/>
  <c r="EB51" i="4"/>
  <c r="DZ51" i="4" a="1"/>
  <c r="DZ51" i="4"/>
  <c r="DY51" i="4" a="1"/>
  <c r="DY51" i="4"/>
  <c r="DJ57" i="4" a="1"/>
  <c r="DJ57" i="4"/>
  <c r="DZ57" i="4" a="1"/>
  <c r="DZ57" i="4"/>
  <c r="DR57" i="4" a="1"/>
  <c r="DR57" i="4"/>
  <c r="DY57" i="4" a="1"/>
  <c r="DY57" i="4"/>
  <c r="DQ57" i="4" a="1"/>
  <c r="DQ57" i="4"/>
  <c r="EG57" i="4" a="1"/>
  <c r="EG57" i="4"/>
  <c r="DX57" i="4" a="1"/>
  <c r="DX57" i="4"/>
  <c r="DP57" i="4" a="1"/>
  <c r="DP57" i="4"/>
  <c r="EF57" i="4" a="1"/>
  <c r="EF57" i="4"/>
  <c r="DN57" i="4" a="1"/>
  <c r="DN57" i="4"/>
  <c r="DV57" i="4" a="1"/>
  <c r="DV57" i="4"/>
  <c r="DM57" i="4" a="1"/>
  <c r="DM57" i="4"/>
  <c r="DU57" i="4" a="1"/>
  <c r="DU57" i="4"/>
  <c r="DT57" i="4" a="1"/>
  <c r="DT57" i="4"/>
  <c r="DL57" i="4" a="1"/>
  <c r="DL57" i="4"/>
  <c r="EK57" i="4" a="1"/>
  <c r="EK57" i="4"/>
  <c r="ED57" i="4" a="1"/>
  <c r="ED57" i="4"/>
  <c r="EC57" i="4" a="1"/>
  <c r="EC57" i="4"/>
  <c r="EB57" i="4" a="1"/>
  <c r="EB57" i="4"/>
  <c r="DS10" i="4" a="1"/>
  <c r="DS10" i="4"/>
  <c r="DK10" i="4" a="1"/>
  <c r="DK10" i="4"/>
  <c r="EA10" i="4" a="1"/>
  <c r="EA10" i="4"/>
  <c r="DO10" i="4" a="1"/>
  <c r="DO10" i="4"/>
  <c r="EE10" i="4" a="1"/>
  <c r="EE10" i="4"/>
  <c r="DW10" i="4" a="1"/>
  <c r="DW10" i="4"/>
  <c r="EF40" i="4" a="1"/>
  <c r="EF40" i="4"/>
  <c r="DY40" i="4" a="1"/>
  <c r="DY40" i="4"/>
  <c r="DX40" i="4" a="1"/>
  <c r="DX40" i="4"/>
  <c r="DN40" i="4" a="1"/>
  <c r="DN40" i="4"/>
  <c r="DV40" i="4" a="1"/>
  <c r="DV40" i="4"/>
  <c r="ED40" i="4" a="1"/>
  <c r="ED40" i="4"/>
  <c r="DM40" i="4" a="1"/>
  <c r="DM40" i="4"/>
  <c r="EC40" i="4" a="1"/>
  <c r="EC40" i="4"/>
  <c r="DU40" i="4" a="1"/>
  <c r="DU40" i="4"/>
  <c r="DL40" i="4" a="1"/>
  <c r="DL40" i="4"/>
  <c r="EB40" i="4" a="1"/>
  <c r="EB40" i="4"/>
  <c r="DT40" i="4" a="1"/>
  <c r="DT40" i="4"/>
  <c r="DZ40" i="4" a="1"/>
  <c r="DZ40" i="4"/>
  <c r="DR40" i="4" a="1"/>
  <c r="DR40" i="4"/>
  <c r="DQ40" i="4" a="1"/>
  <c r="DQ40" i="4"/>
  <c r="DJ40" i="4" a="1"/>
  <c r="DJ40" i="4"/>
  <c r="DP40" i="4" a="1"/>
  <c r="DP40" i="4"/>
  <c r="EG40" i="4" a="1"/>
  <c r="EG40" i="4"/>
  <c r="DS13" i="4" a="1"/>
  <c r="DS13" i="4"/>
  <c r="EA13" i="4" a="1"/>
  <c r="EA13" i="4"/>
  <c r="DW13" i="4" a="1"/>
  <c r="DW13" i="4"/>
  <c r="DO13" i="4" a="1"/>
  <c r="DO13" i="4"/>
  <c r="EE13" i="4" a="1"/>
  <c r="EE13" i="4"/>
  <c r="DK13" i="4" a="1"/>
  <c r="DK13" i="4"/>
  <c r="EK13" i="4" a="1"/>
  <c r="EK13" i="4"/>
  <c r="EC13" i="4" a="1"/>
  <c r="EC13" i="4"/>
  <c r="DU13" i="4" a="1"/>
  <c r="DU13" i="4"/>
  <c r="DM13" i="4" a="1"/>
  <c r="DM13" i="4"/>
  <c r="DL13" i="4" a="1"/>
  <c r="DL13" i="4"/>
  <c r="DJ13" i="4" a="1"/>
  <c r="DJ13" i="4"/>
  <c r="EH13" i="4" a="1"/>
  <c r="EH13" i="4"/>
  <c r="DR13" i="4" a="1"/>
  <c r="DR13" i="4"/>
  <c r="EG13" i="4" a="1"/>
  <c r="EG13" i="4"/>
  <c r="DZ13" i="4" a="1"/>
  <c r="DZ13" i="4"/>
  <c r="DQ13" i="4" a="1"/>
  <c r="DQ13" i="4"/>
  <c r="DY13" i="4" a="1"/>
  <c r="DY13" i="4"/>
  <c r="DP13" i="4" a="1"/>
  <c r="DP13" i="4"/>
  <c r="EB13" i="4" a="1"/>
  <c r="EB13" i="4"/>
  <c r="DX13" i="4" a="1"/>
  <c r="DX13" i="4"/>
  <c r="DV13" i="4" a="1"/>
  <c r="DV13" i="4"/>
  <c r="DT13" i="4" a="1"/>
  <c r="DT13" i="4"/>
  <c r="EF13" i="4" a="1"/>
  <c r="EF13" i="4"/>
  <c r="DN13" i="4" a="1"/>
  <c r="DN13" i="4"/>
  <c r="ED13" i="4" a="1"/>
  <c r="ED13" i="4"/>
  <c r="DK9" i="4" a="1"/>
  <c r="DK9" i="4"/>
  <c r="EI9" i="4" a="1"/>
  <c r="EI9" i="4"/>
  <c r="DS9" i="4" a="1"/>
  <c r="DS9" i="4"/>
  <c r="EA9" i="4" a="1"/>
  <c r="EA9" i="4"/>
  <c r="DW9" i="4" a="1"/>
  <c r="DW9" i="4"/>
  <c r="DO9" i="4" a="1"/>
  <c r="DO9" i="4"/>
  <c r="EE9" i="4" a="1"/>
  <c r="EE9" i="4"/>
  <c r="EF16" i="4" a="1"/>
  <c r="EF16" i="4"/>
  <c r="DX16" i="4" a="1"/>
  <c r="DX16" i="4"/>
  <c r="DV16" i="4" a="1"/>
  <c r="DV16" i="4"/>
  <c r="ED16" i="4" a="1"/>
  <c r="ED16" i="4"/>
  <c r="DN16" i="4" a="1"/>
  <c r="DN16" i="4"/>
  <c r="EK16" i="4" a="1"/>
  <c r="EK16" i="4"/>
  <c r="EC16" i="4" a="1"/>
  <c r="EC16" i="4"/>
  <c r="DU16" i="4" a="1"/>
  <c r="DU16" i="4"/>
  <c r="DM16" i="4" a="1"/>
  <c r="DM16" i="4"/>
  <c r="DL16" i="4" a="1"/>
  <c r="DL16" i="4"/>
  <c r="EB16" i="4" a="1"/>
  <c r="EB16" i="4"/>
  <c r="DT16" i="4" a="1"/>
  <c r="DT16" i="4"/>
  <c r="DJ16" i="4" a="1"/>
  <c r="DJ16" i="4"/>
  <c r="DZ16" i="4" a="1"/>
  <c r="DZ16" i="4"/>
  <c r="DQ16" i="4" a="1"/>
  <c r="DQ16" i="4"/>
  <c r="DY16" i="4" a="1"/>
  <c r="DY16" i="4"/>
  <c r="DR16" i="4" a="1"/>
  <c r="DR16" i="4"/>
  <c r="DP16" i="4" a="1"/>
  <c r="DP16" i="4"/>
  <c r="EG16" i="4" a="1"/>
  <c r="EG16" i="4"/>
  <c r="DJ31" i="4" a="1"/>
  <c r="DJ31" i="4"/>
  <c r="EH31" i="4" a="1"/>
  <c r="EH31" i="4"/>
  <c r="DZ31" i="4" a="1"/>
  <c r="DZ31" i="4"/>
  <c r="DR31" i="4" a="1"/>
  <c r="DR31" i="4"/>
  <c r="EG31" i="4" a="1"/>
  <c r="EG31" i="4"/>
  <c r="DY31" i="4" a="1"/>
  <c r="DY31" i="4"/>
  <c r="DQ31" i="4" a="1"/>
  <c r="DQ31" i="4"/>
  <c r="DP31" i="4" a="1"/>
  <c r="DP31" i="4"/>
  <c r="EF31" i="4" a="1"/>
  <c r="EF31" i="4"/>
  <c r="DX31" i="4" a="1"/>
  <c r="DX31" i="4"/>
  <c r="EC31" i="4" a="1"/>
  <c r="EC31" i="4"/>
  <c r="DU31" i="4" a="1"/>
  <c r="DU31" i="4"/>
  <c r="DM31" i="4" a="1"/>
  <c r="DM31" i="4"/>
  <c r="DN31" i="4" a="1"/>
  <c r="DN31" i="4"/>
  <c r="EK31" i="4" a="1"/>
  <c r="EK31" i="4"/>
  <c r="DL31" i="4" a="1"/>
  <c r="DL31" i="4"/>
  <c r="DV31" i="4" a="1"/>
  <c r="DV31" i="4"/>
  <c r="ED31" i="4" a="1"/>
  <c r="ED31" i="4"/>
  <c r="EB31" i="4" a="1"/>
  <c r="EB31" i="4"/>
  <c r="DT31" i="4" a="1"/>
  <c r="DT31" i="4"/>
  <c r="DX24" i="4" a="1"/>
  <c r="DX24" i="4"/>
  <c r="DN24" i="4" a="1"/>
  <c r="DN24" i="4"/>
  <c r="EF24" i="4" a="1"/>
  <c r="EF24" i="4"/>
  <c r="DM24" i="4" a="1"/>
  <c r="DM24" i="4"/>
  <c r="DL24" i="4" a="1"/>
  <c r="DL24" i="4"/>
  <c r="ED24" i="4" a="1"/>
  <c r="ED24" i="4"/>
  <c r="DV24" i="4" a="1"/>
  <c r="DV24" i="4"/>
  <c r="DR24" i="4" a="1"/>
  <c r="DR24" i="4"/>
  <c r="DU24" i="4" a="1"/>
  <c r="DU24" i="4"/>
  <c r="DJ24" i="4" a="1"/>
  <c r="DJ24" i="4"/>
  <c r="EK24" i="4" a="1"/>
  <c r="EK24" i="4"/>
  <c r="EC24" i="4" a="1"/>
  <c r="EC24" i="4"/>
  <c r="DT24" i="4" a="1"/>
  <c r="DT24" i="4"/>
  <c r="EJ24" i="4" a="1"/>
  <c r="EJ24" i="4"/>
  <c r="EB24" i="4" a="1"/>
  <c r="EB24" i="4"/>
  <c r="DQ24" i="4" a="1"/>
  <c r="DQ24" i="4"/>
  <c r="DP24" i="4" a="1"/>
  <c r="DP24" i="4"/>
  <c r="EH24" i="4" a="1"/>
  <c r="EH24" i="4"/>
  <c r="DZ24" i="4" a="1"/>
  <c r="DZ24" i="4"/>
  <c r="DY24" i="4" a="1"/>
  <c r="DY24" i="4"/>
  <c r="EG24" i="4" a="1"/>
  <c r="EG24" i="4"/>
  <c r="EF38" i="4" a="1"/>
  <c r="EF38" i="4"/>
  <c r="DM38" i="4" a="1"/>
  <c r="DM38" i="4"/>
  <c r="DV38" i="4" a="1"/>
  <c r="DV38" i="4"/>
  <c r="DL38" i="4" a="1"/>
  <c r="DL38" i="4"/>
  <c r="DU38" i="4" a="1"/>
  <c r="DU38" i="4"/>
  <c r="ED38" i="4" a="1"/>
  <c r="ED38" i="4"/>
  <c r="DJ38" i="4" a="1"/>
  <c r="DJ38" i="4"/>
  <c r="EC38" i="4" a="1"/>
  <c r="EC38" i="4"/>
  <c r="DT38" i="4" a="1"/>
  <c r="DT38" i="4"/>
  <c r="EK38" i="4" a="1"/>
  <c r="EK38" i="4"/>
  <c r="EB38" i="4" a="1"/>
  <c r="EB38" i="4"/>
  <c r="DR38" i="4" a="1"/>
  <c r="DR38" i="4"/>
  <c r="DZ38" i="4" a="1"/>
  <c r="DZ38" i="4"/>
  <c r="DY38" i="4" a="1"/>
  <c r="DY38" i="4"/>
  <c r="DX38" i="4" a="1"/>
  <c r="DX38" i="4"/>
  <c r="DQ38" i="4" a="1"/>
  <c r="DQ38" i="4"/>
  <c r="DP38" i="4" a="1"/>
  <c r="DP38" i="4"/>
  <c r="DN38" i="4" a="1"/>
  <c r="DN38" i="4"/>
  <c r="EG38" i="4" a="1"/>
  <c r="EG38" i="4"/>
  <c r="DM29" i="4" a="1"/>
  <c r="DM29" i="4"/>
  <c r="ED29" i="4" a="1"/>
  <c r="ED29" i="4"/>
  <c r="DU29" i="4" a="1"/>
  <c r="DU29" i="4"/>
  <c r="DT29" i="4" a="1"/>
  <c r="DT29" i="4"/>
  <c r="DL29" i="4" a="1"/>
  <c r="DL29" i="4"/>
  <c r="EC29" i="4" a="1"/>
  <c r="EC29" i="4"/>
  <c r="EK29" i="4" a="1"/>
  <c r="EK29" i="4"/>
  <c r="EB29" i="4" a="1"/>
  <c r="EB29" i="4"/>
  <c r="DJ29" i="4" a="1"/>
  <c r="DJ29" i="4"/>
  <c r="DR29" i="4" a="1"/>
  <c r="DR29" i="4"/>
  <c r="DZ29" i="4" a="1"/>
  <c r="DZ29" i="4"/>
  <c r="DQ29" i="4" a="1"/>
  <c r="DQ29" i="4"/>
  <c r="EH29" i="4" a="1"/>
  <c r="EH29" i="4"/>
  <c r="DP29" i="4" a="1"/>
  <c r="DP29" i="4"/>
  <c r="EG29" i="4" a="1"/>
  <c r="EG29" i="4"/>
  <c r="EF29" i="4" a="1"/>
  <c r="EF29" i="4"/>
  <c r="DY29" i="4" a="1"/>
  <c r="DY29" i="4"/>
  <c r="DX29" i="4" a="1"/>
  <c r="DX29" i="4"/>
  <c r="DV29" i="4" a="1"/>
  <c r="DV29" i="4"/>
  <c r="DN29" i="4" a="1"/>
  <c r="DN29" i="4"/>
  <c r="DK6" i="4" a="1"/>
  <c r="DK6" i="4"/>
  <c r="DM6" i="4" a="1"/>
  <c r="DM6" i="4"/>
  <c r="G4" i="11" a="1"/>
  <c r="G4" i="11"/>
  <c r="DL6" i="4" a="1"/>
  <c r="DL6" i="4"/>
  <c r="F4" i="11" a="1"/>
  <c r="F4" i="11"/>
  <c r="CV27" i="4"/>
  <c r="DJ6" i="4" a="1"/>
  <c r="DJ6" i="4"/>
  <c r="CX27" i="4"/>
  <c r="CY27" i="4"/>
  <c r="CZ27" i="4"/>
  <c r="DA27" i="4"/>
  <c r="CU27" i="4"/>
  <c r="J12" i="8"/>
  <c r="E11" i="8"/>
  <c r="F11" i="8"/>
  <c r="E35" i="8"/>
  <c r="F35" i="8"/>
  <c r="E23" i="8"/>
  <c r="F23" i="8"/>
  <c r="EK40" i="4" a="1"/>
  <c r="EK40" i="4"/>
  <c r="EI10" i="4" a="1"/>
  <c r="EI10" i="4"/>
  <c r="EK11" i="4" a="1"/>
  <c r="EK11" i="4"/>
  <c r="EI11" i="4" a="1"/>
  <c r="EI11" i="4"/>
  <c r="EK30" i="4" a="1"/>
  <c r="EK30" i="4"/>
  <c r="EI14" i="4" a="1"/>
  <c r="EI14" i="4"/>
  <c r="EK50" i="4" a="1"/>
  <c r="EK50" i="4"/>
  <c r="EK55" i="4" a="1"/>
  <c r="EK55" i="4"/>
  <c r="EK26" i="4" a="1"/>
  <c r="EK26" i="4"/>
  <c r="EK53" i="4" a="1"/>
  <c r="EK53" i="4"/>
  <c r="EK56" i="4" a="1"/>
  <c r="EK56" i="4"/>
  <c r="EK19" i="4" a="1"/>
  <c r="EK19" i="4"/>
  <c r="EK52" i="4" a="1"/>
  <c r="EK52" i="4"/>
  <c r="EK6" i="4" a="1"/>
  <c r="EK6" i="4"/>
  <c r="EI7" i="4" a="1"/>
  <c r="EI7" i="4"/>
  <c r="EK20" i="4" a="1"/>
  <c r="EK20" i="4"/>
  <c r="EK7" i="4" a="1"/>
  <c r="EK7" i="4"/>
  <c r="EK33" i="4" a="1"/>
  <c r="EK33" i="4"/>
  <c r="EK10" i="4" a="1"/>
  <c r="EK10" i="4"/>
  <c r="EK14" i="4" a="1"/>
  <c r="EK14" i="4"/>
  <c r="EK34" i="4" a="1"/>
  <c r="EK34" i="4"/>
  <c r="EI6" i="4" a="1"/>
  <c r="EI6" i="4"/>
  <c r="EK39" i="4" a="1"/>
  <c r="EK39" i="4"/>
  <c r="EK44" i="4" a="1"/>
  <c r="EK44" i="4"/>
  <c r="EK58" i="4" a="1"/>
  <c r="EK58" i="4"/>
  <c r="EK36" i="4" a="1"/>
  <c r="EK36" i="4"/>
  <c r="EK21" i="4" a="1"/>
  <c r="EK21" i="4"/>
  <c r="DW64" i="4" a="1"/>
  <c r="DW64" i="4"/>
  <c r="EJ34" i="4" a="1"/>
  <c r="EJ34" i="4"/>
  <c r="DS64" i="4" a="1"/>
  <c r="DS64" i="4"/>
  <c r="EJ18" i="4" a="1"/>
  <c r="EJ18" i="4"/>
  <c r="DO64" i="4" a="1"/>
  <c r="DO64" i="4"/>
  <c r="EJ27" i="4" a="1"/>
  <c r="EJ27" i="4"/>
  <c r="EL5" i="4"/>
  <c r="EH64" i="4" a="1"/>
  <c r="EH64" i="4"/>
  <c r="EH68" i="4" a="1"/>
  <c r="EH68" i="4"/>
  <c r="EH65" i="4" a="1"/>
  <c r="EH65" i="4"/>
  <c r="EH66" i="4" a="1"/>
  <c r="EH66" i="4"/>
  <c r="EH3" i="4"/>
  <c r="EH38" i="4" a="1"/>
  <c r="EH38" i="4"/>
  <c r="EH40" i="4" a="1"/>
  <c r="EH40" i="4"/>
  <c r="EH57" i="4" a="1"/>
  <c r="EH57" i="4"/>
  <c r="EJ45" i="4" a="1"/>
  <c r="EJ45" i="4"/>
  <c r="EH20" i="4" a="1"/>
  <c r="EH20" i="4"/>
  <c r="EO5" i="4"/>
  <c r="EK66" i="4" a="1"/>
  <c r="EK66" i="4"/>
  <c r="EK65" i="4" a="1"/>
  <c r="EK65" i="4"/>
  <c r="EK64" i="4" a="1"/>
  <c r="EK64" i="4"/>
  <c r="EK68" i="4" a="1"/>
  <c r="EK68" i="4"/>
  <c r="EK3" i="4"/>
  <c r="EJ58" i="4" a="1"/>
  <c r="EJ58" i="4"/>
  <c r="EJ56" i="4" a="1"/>
  <c r="EJ56" i="4"/>
  <c r="EH16" i="4" a="1"/>
  <c r="EH16" i="4"/>
  <c r="EH25" i="4" a="1"/>
  <c r="EH25" i="4"/>
  <c r="EH33" i="4" a="1"/>
  <c r="EH33" i="4"/>
  <c r="EH50" i="4" a="1"/>
  <c r="EH50" i="4"/>
  <c r="EJ19" i="4" a="1"/>
  <c r="EJ19" i="4"/>
  <c r="EJ53" i="4" a="1"/>
  <c r="EJ53" i="4"/>
  <c r="EH14" i="4" a="1"/>
  <c r="EH14" i="4"/>
  <c r="EJ26" i="4" a="1"/>
  <c r="EJ26" i="4"/>
  <c r="EJ29" i="4" a="1"/>
  <c r="EJ29" i="4"/>
  <c r="EJ13" i="4" a="1"/>
  <c r="EJ13" i="4"/>
  <c r="EJ40" i="4" a="1"/>
  <c r="EJ40" i="4"/>
  <c r="EJ9" i="4" a="1"/>
  <c r="EJ9" i="4"/>
  <c r="EH15" i="4" a="1"/>
  <c r="EH15" i="4"/>
  <c r="EJ59" i="4" a="1"/>
  <c r="EJ59" i="4"/>
  <c r="EJ7" i="4" a="1"/>
  <c r="EJ7" i="4"/>
  <c r="EJ41" i="4" a="1"/>
  <c r="EJ41" i="4"/>
  <c r="EH37" i="4" a="1"/>
  <c r="EH37" i="4"/>
  <c r="EH19" i="4" a="1"/>
  <c r="EH19" i="4"/>
  <c r="EH46" i="4" a="1"/>
  <c r="EH46" i="4"/>
  <c r="EJ38" i="4" a="1"/>
  <c r="EJ38" i="4"/>
  <c r="EJ22" i="4" a="1"/>
  <c r="EJ22" i="4"/>
  <c r="EJ33" i="4" a="1"/>
  <c r="EJ33" i="4"/>
  <c r="EJ44" i="4" a="1"/>
  <c r="EJ44" i="4"/>
  <c r="EJ37" i="4" a="1"/>
  <c r="EJ37" i="4"/>
  <c r="EJ39" i="4" a="1"/>
  <c r="EJ39" i="4"/>
  <c r="EJ36" i="4" a="1"/>
  <c r="EJ36" i="4"/>
  <c r="EH21" i="4" a="1"/>
  <c r="EH21" i="4"/>
  <c r="EH56" i="4" a="1"/>
  <c r="EH56" i="4"/>
  <c r="EJ51" i="4" a="1"/>
  <c r="EJ51" i="4"/>
  <c r="EJ25" i="4" a="1"/>
  <c r="EJ25" i="4"/>
  <c r="EJ15" i="4" a="1"/>
  <c r="EJ15" i="4"/>
  <c r="EJ6" i="4" a="1"/>
  <c r="EJ6" i="4"/>
  <c r="EJ20" i="4" a="1"/>
  <c r="EJ20" i="4"/>
  <c r="EH7" i="4" a="1"/>
  <c r="EH7" i="4"/>
  <c r="EJ55" i="4" a="1"/>
  <c r="EJ55" i="4"/>
  <c r="EH53" i="4" a="1"/>
  <c r="EH53" i="4"/>
  <c r="EJ14" i="4" a="1"/>
  <c r="EJ14" i="4"/>
  <c r="EH26" i="4" a="1"/>
  <c r="EH26" i="4"/>
  <c r="EJ16" i="4" a="1"/>
  <c r="EJ16" i="4"/>
  <c r="EJ50" i="4" a="1"/>
  <c r="EJ50" i="4"/>
  <c r="EH6" i="4" a="1"/>
  <c r="EH6" i="4"/>
  <c r="EN5" i="4"/>
  <c r="EJ68" i="4" a="1"/>
  <c r="EJ68" i="4"/>
  <c r="EJ65" i="4" a="1"/>
  <c r="EJ65" i="4"/>
  <c r="EJ64" i="4" a="1"/>
  <c r="EJ64" i="4"/>
  <c r="EJ66" i="4" a="1"/>
  <c r="EJ66" i="4"/>
  <c r="EJ3" i="4"/>
  <c r="EJ31" i="4" a="1"/>
  <c r="EJ31" i="4"/>
  <c r="EJ57" i="4" a="1"/>
  <c r="EJ57" i="4"/>
  <c r="EJ42" i="4" a="1"/>
  <c r="EJ42" i="4"/>
  <c r="EJ30" i="4" a="1"/>
  <c r="EJ30" i="4"/>
  <c r="EH22" i="4" a="1"/>
  <c r="EH22" i="4"/>
  <c r="EH27" i="4" a="1"/>
  <c r="EH27" i="4"/>
  <c r="EH52" i="4" a="1"/>
  <c r="EH52" i="4"/>
  <c r="EH34" i="4" a="1"/>
  <c r="EH34" i="4"/>
  <c r="EH58" i="4" a="1"/>
  <c r="EH58" i="4"/>
  <c r="EJ10" i="4" a="1"/>
  <c r="EJ10" i="4"/>
  <c r="EJ46" i="4" a="1"/>
  <c r="EJ46" i="4"/>
  <c r="EJ21" i="4" a="1"/>
  <c r="EJ21" i="4"/>
  <c r="EM5" i="4"/>
  <c r="EI68" i="4" a="1"/>
  <c r="EI68" i="4"/>
  <c r="EI66" i="4" a="1"/>
  <c r="EI66" i="4"/>
  <c r="EI65" i="4" a="1"/>
  <c r="EI65" i="4"/>
  <c r="EI64" i="4" a="1"/>
  <c r="EI64" i="4"/>
  <c r="EI3" i="4"/>
  <c r="B4" i="11" a="1"/>
  <c r="B4" i="11"/>
  <c r="A4" i="11" a="1"/>
  <c r="A4" i="11"/>
  <c r="DH15" i="4"/>
  <c r="J13" i="8"/>
  <c r="E36" i="8"/>
  <c r="F36" i="8"/>
  <c r="E24" i="8"/>
  <c r="F24" i="8"/>
  <c r="E12" i="8"/>
  <c r="F12" i="8"/>
  <c r="ER5" i="4"/>
  <c r="EN65" i="4" a="1"/>
  <c r="EN65" i="4"/>
  <c r="EN64" i="4" a="1"/>
  <c r="EN64" i="4"/>
  <c r="EN68" i="4" a="1"/>
  <c r="EN68" i="4"/>
  <c r="EN3" i="4"/>
  <c r="EN66" i="4" a="1"/>
  <c r="EN66" i="4"/>
  <c r="EN9" i="4" a="1"/>
  <c r="EN9" i="4"/>
  <c r="EN29" i="4" a="1"/>
  <c r="EN29" i="4"/>
  <c r="EN27" i="4" a="1"/>
  <c r="EN27" i="4"/>
  <c r="EN21" i="4" a="1"/>
  <c r="EN21" i="4"/>
  <c r="EN46" i="4" a="1"/>
  <c r="EN46" i="4"/>
  <c r="EN18" i="4" a="1"/>
  <c r="EN18" i="4"/>
  <c r="EN33" i="4" a="1"/>
  <c r="EN33" i="4"/>
  <c r="EN25" i="4" a="1"/>
  <c r="EN25" i="4"/>
  <c r="EN42" i="4" a="1"/>
  <c r="EN42" i="4"/>
  <c r="EN34" i="4" a="1"/>
  <c r="EN34" i="4"/>
  <c r="EN7" i="4" a="1"/>
  <c r="EN7" i="4"/>
  <c r="EN11" i="4" a="1"/>
  <c r="EN11" i="4"/>
  <c r="EN53" i="4" a="1"/>
  <c r="EN53" i="4"/>
  <c r="EN31" i="4" a="1"/>
  <c r="EN31" i="4"/>
  <c r="EN19" i="4" a="1"/>
  <c r="EN19" i="4"/>
  <c r="EN58" i="4" a="1"/>
  <c r="EN58" i="4"/>
  <c r="EN22" i="4" a="1"/>
  <c r="EN22" i="4"/>
  <c r="EN56" i="4" a="1"/>
  <c r="EN56" i="4"/>
  <c r="EN14" i="4" a="1"/>
  <c r="EN14" i="4"/>
  <c r="EN37" i="4" a="1"/>
  <c r="EN37" i="4"/>
  <c r="EN44" i="4" a="1"/>
  <c r="EN44" i="4"/>
  <c r="EN59" i="4" a="1"/>
  <c r="EN59" i="4"/>
  <c r="EN24" i="4" a="1"/>
  <c r="EN24" i="4"/>
  <c r="EN38" i="4" a="1"/>
  <c r="EN38" i="4"/>
  <c r="EN36" i="4" a="1"/>
  <c r="EN36" i="4"/>
  <c r="EN45" i="4" a="1"/>
  <c r="EN45" i="4"/>
  <c r="EN26" i="4" a="1"/>
  <c r="EN26" i="4"/>
  <c r="EN39" i="4" a="1"/>
  <c r="EN39" i="4"/>
  <c r="EN41" i="4" a="1"/>
  <c r="EN41" i="4"/>
  <c r="EN30" i="4" a="1"/>
  <c r="EN30" i="4"/>
  <c r="EN40" i="4" a="1"/>
  <c r="EN40" i="4"/>
  <c r="EN55" i="4" a="1"/>
  <c r="EN55" i="4"/>
  <c r="EN50" i="4" a="1"/>
  <c r="EN50" i="4"/>
  <c r="EN6" i="4" a="1"/>
  <c r="EN6" i="4"/>
  <c r="EN57" i="4" a="1"/>
  <c r="EN57" i="4"/>
  <c r="EN13" i="4" a="1"/>
  <c r="EN13" i="4"/>
  <c r="EN52" i="4" a="1"/>
  <c r="EN52" i="4"/>
  <c r="EN20" i="4" a="1"/>
  <c r="EN20" i="4"/>
  <c r="EN10" i="4" a="1"/>
  <c r="EN10" i="4"/>
  <c r="EN51" i="4" a="1"/>
  <c r="EN51" i="4"/>
  <c r="EN16" i="4" a="1"/>
  <c r="EN16" i="4"/>
  <c r="EN15" i="4" a="1"/>
  <c r="EN15" i="4"/>
  <c r="ES5" i="4"/>
  <c r="EO66" i="4" a="1"/>
  <c r="EO66" i="4"/>
  <c r="EO64" i="4" a="1"/>
  <c r="EO64" i="4"/>
  <c r="EO65" i="4" a="1"/>
  <c r="EO65" i="4"/>
  <c r="EO3" i="4"/>
  <c r="EO68" i="4" a="1"/>
  <c r="EO68" i="4"/>
  <c r="EO37" i="4" a="1"/>
  <c r="EO37" i="4"/>
  <c r="EO16" i="4" a="1"/>
  <c r="EO16" i="4"/>
  <c r="EO6" i="4" a="1"/>
  <c r="EO6" i="4"/>
  <c r="EO19" i="4" a="1"/>
  <c r="EO19" i="4"/>
  <c r="EO41" i="4" a="1"/>
  <c r="EO41" i="4"/>
  <c r="EO7" i="4" a="1"/>
  <c r="EO7" i="4"/>
  <c r="EO30" i="4" a="1"/>
  <c r="EO30" i="4"/>
  <c r="EO51" i="4" a="1"/>
  <c r="EO51" i="4"/>
  <c r="EO27" i="4" a="1"/>
  <c r="EO27" i="4"/>
  <c r="EO36" i="4" a="1"/>
  <c r="EO36" i="4"/>
  <c r="EO50" i="4" a="1"/>
  <c r="EO50" i="4"/>
  <c r="EO15" i="4" a="1"/>
  <c r="EO15" i="4"/>
  <c r="EO9" i="4" a="1"/>
  <c r="EO9" i="4"/>
  <c r="EO13" i="4" a="1"/>
  <c r="EO13" i="4"/>
  <c r="EO24" i="4" a="1"/>
  <c r="EO24" i="4"/>
  <c r="EO57" i="4" a="1"/>
  <c r="EO57" i="4"/>
  <c r="EO18" i="4" a="1"/>
  <c r="EO18" i="4"/>
  <c r="EO56" i="4" a="1"/>
  <c r="EO56" i="4"/>
  <c r="EO52" i="4" a="1"/>
  <c r="EO52" i="4"/>
  <c r="EO26" i="4" a="1"/>
  <c r="EO26" i="4"/>
  <c r="EO21" i="4" a="1"/>
  <c r="EO21" i="4"/>
  <c r="EO58" i="4" a="1"/>
  <c r="EO58" i="4"/>
  <c r="EO39" i="4" a="1"/>
  <c r="EO39" i="4"/>
  <c r="EO44" i="4" a="1"/>
  <c r="EO44" i="4"/>
  <c r="EO40" i="4" a="1"/>
  <c r="EO40" i="4"/>
  <c r="EO45" i="4" a="1"/>
  <c r="EO45" i="4"/>
  <c r="EO25" i="4" a="1"/>
  <c r="EO25" i="4"/>
  <c r="EO20" i="4" a="1"/>
  <c r="EO20" i="4"/>
  <c r="EO34" i="4" a="1"/>
  <c r="EO34" i="4"/>
  <c r="EO14" i="4" a="1"/>
  <c r="EO14" i="4"/>
  <c r="EO29" i="4" a="1"/>
  <c r="EO29" i="4"/>
  <c r="EO46" i="4" a="1"/>
  <c r="EO46" i="4"/>
  <c r="EO33" i="4" a="1"/>
  <c r="EO33" i="4"/>
  <c r="EO10" i="4" a="1"/>
  <c r="EO10" i="4"/>
  <c r="EO55" i="4" a="1"/>
  <c r="EO55" i="4"/>
  <c r="EO59" i="4" a="1"/>
  <c r="EO59" i="4"/>
  <c r="EO42" i="4" a="1"/>
  <c r="EO42" i="4"/>
  <c r="EO22" i="4" a="1"/>
  <c r="EO22" i="4"/>
  <c r="EO31" i="4" a="1"/>
  <c r="EO31" i="4"/>
  <c r="EO53" i="4" a="1"/>
  <c r="EO53" i="4"/>
  <c r="EO38" i="4" a="1"/>
  <c r="EO38" i="4"/>
  <c r="EO11" i="4" a="1"/>
  <c r="EO11" i="4"/>
  <c r="EP5" i="4"/>
  <c r="EL64" i="4" a="1"/>
  <c r="EL64" i="4"/>
  <c r="EL65" i="4" a="1"/>
  <c r="EL65" i="4"/>
  <c r="EL68" i="4" a="1"/>
  <c r="EL68" i="4"/>
  <c r="EL66" i="4" a="1"/>
  <c r="EL66" i="4"/>
  <c r="EL3" i="4"/>
  <c r="EL56" i="4" a="1"/>
  <c r="EL56" i="4"/>
  <c r="EL58" i="4" a="1"/>
  <c r="EL58" i="4"/>
  <c r="EL37" i="4" a="1"/>
  <c r="EL37" i="4"/>
  <c r="EL22" i="4" a="1"/>
  <c r="EL22" i="4"/>
  <c r="EL42" i="4" a="1"/>
  <c r="EL42" i="4"/>
  <c r="EL38" i="4" a="1"/>
  <c r="EL38" i="4"/>
  <c r="EL55" i="4" a="1"/>
  <c r="EL55" i="4"/>
  <c r="EL59" i="4" a="1"/>
  <c r="EL59" i="4"/>
  <c r="EL24" i="4" a="1"/>
  <c r="EL24" i="4"/>
  <c r="EL20" i="4" a="1"/>
  <c r="EL20" i="4"/>
  <c r="EL51" i="4" a="1"/>
  <c r="EL51" i="4"/>
  <c r="EL6" i="4" a="1"/>
  <c r="EL6" i="4"/>
  <c r="EL41" i="4" a="1"/>
  <c r="EL41" i="4"/>
  <c r="EL9" i="4" a="1"/>
  <c r="EL9" i="4"/>
  <c r="EL30" i="4" a="1"/>
  <c r="EL30" i="4"/>
  <c r="EL11" i="4" a="1"/>
  <c r="EL11" i="4"/>
  <c r="EL13" i="4" a="1"/>
  <c r="EL13" i="4"/>
  <c r="EL46" i="4" a="1"/>
  <c r="EL46" i="4"/>
  <c r="EL10" i="4" a="1"/>
  <c r="EL10" i="4"/>
  <c r="EL36" i="4" a="1"/>
  <c r="EL36" i="4"/>
  <c r="EL18" i="4" a="1"/>
  <c r="EL18" i="4"/>
  <c r="EL57" i="4" a="1"/>
  <c r="EL57" i="4"/>
  <c r="EL31" i="4" a="1"/>
  <c r="EL31" i="4"/>
  <c r="EL52" i="4" a="1"/>
  <c r="EL52" i="4"/>
  <c r="EL39" i="4" a="1"/>
  <c r="EL39" i="4"/>
  <c r="EL34" i="4" a="1"/>
  <c r="EL34" i="4"/>
  <c r="EL44" i="4" a="1"/>
  <c r="EL44" i="4"/>
  <c r="EL16" i="4" a="1"/>
  <c r="EL16" i="4"/>
  <c r="EL14" i="4" a="1"/>
  <c r="EL14" i="4"/>
  <c r="EL19" i="4" a="1"/>
  <c r="EL19" i="4"/>
  <c r="EL33" i="4" a="1"/>
  <c r="EL33" i="4"/>
  <c r="EL40" i="4" a="1"/>
  <c r="EL40" i="4"/>
  <c r="EL26" i="4" a="1"/>
  <c r="EL26" i="4"/>
  <c r="EL21" i="4" a="1"/>
  <c r="EL21" i="4"/>
  <c r="EL15" i="4" a="1"/>
  <c r="EL15" i="4"/>
  <c r="EL45" i="4" a="1"/>
  <c r="EL45" i="4"/>
  <c r="EL27" i="4" a="1"/>
  <c r="EL27" i="4"/>
  <c r="EL29" i="4" a="1"/>
  <c r="EL29" i="4"/>
  <c r="EL53" i="4" a="1"/>
  <c r="EL53" i="4"/>
  <c r="EL50" i="4" a="1"/>
  <c r="EL50" i="4"/>
  <c r="EL25" i="4" a="1"/>
  <c r="EL25" i="4"/>
  <c r="EL7" i="4" a="1"/>
  <c r="EL7" i="4"/>
  <c r="EQ5" i="4"/>
  <c r="EQ15" i="4" a="1"/>
  <c r="EQ15" i="4"/>
  <c r="EM66" i="4" a="1"/>
  <c r="EM66" i="4"/>
  <c r="EM65" i="4" a="1"/>
  <c r="EM65" i="4"/>
  <c r="EM64" i="4" a="1"/>
  <c r="EM64" i="4"/>
  <c r="EM68" i="4" a="1"/>
  <c r="EM68" i="4"/>
  <c r="EM3" i="4"/>
  <c r="EM7" i="4" a="1"/>
  <c r="EM7" i="4"/>
  <c r="EM11" i="4" a="1"/>
  <c r="EM11" i="4"/>
  <c r="EM13" i="4" a="1"/>
  <c r="EM13" i="4"/>
  <c r="EM9" i="4" a="1"/>
  <c r="EM9" i="4"/>
  <c r="EM6" i="4" a="1"/>
  <c r="EM6" i="4"/>
  <c r="EM10" i="4" a="1"/>
  <c r="EM10" i="4"/>
  <c r="EM14" i="4" a="1"/>
  <c r="EM14" i="4"/>
  <c r="EE15" i="4" a="1"/>
  <c r="EE15" i="4"/>
  <c r="EM15" i="4" a="1"/>
  <c r="EM15" i="4"/>
  <c r="DK15" i="4" a="1"/>
  <c r="DK15" i="4"/>
  <c r="DS15" i="4" a="1"/>
  <c r="DS15" i="4"/>
  <c r="EI15" i="4" a="1"/>
  <c r="EI15" i="4"/>
  <c r="EA15" i="4" a="1"/>
  <c r="EA15" i="4"/>
  <c r="DW15" i="4" a="1"/>
  <c r="DW15" i="4"/>
  <c r="DO15" i="4" a="1"/>
  <c r="DO15" i="4"/>
  <c r="DH16" i="4"/>
  <c r="J14" i="8"/>
  <c r="E13" i="8"/>
  <c r="F13" i="8"/>
  <c r="E25" i="8"/>
  <c r="F25" i="8"/>
  <c r="E37" i="8"/>
  <c r="F37" i="8"/>
  <c r="EU5" i="4"/>
  <c r="EQ68" i="4" a="1"/>
  <c r="EQ68" i="4"/>
  <c r="EQ66" i="4" a="1"/>
  <c r="EQ66" i="4"/>
  <c r="EQ65" i="4" a="1"/>
  <c r="EQ65" i="4"/>
  <c r="EQ64" i="4" a="1"/>
  <c r="EQ64" i="4"/>
  <c r="EQ3" i="4"/>
  <c r="EQ13" i="4" a="1"/>
  <c r="EQ13" i="4"/>
  <c r="EQ11" i="4" a="1"/>
  <c r="EQ11" i="4"/>
  <c r="EQ9" i="4" a="1"/>
  <c r="EQ9" i="4"/>
  <c r="EQ6" i="4" a="1"/>
  <c r="EQ6" i="4"/>
  <c r="EQ10" i="4" a="1"/>
  <c r="EQ10" i="4"/>
  <c r="EQ14" i="4" a="1"/>
  <c r="EQ14" i="4"/>
  <c r="EQ7" i="4" a="1"/>
  <c r="EQ7" i="4"/>
  <c r="ET5" i="4"/>
  <c r="EP66" i="4" a="1"/>
  <c r="EP66" i="4"/>
  <c r="EP64" i="4" a="1"/>
  <c r="EP64" i="4"/>
  <c r="EP65" i="4" a="1"/>
  <c r="EP65" i="4"/>
  <c r="EP68" i="4" a="1"/>
  <c r="EP68" i="4"/>
  <c r="EP3" i="4"/>
  <c r="EP52" i="4" a="1"/>
  <c r="EP52" i="4"/>
  <c r="EP14" i="4" a="1"/>
  <c r="EP14" i="4"/>
  <c r="EP21" i="4" a="1"/>
  <c r="EP21" i="4"/>
  <c r="EP36" i="4" a="1"/>
  <c r="EP36" i="4"/>
  <c r="EP45" i="4" a="1"/>
  <c r="EP45" i="4"/>
  <c r="EP13" i="4" a="1"/>
  <c r="EP13" i="4"/>
  <c r="EP55" i="4" a="1"/>
  <c r="EP55" i="4"/>
  <c r="EP26" i="4" a="1"/>
  <c r="EP26" i="4"/>
  <c r="EP10" i="4" a="1"/>
  <c r="EP10" i="4"/>
  <c r="EP51" i="4" a="1"/>
  <c r="EP51" i="4"/>
  <c r="EP40" i="4" a="1"/>
  <c r="EP40" i="4"/>
  <c r="EP31" i="4" a="1"/>
  <c r="EP31" i="4"/>
  <c r="EP34" i="4" a="1"/>
  <c r="EP34" i="4"/>
  <c r="EP44" i="4" a="1"/>
  <c r="EP44" i="4"/>
  <c r="EP9" i="4" a="1"/>
  <c r="EP9" i="4"/>
  <c r="EP16" i="4" a="1"/>
  <c r="EP16" i="4"/>
  <c r="EP56" i="4" a="1"/>
  <c r="EP56" i="4"/>
  <c r="EP27" i="4" a="1"/>
  <c r="EP27" i="4"/>
  <c r="EP20" i="4" a="1"/>
  <c r="EP20" i="4"/>
  <c r="EP6" i="4" a="1"/>
  <c r="EP6" i="4"/>
  <c r="EP37" i="4" a="1"/>
  <c r="EP37" i="4"/>
  <c r="EP15" i="4" a="1"/>
  <c r="EP15" i="4"/>
  <c r="EP22" i="4" a="1"/>
  <c r="EP22" i="4"/>
  <c r="EP11" i="4" a="1"/>
  <c r="EP11" i="4"/>
  <c r="EP19" i="4" a="1"/>
  <c r="EP19" i="4"/>
  <c r="EP59" i="4" a="1"/>
  <c r="EP59" i="4"/>
  <c r="EP42" i="4" a="1"/>
  <c r="EP42" i="4"/>
  <c r="EP33" i="4" a="1"/>
  <c r="EP33" i="4"/>
  <c r="EP25" i="4" a="1"/>
  <c r="EP25" i="4"/>
  <c r="EP38" i="4" a="1"/>
  <c r="EP38" i="4"/>
  <c r="EP39" i="4" a="1"/>
  <c r="EP39" i="4"/>
  <c r="EP29" i="4" a="1"/>
  <c r="EP29" i="4"/>
  <c r="EP53" i="4" a="1"/>
  <c r="EP53" i="4"/>
  <c r="EP7" i="4" a="1"/>
  <c r="EP7" i="4"/>
  <c r="EP46" i="4" a="1"/>
  <c r="EP46" i="4"/>
  <c r="EP50" i="4" a="1"/>
  <c r="EP50" i="4"/>
  <c r="EP18" i="4" a="1"/>
  <c r="EP18" i="4"/>
  <c r="EP58" i="4" a="1"/>
  <c r="EP58" i="4"/>
  <c r="EP41" i="4" a="1"/>
  <c r="EP41" i="4"/>
  <c r="EP24" i="4" a="1"/>
  <c r="EP24" i="4"/>
  <c r="EP57" i="4" a="1"/>
  <c r="EP57" i="4"/>
  <c r="EP30" i="4" a="1"/>
  <c r="EP30" i="4"/>
  <c r="EV5" i="4"/>
  <c r="ER65" i="4" a="1"/>
  <c r="ER65" i="4"/>
  <c r="ER64" i="4" a="1"/>
  <c r="ER64" i="4"/>
  <c r="ER66" i="4" a="1"/>
  <c r="ER66" i="4"/>
  <c r="ER68" i="4" a="1"/>
  <c r="ER68" i="4"/>
  <c r="ER3" i="4"/>
  <c r="ER56" i="4" a="1"/>
  <c r="ER56" i="4"/>
  <c r="ER39" i="4" a="1"/>
  <c r="ER39" i="4"/>
  <c r="ER30" i="4" a="1"/>
  <c r="ER30" i="4"/>
  <c r="ER42" i="4" a="1"/>
  <c r="ER42" i="4"/>
  <c r="ER16" i="4" a="1"/>
  <c r="ER16" i="4"/>
  <c r="ER53" i="4" a="1"/>
  <c r="ER53" i="4"/>
  <c r="ER19" i="4" a="1"/>
  <c r="ER19" i="4"/>
  <c r="ER6" i="4" a="1"/>
  <c r="ER6" i="4"/>
  <c r="ER37" i="4" a="1"/>
  <c r="ER37" i="4"/>
  <c r="ER44" i="4" a="1"/>
  <c r="ER44" i="4"/>
  <c r="ER33" i="4" a="1"/>
  <c r="ER33" i="4"/>
  <c r="ER25" i="4" a="1"/>
  <c r="ER25" i="4"/>
  <c r="ER11" i="4" a="1"/>
  <c r="ER11" i="4"/>
  <c r="ER51" i="4" a="1"/>
  <c r="ER51" i="4"/>
  <c r="ER55" i="4" a="1"/>
  <c r="ER55" i="4"/>
  <c r="ER57" i="4" a="1"/>
  <c r="ER57" i="4"/>
  <c r="ER40" i="4" a="1"/>
  <c r="ER40" i="4"/>
  <c r="ER36" i="4" a="1"/>
  <c r="ER36" i="4"/>
  <c r="ER50" i="4" a="1"/>
  <c r="ER50" i="4"/>
  <c r="ER41" i="4" a="1"/>
  <c r="ER41" i="4"/>
  <c r="ER15" i="4" a="1"/>
  <c r="ER15" i="4"/>
  <c r="ER38" i="4" a="1"/>
  <c r="ER38" i="4"/>
  <c r="ER21" i="4" a="1"/>
  <c r="ER21" i="4"/>
  <c r="ER22" i="4" a="1"/>
  <c r="ER22" i="4"/>
  <c r="ER46" i="4" a="1"/>
  <c r="ER46" i="4"/>
  <c r="ER20" i="4" a="1"/>
  <c r="ER20" i="4"/>
  <c r="ER45" i="4" a="1"/>
  <c r="ER45" i="4"/>
  <c r="ER29" i="4" a="1"/>
  <c r="ER29" i="4"/>
  <c r="ER26" i="4" a="1"/>
  <c r="ER26" i="4"/>
  <c r="ER14" i="4" a="1"/>
  <c r="ER14" i="4"/>
  <c r="ER18" i="4" a="1"/>
  <c r="ER18" i="4"/>
  <c r="ER7" i="4" a="1"/>
  <c r="ER7" i="4"/>
  <c r="ER31" i="4" a="1"/>
  <c r="ER31" i="4"/>
  <c r="ER10" i="4" a="1"/>
  <c r="ER10" i="4"/>
  <c r="ER34" i="4" a="1"/>
  <c r="ER34" i="4"/>
  <c r="ER52" i="4" a="1"/>
  <c r="ER52" i="4"/>
  <c r="ER27" i="4" a="1"/>
  <c r="ER27" i="4"/>
  <c r="ER58" i="4" a="1"/>
  <c r="ER58" i="4"/>
  <c r="ER9" i="4" a="1"/>
  <c r="ER9" i="4"/>
  <c r="ER13" i="4" a="1"/>
  <c r="ER13" i="4"/>
  <c r="ER24" i="4" a="1"/>
  <c r="ER24" i="4"/>
  <c r="ER59" i="4" a="1"/>
  <c r="ER59" i="4"/>
  <c r="EW5" i="4"/>
  <c r="ES68" i="4" a="1"/>
  <c r="ES68" i="4"/>
  <c r="ES66" i="4" a="1"/>
  <c r="ES66" i="4"/>
  <c r="ES65" i="4" a="1"/>
  <c r="ES65" i="4"/>
  <c r="ES64" i="4" a="1"/>
  <c r="ES64" i="4"/>
  <c r="ES3" i="4"/>
  <c r="ES27" i="4" a="1"/>
  <c r="ES27" i="4"/>
  <c r="ES20" i="4" a="1"/>
  <c r="ES20" i="4"/>
  <c r="ES55" i="4" a="1"/>
  <c r="ES55" i="4"/>
  <c r="ES37" i="4" a="1"/>
  <c r="ES37" i="4"/>
  <c r="ES57" i="4" a="1"/>
  <c r="ES57" i="4"/>
  <c r="ES13" i="4" a="1"/>
  <c r="ES13" i="4"/>
  <c r="ES52" i="4" a="1"/>
  <c r="ES52" i="4"/>
  <c r="ES36" i="4" a="1"/>
  <c r="ES36" i="4"/>
  <c r="ES50" i="4" a="1"/>
  <c r="ES50" i="4"/>
  <c r="ES51" i="4" a="1"/>
  <c r="ES51" i="4"/>
  <c r="ES24" i="4" a="1"/>
  <c r="ES24" i="4"/>
  <c r="ES45" i="4" a="1"/>
  <c r="ES45" i="4"/>
  <c r="ES21" i="4" a="1"/>
  <c r="ES21" i="4"/>
  <c r="ES33" i="4" a="1"/>
  <c r="ES33" i="4"/>
  <c r="ES22" i="4" a="1"/>
  <c r="ES22" i="4"/>
  <c r="ES7" i="4" a="1"/>
  <c r="ES7" i="4"/>
  <c r="ES46" i="4" a="1"/>
  <c r="ES46" i="4"/>
  <c r="ES18" i="4" a="1"/>
  <c r="ES18" i="4"/>
  <c r="ES29" i="4" a="1"/>
  <c r="ES29" i="4"/>
  <c r="ES14" i="4" a="1"/>
  <c r="ES14" i="4"/>
  <c r="ES59" i="4" a="1"/>
  <c r="ES59" i="4"/>
  <c r="ES30" i="4" a="1"/>
  <c r="ES30" i="4"/>
  <c r="ES42" i="4" a="1"/>
  <c r="ES42" i="4"/>
  <c r="ES19" i="4" a="1"/>
  <c r="ES19" i="4"/>
  <c r="ES58" i="4" a="1"/>
  <c r="ES58" i="4"/>
  <c r="ES39" i="4" a="1"/>
  <c r="ES39" i="4"/>
  <c r="ES10" i="4" a="1"/>
  <c r="ES10" i="4"/>
  <c r="ES34" i="4" a="1"/>
  <c r="ES34" i="4"/>
  <c r="ES44" i="4" a="1"/>
  <c r="ES44" i="4"/>
  <c r="ES15" i="4" a="1"/>
  <c r="ES15" i="4"/>
  <c r="ES38" i="4" a="1"/>
  <c r="ES38" i="4"/>
  <c r="ES6" i="4" a="1"/>
  <c r="ES6" i="4"/>
  <c r="ES41" i="4" a="1"/>
  <c r="ES41" i="4"/>
  <c r="ES40" i="4" a="1"/>
  <c r="ES40" i="4"/>
  <c r="ES26" i="4" a="1"/>
  <c r="ES26" i="4"/>
  <c r="ES56" i="4" a="1"/>
  <c r="ES56" i="4"/>
  <c r="ES53" i="4" a="1"/>
  <c r="ES53" i="4"/>
  <c r="ES25" i="4" a="1"/>
  <c r="ES25" i="4"/>
  <c r="ES16" i="4" a="1"/>
  <c r="ES16" i="4"/>
  <c r="ES31" i="4" a="1"/>
  <c r="ES31" i="4"/>
  <c r="ES9" i="4" a="1"/>
  <c r="ES9" i="4"/>
  <c r="ES11" i="4" a="1"/>
  <c r="ES11" i="4"/>
  <c r="EU16" i="4" a="1"/>
  <c r="EU16" i="4"/>
  <c r="EM16" i="4" a="1"/>
  <c r="EM16" i="4"/>
  <c r="EE16" i="4" a="1"/>
  <c r="EE16" i="4"/>
  <c r="DW16" i="4" a="1"/>
  <c r="DW16" i="4"/>
  <c r="DO16" i="4" a="1"/>
  <c r="DO16" i="4"/>
  <c r="EI16" i="4" a="1"/>
  <c r="EI16" i="4"/>
  <c r="DK16" i="4" a="1"/>
  <c r="DK16" i="4"/>
  <c r="EQ16" i="4" a="1"/>
  <c r="EQ16" i="4"/>
  <c r="DS16" i="4" a="1"/>
  <c r="DS16" i="4"/>
  <c r="EA16" i="4" a="1"/>
  <c r="EA16" i="4"/>
  <c r="E26" i="8"/>
  <c r="F26" i="8"/>
  <c r="E38" i="8"/>
  <c r="F38" i="8"/>
  <c r="E14" i="8"/>
  <c r="F14" i="8"/>
  <c r="BN73" i="4"/>
  <c r="BN69" i="4"/>
  <c r="BN71" i="4"/>
  <c r="BN72" i="4"/>
  <c r="BN70" i="4"/>
  <c r="EY5" i="4"/>
  <c r="EU68" i="4" a="1"/>
  <c r="EU68" i="4"/>
  <c r="EU66" i="4" a="1"/>
  <c r="EU66" i="4"/>
  <c r="EU65" i="4" a="1"/>
  <c r="EU65" i="4"/>
  <c r="EU64" i="4" a="1"/>
  <c r="EU64" i="4"/>
  <c r="EU3" i="4"/>
  <c r="EU6" i="4" a="1"/>
  <c r="EU6" i="4"/>
  <c r="EU13" i="4" a="1"/>
  <c r="EU13" i="4"/>
  <c r="EU9" i="4" a="1"/>
  <c r="EU9" i="4"/>
  <c r="EU11" i="4" a="1"/>
  <c r="EU11" i="4"/>
  <c r="EU7" i="4" a="1"/>
  <c r="EU7" i="4"/>
  <c r="EU14" i="4" a="1"/>
  <c r="EU14" i="4"/>
  <c r="EU10" i="4" a="1"/>
  <c r="EU10" i="4"/>
  <c r="EU15" i="4" a="1"/>
  <c r="EU15" i="4"/>
  <c r="EX5" i="4"/>
  <c r="ET66" i="4" a="1"/>
  <c r="ET66" i="4"/>
  <c r="ET68" i="4" a="1"/>
  <c r="ET68" i="4"/>
  <c r="ET64" i="4" a="1"/>
  <c r="ET64" i="4"/>
  <c r="ET65" i="4" a="1"/>
  <c r="ET65" i="4"/>
  <c r="ET3" i="4"/>
  <c r="ET36" i="4" a="1"/>
  <c r="ET36" i="4"/>
  <c r="ET59" i="4" a="1"/>
  <c r="ET59" i="4"/>
  <c r="ET18" i="4" a="1"/>
  <c r="ET18" i="4"/>
  <c r="ET22" i="4" a="1"/>
  <c r="ET22" i="4"/>
  <c r="ET25" i="4" a="1"/>
  <c r="ET25" i="4"/>
  <c r="ET9" i="4" a="1"/>
  <c r="ET9" i="4"/>
  <c r="ET41" i="4" a="1"/>
  <c r="ET41" i="4"/>
  <c r="ET33" i="4" a="1"/>
  <c r="ET33" i="4"/>
  <c r="ET15" i="4" a="1"/>
  <c r="ET15" i="4"/>
  <c r="ET30" i="4" a="1"/>
  <c r="ET30" i="4"/>
  <c r="ET16" i="4" a="1"/>
  <c r="ET16" i="4"/>
  <c r="ET38" i="4" a="1"/>
  <c r="ET38" i="4"/>
  <c r="ET31" i="4" a="1"/>
  <c r="ET31" i="4"/>
  <c r="ET14" i="4" a="1"/>
  <c r="ET14" i="4"/>
  <c r="ET19" i="4" a="1"/>
  <c r="ET19" i="4"/>
  <c r="ET58" i="4" a="1"/>
  <c r="ET58" i="4"/>
  <c r="ET7" i="4" a="1"/>
  <c r="ET7" i="4"/>
  <c r="ET57" i="4" a="1"/>
  <c r="ET57" i="4"/>
  <c r="ET13" i="4" a="1"/>
  <c r="ET13" i="4"/>
  <c r="ET29" i="4" a="1"/>
  <c r="ET29" i="4"/>
  <c r="ET20" i="4" a="1"/>
  <c r="ET20" i="4"/>
  <c r="ET39" i="4" a="1"/>
  <c r="ET39" i="4"/>
  <c r="ET44" i="4" a="1"/>
  <c r="ET44" i="4"/>
  <c r="ET40" i="4" a="1"/>
  <c r="ET40" i="4"/>
  <c r="ET27" i="4" a="1"/>
  <c r="ET27" i="4"/>
  <c r="ET21" i="4" a="1"/>
  <c r="ET21" i="4"/>
  <c r="ET56" i="4" a="1"/>
  <c r="ET56" i="4"/>
  <c r="ET26" i="4" a="1"/>
  <c r="ET26" i="4"/>
  <c r="ET52" i="4" a="1"/>
  <c r="ET52" i="4"/>
  <c r="ET53" i="4" a="1"/>
  <c r="ET53" i="4"/>
  <c r="ET6" i="4" a="1"/>
  <c r="ET6" i="4"/>
  <c r="ET37" i="4" a="1"/>
  <c r="ET37" i="4"/>
  <c r="ET10" i="4" a="1"/>
  <c r="ET10" i="4"/>
  <c r="ET55" i="4" a="1"/>
  <c r="ET55" i="4"/>
  <c r="ET45" i="4" a="1"/>
  <c r="ET45" i="4"/>
  <c r="ET34" i="4" a="1"/>
  <c r="ET34" i="4"/>
  <c r="ET50" i="4" a="1"/>
  <c r="ET50" i="4"/>
  <c r="ET46" i="4" a="1"/>
  <c r="ET46" i="4"/>
  <c r="ET24" i="4" a="1"/>
  <c r="ET24" i="4"/>
  <c r="ET51" i="4" a="1"/>
  <c r="ET51" i="4"/>
  <c r="ET42" i="4" a="1"/>
  <c r="ET42" i="4"/>
  <c r="ET11" i="4" a="1"/>
  <c r="ET11" i="4"/>
  <c r="EZ5" i="4"/>
  <c r="EV68" i="4" a="1"/>
  <c r="EV68" i="4"/>
  <c r="EV65" i="4" a="1"/>
  <c r="EV65" i="4"/>
  <c r="EV64" i="4" a="1"/>
  <c r="EV64" i="4"/>
  <c r="EV66" i="4" a="1"/>
  <c r="EV66" i="4"/>
  <c r="EV3" i="4"/>
  <c r="EV27" i="4" a="1"/>
  <c r="EV27" i="4"/>
  <c r="EV21" i="4" a="1"/>
  <c r="EV21" i="4"/>
  <c r="EV46" i="4" a="1"/>
  <c r="EV46" i="4"/>
  <c r="EV20" i="4" a="1"/>
  <c r="EV20" i="4"/>
  <c r="EV6" i="4" a="1"/>
  <c r="EV6" i="4"/>
  <c r="EV45" i="4" a="1"/>
  <c r="EV45" i="4"/>
  <c r="EV57" i="4" a="1"/>
  <c r="EV57" i="4"/>
  <c r="EV40" i="4" a="1"/>
  <c r="EV40" i="4"/>
  <c r="EV13" i="4" a="1"/>
  <c r="EV13" i="4"/>
  <c r="EV19" i="4" a="1"/>
  <c r="EV19" i="4"/>
  <c r="EV10" i="4" a="1"/>
  <c r="EV10" i="4"/>
  <c r="EV36" i="4" a="1"/>
  <c r="EV36" i="4"/>
  <c r="EV44" i="4" a="1"/>
  <c r="EV44" i="4"/>
  <c r="EV39" i="4" a="1"/>
  <c r="EV39" i="4"/>
  <c r="EV18" i="4" a="1"/>
  <c r="EV18" i="4"/>
  <c r="EV15" i="4" a="1"/>
  <c r="EV15" i="4"/>
  <c r="EV31" i="4" a="1"/>
  <c r="EV31" i="4"/>
  <c r="EV38" i="4" a="1"/>
  <c r="EV38" i="4"/>
  <c r="EV37" i="4" a="1"/>
  <c r="EV37" i="4"/>
  <c r="EV22" i="4" a="1"/>
  <c r="EV22" i="4"/>
  <c r="EV51" i="4" a="1"/>
  <c r="EV51" i="4"/>
  <c r="EV24" i="4" a="1"/>
  <c r="EV24" i="4"/>
  <c r="EV25" i="4" a="1"/>
  <c r="EV25" i="4"/>
  <c r="EV26" i="4" a="1"/>
  <c r="EV26" i="4"/>
  <c r="EV34" i="4" a="1"/>
  <c r="EV34" i="4"/>
  <c r="EV55" i="4" a="1"/>
  <c r="EV55" i="4"/>
  <c r="EV11" i="4" a="1"/>
  <c r="EV11" i="4"/>
  <c r="EV58" i="4" a="1"/>
  <c r="EV58" i="4"/>
  <c r="EV9" i="4" a="1"/>
  <c r="EV9" i="4"/>
  <c r="EV42" i="4" a="1"/>
  <c r="EV42" i="4"/>
  <c r="EV29" i="4" a="1"/>
  <c r="EV29" i="4"/>
  <c r="EV56" i="4" a="1"/>
  <c r="EV56" i="4"/>
  <c r="EV52" i="4" a="1"/>
  <c r="EV52" i="4"/>
  <c r="EV14" i="4" a="1"/>
  <c r="EV14" i="4"/>
  <c r="EV50" i="4" a="1"/>
  <c r="EV50" i="4"/>
  <c r="EV41" i="4" a="1"/>
  <c r="EV41" i="4"/>
  <c r="EV7" i="4" a="1"/>
  <c r="EV7" i="4"/>
  <c r="EV59" i="4" a="1"/>
  <c r="EV59" i="4"/>
  <c r="EV53" i="4" a="1"/>
  <c r="EV53" i="4"/>
  <c r="EV33" i="4" a="1"/>
  <c r="EV33" i="4"/>
  <c r="EV16" i="4" a="1"/>
  <c r="EV16" i="4"/>
  <c r="EV30" i="4" a="1"/>
  <c r="EV30" i="4"/>
  <c r="FA5" i="4"/>
  <c r="EW66" i="4" a="1"/>
  <c r="EW66" i="4"/>
  <c r="EW65" i="4" a="1"/>
  <c r="EW65" i="4"/>
  <c r="EW64" i="4" a="1"/>
  <c r="EW64" i="4"/>
  <c r="EW68" i="4" a="1"/>
  <c r="EW68" i="4"/>
  <c r="EW3" i="4"/>
  <c r="EW26" i="4" a="1"/>
  <c r="EW26" i="4"/>
  <c r="EW19" i="4" a="1"/>
  <c r="EW19" i="4"/>
  <c r="EW59" i="4" a="1"/>
  <c r="EW59" i="4"/>
  <c r="EW15" i="4" a="1"/>
  <c r="EW15" i="4"/>
  <c r="EW25" i="4" a="1"/>
  <c r="EW25" i="4"/>
  <c r="EW40" i="4" a="1"/>
  <c r="EW40" i="4"/>
  <c r="EW24" i="4" a="1"/>
  <c r="EW24" i="4"/>
  <c r="EW34" i="4" a="1"/>
  <c r="EW34" i="4"/>
  <c r="EW51" i="4" a="1"/>
  <c r="EW51" i="4"/>
  <c r="EW20" i="4" a="1"/>
  <c r="EW20" i="4"/>
  <c r="EW11" i="4" a="1"/>
  <c r="EW11" i="4"/>
  <c r="EW56" i="4" a="1"/>
  <c r="EW56" i="4"/>
  <c r="EW58" i="4" a="1"/>
  <c r="EW58" i="4"/>
  <c r="EW29" i="4" a="1"/>
  <c r="EW29" i="4"/>
  <c r="EW18" i="4" a="1"/>
  <c r="EW18" i="4"/>
  <c r="EW42" i="4" a="1"/>
  <c r="EW42" i="4"/>
  <c r="EW16" i="4" a="1"/>
  <c r="EW16" i="4"/>
  <c r="EW50" i="4" a="1"/>
  <c r="EW50" i="4"/>
  <c r="EW37" i="4" a="1"/>
  <c r="EW37" i="4"/>
  <c r="EW7" i="4" a="1"/>
  <c r="EW7" i="4"/>
  <c r="EW9" i="4" a="1"/>
  <c r="EW9" i="4"/>
  <c r="EW30" i="4" a="1"/>
  <c r="EW30" i="4"/>
  <c r="EW45" i="4" a="1"/>
  <c r="EW45" i="4"/>
  <c r="EW57" i="4" a="1"/>
  <c r="EW57" i="4"/>
  <c r="EW52" i="4" a="1"/>
  <c r="EW52" i="4"/>
  <c r="EW53" i="4" a="1"/>
  <c r="EW53" i="4"/>
  <c r="EW33" i="4" a="1"/>
  <c r="EW33" i="4"/>
  <c r="EW39" i="4" a="1"/>
  <c r="EW39" i="4"/>
  <c r="EW14" i="4" a="1"/>
  <c r="EW14" i="4"/>
  <c r="EW21" i="4" a="1"/>
  <c r="EW21" i="4"/>
  <c r="EW41" i="4" a="1"/>
  <c r="EW41" i="4"/>
  <c r="EW46" i="4" a="1"/>
  <c r="EW46" i="4"/>
  <c r="EW10" i="4" a="1"/>
  <c r="EW10" i="4"/>
  <c r="EW55" i="4" a="1"/>
  <c r="EW55" i="4"/>
  <c r="EW13" i="4" a="1"/>
  <c r="EW13" i="4"/>
  <c r="EW36" i="4" a="1"/>
  <c r="EW36" i="4"/>
  <c r="EW27" i="4" a="1"/>
  <c r="EW27" i="4"/>
  <c r="EW6" i="4" a="1"/>
  <c r="EW6" i="4"/>
  <c r="EW22" i="4" a="1"/>
  <c r="EW22" i="4"/>
  <c r="EW31" i="4" a="1"/>
  <c r="EW31" i="4"/>
  <c r="EW44" i="4" a="1"/>
  <c r="EW44" i="4"/>
  <c r="EW38" i="4" a="1"/>
  <c r="EW38" i="4"/>
  <c r="DH18" i="4"/>
  <c r="BZ72" i="4"/>
  <c r="DG72" i="4"/>
  <c r="FA72" i="4" a="1"/>
  <c r="FA72" i="4"/>
  <c r="CN72" i="4"/>
  <c r="BZ17" i="4"/>
  <c r="DG17" i="4"/>
  <c r="CN17" i="4"/>
  <c r="BZ48" i="4"/>
  <c r="CN48" i="4"/>
  <c r="DG48" i="4"/>
  <c r="BZ49" i="4"/>
  <c r="CN49" i="4"/>
  <c r="DG49" i="4"/>
  <c r="BZ8" i="4"/>
  <c r="DG8" i="4"/>
  <c r="CN8" i="4"/>
  <c r="BZ71" i="4"/>
  <c r="CN71" i="4"/>
  <c r="DG71" i="4"/>
  <c r="BZ69" i="4"/>
  <c r="DG69" i="4"/>
  <c r="EX69" i="4" a="1"/>
  <c r="EX69" i="4"/>
  <c r="CN69" i="4"/>
  <c r="BZ12" i="4"/>
  <c r="DG12" i="4"/>
  <c r="FA12" i="4" a="1"/>
  <c r="FA12" i="4"/>
  <c r="CN12" i="4"/>
  <c r="BZ70" i="4"/>
  <c r="CN70" i="4"/>
  <c r="DG70" i="4"/>
  <c r="FA70" i="4" a="1"/>
  <c r="FA70" i="4"/>
  <c r="BZ73" i="4"/>
  <c r="CN73" i="4"/>
  <c r="DG73" i="4"/>
  <c r="FB5" i="4"/>
  <c r="EX66" i="4" a="1"/>
  <c r="EX66" i="4"/>
  <c r="EX68" i="4" a="1"/>
  <c r="EX68" i="4"/>
  <c r="EX64" i="4" a="1"/>
  <c r="EX64" i="4"/>
  <c r="EX65" i="4" a="1"/>
  <c r="EX65" i="4"/>
  <c r="EX3" i="4"/>
  <c r="EX27" i="4" a="1"/>
  <c r="EX27" i="4"/>
  <c r="EX41" i="4" a="1"/>
  <c r="EX41" i="4"/>
  <c r="EX30" i="4" a="1"/>
  <c r="EX30" i="4"/>
  <c r="EX56" i="4" a="1"/>
  <c r="EX56" i="4"/>
  <c r="EX26" i="4" a="1"/>
  <c r="EX26" i="4"/>
  <c r="EX16" i="4" a="1"/>
  <c r="EX16" i="4"/>
  <c r="EX18" i="4" a="1"/>
  <c r="EX18" i="4"/>
  <c r="EX9" i="4" a="1"/>
  <c r="EX9" i="4"/>
  <c r="EX13" i="4" a="1"/>
  <c r="EX13" i="4"/>
  <c r="EX52" i="4" a="1"/>
  <c r="EX52" i="4"/>
  <c r="EX53" i="4" a="1"/>
  <c r="EX53" i="4"/>
  <c r="EX21" i="4" a="1"/>
  <c r="EX21" i="4"/>
  <c r="EX22" i="4" a="1"/>
  <c r="EX22" i="4"/>
  <c r="EX42" i="4" a="1"/>
  <c r="EX42" i="4"/>
  <c r="EX45" i="4" a="1"/>
  <c r="EX45" i="4"/>
  <c r="EX57" i="4" a="1"/>
  <c r="EX57" i="4"/>
  <c r="EX14" i="4" a="1"/>
  <c r="EX14" i="4"/>
  <c r="EX10" i="4" a="1"/>
  <c r="EX10" i="4"/>
  <c r="EX55" i="4" a="1"/>
  <c r="EX55" i="4"/>
  <c r="EX37" i="4" a="1"/>
  <c r="EX37" i="4"/>
  <c r="EX33" i="4" a="1"/>
  <c r="EX33" i="4"/>
  <c r="EX59" i="4" a="1"/>
  <c r="EX59" i="4"/>
  <c r="EX31" i="4" a="1"/>
  <c r="EX31" i="4"/>
  <c r="EX38" i="4" a="1"/>
  <c r="EX38" i="4"/>
  <c r="EX46" i="4" a="1"/>
  <c r="EX46" i="4"/>
  <c r="EX36" i="4" a="1"/>
  <c r="EX36" i="4"/>
  <c r="EX58" i="4" a="1"/>
  <c r="EX58" i="4"/>
  <c r="EX25" i="4" a="1"/>
  <c r="EX25" i="4"/>
  <c r="EX39" i="4" a="1"/>
  <c r="EX39" i="4"/>
  <c r="EX7" i="4" a="1"/>
  <c r="EX7" i="4"/>
  <c r="EX24" i="4" a="1"/>
  <c r="EX24" i="4"/>
  <c r="EX19" i="4" a="1"/>
  <c r="EX19" i="4"/>
  <c r="EX6" i="4" a="1"/>
  <c r="EX6" i="4"/>
  <c r="EX34" i="4" a="1"/>
  <c r="EX34" i="4"/>
  <c r="EX50" i="4" a="1"/>
  <c r="EX50" i="4"/>
  <c r="EX11" i="4" a="1"/>
  <c r="EX11" i="4"/>
  <c r="EX20" i="4" a="1"/>
  <c r="EX20" i="4"/>
  <c r="EX44" i="4" a="1"/>
  <c r="EX44" i="4"/>
  <c r="EX15" i="4" a="1"/>
  <c r="EX15" i="4"/>
  <c r="EX51" i="4" a="1"/>
  <c r="EX51" i="4"/>
  <c r="EX40" i="4" a="1"/>
  <c r="EX40" i="4"/>
  <c r="EX29" i="4" a="1"/>
  <c r="EX29" i="4"/>
  <c r="FE5" i="4"/>
  <c r="FA66" i="4" a="1"/>
  <c r="FA66" i="4"/>
  <c r="FA3" i="4"/>
  <c r="FA65" i="4" a="1"/>
  <c r="FA65" i="4"/>
  <c r="FA68" i="4" a="1"/>
  <c r="FA68" i="4"/>
  <c r="FA64" i="4" a="1"/>
  <c r="FA64" i="4"/>
  <c r="FA19" i="4" a="1"/>
  <c r="FA19" i="4"/>
  <c r="FA50" i="4" a="1"/>
  <c r="FA50" i="4"/>
  <c r="FA33" i="4" a="1"/>
  <c r="FA33" i="4"/>
  <c r="FA25" i="4" a="1"/>
  <c r="FA25" i="4"/>
  <c r="FA9" i="4" a="1"/>
  <c r="FA9" i="4"/>
  <c r="FA37" i="4" a="1"/>
  <c r="FA37" i="4"/>
  <c r="FA11" i="4" a="1"/>
  <c r="FA11" i="4"/>
  <c r="FA51" i="4" a="1"/>
  <c r="FA51" i="4"/>
  <c r="FA58" i="4" a="1"/>
  <c r="FA58" i="4"/>
  <c r="FA39" i="4" a="1"/>
  <c r="FA39" i="4"/>
  <c r="FA57" i="4" a="1"/>
  <c r="FA57" i="4"/>
  <c r="FA46" i="4" a="1"/>
  <c r="FA46" i="4"/>
  <c r="FA10" i="4" a="1"/>
  <c r="FA10" i="4"/>
  <c r="FA36" i="4" a="1"/>
  <c r="FA36" i="4"/>
  <c r="FA44" i="4" a="1"/>
  <c r="FA44" i="4"/>
  <c r="FA31" i="4" a="1"/>
  <c r="FA31" i="4"/>
  <c r="FA13" i="4" a="1"/>
  <c r="FA13" i="4"/>
  <c r="FA21" i="4" a="1"/>
  <c r="FA21" i="4"/>
  <c r="FA34" i="4" a="1"/>
  <c r="FA34" i="4"/>
  <c r="FA52" i="4" a="1"/>
  <c r="FA52" i="4"/>
  <c r="FA42" i="4" a="1"/>
  <c r="FA42" i="4"/>
  <c r="FA45" i="4" a="1"/>
  <c r="FA45" i="4"/>
  <c r="FA27" i="4" a="1"/>
  <c r="FA27" i="4"/>
  <c r="FA18" i="4" a="1"/>
  <c r="FA18" i="4"/>
  <c r="FA26" i="4" a="1"/>
  <c r="FA26" i="4"/>
  <c r="FA53" i="4" a="1"/>
  <c r="FA53" i="4"/>
  <c r="FA55" i="4" a="1"/>
  <c r="FA55" i="4"/>
  <c r="FA15" i="4" a="1"/>
  <c r="FA15" i="4"/>
  <c r="FA38" i="4" a="1"/>
  <c r="FA38" i="4"/>
  <c r="FA56" i="4" a="1"/>
  <c r="FA56" i="4"/>
  <c r="FA16" i="4" a="1"/>
  <c r="FA16" i="4"/>
  <c r="FA7" i="4" a="1"/>
  <c r="FA7" i="4"/>
  <c r="FA59" i="4" a="1"/>
  <c r="FA59" i="4"/>
  <c r="FA14" i="4" a="1"/>
  <c r="FA14" i="4"/>
  <c r="FA6" i="4" a="1"/>
  <c r="FA6" i="4"/>
  <c r="FA41" i="4" a="1"/>
  <c r="FA41" i="4"/>
  <c r="FA40" i="4" a="1"/>
  <c r="FA40" i="4"/>
  <c r="FA24" i="4" a="1"/>
  <c r="FA24" i="4"/>
  <c r="FA20" i="4" a="1"/>
  <c r="FA20" i="4"/>
  <c r="FA29" i="4" a="1"/>
  <c r="FA29" i="4"/>
  <c r="FA30" i="4" a="1"/>
  <c r="FA30" i="4"/>
  <c r="FA22" i="4" a="1"/>
  <c r="FA22" i="4"/>
  <c r="FD5" i="4"/>
  <c r="EZ65" i="4" a="1"/>
  <c r="EZ65" i="4"/>
  <c r="EZ64" i="4" a="1"/>
  <c r="EZ64" i="4"/>
  <c r="EZ69" i="4" a="1"/>
  <c r="EZ69" i="4"/>
  <c r="EZ68" i="4" a="1"/>
  <c r="EZ68" i="4"/>
  <c r="EZ3" i="4"/>
  <c r="EZ66" i="4" a="1"/>
  <c r="EZ66" i="4"/>
  <c r="EZ6" i="4" a="1"/>
  <c r="EZ6" i="4"/>
  <c r="EZ15" i="4" a="1"/>
  <c r="EZ15" i="4"/>
  <c r="EZ22" i="4" a="1"/>
  <c r="EZ22" i="4"/>
  <c r="EZ11" i="4" a="1"/>
  <c r="EZ11" i="4"/>
  <c r="EZ41" i="4" a="1"/>
  <c r="EZ41" i="4"/>
  <c r="EZ51" i="4" a="1"/>
  <c r="EZ51" i="4"/>
  <c r="EZ56" i="4" a="1"/>
  <c r="EZ56" i="4"/>
  <c r="EZ34" i="4" a="1"/>
  <c r="EZ34" i="4"/>
  <c r="EZ7" i="4" a="1"/>
  <c r="EZ7" i="4"/>
  <c r="EZ59" i="4" a="1"/>
  <c r="EZ59" i="4"/>
  <c r="EZ24" i="4" a="1"/>
  <c r="EZ24" i="4"/>
  <c r="EZ29" i="4" a="1"/>
  <c r="EZ29" i="4"/>
  <c r="EZ13" i="4" a="1"/>
  <c r="EZ13" i="4"/>
  <c r="EZ20" i="4" a="1"/>
  <c r="EZ20" i="4"/>
  <c r="EZ19" i="4" a="1"/>
  <c r="EZ19" i="4"/>
  <c r="EZ39" i="4" a="1"/>
  <c r="EZ39" i="4"/>
  <c r="EZ40" i="4" a="1"/>
  <c r="EZ40" i="4"/>
  <c r="EZ58" i="4" a="1"/>
  <c r="EZ58" i="4"/>
  <c r="EZ37" i="4" a="1"/>
  <c r="EZ37" i="4"/>
  <c r="EZ10" i="4" a="1"/>
  <c r="EZ10" i="4"/>
  <c r="EZ26" i="4" a="1"/>
  <c r="EZ26" i="4"/>
  <c r="EZ14" i="4" a="1"/>
  <c r="EZ14" i="4"/>
  <c r="EZ50" i="4" a="1"/>
  <c r="EZ50" i="4"/>
  <c r="EZ33" i="4" a="1"/>
  <c r="EZ33" i="4"/>
  <c r="EZ9" i="4" a="1"/>
  <c r="EZ9" i="4"/>
  <c r="EZ52" i="4" a="1"/>
  <c r="EZ52" i="4"/>
  <c r="EZ44" i="4" a="1"/>
  <c r="EZ44" i="4"/>
  <c r="EZ31" i="4" a="1"/>
  <c r="EZ31" i="4"/>
  <c r="EZ27" i="4" a="1"/>
  <c r="EZ27" i="4"/>
  <c r="EZ53" i="4" a="1"/>
  <c r="EZ53" i="4"/>
  <c r="EZ36" i="4" a="1"/>
  <c r="EZ36" i="4"/>
  <c r="EZ30" i="4" a="1"/>
  <c r="EZ30" i="4"/>
  <c r="EZ57" i="4" a="1"/>
  <c r="EZ57" i="4"/>
  <c r="EZ21" i="4" a="1"/>
  <c r="EZ21" i="4"/>
  <c r="EZ55" i="4" a="1"/>
  <c r="EZ55" i="4"/>
  <c r="EZ18" i="4" a="1"/>
  <c r="EZ18" i="4"/>
  <c r="EZ46" i="4" a="1"/>
  <c r="EZ46" i="4"/>
  <c r="EZ16" i="4" a="1"/>
  <c r="EZ16" i="4"/>
  <c r="EZ45" i="4" a="1"/>
  <c r="EZ45" i="4"/>
  <c r="EZ42" i="4" a="1"/>
  <c r="EZ42" i="4"/>
  <c r="EZ25" i="4" a="1"/>
  <c r="EZ25" i="4"/>
  <c r="EZ38" i="4" a="1"/>
  <c r="EZ38" i="4"/>
  <c r="FC5" i="4"/>
  <c r="FC18" i="4" a="1"/>
  <c r="FC18" i="4"/>
  <c r="EY65" i="4" a="1"/>
  <c r="EY65" i="4"/>
  <c r="EY64" i="4" a="1"/>
  <c r="EY64" i="4"/>
  <c r="EY68" i="4" a="1"/>
  <c r="EY68" i="4"/>
  <c r="EY3" i="4"/>
  <c r="EY66" i="4" a="1"/>
  <c r="EY66" i="4"/>
  <c r="EY9" i="4" a="1"/>
  <c r="EY9" i="4"/>
  <c r="EY10" i="4" a="1"/>
  <c r="EY10" i="4"/>
  <c r="EY13" i="4" a="1"/>
  <c r="EY13" i="4"/>
  <c r="EY7" i="4" a="1"/>
  <c r="EY7" i="4"/>
  <c r="EY6" i="4" a="1"/>
  <c r="EY6" i="4"/>
  <c r="EY14" i="4" a="1"/>
  <c r="EY14" i="4"/>
  <c r="EY11" i="4" a="1"/>
  <c r="EY11" i="4"/>
  <c r="EY15" i="4" a="1"/>
  <c r="EY15" i="4"/>
  <c r="EY16" i="4" a="1"/>
  <c r="EY16" i="4"/>
  <c r="DS18" i="4" a="1"/>
  <c r="DS18" i="4"/>
  <c r="EU18" i="4" a="1"/>
  <c r="EU18" i="4"/>
  <c r="EA18" i="4" a="1"/>
  <c r="EA18" i="4"/>
  <c r="EI18" i="4" a="1"/>
  <c r="EI18" i="4"/>
  <c r="EQ18" i="4" a="1"/>
  <c r="EQ18" i="4"/>
  <c r="DO18" i="4" a="1"/>
  <c r="DO18" i="4"/>
  <c r="DW18" i="4" a="1"/>
  <c r="DW18" i="4"/>
  <c r="EE18" i="4" a="1"/>
  <c r="EE18" i="4"/>
  <c r="EY18" i="4" a="1"/>
  <c r="EY18" i="4"/>
  <c r="EM18" i="4" a="1"/>
  <c r="EM18" i="4"/>
  <c r="DK18" i="4" a="1"/>
  <c r="DK18" i="4"/>
  <c r="DH19" i="4"/>
  <c r="EZ12" i="4" a="1"/>
  <c r="EZ12" i="4"/>
  <c r="FA69" i="4" a="1"/>
  <c r="FA69" i="4"/>
  <c r="EX70" i="4" a="1"/>
  <c r="EX70" i="4"/>
  <c r="EZ70" i="4" a="1"/>
  <c r="EZ70" i="4"/>
  <c r="EZ8" i="4" a="1"/>
  <c r="EZ8" i="4"/>
  <c r="EX8" i="4" a="1"/>
  <c r="EX8" i="4"/>
  <c r="EB12" i="4" a="1"/>
  <c r="EB12" i="4"/>
  <c r="DV12" i="4" a="1"/>
  <c r="DV12" i="4"/>
  <c r="DT12" i="4" a="1"/>
  <c r="DT12" i="4"/>
  <c r="DN12" i="4" a="1"/>
  <c r="DN12" i="4"/>
  <c r="DX12" i="4" a="1"/>
  <c r="DX12" i="4"/>
  <c r="EH12" i="4" a="1"/>
  <c r="EH12" i="4"/>
  <c r="ED12" i="4" a="1"/>
  <c r="ED12" i="4"/>
  <c r="EG12" i="4" a="1"/>
  <c r="EG12" i="4"/>
  <c r="DR12" i="4" a="1"/>
  <c r="DR12" i="4"/>
  <c r="DM12" i="4" a="1"/>
  <c r="DM12" i="4"/>
  <c r="DZ12" i="4" a="1"/>
  <c r="DZ12" i="4"/>
  <c r="DL12" i="4" a="1"/>
  <c r="DL12" i="4"/>
  <c r="DQ12" i="4" a="1"/>
  <c r="DQ12" i="4"/>
  <c r="EC12" i="4" a="1"/>
  <c r="EC12" i="4"/>
  <c r="DU12" i="4" a="1"/>
  <c r="DU12" i="4"/>
  <c r="DY12" i="4" a="1"/>
  <c r="DY12" i="4"/>
  <c r="EF12" i="4" a="1"/>
  <c r="EF12" i="4"/>
  <c r="EK12" i="4" a="1"/>
  <c r="EK12" i="4"/>
  <c r="DJ12" i="4" a="1"/>
  <c r="DJ12" i="4"/>
  <c r="DP12" i="4" a="1"/>
  <c r="DP12" i="4"/>
  <c r="EJ12" i="4" a="1"/>
  <c r="EJ12" i="4"/>
  <c r="EO12" i="4" a="1"/>
  <c r="EO12" i="4"/>
  <c r="EN12" i="4" a="1"/>
  <c r="EN12" i="4"/>
  <c r="EL12" i="4" a="1"/>
  <c r="EL12" i="4"/>
  <c r="ER12" i="4" a="1"/>
  <c r="ER12" i="4"/>
  <c r="ES12" i="4" a="1"/>
  <c r="ES12" i="4"/>
  <c r="EP12" i="4" a="1"/>
  <c r="EP12" i="4"/>
  <c r="EW12" i="4" a="1"/>
  <c r="EW12" i="4"/>
  <c r="EV12" i="4" a="1"/>
  <c r="EV12" i="4"/>
  <c r="ET12" i="4" a="1"/>
  <c r="ET12" i="4"/>
  <c r="DA17" i="4"/>
  <c r="CZ17" i="4"/>
  <c r="DH17" i="4"/>
  <c r="FA8" i="4" a="1"/>
  <c r="FA8" i="4"/>
  <c r="DA73" i="4"/>
  <c r="CZ73" i="4"/>
  <c r="DH73" i="4"/>
  <c r="CZ8" i="4"/>
  <c r="DH8" i="4"/>
  <c r="FC8" i="4" a="1"/>
  <c r="FC8" i="4"/>
  <c r="DA8" i="4"/>
  <c r="DA72" i="4"/>
  <c r="CZ72" i="4"/>
  <c r="DH72" i="4"/>
  <c r="DA71" i="4"/>
  <c r="CZ71" i="4"/>
  <c r="DH71" i="4"/>
  <c r="DA12" i="4"/>
  <c r="CZ12" i="4"/>
  <c r="DH12" i="4"/>
  <c r="FC12" i="4" a="1"/>
  <c r="FC12" i="4"/>
  <c r="DQ69" i="4" a="1"/>
  <c r="DQ69" i="4"/>
  <c r="ED69" i="4" a="1"/>
  <c r="ED69" i="4"/>
  <c r="EF69" i="4" a="1"/>
  <c r="EF69" i="4"/>
  <c r="DM69" i="4" a="1"/>
  <c r="DM69" i="4"/>
  <c r="DP69" i="4" a="1"/>
  <c r="DP69" i="4"/>
  <c r="EB69" i="4" a="1"/>
  <c r="EB69" i="4"/>
  <c r="DN69" i="4" a="1"/>
  <c r="DN69" i="4"/>
  <c r="DV69" i="4" a="1"/>
  <c r="DV69" i="4"/>
  <c r="DU69" i="4" a="1"/>
  <c r="DU69" i="4"/>
  <c r="DZ69" i="4" a="1"/>
  <c r="DZ69" i="4"/>
  <c r="DT69" i="4" a="1"/>
  <c r="DT69" i="4"/>
  <c r="DR69" i="4" a="1"/>
  <c r="DR69" i="4"/>
  <c r="DY69" i="4" a="1"/>
  <c r="DY69" i="4"/>
  <c r="EG69" i="4" a="1"/>
  <c r="EG69" i="4"/>
  <c r="DL69" i="4" a="1"/>
  <c r="DL69" i="4"/>
  <c r="EC69" i="4" a="1"/>
  <c r="EC69" i="4"/>
  <c r="DJ69" i="4" a="1"/>
  <c r="DJ69" i="4"/>
  <c r="DX69" i="4" a="1"/>
  <c r="DX69" i="4"/>
  <c r="EH69" i="4" a="1"/>
  <c r="EH69" i="4"/>
  <c r="EJ69" i="4" a="1"/>
  <c r="EJ69" i="4"/>
  <c r="EK69" i="4" a="1"/>
  <c r="EK69" i="4"/>
  <c r="EO69" i="4" a="1"/>
  <c r="EO69" i="4"/>
  <c r="EL69" i="4" a="1"/>
  <c r="EL69" i="4"/>
  <c r="EN69" i="4" a="1"/>
  <c r="EN69" i="4"/>
  <c r="ES69" i="4" a="1"/>
  <c r="ES69" i="4"/>
  <c r="EP69" i="4" a="1"/>
  <c r="EP69" i="4"/>
  <c r="ER69" i="4" a="1"/>
  <c r="ER69" i="4"/>
  <c r="ET69" i="4" a="1"/>
  <c r="ET69" i="4"/>
  <c r="EV69" i="4" a="1"/>
  <c r="EV69" i="4"/>
  <c r="EW69" i="4" a="1"/>
  <c r="EW69" i="4"/>
  <c r="EC72" i="4" a="1"/>
  <c r="EC72" i="4"/>
  <c r="DN72" i="4" a="1"/>
  <c r="DN72" i="4"/>
  <c r="DM72" i="4" a="1"/>
  <c r="DM72" i="4"/>
  <c r="DQ72" i="4" a="1"/>
  <c r="DQ72" i="4"/>
  <c r="DT72" i="4" a="1"/>
  <c r="DT72" i="4"/>
  <c r="DR72" i="4" a="1"/>
  <c r="DR72" i="4"/>
  <c r="ED72" i="4" a="1"/>
  <c r="ED72" i="4"/>
  <c r="DU72" i="4" a="1"/>
  <c r="DU72" i="4"/>
  <c r="DY72" i="4" a="1"/>
  <c r="DY72" i="4"/>
  <c r="EF72" i="4" a="1"/>
  <c r="EF72" i="4"/>
  <c r="DV72" i="4" a="1"/>
  <c r="DV72" i="4"/>
  <c r="DZ72" i="4" a="1"/>
  <c r="DZ72" i="4"/>
  <c r="DX72" i="4" a="1"/>
  <c r="DX72" i="4"/>
  <c r="DJ72" i="4" a="1"/>
  <c r="DJ72" i="4"/>
  <c r="EB72" i="4" a="1"/>
  <c r="EB72" i="4"/>
  <c r="DP72" i="4" a="1"/>
  <c r="DP72" i="4"/>
  <c r="DL72" i="4" a="1"/>
  <c r="DL72" i="4"/>
  <c r="EG72" i="4" a="1"/>
  <c r="EG72" i="4"/>
  <c r="EJ72" i="4" a="1"/>
  <c r="EJ72" i="4"/>
  <c r="EH72" i="4" a="1"/>
  <c r="EH72" i="4"/>
  <c r="EK72" i="4" a="1"/>
  <c r="EK72" i="4"/>
  <c r="EN72" i="4" a="1"/>
  <c r="EN72" i="4"/>
  <c r="EO72" i="4" a="1"/>
  <c r="EO72" i="4"/>
  <c r="EL72" i="4" a="1"/>
  <c r="EL72" i="4"/>
  <c r="ES72" i="4" a="1"/>
  <c r="ES72" i="4"/>
  <c r="ER72" i="4" a="1"/>
  <c r="ER72" i="4"/>
  <c r="EP72" i="4" a="1"/>
  <c r="EP72" i="4"/>
  <c r="ET72" i="4" a="1"/>
  <c r="ET72" i="4"/>
  <c r="EV72" i="4" a="1"/>
  <c r="EV72" i="4"/>
  <c r="EW72" i="4" a="1"/>
  <c r="EW72" i="4"/>
  <c r="EX72" i="4" a="1"/>
  <c r="EX72" i="4"/>
  <c r="DA69" i="4"/>
  <c r="CZ69" i="4"/>
  <c r="DH69" i="4"/>
  <c r="DA49" i="4"/>
  <c r="CZ49" i="4"/>
  <c r="EX12" i="4" a="1"/>
  <c r="EX12" i="4"/>
  <c r="EG70" i="4" a="1"/>
  <c r="EG70" i="4"/>
  <c r="DQ70" i="4" a="1"/>
  <c r="DQ70" i="4"/>
  <c r="EC70" i="4" a="1"/>
  <c r="EC70" i="4"/>
  <c r="DT70" i="4" a="1"/>
  <c r="DT70" i="4"/>
  <c r="DJ70" i="4" a="1"/>
  <c r="DJ70" i="4"/>
  <c r="DR70" i="4" a="1"/>
  <c r="DR70" i="4"/>
  <c r="DU70" i="4" a="1"/>
  <c r="DU70" i="4"/>
  <c r="EF70" i="4" a="1"/>
  <c r="EF70" i="4"/>
  <c r="DX70" i="4" a="1"/>
  <c r="DX70" i="4"/>
  <c r="DV70" i="4" a="1"/>
  <c r="DV70" i="4"/>
  <c r="EB70" i="4" a="1"/>
  <c r="EB70" i="4"/>
  <c r="DL70" i="4" a="1"/>
  <c r="DL70" i="4"/>
  <c r="ED70" i="4" a="1"/>
  <c r="ED70" i="4"/>
  <c r="DY70" i="4" a="1"/>
  <c r="DY70" i="4"/>
  <c r="DM70" i="4" a="1"/>
  <c r="DM70" i="4"/>
  <c r="DZ70" i="4" a="1"/>
  <c r="DZ70" i="4"/>
  <c r="DN70" i="4" a="1"/>
  <c r="DN70" i="4"/>
  <c r="DP70" i="4" a="1"/>
  <c r="DP70" i="4"/>
  <c r="EK70" i="4" a="1"/>
  <c r="EK70" i="4"/>
  <c r="EJ70" i="4" a="1"/>
  <c r="EJ70" i="4"/>
  <c r="EH70" i="4" a="1"/>
  <c r="EH70" i="4"/>
  <c r="EO70" i="4" a="1"/>
  <c r="EO70" i="4"/>
  <c r="EL70" i="4" a="1"/>
  <c r="EL70" i="4"/>
  <c r="EN70" i="4" a="1"/>
  <c r="EN70" i="4"/>
  <c r="ER70" i="4" a="1"/>
  <c r="ER70" i="4"/>
  <c r="ES70" i="4" a="1"/>
  <c r="ES70" i="4"/>
  <c r="EP70" i="4" a="1"/>
  <c r="EP70" i="4"/>
  <c r="EW70" i="4" a="1"/>
  <c r="EW70" i="4"/>
  <c r="EV70" i="4" a="1"/>
  <c r="EV70" i="4"/>
  <c r="ET70" i="4" a="1"/>
  <c r="ET70" i="4"/>
  <c r="DX8" i="4" a="1"/>
  <c r="DX8" i="4"/>
  <c r="DZ8" i="4" a="1"/>
  <c r="DZ8" i="4"/>
  <c r="EK8" i="4" a="1"/>
  <c r="EK8" i="4"/>
  <c r="DN8" i="4" a="1"/>
  <c r="DN8" i="4"/>
  <c r="EB8" i="4" a="1"/>
  <c r="EB8" i="4"/>
  <c r="EG8" i="4" a="1"/>
  <c r="EG8" i="4"/>
  <c r="DT8" i="4" a="1"/>
  <c r="DT8" i="4"/>
  <c r="DM8" i="4" a="1"/>
  <c r="DM8" i="4"/>
  <c r="DJ8" i="4" a="1"/>
  <c r="DJ8" i="4"/>
  <c r="DL8" i="4" a="1"/>
  <c r="DL8" i="4"/>
  <c r="DV8" i="4" a="1"/>
  <c r="DV8" i="4"/>
  <c r="EH8" i="4" a="1"/>
  <c r="EH8" i="4"/>
  <c r="ED8" i="4" a="1"/>
  <c r="ED8" i="4"/>
  <c r="DQ8" i="4" a="1"/>
  <c r="DQ8" i="4"/>
  <c r="DU8" i="4" a="1"/>
  <c r="DU8" i="4"/>
  <c r="EC8" i="4" a="1"/>
  <c r="EC8" i="4"/>
  <c r="DR8" i="4" a="1"/>
  <c r="DR8" i="4"/>
  <c r="DP8" i="4" a="1"/>
  <c r="DP8" i="4"/>
  <c r="DY8" i="4" a="1"/>
  <c r="DY8" i="4"/>
  <c r="EF8" i="4" a="1"/>
  <c r="EF8" i="4"/>
  <c r="EJ8" i="4" a="1"/>
  <c r="EJ8" i="4"/>
  <c r="EN8" i="4" a="1"/>
  <c r="EN8" i="4"/>
  <c r="EO8" i="4" a="1"/>
  <c r="EO8" i="4"/>
  <c r="EL8" i="4" a="1"/>
  <c r="EL8" i="4"/>
  <c r="EP8" i="4" a="1"/>
  <c r="EP8" i="4"/>
  <c r="ES8" i="4" a="1"/>
  <c r="ES8" i="4"/>
  <c r="ER8" i="4" a="1"/>
  <c r="ER8" i="4"/>
  <c r="ET8" i="4" a="1"/>
  <c r="ET8" i="4"/>
  <c r="EV8" i="4" a="1"/>
  <c r="EV8" i="4"/>
  <c r="EW8" i="4" a="1"/>
  <c r="EW8" i="4"/>
  <c r="EZ72" i="4" a="1"/>
  <c r="EZ72" i="4"/>
  <c r="DH70" i="4"/>
  <c r="FC70" i="4" a="1"/>
  <c r="FC70" i="4"/>
  <c r="DA70" i="4"/>
  <c r="CZ70" i="4"/>
  <c r="DA48" i="4"/>
  <c r="CZ48" i="4"/>
  <c r="FD3" i="4"/>
  <c r="FD70" i="4" a="1"/>
  <c r="FD70" i="4"/>
  <c r="FD66" i="4" a="1"/>
  <c r="FD66" i="4"/>
  <c r="FD65" i="4" a="1"/>
  <c r="FD65" i="4"/>
  <c r="FD64" i="4" a="1"/>
  <c r="FD64" i="4"/>
  <c r="FD68" i="4" a="1"/>
  <c r="FD68" i="4"/>
  <c r="FD72" i="4" a="1"/>
  <c r="FD72" i="4"/>
  <c r="FD69" i="4" a="1"/>
  <c r="FD69" i="4"/>
  <c r="FD10" i="4" a="1"/>
  <c r="FD10" i="4"/>
  <c r="FD39" i="4" a="1"/>
  <c r="FD39" i="4"/>
  <c r="FD31" i="4" a="1"/>
  <c r="FD31" i="4"/>
  <c r="FD53" i="4" a="1"/>
  <c r="FD53" i="4"/>
  <c r="FD16" i="4" a="1"/>
  <c r="FD16" i="4"/>
  <c r="FD14" i="4" a="1"/>
  <c r="FD14" i="4"/>
  <c r="FD46" i="4" a="1"/>
  <c r="FD46" i="4"/>
  <c r="FD52" i="4" a="1"/>
  <c r="FD52" i="4"/>
  <c r="FD21" i="4" a="1"/>
  <c r="FD21" i="4"/>
  <c r="FD6" i="4" a="1"/>
  <c r="FD6" i="4"/>
  <c r="FD50" i="4" a="1"/>
  <c r="FD50" i="4"/>
  <c r="FD37" i="4" a="1"/>
  <c r="FD37" i="4"/>
  <c r="FD9" i="4" a="1"/>
  <c r="FD9" i="4"/>
  <c r="FD55" i="4" a="1"/>
  <c r="FD55" i="4"/>
  <c r="FD41" i="4" a="1"/>
  <c r="FD41" i="4"/>
  <c r="FD11" i="4" a="1"/>
  <c r="FD11" i="4"/>
  <c r="FD51" i="4" a="1"/>
  <c r="FD51" i="4"/>
  <c r="FD8" i="4" a="1"/>
  <c r="FD8" i="4"/>
  <c r="FD33" i="4" a="1"/>
  <c r="FD33" i="4"/>
  <c r="FD42" i="4" a="1"/>
  <c r="FD42" i="4"/>
  <c r="FD45" i="4" a="1"/>
  <c r="FD45" i="4"/>
  <c r="FD57" i="4" a="1"/>
  <c r="FD57" i="4"/>
  <c r="FD56" i="4" a="1"/>
  <c r="FD56" i="4"/>
  <c r="FD27" i="4" a="1"/>
  <c r="FD27" i="4"/>
  <c r="FD36" i="4" a="1"/>
  <c r="FD36" i="4"/>
  <c r="FD18" i="4" a="1"/>
  <c r="FD18" i="4"/>
  <c r="FD44" i="4" a="1"/>
  <c r="FD44" i="4"/>
  <c r="FD7" i="4" a="1"/>
  <c r="FD7" i="4"/>
  <c r="FD59" i="4" a="1"/>
  <c r="FD59" i="4"/>
  <c r="FD12" i="4" a="1"/>
  <c r="FD12" i="4"/>
  <c r="FD13" i="4" a="1"/>
  <c r="FD13" i="4"/>
  <c r="FD38" i="4" a="1"/>
  <c r="FD38" i="4"/>
  <c r="FD29" i="4" a="1"/>
  <c r="FD29" i="4"/>
  <c r="FD20" i="4" a="1"/>
  <c r="FD20" i="4"/>
  <c r="FD15" i="4" a="1"/>
  <c r="FD15" i="4"/>
  <c r="FD26" i="4" a="1"/>
  <c r="FD26" i="4"/>
  <c r="FD34" i="4" a="1"/>
  <c r="FD34" i="4"/>
  <c r="FD25" i="4" a="1"/>
  <c r="FD25" i="4"/>
  <c r="FD24" i="4" a="1"/>
  <c r="FD24" i="4"/>
  <c r="FD30" i="4" a="1"/>
  <c r="FD30" i="4"/>
  <c r="FD19" i="4" a="1"/>
  <c r="FD19" i="4"/>
  <c r="FD58" i="4" a="1"/>
  <c r="FD58" i="4"/>
  <c r="FD40" i="4" a="1"/>
  <c r="FD40" i="4"/>
  <c r="FD22" i="4" a="1"/>
  <c r="FD22" i="4"/>
  <c r="FE3" i="4"/>
  <c r="FE70" i="4" a="1"/>
  <c r="FE70" i="4"/>
  <c r="FE68" i="4" a="1"/>
  <c r="FE68" i="4"/>
  <c r="FE66" i="4" a="1"/>
  <c r="FE66" i="4"/>
  <c r="FE72" i="4" a="1"/>
  <c r="FE72" i="4"/>
  <c r="FE64" i="4" a="1"/>
  <c r="FE64" i="4"/>
  <c r="FE69" i="4" a="1"/>
  <c r="FE69" i="4"/>
  <c r="FE65" i="4" a="1"/>
  <c r="FE65" i="4"/>
  <c r="FE14" i="4" a="1"/>
  <c r="FE14" i="4"/>
  <c r="FE12" i="4" a="1"/>
  <c r="FE12" i="4"/>
  <c r="FE42" i="4" a="1"/>
  <c r="FE42" i="4"/>
  <c r="FE8" i="4" a="1"/>
  <c r="FE8" i="4"/>
  <c r="FE52" i="4" a="1"/>
  <c r="FE52" i="4"/>
  <c r="FE9" i="4" a="1"/>
  <c r="FE9" i="4"/>
  <c r="FE50" i="4" a="1"/>
  <c r="FE50" i="4"/>
  <c r="FE38" i="4" a="1"/>
  <c r="FE38" i="4"/>
  <c r="FE29" i="4" a="1"/>
  <c r="FE29" i="4"/>
  <c r="FE26" i="4" a="1"/>
  <c r="FE26" i="4"/>
  <c r="FE46" i="4" a="1"/>
  <c r="FE46" i="4"/>
  <c r="FE10" i="4" a="1"/>
  <c r="FE10" i="4"/>
  <c r="FE41" i="4" a="1"/>
  <c r="FE41" i="4"/>
  <c r="FE22" i="4" a="1"/>
  <c r="FE22" i="4"/>
  <c r="FE31" i="4" a="1"/>
  <c r="FE31" i="4"/>
  <c r="FE55" i="4" a="1"/>
  <c r="FE55" i="4"/>
  <c r="FE39" i="4" a="1"/>
  <c r="FE39" i="4"/>
  <c r="FE7" i="4" a="1"/>
  <c r="FE7" i="4"/>
  <c r="FE25" i="4" a="1"/>
  <c r="FE25" i="4"/>
  <c r="FE30" i="4" a="1"/>
  <c r="FE30" i="4"/>
  <c r="FE45" i="4" a="1"/>
  <c r="FE45" i="4"/>
  <c r="FE16" i="4" a="1"/>
  <c r="FE16" i="4"/>
  <c r="FE56" i="4" a="1"/>
  <c r="FE56" i="4"/>
  <c r="FE34" i="4" a="1"/>
  <c r="FE34" i="4"/>
  <c r="FE44" i="4" a="1"/>
  <c r="FE44" i="4"/>
  <c r="FE33" i="4" a="1"/>
  <c r="FE33" i="4"/>
  <c r="FE59" i="4" a="1"/>
  <c r="FE59" i="4"/>
  <c r="FE36" i="4" a="1"/>
  <c r="FE36" i="4"/>
  <c r="FE18" i="4" a="1"/>
  <c r="FE18" i="4"/>
  <c r="FE58" i="4" a="1"/>
  <c r="FE58" i="4"/>
  <c r="FE6" i="4" a="1"/>
  <c r="FE6" i="4"/>
  <c r="FE40" i="4" a="1"/>
  <c r="FE40" i="4"/>
  <c r="FE13" i="4" a="1"/>
  <c r="FE13" i="4"/>
  <c r="FE20" i="4" a="1"/>
  <c r="FE20" i="4"/>
  <c r="FE15" i="4" a="1"/>
  <c r="FE15" i="4"/>
  <c r="FE51" i="4" a="1"/>
  <c r="FE51" i="4"/>
  <c r="FE57" i="4" a="1"/>
  <c r="FE57" i="4"/>
  <c r="FE24" i="4" a="1"/>
  <c r="FE24" i="4"/>
  <c r="FE27" i="4" a="1"/>
  <c r="FE27" i="4"/>
  <c r="FE37" i="4" a="1"/>
  <c r="FE37" i="4"/>
  <c r="FE21" i="4" a="1"/>
  <c r="FE21" i="4"/>
  <c r="FE53" i="4" a="1"/>
  <c r="FE53" i="4"/>
  <c r="FE19" i="4" a="1"/>
  <c r="FE19" i="4"/>
  <c r="FE11" i="4" a="1"/>
  <c r="FE11" i="4"/>
  <c r="FC3" i="4"/>
  <c r="FC68" i="4" a="1"/>
  <c r="FC68" i="4"/>
  <c r="FC64" i="4" a="1"/>
  <c r="FC64" i="4"/>
  <c r="FC66" i="4" a="1"/>
  <c r="FC66" i="4"/>
  <c r="FC65" i="4" a="1"/>
  <c r="FC65" i="4"/>
  <c r="FC11" i="4" a="1"/>
  <c r="FC11" i="4"/>
  <c r="FC10" i="4" a="1"/>
  <c r="FC10" i="4"/>
  <c r="FC7" i="4" a="1"/>
  <c r="FC7" i="4"/>
  <c r="FC6" i="4" a="1"/>
  <c r="FC6" i="4"/>
  <c r="FC14" i="4" a="1"/>
  <c r="FC14" i="4"/>
  <c r="FC9" i="4" a="1"/>
  <c r="FC9" i="4"/>
  <c r="FC13" i="4" a="1"/>
  <c r="FC13" i="4"/>
  <c r="FC15" i="4" a="1"/>
  <c r="FC15" i="4"/>
  <c r="FC16" i="4" a="1"/>
  <c r="FC16" i="4"/>
  <c r="FB3" i="4"/>
  <c r="FB69" i="4" a="1"/>
  <c r="FB69" i="4"/>
  <c r="FB70" i="4" a="1"/>
  <c r="FB70" i="4"/>
  <c r="FB65" i="4" a="1"/>
  <c r="FB65" i="4"/>
  <c r="FB68" i="4" a="1"/>
  <c r="FB68" i="4"/>
  <c r="FB66" i="4" a="1"/>
  <c r="FB66" i="4"/>
  <c r="FB72" i="4" a="1"/>
  <c r="FB72" i="4"/>
  <c r="FB64" i="4" a="1"/>
  <c r="FB64" i="4"/>
  <c r="FB52" i="4" a="1"/>
  <c r="FB52" i="4"/>
  <c r="FB53" i="4" a="1"/>
  <c r="FB53" i="4"/>
  <c r="FB18" i="4" a="1"/>
  <c r="FB18" i="4"/>
  <c r="FB44" i="4" a="1"/>
  <c r="FB44" i="4"/>
  <c r="FB11" i="4" a="1"/>
  <c r="FB11" i="4"/>
  <c r="FB58" i="4" a="1"/>
  <c r="FB58" i="4"/>
  <c r="FB39" i="4" a="1"/>
  <c r="FB39" i="4"/>
  <c r="FB45" i="4" a="1"/>
  <c r="FB45" i="4"/>
  <c r="FB10" i="4" a="1"/>
  <c r="FB10" i="4"/>
  <c r="FB55" i="4" a="1"/>
  <c r="FB55" i="4"/>
  <c r="FB34" i="4" a="1"/>
  <c r="FB34" i="4"/>
  <c r="FB12" i="4" a="1"/>
  <c r="FB12" i="4"/>
  <c r="FB42" i="4" a="1"/>
  <c r="FB42" i="4"/>
  <c r="FB26" i="4" a="1"/>
  <c r="FB26" i="4"/>
  <c r="FB59" i="4" a="1"/>
  <c r="FB59" i="4"/>
  <c r="FB31" i="4" a="1"/>
  <c r="FB31" i="4"/>
  <c r="FB20" i="4" a="1"/>
  <c r="FB20" i="4"/>
  <c r="FB25" i="4" a="1"/>
  <c r="FB25" i="4"/>
  <c r="FB16" i="4" a="1"/>
  <c r="FB16" i="4"/>
  <c r="FB29" i="4" a="1"/>
  <c r="FB29" i="4"/>
  <c r="FB40" i="4" a="1"/>
  <c r="FB40" i="4"/>
  <c r="FB37" i="4" a="1"/>
  <c r="FB37" i="4"/>
  <c r="FB15" i="4" a="1"/>
  <c r="FB15" i="4"/>
  <c r="FB9" i="4" a="1"/>
  <c r="FB9" i="4"/>
  <c r="FB30" i="4" a="1"/>
  <c r="FB30" i="4"/>
  <c r="FB46" i="4" a="1"/>
  <c r="FB46" i="4"/>
  <c r="FB14" i="4" a="1"/>
  <c r="FB14" i="4"/>
  <c r="FB19" i="4" a="1"/>
  <c r="FB19" i="4"/>
  <c r="FB6" i="4" a="1"/>
  <c r="FB6" i="4"/>
  <c r="FB41" i="4" a="1"/>
  <c r="FB41" i="4"/>
  <c r="FB7" i="4" a="1"/>
  <c r="FB7" i="4"/>
  <c r="FB56" i="4" a="1"/>
  <c r="FB56" i="4"/>
  <c r="FB21" i="4" a="1"/>
  <c r="FB21" i="4"/>
  <c r="FB51" i="4" a="1"/>
  <c r="FB51" i="4"/>
  <c r="FB24" i="4" a="1"/>
  <c r="FB24" i="4"/>
  <c r="FB36" i="4" a="1"/>
  <c r="FB36" i="4"/>
  <c r="FB50" i="4" a="1"/>
  <c r="FB50" i="4"/>
  <c r="FB33" i="4" a="1"/>
  <c r="FB33" i="4"/>
  <c r="FB27" i="4" a="1"/>
  <c r="FB27" i="4"/>
  <c r="FB22" i="4" a="1"/>
  <c r="FB22" i="4"/>
  <c r="FB38" i="4" a="1"/>
  <c r="FB38" i="4"/>
  <c r="FB57" i="4" a="1"/>
  <c r="FB57" i="4"/>
  <c r="FB8" i="4" a="1"/>
  <c r="FB8" i="4"/>
  <c r="FB13" i="4" a="1"/>
  <c r="FB13" i="4"/>
  <c r="EA19" i="4" a="1"/>
  <c r="EA19" i="4"/>
  <c r="EI19" i="4" a="1"/>
  <c r="EI19" i="4"/>
  <c r="DO19" i="4" a="1"/>
  <c r="DO19" i="4"/>
  <c r="EQ19" i="4" a="1"/>
  <c r="EQ19" i="4"/>
  <c r="EY19" i="4" a="1"/>
  <c r="EY19" i="4"/>
  <c r="DW19" i="4" a="1"/>
  <c r="DW19" i="4"/>
  <c r="EE19" i="4" a="1"/>
  <c r="EE19" i="4"/>
  <c r="EU19" i="4" a="1"/>
  <c r="EU19" i="4"/>
  <c r="DK19" i="4" a="1"/>
  <c r="DK19" i="4"/>
  <c r="EM19" i="4" a="1"/>
  <c r="EM19" i="4"/>
  <c r="FC19" i="4" a="1"/>
  <c r="FC19" i="4"/>
  <c r="DS19" i="4" a="1"/>
  <c r="DS19" i="4"/>
  <c r="DH20" i="4"/>
  <c r="FC69" i="4" a="1"/>
  <c r="FC69" i="4"/>
  <c r="FC72" i="4" a="1"/>
  <c r="FC72" i="4"/>
  <c r="EA70" i="4" a="1"/>
  <c r="EA70" i="4"/>
  <c r="DK70" i="4" a="1"/>
  <c r="DK70" i="4"/>
  <c r="DO70" i="4" a="1"/>
  <c r="DO70" i="4"/>
  <c r="EE70" i="4" a="1"/>
  <c r="EE70" i="4"/>
  <c r="DS70" i="4" a="1"/>
  <c r="DS70" i="4"/>
  <c r="DW70" i="4" a="1"/>
  <c r="DW70" i="4"/>
  <c r="EI70" i="4" a="1"/>
  <c r="EI70" i="4"/>
  <c r="EM70" i="4" a="1"/>
  <c r="EM70" i="4"/>
  <c r="EQ70" i="4" a="1"/>
  <c r="EQ70" i="4"/>
  <c r="EU70" i="4" a="1"/>
  <c r="EU70" i="4"/>
  <c r="EY70" i="4" a="1"/>
  <c r="EY70" i="4"/>
  <c r="EE72" i="4" a="1"/>
  <c r="EE72" i="4"/>
  <c r="DS72" i="4" a="1"/>
  <c r="DS72" i="4"/>
  <c r="EA72" i="4" a="1"/>
  <c r="EA72" i="4"/>
  <c r="DK72" i="4" a="1"/>
  <c r="DK72" i="4"/>
  <c r="DO72" i="4" a="1"/>
  <c r="DO72" i="4"/>
  <c r="DW72" i="4" a="1"/>
  <c r="DW72" i="4"/>
  <c r="EI72" i="4" a="1"/>
  <c r="EI72" i="4"/>
  <c r="EM72" i="4" a="1"/>
  <c r="EM72" i="4"/>
  <c r="EQ72" i="4" a="1"/>
  <c r="EQ72" i="4"/>
  <c r="EU72" i="4" a="1"/>
  <c r="EU72" i="4"/>
  <c r="EY72" i="4" a="1"/>
  <c r="EY72" i="4"/>
  <c r="DK69" i="4" a="1"/>
  <c r="DK69" i="4"/>
  <c r="DO69" i="4" a="1"/>
  <c r="DO69" i="4"/>
  <c r="DS69" i="4" a="1"/>
  <c r="DS69" i="4"/>
  <c r="DW69" i="4" a="1"/>
  <c r="DW69" i="4"/>
  <c r="EA69" i="4" a="1"/>
  <c r="EA69" i="4"/>
  <c r="EE69" i="4" a="1"/>
  <c r="EE69" i="4"/>
  <c r="EI69" i="4" a="1"/>
  <c r="EI69" i="4"/>
  <c r="EM69" i="4" a="1"/>
  <c r="EM69" i="4"/>
  <c r="EQ69" i="4" a="1"/>
  <c r="EQ69" i="4"/>
  <c r="EU69" i="4" a="1"/>
  <c r="EU69" i="4"/>
  <c r="EY69" i="4" a="1"/>
  <c r="EY69" i="4"/>
  <c r="EE8" i="4" a="1"/>
  <c r="EE8" i="4"/>
  <c r="DO8" i="4" a="1"/>
  <c r="DO8" i="4"/>
  <c r="EI8" i="4" a="1"/>
  <c r="EI8" i="4"/>
  <c r="EA8" i="4" a="1"/>
  <c r="EA8" i="4"/>
  <c r="DK8" i="4" a="1"/>
  <c r="DK8" i="4"/>
  <c r="DW8" i="4" a="1"/>
  <c r="DW8" i="4"/>
  <c r="DS8" i="4" a="1"/>
  <c r="DS8" i="4"/>
  <c r="EM8" i="4" a="1"/>
  <c r="EM8" i="4"/>
  <c r="EQ8" i="4" a="1"/>
  <c r="EQ8" i="4"/>
  <c r="EU8" i="4" a="1"/>
  <c r="EU8" i="4"/>
  <c r="EY8" i="4" a="1"/>
  <c r="EY8" i="4"/>
  <c r="DK12" i="4" a="1"/>
  <c r="DK12" i="4"/>
  <c r="EA12" i="4" a="1"/>
  <c r="EA12" i="4"/>
  <c r="DS12" i="4" a="1"/>
  <c r="DS12" i="4"/>
  <c r="DW12" i="4" a="1"/>
  <c r="DW12" i="4"/>
  <c r="DO12" i="4" a="1"/>
  <c r="DO12" i="4"/>
  <c r="EI12" i="4" a="1"/>
  <c r="EI12" i="4"/>
  <c r="EE12" i="4" a="1"/>
  <c r="EE12" i="4"/>
  <c r="EM12" i="4" a="1"/>
  <c r="EM12" i="4"/>
  <c r="EQ12" i="4" a="1"/>
  <c r="EQ12" i="4"/>
  <c r="EU12" i="4" a="1"/>
  <c r="EU12" i="4"/>
  <c r="EY12" i="4" a="1"/>
  <c r="EY12" i="4"/>
  <c r="FC20" i="4" a="1"/>
  <c r="FC20" i="4"/>
  <c r="EA20" i="4" a="1"/>
  <c r="EA20" i="4"/>
  <c r="EI20" i="4" a="1"/>
  <c r="EI20" i="4"/>
  <c r="DO20" i="4" a="1"/>
  <c r="DO20" i="4"/>
  <c r="EQ20" i="4" a="1"/>
  <c r="EQ20" i="4"/>
  <c r="DW20" i="4" a="1"/>
  <c r="DW20" i="4"/>
  <c r="EY20" i="4" a="1"/>
  <c r="EY20" i="4"/>
  <c r="EE20" i="4" a="1"/>
  <c r="EE20" i="4"/>
  <c r="EM20" i="4" a="1"/>
  <c r="EM20" i="4"/>
  <c r="DK20" i="4" a="1"/>
  <c r="DK20" i="4"/>
  <c r="DS20" i="4" a="1"/>
  <c r="DS20" i="4"/>
  <c r="EU20" i="4" a="1"/>
  <c r="EU20" i="4"/>
  <c r="DH21" i="4"/>
  <c r="EI21" i="4" a="1"/>
  <c r="EI21" i="4"/>
  <c r="DO21" i="4" a="1"/>
  <c r="DO21" i="4"/>
  <c r="EQ21" i="4" a="1"/>
  <c r="EQ21" i="4"/>
  <c r="DW21" i="4" a="1"/>
  <c r="DW21" i="4"/>
  <c r="EM21" i="4" a="1"/>
  <c r="EM21" i="4"/>
  <c r="EY21" i="4" a="1"/>
  <c r="EY21" i="4"/>
  <c r="EE21" i="4" a="1"/>
  <c r="EE21" i="4"/>
  <c r="DK21" i="4" a="1"/>
  <c r="DK21" i="4"/>
  <c r="DS21" i="4" a="1"/>
  <c r="DS21" i="4"/>
  <c r="FC21" i="4" a="1"/>
  <c r="FC21" i="4"/>
  <c r="EU21" i="4" a="1"/>
  <c r="EU21" i="4"/>
  <c r="EA21" i="4" a="1"/>
  <c r="EA21" i="4"/>
  <c r="DH22" i="4"/>
  <c r="EQ22" i="4" a="1"/>
  <c r="EQ22" i="4"/>
  <c r="EY22" i="4" a="1"/>
  <c r="EY22" i="4"/>
  <c r="DW22" i="4" a="1"/>
  <c r="DW22" i="4"/>
  <c r="EE22" i="4" a="1"/>
  <c r="EE22" i="4"/>
  <c r="EA22" i="4" a="1"/>
  <c r="EA22" i="4"/>
  <c r="DS22" i="4" a="1"/>
  <c r="DS22" i="4"/>
  <c r="DK22" i="4" a="1"/>
  <c r="DK22" i="4"/>
  <c r="EM22" i="4" a="1"/>
  <c r="EM22" i="4"/>
  <c r="FC22" i="4" a="1"/>
  <c r="FC22" i="4"/>
  <c r="EU22" i="4" a="1"/>
  <c r="EU22" i="4"/>
  <c r="EI22" i="4" a="1"/>
  <c r="EI22" i="4"/>
  <c r="DO22" i="4" a="1"/>
  <c r="DO22" i="4"/>
  <c r="DH23" i="4"/>
  <c r="DH24" i="4"/>
  <c r="DW24" i="4" a="1"/>
  <c r="DW24" i="4"/>
  <c r="EY24" i="4" a="1"/>
  <c r="EY24" i="4"/>
  <c r="EE24" i="4" a="1"/>
  <c r="EE24" i="4"/>
  <c r="EM24" i="4" a="1"/>
  <c r="EM24" i="4"/>
  <c r="DK24" i="4" a="1"/>
  <c r="DK24" i="4"/>
  <c r="EU24" i="4" a="1"/>
  <c r="EU24" i="4"/>
  <c r="DS24" i="4" a="1"/>
  <c r="DS24" i="4"/>
  <c r="FC24" i="4" a="1"/>
  <c r="FC24" i="4"/>
  <c r="EA24" i="4" a="1"/>
  <c r="EA24" i="4"/>
  <c r="EI24" i="4" a="1"/>
  <c r="EI24" i="4"/>
  <c r="DO24" i="4" a="1"/>
  <c r="DO24" i="4"/>
  <c r="EQ24" i="4" a="1"/>
  <c r="EQ24" i="4"/>
  <c r="DH25" i="4"/>
  <c r="EM25" i="4" a="1"/>
  <c r="EM25" i="4"/>
  <c r="FC25" i="4" a="1"/>
  <c r="FC25" i="4"/>
  <c r="EU25" i="4" a="1"/>
  <c r="EU25" i="4"/>
  <c r="DK25" i="4" a="1"/>
  <c r="DK25" i="4"/>
  <c r="EQ25" i="4" a="1"/>
  <c r="EQ25" i="4"/>
  <c r="DS25" i="4" a="1"/>
  <c r="DS25" i="4"/>
  <c r="EA25" i="4" a="1"/>
  <c r="EA25" i="4"/>
  <c r="EI25" i="4" a="1"/>
  <c r="EI25" i="4"/>
  <c r="EY25" i="4" a="1"/>
  <c r="EY25" i="4"/>
  <c r="DW25" i="4" a="1"/>
  <c r="DW25" i="4"/>
  <c r="DO25" i="4" a="1"/>
  <c r="DO25" i="4"/>
  <c r="EE25" i="4" a="1"/>
  <c r="EE25" i="4"/>
  <c r="DH26" i="4"/>
  <c r="EM26" i="4" a="1"/>
  <c r="EM26" i="4"/>
  <c r="DS26" i="4" a="1"/>
  <c r="DS26" i="4"/>
  <c r="EA26" i="4" a="1"/>
  <c r="EA26" i="4"/>
  <c r="DW26" i="4" a="1"/>
  <c r="DW26" i="4"/>
  <c r="EQ26" i="4" a="1"/>
  <c r="EQ26" i="4"/>
  <c r="EY26" i="4" a="1"/>
  <c r="EY26" i="4"/>
  <c r="EI26" i="4" a="1"/>
  <c r="EI26" i="4"/>
  <c r="DO26" i="4" a="1"/>
  <c r="DO26" i="4"/>
  <c r="EU26" i="4" a="1"/>
  <c r="EU26" i="4"/>
  <c r="DK26" i="4" a="1"/>
  <c r="DK26" i="4"/>
  <c r="EE26" i="4" a="1"/>
  <c r="EE26" i="4"/>
  <c r="FC26" i="4" a="1"/>
  <c r="FC26" i="4"/>
  <c r="DH27" i="4"/>
  <c r="FC27" i="4" a="1"/>
  <c r="FC27" i="4"/>
  <c r="EU27" i="4" a="1"/>
  <c r="EU27" i="4"/>
  <c r="EM27" i="4" a="1"/>
  <c r="EM27" i="4"/>
  <c r="DS27" i="4" a="1"/>
  <c r="DS27" i="4"/>
  <c r="DK27" i="4" a="1"/>
  <c r="DK27" i="4"/>
  <c r="EY27" i="4" a="1"/>
  <c r="EY27" i="4"/>
  <c r="EQ27" i="4" a="1"/>
  <c r="EQ27" i="4"/>
  <c r="EI27" i="4" a="1"/>
  <c r="EI27" i="4"/>
  <c r="EA27" i="4" a="1"/>
  <c r="EA27" i="4"/>
  <c r="EE27" i="4" a="1"/>
  <c r="EE27" i="4"/>
  <c r="DW27" i="4" a="1"/>
  <c r="DW27" i="4"/>
  <c r="DO27" i="4" a="1"/>
  <c r="DO27" i="4"/>
  <c r="DH28" i="4"/>
  <c r="DH29" i="4"/>
  <c r="EM29" i="4" a="1"/>
  <c r="EM29" i="4"/>
  <c r="DS29" i="4" a="1"/>
  <c r="DS29" i="4"/>
  <c r="DK29" i="4" a="1"/>
  <c r="DK29" i="4"/>
  <c r="FC29" i="4" a="1"/>
  <c r="FC29" i="4"/>
  <c r="EU29" i="4" a="1"/>
  <c r="EU29" i="4"/>
  <c r="EA29" i="4" a="1"/>
  <c r="EA29" i="4"/>
  <c r="EQ29" i="4" a="1"/>
  <c r="EQ29" i="4"/>
  <c r="EI29" i="4" a="1"/>
  <c r="EI29" i="4"/>
  <c r="EE29" i="4" a="1"/>
  <c r="EE29" i="4"/>
  <c r="DW29" i="4" a="1"/>
  <c r="DW29" i="4"/>
  <c r="EY29" i="4" a="1"/>
  <c r="EY29" i="4"/>
  <c r="DO29" i="4" a="1"/>
  <c r="DO29" i="4"/>
  <c r="DH30" i="4"/>
  <c r="EE30" i="4" a="1"/>
  <c r="EE30" i="4"/>
  <c r="EM30" i="4" a="1"/>
  <c r="EM30" i="4"/>
  <c r="FC30" i="4" a="1"/>
  <c r="FC30" i="4"/>
  <c r="EU30" i="4" a="1"/>
  <c r="EU30" i="4"/>
  <c r="DW30" i="4" a="1"/>
  <c r="DW30" i="4"/>
  <c r="DO30" i="4" a="1"/>
  <c r="DO30" i="4"/>
  <c r="EI30" i="4" a="1"/>
  <c r="EI30" i="4"/>
  <c r="DK30" i="4" a="1"/>
  <c r="DK30" i="4"/>
  <c r="EA30" i="4" a="1"/>
  <c r="EA30" i="4"/>
  <c r="EY30" i="4" a="1"/>
  <c r="EY30" i="4"/>
  <c r="DS30" i="4" a="1"/>
  <c r="DS30" i="4"/>
  <c r="EQ30" i="4" a="1"/>
  <c r="EQ30" i="4"/>
  <c r="DH31" i="4"/>
  <c r="EY31" i="4" a="1"/>
  <c r="EY31" i="4"/>
  <c r="EQ31" i="4" a="1"/>
  <c r="EQ31" i="4"/>
  <c r="EI31" i="4" a="1"/>
  <c r="EI31" i="4"/>
  <c r="FC31" i="4" a="1"/>
  <c r="FC31" i="4"/>
  <c r="EE31" i="4" a="1"/>
  <c r="EE31" i="4"/>
  <c r="DW31" i="4" a="1"/>
  <c r="DW31" i="4"/>
  <c r="DO31" i="4" a="1"/>
  <c r="DO31" i="4"/>
  <c r="EM31" i="4" a="1"/>
  <c r="EM31" i="4"/>
  <c r="DK31" i="4" a="1"/>
  <c r="DK31" i="4"/>
  <c r="EU31" i="4" a="1"/>
  <c r="EU31" i="4"/>
  <c r="EA31" i="4" a="1"/>
  <c r="EA31" i="4"/>
  <c r="DS31" i="4" a="1"/>
  <c r="DS31" i="4"/>
  <c r="DH32" i="4"/>
  <c r="DH33" i="4"/>
  <c r="DW33" i="4" a="1"/>
  <c r="DW33" i="4"/>
  <c r="EQ33" i="4" a="1"/>
  <c r="EQ33" i="4"/>
  <c r="EE33" i="4" a="1"/>
  <c r="EE33" i="4"/>
  <c r="EY33" i="4" a="1"/>
  <c r="EY33" i="4"/>
  <c r="DK33" i="4" a="1"/>
  <c r="DK33" i="4"/>
  <c r="EM33" i="4" a="1"/>
  <c r="EM33" i="4"/>
  <c r="DS33" i="4" a="1"/>
  <c r="DS33" i="4"/>
  <c r="EU33" i="4" a="1"/>
  <c r="EU33" i="4"/>
  <c r="DO33" i="4" a="1"/>
  <c r="DO33" i="4"/>
  <c r="EA33" i="4" a="1"/>
  <c r="EA33" i="4"/>
  <c r="EI33" i="4" a="1"/>
  <c r="EI33" i="4"/>
  <c r="FC33" i="4" a="1"/>
  <c r="FC33" i="4"/>
  <c r="DH34" i="4"/>
  <c r="EQ34" i="4" a="1"/>
  <c r="EQ34" i="4"/>
  <c r="DW34" i="4" a="1"/>
  <c r="DW34" i="4"/>
  <c r="EY34" i="4" a="1"/>
  <c r="EY34" i="4"/>
  <c r="EE34" i="4" a="1"/>
  <c r="EE34" i="4"/>
  <c r="DK34" i="4" a="1"/>
  <c r="DK34" i="4"/>
  <c r="EM34" i="4" a="1"/>
  <c r="EM34" i="4"/>
  <c r="DS34" i="4" a="1"/>
  <c r="DS34" i="4"/>
  <c r="EA34" i="4" a="1"/>
  <c r="EA34" i="4"/>
  <c r="FC34" i="4" a="1"/>
  <c r="FC34" i="4"/>
  <c r="EU34" i="4" a="1"/>
  <c r="EU34" i="4"/>
  <c r="DO34" i="4" a="1"/>
  <c r="DO34" i="4"/>
  <c r="EI34" i="4" a="1"/>
  <c r="EI34" i="4"/>
  <c r="DH35" i="4"/>
  <c r="DH36" i="4"/>
  <c r="EQ36" i="4" a="1"/>
  <c r="EQ36" i="4"/>
  <c r="EY36" i="4" a="1"/>
  <c r="EY36" i="4"/>
  <c r="DW36" i="4" a="1"/>
  <c r="DW36" i="4"/>
  <c r="EE36" i="4" a="1"/>
  <c r="EE36" i="4"/>
  <c r="DK36" i="4" a="1"/>
  <c r="DK36" i="4"/>
  <c r="EM36" i="4" a="1"/>
  <c r="EM36" i="4"/>
  <c r="DS36" i="4" a="1"/>
  <c r="DS36" i="4"/>
  <c r="EI36" i="4" a="1"/>
  <c r="EI36" i="4"/>
  <c r="EA36" i="4" a="1"/>
  <c r="EA36" i="4"/>
  <c r="FC36" i="4" a="1"/>
  <c r="FC36" i="4"/>
  <c r="EU36" i="4" a="1"/>
  <c r="EU36" i="4"/>
  <c r="DO36" i="4" a="1"/>
  <c r="DO36" i="4"/>
  <c r="DH37" i="4"/>
  <c r="DO37" i="4" a="1"/>
  <c r="DO37" i="4"/>
  <c r="EE37" i="4" a="1"/>
  <c r="EE37" i="4"/>
  <c r="EM37" i="4" a="1"/>
  <c r="EM37" i="4"/>
  <c r="DW37" i="4" a="1"/>
  <c r="DW37" i="4"/>
  <c r="EU37" i="4" a="1"/>
  <c r="EU37" i="4"/>
  <c r="DK37" i="4" a="1"/>
  <c r="DK37" i="4"/>
  <c r="FC37" i="4" a="1"/>
  <c r="FC37" i="4"/>
  <c r="EI37" i="4" a="1"/>
  <c r="EI37" i="4"/>
  <c r="EA37" i="4" a="1"/>
  <c r="EA37" i="4"/>
  <c r="DS37" i="4" a="1"/>
  <c r="DS37" i="4"/>
  <c r="EQ37" i="4" a="1"/>
  <c r="EQ37" i="4"/>
  <c r="EY37" i="4" a="1"/>
  <c r="EY37" i="4"/>
  <c r="DH38" i="4"/>
  <c r="EY38" i="4" a="1"/>
  <c r="EY38" i="4"/>
  <c r="DW38" i="4" a="1"/>
  <c r="DW38" i="4"/>
  <c r="EE38" i="4" a="1"/>
  <c r="EE38" i="4"/>
  <c r="DK38" i="4" a="1"/>
  <c r="DK38" i="4"/>
  <c r="EM38" i="4" a="1"/>
  <c r="EM38" i="4"/>
  <c r="FC38" i="4" a="1"/>
  <c r="FC38" i="4"/>
  <c r="DS38" i="4" a="1"/>
  <c r="DS38" i="4"/>
  <c r="EU38" i="4" a="1"/>
  <c r="EU38" i="4"/>
  <c r="EI38" i="4" a="1"/>
  <c r="EI38" i="4"/>
  <c r="EA38" i="4" a="1"/>
  <c r="EA38" i="4"/>
  <c r="EQ38" i="4" a="1"/>
  <c r="EQ38" i="4"/>
  <c r="DO38" i="4" a="1"/>
  <c r="DO38" i="4"/>
  <c r="DH39" i="4"/>
  <c r="FC39" i="4" a="1"/>
  <c r="FC39" i="4"/>
  <c r="EY39" i="4" a="1"/>
  <c r="EY39" i="4"/>
  <c r="EM39" i="4" a="1"/>
  <c r="EM39" i="4"/>
  <c r="EE39" i="4" a="1"/>
  <c r="EE39" i="4"/>
  <c r="DW39" i="4" a="1"/>
  <c r="DW39" i="4"/>
  <c r="DO39" i="4" a="1"/>
  <c r="DO39" i="4"/>
  <c r="EU39" i="4" a="1"/>
  <c r="EU39" i="4"/>
  <c r="EI39" i="4" a="1"/>
  <c r="EI39" i="4"/>
  <c r="EA39" i="4" a="1"/>
  <c r="EA39" i="4"/>
  <c r="EQ39" i="4" a="1"/>
  <c r="EQ39" i="4"/>
  <c r="DS39" i="4" a="1"/>
  <c r="DS39" i="4"/>
  <c r="DK39" i="4" a="1"/>
  <c r="DK39" i="4"/>
  <c r="DH40" i="4"/>
  <c r="FC40" i="4" a="1"/>
  <c r="FC40" i="4"/>
  <c r="EU40" i="4" a="1"/>
  <c r="EU40" i="4"/>
  <c r="EM40" i="4" a="1"/>
  <c r="EM40" i="4"/>
  <c r="DO40" i="4" a="1"/>
  <c r="DO40" i="4"/>
  <c r="EE40" i="4" a="1"/>
  <c r="EE40" i="4"/>
  <c r="DW40" i="4" a="1"/>
  <c r="DW40" i="4"/>
  <c r="DK40" i="4" a="1"/>
  <c r="DK40" i="4"/>
  <c r="EI40" i="4" a="1"/>
  <c r="EI40" i="4"/>
  <c r="DS40" i="4" a="1"/>
  <c r="DS40" i="4"/>
  <c r="EY40" i="4" a="1"/>
  <c r="EY40" i="4"/>
  <c r="EA40" i="4" a="1"/>
  <c r="EA40" i="4"/>
  <c r="EQ40" i="4" a="1"/>
  <c r="EQ40" i="4"/>
  <c r="DH41" i="4"/>
  <c r="DO41" i="4" a="1"/>
  <c r="DO41" i="4"/>
  <c r="DW41" i="4" a="1"/>
  <c r="DW41" i="4"/>
  <c r="FC41" i="4" a="1"/>
  <c r="FC41" i="4"/>
  <c r="EU41" i="4" a="1"/>
  <c r="EU41" i="4"/>
  <c r="EM41" i="4" a="1"/>
  <c r="EM41" i="4"/>
  <c r="EE41" i="4" a="1"/>
  <c r="EE41" i="4"/>
  <c r="DK41" i="4" a="1"/>
  <c r="DK41" i="4"/>
  <c r="EY41" i="4" a="1"/>
  <c r="EY41" i="4"/>
  <c r="EA41" i="4" a="1"/>
  <c r="EA41" i="4"/>
  <c r="DS41" i="4" a="1"/>
  <c r="DS41" i="4"/>
  <c r="EQ41" i="4" a="1"/>
  <c r="EQ41" i="4"/>
  <c r="EI41" i="4" a="1"/>
  <c r="EI41" i="4"/>
  <c r="DH42" i="4"/>
  <c r="EM42" i="4" a="1"/>
  <c r="EM42" i="4"/>
  <c r="EU42" i="4" a="1"/>
  <c r="EU42" i="4"/>
  <c r="EE42" i="4" a="1"/>
  <c r="EE42" i="4"/>
  <c r="DW42" i="4" a="1"/>
  <c r="DW42" i="4"/>
  <c r="DO42" i="4" a="1"/>
  <c r="DO42" i="4"/>
  <c r="FC42" i="4" a="1"/>
  <c r="FC42" i="4"/>
  <c r="EY42" i="4" a="1"/>
  <c r="EY42" i="4"/>
  <c r="EA42" i="4" a="1"/>
  <c r="EA42" i="4"/>
  <c r="EQ42" i="4" a="1"/>
  <c r="EQ42" i="4"/>
  <c r="DS42" i="4" a="1"/>
  <c r="DS42" i="4"/>
  <c r="EI42" i="4" a="1"/>
  <c r="EI42" i="4"/>
  <c r="DK42" i="4" a="1"/>
  <c r="DK42" i="4"/>
  <c r="DH43" i="4"/>
  <c r="DH44" i="4"/>
  <c r="EU44" i="4" a="1"/>
  <c r="EU44" i="4"/>
  <c r="EM44" i="4" a="1"/>
  <c r="EM44" i="4"/>
  <c r="EE44" i="4" a="1"/>
  <c r="EE44" i="4"/>
  <c r="DW44" i="4" a="1"/>
  <c r="DW44" i="4"/>
  <c r="DO44" i="4" a="1"/>
  <c r="DO44" i="4"/>
  <c r="EY44" i="4" a="1"/>
  <c r="EY44" i="4"/>
  <c r="EQ44" i="4" a="1"/>
  <c r="EQ44" i="4"/>
  <c r="EI44" i="4" a="1"/>
  <c r="EI44" i="4"/>
  <c r="EA44" i="4" a="1"/>
  <c r="EA44" i="4"/>
  <c r="DS44" i="4" a="1"/>
  <c r="DS44" i="4"/>
  <c r="DK44" i="4" a="1"/>
  <c r="DK44" i="4"/>
  <c r="FC44" i="4" a="1"/>
  <c r="FC44" i="4"/>
  <c r="DH45" i="4"/>
  <c r="EU45" i="4" a="1"/>
  <c r="EU45" i="4"/>
  <c r="EA45" i="4" a="1"/>
  <c r="EA45" i="4"/>
  <c r="DS45" i="4" a="1"/>
  <c r="DS45" i="4"/>
  <c r="DK45" i="4" a="1"/>
  <c r="DK45" i="4"/>
  <c r="FC45" i="4" a="1"/>
  <c r="FC45" i="4"/>
  <c r="EI45" i="4" a="1"/>
  <c r="EI45" i="4"/>
  <c r="EQ45" i="4" a="1"/>
  <c r="EQ45" i="4"/>
  <c r="DW45" i="4" a="1"/>
  <c r="DW45" i="4"/>
  <c r="EY45" i="4" a="1"/>
  <c r="EY45" i="4"/>
  <c r="DO45" i="4" a="1"/>
  <c r="DO45" i="4"/>
  <c r="EM45" i="4" a="1"/>
  <c r="EM45" i="4"/>
  <c r="EE45" i="4" a="1"/>
  <c r="EE45" i="4"/>
  <c r="DH46" i="4"/>
  <c r="EU46" i="4" a="1"/>
  <c r="EU46" i="4"/>
  <c r="FC46" i="4" a="1"/>
  <c r="FC46" i="4"/>
  <c r="EA46" i="4" a="1"/>
  <c r="EA46" i="4"/>
  <c r="EI46" i="4" a="1"/>
  <c r="EI46" i="4"/>
  <c r="DO46" i="4" a="1"/>
  <c r="DO46" i="4"/>
  <c r="EQ46" i="4" a="1"/>
  <c r="EQ46" i="4"/>
  <c r="EY46" i="4" a="1"/>
  <c r="EY46" i="4"/>
  <c r="DW46" i="4" a="1"/>
  <c r="DW46" i="4"/>
  <c r="EE46" i="4" a="1"/>
  <c r="EE46" i="4"/>
  <c r="DS46" i="4" a="1"/>
  <c r="DS46" i="4"/>
  <c r="EM46" i="4" a="1"/>
  <c r="EM46" i="4"/>
  <c r="DK46" i="4" a="1"/>
  <c r="DK46" i="4"/>
  <c r="DH47" i="4"/>
  <c r="DH48" i="4"/>
  <c r="DH49" i="4"/>
  <c r="DH50" i="4"/>
  <c r="EA50" i="4" a="1"/>
  <c r="EA50" i="4"/>
  <c r="EI50" i="4" a="1"/>
  <c r="EI50" i="4"/>
  <c r="EY50" i="4" a="1"/>
  <c r="EY50" i="4"/>
  <c r="EQ50" i="4" a="1"/>
  <c r="EQ50" i="4"/>
  <c r="DO50" i="4" a="1"/>
  <c r="DO50" i="4"/>
  <c r="DW50" i="4" a="1"/>
  <c r="DW50" i="4"/>
  <c r="EE50" i="4" a="1"/>
  <c r="EE50" i="4"/>
  <c r="EM50" i="4" a="1"/>
  <c r="EM50" i="4"/>
  <c r="DK50" i="4" a="1"/>
  <c r="DK50" i="4"/>
  <c r="FC50" i="4" a="1"/>
  <c r="FC50" i="4"/>
  <c r="DS50" i="4" a="1"/>
  <c r="DS50" i="4"/>
  <c r="EU50" i="4" a="1"/>
  <c r="EU50" i="4"/>
  <c r="DH51" i="4"/>
  <c r="EQ51" i="4" a="1"/>
  <c r="EQ51" i="4"/>
  <c r="DO51" i="4" a="1"/>
  <c r="DO51" i="4"/>
  <c r="DW51" i="4" a="1"/>
  <c r="DW51" i="4"/>
  <c r="EY51" i="4" a="1"/>
  <c r="EY51" i="4"/>
  <c r="EE51" i="4" a="1"/>
  <c r="EE51" i="4"/>
  <c r="EM51" i="4" a="1"/>
  <c r="EM51" i="4"/>
  <c r="DK51" i="4" a="1"/>
  <c r="DK51" i="4"/>
  <c r="DS51" i="4" a="1"/>
  <c r="DS51" i="4"/>
  <c r="EU51" i="4" a="1"/>
  <c r="EU51" i="4"/>
  <c r="EI51" i="4" a="1"/>
  <c r="EI51" i="4"/>
  <c r="FC51" i="4" a="1"/>
  <c r="FC51" i="4"/>
  <c r="EA51" i="4" a="1"/>
  <c r="EA51" i="4"/>
  <c r="DH52" i="4"/>
  <c r="DW52" i="4" a="1"/>
  <c r="DW52" i="4"/>
  <c r="EE52" i="4" a="1"/>
  <c r="EE52" i="4"/>
  <c r="EM52" i="4" a="1"/>
  <c r="EM52" i="4"/>
  <c r="EU52" i="4" a="1"/>
  <c r="EU52" i="4"/>
  <c r="DK52" i="4" a="1"/>
  <c r="DK52" i="4"/>
  <c r="DS52" i="4" a="1"/>
  <c r="DS52" i="4"/>
  <c r="FC52" i="4" a="1"/>
  <c r="FC52" i="4"/>
  <c r="EA52" i="4" a="1"/>
  <c r="EA52" i="4"/>
  <c r="EY52" i="4" a="1"/>
  <c r="EY52" i="4"/>
  <c r="EQ52" i="4" a="1"/>
  <c r="EQ52" i="4"/>
  <c r="DO52" i="4" a="1"/>
  <c r="DO52" i="4"/>
  <c r="EI52" i="4" a="1"/>
  <c r="EI52" i="4"/>
  <c r="DH53" i="4"/>
  <c r="EE53" i="4" a="1"/>
  <c r="EE53" i="4"/>
  <c r="DK53" i="4" a="1"/>
  <c r="DK53" i="4"/>
  <c r="EM53" i="4" a="1"/>
  <c r="EM53" i="4"/>
  <c r="DS53" i="4" a="1"/>
  <c r="DS53" i="4"/>
  <c r="EU53" i="4" a="1"/>
  <c r="EU53" i="4"/>
  <c r="FC53" i="4" a="1"/>
  <c r="FC53" i="4"/>
  <c r="EA53" i="4" a="1"/>
  <c r="EA53" i="4"/>
  <c r="EI53" i="4" a="1"/>
  <c r="EI53" i="4"/>
  <c r="DO53" i="4" a="1"/>
  <c r="DO53" i="4"/>
  <c r="DW53" i="4" a="1"/>
  <c r="DW53" i="4"/>
  <c r="EQ53" i="4" a="1"/>
  <c r="EQ53" i="4"/>
  <c r="EY53" i="4" a="1"/>
  <c r="EY53" i="4"/>
  <c r="DH54" i="4"/>
  <c r="DH55" i="4"/>
  <c r="DK55" i="4" a="1"/>
  <c r="DK55" i="4"/>
  <c r="DS55" i="4" a="1"/>
  <c r="DS55" i="4"/>
  <c r="EI55" i="4" a="1"/>
  <c r="EI55" i="4"/>
  <c r="EA55" i="4" a="1"/>
  <c r="EA55" i="4"/>
  <c r="EQ55" i="4" a="1"/>
  <c r="EQ55" i="4"/>
  <c r="EY55" i="4" a="1"/>
  <c r="EY55" i="4"/>
  <c r="DW55" i="4" a="1"/>
  <c r="DW55" i="4"/>
  <c r="DO55" i="4" a="1"/>
  <c r="DO55" i="4"/>
  <c r="EM55" i="4" a="1"/>
  <c r="EM55" i="4"/>
  <c r="EE55" i="4" a="1"/>
  <c r="EE55" i="4"/>
  <c r="FC55" i="4" a="1"/>
  <c r="FC55" i="4"/>
  <c r="EU55" i="4" a="1"/>
  <c r="EU55" i="4"/>
  <c r="DH56" i="4"/>
  <c r="DW56" i="4" a="1"/>
  <c r="DW56" i="4"/>
  <c r="DO56" i="4" a="1"/>
  <c r="DO56" i="4"/>
  <c r="EE56" i="4" a="1"/>
  <c r="EE56" i="4"/>
  <c r="EM56" i="4" a="1"/>
  <c r="EM56" i="4"/>
  <c r="EU56" i="4" a="1"/>
  <c r="EU56" i="4"/>
  <c r="FC56" i="4" a="1"/>
  <c r="FC56" i="4"/>
  <c r="DK56" i="4" a="1"/>
  <c r="DK56" i="4"/>
  <c r="DS56" i="4" a="1"/>
  <c r="DS56" i="4"/>
  <c r="EI56" i="4" a="1"/>
  <c r="EI56" i="4"/>
  <c r="EA56" i="4" a="1"/>
  <c r="EA56" i="4"/>
  <c r="EQ56" i="4" a="1"/>
  <c r="EQ56" i="4"/>
  <c r="EY56" i="4" a="1"/>
  <c r="EY56" i="4"/>
  <c r="DH57" i="4"/>
  <c r="EA57" i="4" a="1"/>
  <c r="EA57" i="4"/>
  <c r="EI57" i="4" a="1"/>
  <c r="EI57" i="4"/>
  <c r="EQ57" i="4" a="1"/>
  <c r="EQ57" i="4"/>
  <c r="EY57" i="4" a="1"/>
  <c r="EY57" i="4"/>
  <c r="DW57" i="4" a="1"/>
  <c r="DW57" i="4"/>
  <c r="DO57" i="4" a="1"/>
  <c r="DO57" i="4"/>
  <c r="EE57" i="4" a="1"/>
  <c r="EE57" i="4"/>
  <c r="EU57" i="4" a="1"/>
  <c r="EU57" i="4"/>
  <c r="DS57" i="4" a="1"/>
  <c r="DS57" i="4"/>
  <c r="EM57" i="4" a="1"/>
  <c r="EM57" i="4"/>
  <c r="DK57" i="4" a="1"/>
  <c r="DK57" i="4"/>
  <c r="FC57" i="4" a="1"/>
  <c r="FC57" i="4"/>
  <c r="DH58" i="4"/>
  <c r="DW58" i="4" a="1"/>
  <c r="DW58" i="4"/>
  <c r="DO58" i="4" a="1"/>
  <c r="DO58" i="4"/>
  <c r="EE58" i="4" a="1"/>
  <c r="EE58" i="4"/>
  <c r="EM58" i="4" a="1"/>
  <c r="EM58" i="4"/>
  <c r="EU58" i="4" a="1"/>
  <c r="EU58" i="4"/>
  <c r="FC58" i="4" a="1"/>
  <c r="FC58" i="4"/>
  <c r="DK58" i="4" a="1"/>
  <c r="DK58" i="4"/>
  <c r="DS58" i="4" a="1"/>
  <c r="DS58" i="4"/>
  <c r="EI58" i="4" a="1"/>
  <c r="EI58" i="4"/>
  <c r="EA58" i="4" a="1"/>
  <c r="EA58" i="4"/>
  <c r="EY58" i="4" a="1"/>
  <c r="EY58" i="4"/>
  <c r="EQ58" i="4" a="1"/>
  <c r="EQ58" i="4"/>
  <c r="DH59" i="4"/>
  <c r="EE59" i="4" a="1"/>
  <c r="EE59" i="4"/>
  <c r="FC59" i="4" a="1"/>
  <c r="FC59" i="4"/>
  <c r="EU59" i="4" a="1"/>
  <c r="EU59" i="4"/>
  <c r="EM59" i="4" a="1"/>
  <c r="EM59" i="4"/>
  <c r="DW59" i="4" a="1"/>
  <c r="DW59" i="4"/>
  <c r="DO59" i="4" a="1"/>
  <c r="DO59" i="4"/>
  <c r="EA59" i="4" a="1"/>
  <c r="EA59" i="4"/>
  <c r="EY59" i="4" a="1"/>
  <c r="EY59" i="4"/>
  <c r="EQ59" i="4" a="1"/>
  <c r="EQ59" i="4"/>
  <c r="DS59" i="4" a="1"/>
  <c r="DS59" i="4"/>
  <c r="EI59" i="4" a="1"/>
  <c r="EI59" i="4"/>
  <c r="DK59" i="4" a="1"/>
  <c r="DK59" i="4"/>
  <c r="DH60" i="4"/>
  <c r="DH61" i="4"/>
  <c r="DH6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<sst xmlns="http://schemas.openxmlformats.org/spreadsheetml/2006/main" count="614" uniqueCount="236">
  <si>
    <t>StartDate</t>
  </si>
  <si>
    <t>EndDate</t>
  </si>
  <si>
    <t>EntityCode</t>
  </si>
  <si>
    <t>FacilityCode</t>
  </si>
  <si>
    <t>FullOrgDesc</t>
  </si>
  <si>
    <t>BudgetAvailablePerDay</t>
  </si>
  <si>
    <t>BudgetResidentDaysPerDay</t>
  </si>
  <si>
    <t>AComm\AComm LTC\MD\AMV\IL AMV\Villas</t>
  </si>
  <si>
    <t>AComm\AComm LTC\MD\AMV\IL AMV\CH</t>
  </si>
  <si>
    <t>AComm\AComm LTC\MD\AMV\IL AMV\Trott Apt</t>
  </si>
  <si>
    <t>AComm\AComm LTC\MD\AMV\IL AMV\DM Apt</t>
  </si>
  <si>
    <t>AComm\AComm LTC\MD\AMV\IL AMV\Wallace Apt</t>
  </si>
  <si>
    <t>AComm\AComm LTC\MD\AMV\IL AMV\PV Apt</t>
  </si>
  <si>
    <t>AComm\AComm LTC\MD\AMV\IL AMV\EF Apt</t>
  </si>
  <si>
    <t>AComm\AComm LTC\MD\AMV\IL AMV\Mund Apt</t>
  </si>
  <si>
    <t>AComm\AComm LTC\MD\AMV\AL AMV\Kindley</t>
  </si>
  <si>
    <t>AComm\AComm LTC\MD\AMV\SNF AMV</t>
  </si>
  <si>
    <t>AComm\AComm LTC\MD\AS\IL AS\IL Cottages</t>
  </si>
  <si>
    <t>AComm\AComm LTC\MD\AS\IL AS\IL North Apt</t>
  </si>
  <si>
    <t>AComm\AComm LTC\MD\AS\IL AS\IL South Apt</t>
  </si>
  <si>
    <t>AComm\AComm LTC\MD\AS\AL AS\AL</t>
  </si>
  <si>
    <t>AComm\AComm LTC\MD\AS\SNF AS</t>
  </si>
  <si>
    <t>AComm\AComm LTC\PA\SPH\IL SPH\SPH RL GH</t>
  </si>
  <si>
    <t>AComm\AComm LTC\PA\SPH\IL SPH\SPH RL Apts</t>
  </si>
  <si>
    <t>AComm\AComm LTC\PA\SPH\AL SPH\SPH PC Apts</t>
  </si>
  <si>
    <t>AComm\AComm LTC\PA\SPH\SNF SPH</t>
  </si>
  <si>
    <t>AComm\AComm LTC\OK\INV\IL INV\IL Cottages</t>
  </si>
  <si>
    <t>AComm\AComm LTC\OK\INV\IL INV\IL Apt</t>
  </si>
  <si>
    <t>AComm\AComm LTC\OK\INV\AL INV\AL</t>
  </si>
  <si>
    <t>AComm\AComm LTC\OK\INV\SNF INV</t>
  </si>
  <si>
    <t>AComm\AComm LTC\PA\BV\IL BV\Cottage East</t>
  </si>
  <si>
    <t>AComm\AComm LTC\PA\BV\IL BV\Cottage West</t>
  </si>
  <si>
    <t>AComm\AComm LTC\PA\BV\IL BV\Center Apartments</t>
  </si>
  <si>
    <t>AComm\AComm LTC\PA\BV\IL BV\Court Apartments</t>
  </si>
  <si>
    <t>AComm\AComm LTC\PA\BV\IL BV\West Apartments</t>
  </si>
  <si>
    <t>AComm\AComm LTC\PA\BV\AL BV\Maplewood</t>
  </si>
  <si>
    <t>AComm\AComm LTC\PA\BV\SNF BV</t>
  </si>
  <si>
    <t>AComm\AComm LTC\MD\CCNC\SNF CCNC</t>
  </si>
  <si>
    <t>Apartment A (RW Alcoves)</t>
  </si>
  <si>
    <t>Skilled Nursing Facility</t>
  </si>
  <si>
    <t>Apartment A (NR Alcoves)</t>
  </si>
  <si>
    <t>Assisted Living (Memory Care)</t>
  </si>
  <si>
    <t>Assisted Living/Personal Care (existing)</t>
  </si>
  <si>
    <t>AComm\AComm LTC\PA\RW\IL RW\GC</t>
  </si>
  <si>
    <t>AComm\AComm LTC\PA\RW\IL RW\RC APT</t>
  </si>
  <si>
    <t>AComm\AComm LTC\PA\RW\AL RW\RW PC</t>
  </si>
  <si>
    <t>AComm\AComm LTC\PA\RW\SNF RW</t>
  </si>
  <si>
    <t>AComm\AComm LTC\PA\NR\IL NR\Garden Cottages</t>
  </si>
  <si>
    <t>AComm\AComm LTC\PA\NR\IL NR\Manchester Apts</t>
  </si>
  <si>
    <t>AComm\AComm LTC\PA\NR\AL NR\NR PC</t>
  </si>
  <si>
    <t>AComm\TAG Services\PA\CE\AL CE\CE PC Units</t>
  </si>
  <si>
    <t>AComm\TAG Services\PA\CE\IL CE\Cottage Units</t>
  </si>
  <si>
    <t>AComm\TAG Services\PA\CE\IL CE\Garden Units</t>
  </si>
  <si>
    <t>Jan</t>
  </si>
  <si>
    <t>Feb</t>
  </si>
  <si>
    <t>May</t>
  </si>
  <si>
    <t>Oct</t>
  </si>
  <si>
    <t>Nov</t>
  </si>
  <si>
    <t>Dec</t>
  </si>
  <si>
    <t>AComm\AComm LTC\MD\AMV\SNF AMV H</t>
  </si>
  <si>
    <t>Office Connect Data</t>
  </si>
  <si>
    <t>f(x)</t>
  </si>
  <si>
    <t>Maximum Resident Days</t>
  </si>
  <si>
    <t>Forecasted Resident Days</t>
  </si>
  <si>
    <t>Ent</t>
  </si>
  <si>
    <t>Fac</t>
  </si>
  <si>
    <t>Ent-Fac</t>
  </si>
  <si>
    <t>100-21 Villas/Cottages</t>
  </si>
  <si>
    <t>100-22 Villas/Cottages B (AMV=Courtyard Homes, BV=BV West, APKS=Patio Homes)</t>
  </si>
  <si>
    <t>100-31 Apartment A (AMV=Trott, BV=Center, All others)</t>
  </si>
  <si>
    <t>100-32 Apartment B (AMV=Diamond, BV=Court)</t>
  </si>
  <si>
    <t>100-33 Apartment C (AMV=419 Wallace, BV=BVWest)</t>
  </si>
  <si>
    <t>100-34 Apartment D (AMV=ParkView)</t>
  </si>
  <si>
    <t>100-35 Apartment E (AMV=Edwards Fisher)</t>
  </si>
  <si>
    <t>100-36 Apartment F (AMV=Mund)</t>
  </si>
  <si>
    <t>100-51 AL/PC A</t>
  </si>
  <si>
    <t>100-61 Skilled Nursing Facility</t>
  </si>
  <si>
    <t>100-62 Skilled Nursing - TCU</t>
  </si>
  <si>
    <t>100 Asbury Methodist Village</t>
  </si>
  <si>
    <t>200-21 Villas/Cottages</t>
  </si>
  <si>
    <t>200-31 Apartment A (AMV=Trott, BV=Center, AS=North Apts.)</t>
  </si>
  <si>
    <t>200-32 Apartment B (AS=South Apts.)</t>
  </si>
  <si>
    <t>200-51 AL/PC A</t>
  </si>
  <si>
    <t>200-61 Skilled Nursing Facility</t>
  </si>
  <si>
    <t>200 Asbury Solomons</t>
  </si>
  <si>
    <t>324-21 Villas/Cottages</t>
  </si>
  <si>
    <t>324-31 Apartment A (AMV=Trott, BV=Center, All others)</t>
  </si>
  <si>
    <t>324-51 AL/PC A</t>
  </si>
  <si>
    <t>324-61 Skilled Nursing Facility</t>
  </si>
  <si>
    <t>324 Springhill</t>
  </si>
  <si>
    <t>350 Grace Park</t>
  </si>
  <si>
    <t>360 Ivy Gables</t>
  </si>
  <si>
    <t>810-21 Villas/Cottages</t>
  </si>
  <si>
    <t>810-22 Villas/Cottages B (AMV=Courtyard Homes, BV=BV West, APKS=Patio Homes)</t>
  </si>
  <si>
    <t>810-31 Apartment A (AMV=Trott, BV=Center, All others)</t>
  </si>
  <si>
    <t>810-32 Apartment B (AMV=Diamond, BV=Court)</t>
  </si>
  <si>
    <t>810-33 Apartment C (AMV=419 Wallace, BV=BVWest)</t>
  </si>
  <si>
    <t>810-51 AL/PC A</t>
  </si>
  <si>
    <t>810-61 Skilled Nursing Facility</t>
  </si>
  <si>
    <t>810 Bethany Village</t>
  </si>
  <si>
    <t>925-21 Villas/Cottages</t>
  </si>
  <si>
    <t>925-31 Apartment A (AMV=Trott, BV=Center, All others)</t>
  </si>
  <si>
    <t>925-51 AL/PCA A</t>
  </si>
  <si>
    <t>925 Chandler Estate</t>
  </si>
  <si>
    <t>Asbury</t>
  </si>
  <si>
    <t>Asbury (Consolidated)</t>
  </si>
  <si>
    <t>835-21 Villas/Cottages</t>
  </si>
  <si>
    <t>835-31 Apartment A (AMV=Trott, BV=Center, RW=Ridgecrest Court, NR= Manchester, All others)</t>
  </si>
  <si>
    <t>835-51 AL/PC A (AMV=333,  RW= Riverwood Manor, All others)</t>
  </si>
  <si>
    <t>835-61 Skilled Nursing Facility</t>
  </si>
  <si>
    <t>835 Riverwoods</t>
  </si>
  <si>
    <t>840-21 Villas/Cottages</t>
  </si>
  <si>
    <t>840-31 Apartment A (AMV=Trott, BV=Center, RW=Ridgecrest Court, NR=Manchester, All others)</t>
  </si>
  <si>
    <t>840-51 AL/PC A (AMV=333,  RW= Riverwood Manor, All others)</t>
  </si>
  <si>
    <t>840-52 AL/PC B (AL/PC B, NR=Dementia Care)</t>
  </si>
  <si>
    <t>840-61 Skilled Nursing Facility</t>
  </si>
  <si>
    <t>840 Normandie Ridge</t>
  </si>
  <si>
    <t>Albright</t>
  </si>
  <si>
    <t>Albright (Consolidated)</t>
  </si>
  <si>
    <t>350-21 Villas/Cottages</t>
  </si>
  <si>
    <t>350-51 AL/PC A</t>
  </si>
  <si>
    <t>350-52 AL B/APM Memory Support</t>
  </si>
  <si>
    <t>360-51 AL/PC A</t>
  </si>
  <si>
    <t>360-52 AL B/APM Memory Support</t>
  </si>
  <si>
    <t>c6d463ac-99dd-4e17-9213-ada598534116</t>
  </si>
  <si>
    <t>Formula</t>
  </si>
  <si>
    <t>LUT</t>
  </si>
  <si>
    <t>Top Level (Consolidated)-Days in Month</t>
  </si>
  <si>
    <t>Year</t>
  </si>
  <si>
    <t>Month</t>
  </si>
  <si>
    <t>Month #</t>
  </si>
  <si>
    <t>Date Format</t>
  </si>
  <si>
    <t>Adaptive</t>
  </si>
  <si>
    <t>Jan-2022-Budget 2022</t>
  </si>
  <si>
    <t>Feb-2022-Budget 2022</t>
  </si>
  <si>
    <t>Mar-2022-Budget 2022</t>
  </si>
  <si>
    <t>Mar</t>
  </si>
  <si>
    <t>Apr-2022-Budget 2022</t>
  </si>
  <si>
    <t>Apr</t>
  </si>
  <si>
    <t>May-2022-Budget 2022</t>
  </si>
  <si>
    <t>Jun-2022-Budget 2022</t>
  </si>
  <si>
    <t>Jun</t>
  </si>
  <si>
    <t>Jul-2022-Budget 2022</t>
  </si>
  <si>
    <t>Jul</t>
  </si>
  <si>
    <t>Aug-2022-Budget 2022</t>
  </si>
  <si>
    <t>Aug</t>
  </si>
  <si>
    <t>Sep-2022-Budget 2022</t>
  </si>
  <si>
    <t>Sep</t>
  </si>
  <si>
    <t>Oct-2022-Budget 2022</t>
  </si>
  <si>
    <t>Nov-2022-Budget 2022</t>
  </si>
  <si>
    <t>Dec-2022-Budget 2022</t>
  </si>
  <si>
    <t>Jan-2023-Budget 2023</t>
  </si>
  <si>
    <t>Feb-2023-Budget 2023</t>
  </si>
  <si>
    <t>Mar-2023-Budget 2023</t>
  </si>
  <si>
    <t>Apr-2023-Budget 2023</t>
  </si>
  <si>
    <t>May-2023-Budget 2023</t>
  </si>
  <si>
    <t>Jun-2023-Budget 2023</t>
  </si>
  <si>
    <t>Jul-2023-Budget 2023</t>
  </si>
  <si>
    <t>Aug-2023-Budget 2023</t>
  </si>
  <si>
    <t>Sep-2023-Budget 2023</t>
  </si>
  <si>
    <t>Oct-2023-Budget 2023</t>
  </si>
  <si>
    <t>Nov-2023-Budget 2023</t>
  </si>
  <si>
    <t>Dec-2023-Budget 2023</t>
  </si>
  <si>
    <t>Jan-2024-Budget 2024</t>
  </si>
  <si>
    <t>Feb-2024-Budget 2024</t>
  </si>
  <si>
    <t>Mar-2024-Budget 2024</t>
  </si>
  <si>
    <t>Apr-2024-Budget 2024</t>
  </si>
  <si>
    <t>May-2024-Budget 2024</t>
  </si>
  <si>
    <t>Jun-2024-Budget 2024</t>
  </si>
  <si>
    <t>Jul-2024-Budget 2024</t>
  </si>
  <si>
    <t>Aug-2024-Budget 2024</t>
  </si>
  <si>
    <t>Sep-2024-Budget 2024</t>
  </si>
  <si>
    <t>Oct-2024-Budget 2024</t>
  </si>
  <si>
    <t>Nov-2024-Budget 2024</t>
  </si>
  <si>
    <t>Dec-2024-Budget 2024</t>
  </si>
  <si>
    <t>34864750-36d0-48eb-b30f-296de4ba20f4</t>
  </si>
  <si>
    <t>Census</t>
  </si>
  <si>
    <t>Units</t>
  </si>
  <si>
    <t>Processing</t>
  </si>
  <si>
    <t>Review Notes</t>
  </si>
  <si>
    <t>Duplicate - historically data loaded here</t>
  </si>
  <si>
    <t>Duplicate - historically 0s loaded here</t>
  </si>
  <si>
    <t>Census -Start Date</t>
  </si>
  <si>
    <t>Census - End Date</t>
  </si>
  <si>
    <t>Calcs based on Census, checked no change in monthly units</t>
  </si>
  <si>
    <t>Qlik Load</t>
  </si>
  <si>
    <t>Start Date Row Counts</t>
  </si>
  <si>
    <t>End Date Row Counts</t>
  </si>
  <si>
    <t>Row Counts</t>
  </si>
  <si>
    <t>Delta</t>
  </si>
  <si>
    <t>Should be</t>
  </si>
  <si>
    <t>Is</t>
  </si>
  <si>
    <t># Ent-Fac</t>
  </si>
  <si>
    <t>text</t>
  </si>
  <si>
    <t>Start REF</t>
  </si>
  <si>
    <t>End REF</t>
  </si>
  <si>
    <t>Check</t>
  </si>
  <si>
    <t>620-21 Villas/Cottages</t>
  </si>
  <si>
    <t>620-31 Apartment A (AMV=Trott, BV=Center, All others)</t>
  </si>
  <si>
    <t>620-52 AL B/APM Memory Support</t>
  </si>
  <si>
    <t>620 MFA Maryville Opco, LLC</t>
  </si>
  <si>
    <t>630-21 Villas/Cottages</t>
  </si>
  <si>
    <t>630-31 Apartment A (AMV=Trott, BV=Center, All others)</t>
  </si>
  <si>
    <t>630-51 AL/PC A</t>
  </si>
  <si>
    <t>630 MFA Baysmont Opco, LLC</t>
  </si>
  <si>
    <t>635-52 AL B/APM Memory Support</t>
  </si>
  <si>
    <t>635 MFA Steadman Opco, LLC</t>
  </si>
  <si>
    <t>Jan-2025-Budget 2025</t>
  </si>
  <si>
    <t>Feb-2025-Budget 2025</t>
  </si>
  <si>
    <t>Mar-2025-Budget 2025</t>
  </si>
  <si>
    <t>Apr-2025-Budget 2025</t>
  </si>
  <si>
    <t>May-2025-Budget 2025</t>
  </si>
  <si>
    <t>Jun-2025-Budget 2025</t>
  </si>
  <si>
    <t>Jul-2025-Budget 2025</t>
  </si>
  <si>
    <t>Aug-2025-Budget 2025</t>
  </si>
  <si>
    <t>Sep-2025-Budget 2025</t>
  </si>
  <si>
    <t>Oct-2025-Budget 2025</t>
  </si>
  <si>
    <t>Nov-2025-Budget 2025</t>
  </si>
  <si>
    <t>Dec-2025-Budget 2025</t>
  </si>
  <si>
    <t>Budget 2025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</si>
  <si>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</si>
  <si>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</si>
  <si>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</si>
  <si>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</si>
  <si>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</si>
  <si>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</si>
  <si>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</si>
  <si>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</si>
  <si>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</si>
  <si>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</si>
  <si>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</si>
  <si>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</si>
  <si>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AComm\AComm LTC\PA\GP\IL GP\GP Cottage Units</t>
  </si>
  <si>
    <t>AComm\AComm LTC\PA\GP\AL GP\GP PC</t>
  </si>
  <si>
    <t>AComm\AComm LTC\DE\IG\AL IG\IG AL</t>
  </si>
  <si>
    <t>Note, data for GP/IG facilities 51 and 52 go into the same FullOrgDesc for each (this how it is currently structured in Qlik I think).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</si>
</sst>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C0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/>
  </cellStyleXfs>
  <cellXfs count="57">
    <xf numFmtId="0" fontId="0" fillId="0" borderId="0" xfId="0"/>
    <xf numFmtId="14" fontId="0" fillId="0" borderId="0" xfId="0" applyNumberFormat="1"/>
    <xf numFmtId="0" fontId="4" fillId="0" borderId="0" xfId="0" applyFont="1"/>
    <xf numFmtId="43" fontId="0" fillId="0" borderId="0" xfId="1" applyFont="1" applyFill="1"/>
    <xf numFmtId="0" fontId="5" fillId="2" borderId="0" xfId="0" applyFont="1" applyFill="1"/>
    <xf numFmtId="0" fontId="5" fillId="3" borderId="0" xfId="0" applyFont="1" applyFill="1"/>
    <xf numFmtId="0" fontId="1" fillId="0" borderId="0" xfId="0" quotePrefix="1" applyFont="1" applyAlignment="1">
      <alignment horizontal="center" vertical="center" wrapText="1"/>
    </xf>
    <xf numFmtId="0" fontId="1" fillId="0" borderId="0" xfId="0" applyFont="1"/>
    <xf numFmtId="164" fontId="0" fillId="0" borderId="0" xfId="1" applyNumberFormat="1" applyFont="1"/>
    <xf numFmtId="0" fontId="0" fillId="0" borderId="0" xfId="0" quotePrefix="1"/>
    <xf numFmtId="0" fontId="0" fillId="0" borderId="0" xfId="0" quotePrefix="1" applyAlignment="1">
      <alignment horizontal="left" indent="2"/>
    </xf>
    <xf numFmtId="0" fontId="0" fillId="0" borderId="0" xfId="0" quotePrefix="1" applyAlignment="1">
      <alignment horizontal="center" vertical="center" wrapText="1"/>
    </xf>
    <xf numFmtId="0" fontId="0" fillId="4" borderId="0" xfId="0" quotePrefix="1" applyFill="1" applyAlignment="1">
      <alignment horizontal="center" vertical="center" wrapText="1"/>
    </xf>
    <xf numFmtId="0" fontId="0" fillId="5" borderId="0" xfId="0" quotePrefix="1" applyFill="1" applyAlignment="1">
      <alignment horizontal="center" vertical="center" wrapText="1"/>
    </xf>
    <xf numFmtId="43" fontId="0" fillId="0" borderId="0" xfId="1" applyFont="1"/>
    <xf numFmtId="0" fontId="7" fillId="4" borderId="1" xfId="2" applyFont="1" applyFill="1" applyBorder="1"/>
    <xf numFmtId="0" fontId="6" fillId="4" borderId="2" xfId="2" applyFill="1" applyBorder="1"/>
    <xf numFmtId="0" fontId="7" fillId="6" borderId="0" xfId="2" applyFont="1" applyFill="1"/>
    <xf numFmtId="0" fontId="6" fillId="6" borderId="0" xfId="2" applyFill="1"/>
    <xf numFmtId="0" fontId="6" fillId="0" borderId="0" xfId="2"/>
    <xf numFmtId="0" fontId="7" fillId="2" borderId="0" xfId="2" applyFont="1" applyFill="1"/>
    <xf numFmtId="0" fontId="6" fillId="2" borderId="0" xfId="2" applyFill="1"/>
    <xf numFmtId="0" fontId="6" fillId="0" borderId="3" xfId="2" applyBorder="1"/>
    <xf numFmtId="0" fontId="6" fillId="0" borderId="4" xfId="2" applyBorder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0" fontId="6" fillId="0" borderId="3" xfId="2" applyBorder="1" applyAlignment="1">
      <alignment horizontal="left" indent="1"/>
    </xf>
    <xf numFmtId="0" fontId="6" fillId="0" borderId="4" xfId="2" applyBorder="1"/>
    <xf numFmtId="165" fontId="6" fillId="0" borderId="0" xfId="2" applyNumberFormat="1"/>
    <xf numFmtId="0" fontId="6" fillId="0" borderId="5" xfId="2" applyBorder="1" applyAlignment="1">
      <alignment horizontal="left" indent="1"/>
    </xf>
    <xf numFmtId="0" fontId="6" fillId="0" borderId="6" xfId="2" applyBorder="1"/>
    <xf numFmtId="0" fontId="0" fillId="7" borderId="0" xfId="0" applyFill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6" borderId="0" xfId="0" applyNumberFormat="1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5" fillId="5" borderId="0" xfId="0" applyFont="1" applyFill="1"/>
    <xf numFmtId="0" fontId="3" fillId="0" borderId="0" xfId="0" applyFont="1"/>
    <xf numFmtId="0" fontId="8" fillId="0" borderId="0" xfId="0" applyFont="1"/>
    <xf numFmtId="14" fontId="1" fillId="0" borderId="0" xfId="0" applyNumberFormat="1" applyFont="1"/>
    <xf numFmtId="0" fontId="5" fillId="9" borderId="0" xfId="0" applyFont="1" applyFill="1"/>
    <xf numFmtId="0" fontId="0" fillId="4" borderId="0" xfId="0" applyFill="1"/>
    <xf numFmtId="14" fontId="0" fillId="10" borderId="0" xfId="0" applyNumberFormat="1" applyFill="1"/>
    <xf numFmtId="14" fontId="0" fillId="3" borderId="0" xfId="0" applyNumberFormat="1" applyFill="1"/>
    <xf numFmtId="14" fontId="0" fillId="5" borderId="0" xfId="0" applyNumberFormat="1" applyFill="1"/>
    <xf numFmtId="43" fontId="0" fillId="11" borderId="0" xfId="0" applyNumberFormat="1" applyFill="1"/>
    <xf numFmtId="43" fontId="0" fillId="12" borderId="0" xfId="0" applyNumberFormat="1" applyFill="1"/>
    <xf numFmtId="0" fontId="9" fillId="0" borderId="0" xfId="0" applyFont="1"/>
    <xf numFmtId="0" fontId="5" fillId="6" borderId="0" xfId="0" applyFont="1" applyFill="1"/>
    <xf numFmtId="0" fontId="0" fillId="0" borderId="0" xfId="0" applyAlignment="1">
      <alignment horizontal="left" indent="2"/>
    </xf>
    <xf numFmtId="0" fontId="0" fillId="5" borderId="0" xfId="0" applyFill="1"/>
    <xf numFmtId="0" fontId="0" fillId="6" borderId="0" xfId="0" applyFill="1"/>
    <xf numFmtId="0" fontId="0" fillId="3" borderId="0" xfId="0" applyFill="1"/>
    <xf numFmtId="0" fontId="0" fillId="12" borderId="0" xfId="0" applyFill="1"/>
    <xf numFmtId="0" fontId="0" fillId="13" borderId="0" xfId="0" applyFill="1"/>
    <xf numFmtId="0" fontId="10" fillId="0" borderId="0" xfId="0" applyFont="1"/>
  </cellXfs>
  <cellStyles count="3">
    <cellStyle name="Comma" xfId="1" builtinId="3"/>
    <cellStyle name="Normal" xfId="0" builtinId="0"/>
    <cellStyle name="Normal 2" xfId="2" xr:uid="{65235F25-B7A0-49F8-9403-D1C7EDACE933}"/>
  </cellStyles>
  <dxfs count="0"/>
  <tableStyles count="0" defaultTableStyle="TableStyleMedium2" defaultPivotStyle="PivotStyleLight16"/>
  <colors>
    <mruColors>
      <color rgb="FF99FFCC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Relationship Id="rId22" Type="http://schemas.openxmlformats.org/officeDocument/2006/relationships/customXml" Target="../customXml/item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buryalign-my.sharepoint.com/personal/jmullen_asbury_org/Documents/Desktop/2024%20Budget%20Assumptions%2007242023.xlsx" TargetMode="External"/><Relationship Id="rId1" Type="http://schemas.openxmlformats.org/officeDocument/2006/relationships/externalLinkPath" Target="https://asburyalign-my.sharepoint.com/personal/jmullen_asbury_org/Documents/Desktop/2024%20Budget%20Assumptions%200724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SBURY%20AMERICA\FINANCE\BUDGET%20REPORTS\2024\Budget%20Support\Budget%20Assumptions\2024%20Budget%20Assumptions%20Oct%202023.xlsx" TargetMode="External"/><Relationship Id="rId1" Type="http://schemas.openxmlformats.org/officeDocument/2006/relationships/externalLinkPath" Target="/ASBURY%20AMERICA/FINANCE/BUDGET%20REPORTS/2024/Budget%20Support/Budget%20Assumptions/2024%20Budget%20Assumptions%20Oc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OfficeConnectCellHighlights"/>
      <sheetName val="Assumptions Summary"/>
      <sheetName val="Edit History"/>
      <sheetName val="AMV"/>
      <sheetName val="AMV Apt Fill (2024)"/>
      <sheetName val="AS"/>
      <sheetName val="SH"/>
      <sheetName val="BV"/>
      <sheetName val="CE"/>
      <sheetName val="RW"/>
      <sheetName val="NR"/>
      <sheetName val="APM"/>
      <sheetName val="APM AL MC (2024)"/>
      <sheetName val="APK"/>
      <sheetName val="APK Apts (2024)"/>
      <sheetName val="APK SNF Fill (2024)"/>
      <sheetName val="Pay Mix "/>
      <sheetName val="Qlik Pay Mix"/>
      <sheetName val="Pennsylvania MA "/>
      <sheetName val="Maryland MA"/>
      <sheetName val="Medicare A (Notes)"/>
      <sheetName val="Adaptive Uploads &gt;&gt;&gt;"/>
      <sheetName val="Rate Increase"/>
      <sheetName val="Census"/>
      <sheetName val="SNF Cube Rate"/>
      <sheetName val="SNF PP Rates"/>
      <sheetName val="SNF Cube %"/>
      <sheetName val="Available Unit"/>
      <sheetName val="HQ"/>
      <sheetName val="Repository"/>
      <sheetName val="OC-Main"/>
      <sheetName val="OC-SNF Rates"/>
      <sheetName val="OC-Summ"/>
      <sheetName val="OC-Raise"/>
      <sheetName val="OC-Days"/>
      <sheetName val="OC-SNF Fill"/>
      <sheetName val="OC-Fill"/>
      <sheetName val="QLK-AMV Rentals"/>
      <sheetName val="QLK-AMV Rentals Piv"/>
      <sheetName val="REF"/>
      <sheetName val="Notes"/>
      <sheetName val="2023B &gt;&gt;&gt;"/>
      <sheetName val="Edit History (2)"/>
      <sheetName val="AMV (2)"/>
      <sheetName val="AMV Apts &amp; AL Fill (2023)"/>
      <sheetName val="AS (2)"/>
      <sheetName val="AMV SNF Fill (2023)"/>
      <sheetName val="SH Apts Fill (2022)"/>
      <sheetName val="SH SNF Fill (2022)"/>
      <sheetName val="SH (2)"/>
      <sheetName val="FV HCC - PA DHS"/>
      <sheetName val="BV Apts Fill (2023)"/>
      <sheetName val="BV (2)"/>
      <sheetName val="RW SNF Fill (2023)"/>
      <sheetName val="CE (2)"/>
      <sheetName val="RW (2)"/>
      <sheetName val="NR (2)"/>
      <sheetName val="APM SNF Fill (2022)"/>
      <sheetName val="APM (2)"/>
      <sheetName val="APM AL MC (2023)"/>
      <sheetName val="APK (2)"/>
      <sheetName val="APK Apts (2023)"/>
      <sheetName val="APK SNF Fill (2023)"/>
      <sheetName val="depre"/>
      <sheetName val="de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9">
          <cell r="B19">
            <v>2023</v>
          </cell>
        </row>
        <row r="20">
          <cell r="B20" t="str">
            <v>6+6</v>
          </cell>
        </row>
        <row r="21">
          <cell r="B21">
            <v>2024</v>
          </cell>
        </row>
      </sheetData>
      <sheetData sheetId="30" refreshError="1"/>
      <sheetData sheetId="31">
        <row r="1">
          <cell r="B1" t="str">
            <v>2023BudgetForecasted Census (Entry)</v>
          </cell>
          <cell r="C1" t="str">
            <v>2023Budget# of Actual Available Units (Entry)</v>
          </cell>
          <cell r="D1" t="str">
            <v>2023BudgetForecasted Resident Days</v>
          </cell>
          <cell r="E1" t="str">
            <v>2023BudgetMaximum Resident Days</v>
          </cell>
          <cell r="F1" t="str">
            <v>2023BudgetForecasted Occ. % - Actual Available Units</v>
          </cell>
          <cell r="G1" t="str">
            <v>2023BudgetForecasted Occ. %  - Budget Available Units</v>
          </cell>
          <cell r="H1" t="str">
            <v>2023BudgetResident Rate Increase %</v>
          </cell>
          <cell r="I1" t="str">
            <v>2023BudgetOperating Ratio (New)</v>
          </cell>
          <cell r="J1" t="str">
            <v>2023BudgetSNF Census - Medicare A</v>
          </cell>
          <cell r="K1" t="str">
            <v>2023BudgetSNF Census - Medicare Advantage</v>
          </cell>
          <cell r="L1" t="str">
            <v>2023BudgetSNF Census - Medicaid</v>
          </cell>
          <cell r="M1" t="str">
            <v>2023BudgetSNF Census - Insurance</v>
          </cell>
          <cell r="N1" t="str">
            <v>2023BudgetSNF Census - Private Pay</v>
          </cell>
          <cell r="O1" t="str">
            <v>2023BudgetSNF Census - Hospice</v>
          </cell>
          <cell r="P1" t="str">
            <v>2023BudgetReimbursement Rate - Medicare A</v>
          </cell>
          <cell r="Q1" t="str">
            <v>2023BudgetReimbursement Rate - Medicare Advantage</v>
          </cell>
          <cell r="R1" t="str">
            <v>2023BudgetReimbursement Rate - Medicaid</v>
          </cell>
          <cell r="S1" t="str">
            <v>2023BudgetReimbursement Rate - Insurance</v>
          </cell>
          <cell r="T1" t="str">
            <v>2023BudgetReimbursement Rate - Private Pay</v>
          </cell>
          <cell r="U1" t="str">
            <v>2023BudgetReimbursement Rate - Hospice</v>
          </cell>
          <cell r="W1" t="str">
            <v>2023FC 6+6Forecasted Census (Entry)</v>
          </cell>
          <cell r="X1" t="str">
            <v>2023FC 6+6# of Actual Available Units (Entry)</v>
          </cell>
          <cell r="Y1" t="str">
            <v>2023FC 6+6Forecasted Resident Days</v>
          </cell>
          <cell r="Z1" t="str">
            <v>2023FC 6+6Maximum Resident Days</v>
          </cell>
          <cell r="AA1" t="str">
            <v>2023FC 6+6Forecasted Occ. % - Actual Available Units</v>
          </cell>
          <cell r="AB1" t="str">
            <v>2023FC 6+6Forecasted Occ. %  - Budget Available Units</v>
          </cell>
          <cell r="AC1" t="str">
            <v>2023FC 6+6Resident Rate Increase %</v>
          </cell>
          <cell r="AD1" t="str">
            <v>2023FC 6+6Operating Ratio (New)</v>
          </cell>
          <cell r="AE1" t="str">
            <v>2023FC 6+6SNF Census - Medicare A</v>
          </cell>
          <cell r="AF1" t="str">
            <v>2023FC 6+6SNF Census - Medicare Advantage</v>
          </cell>
          <cell r="AG1" t="str">
            <v>2023FC 6+6SNF Census - Medicaid</v>
          </cell>
          <cell r="AH1" t="str">
            <v>2023FC 6+6SNF Census - Insurance</v>
          </cell>
          <cell r="AI1" t="str">
            <v>2023FC 6+6SNF Census - Private Pay</v>
          </cell>
          <cell r="AJ1" t="str">
            <v>2023FC 6+6SNF Census - Hospice</v>
          </cell>
          <cell r="AK1" t="str">
            <v>2023FC 6+6Reimbursement Rate - Medicare A</v>
          </cell>
          <cell r="AL1" t="str">
            <v>2023FC 6+6Reimbursement Rate - Medicare Advantage</v>
          </cell>
          <cell r="AM1" t="str">
            <v>2023FC 6+6Reimbursement Rate - Medicaid</v>
          </cell>
          <cell r="AN1" t="str">
            <v>2023FC 6+6Reimbursement Rate - Insurance</v>
          </cell>
          <cell r="AO1" t="str">
            <v>2023FC 6+6Reimbursement Rate - Private Pay</v>
          </cell>
          <cell r="AP1" t="str">
            <v>2023FC 6+6Reimbursement Rate - Hospice</v>
          </cell>
          <cell r="AR1" t="str">
            <v>2024BudgetForecasted Census (Entry)</v>
          </cell>
          <cell r="AS1" t="str">
            <v>2024Budget# of Actual Available Units (Entry)</v>
          </cell>
          <cell r="AT1" t="str">
            <v>2024BudgetForecasted Resident Days</v>
          </cell>
          <cell r="AU1" t="str">
            <v>2024BudgetMaximum Resident Days</v>
          </cell>
          <cell r="AV1" t="str">
            <v>2024BudgetForecasted Occ. % - Actual Available Units</v>
          </cell>
          <cell r="AW1" t="str">
            <v>2024BudgetForecasted Occ. %  - Budget Available Units</v>
          </cell>
          <cell r="AX1" t="str">
            <v>2024BudgetResident Rate Increase %</v>
          </cell>
          <cell r="AY1" t="str">
            <v>2024BudgetOperating Ratio (New)</v>
          </cell>
          <cell r="AZ1" t="str">
            <v>2024BudgetSNF Census - Medicare A</v>
          </cell>
          <cell r="BA1" t="str">
            <v>2024BudgetSNF Census - Medicare Advantage</v>
          </cell>
          <cell r="BB1" t="str">
            <v>2024BudgetSNF Census - Medicaid</v>
          </cell>
          <cell r="BC1" t="str">
            <v>2024BudgetSNF Census - Insurance</v>
          </cell>
          <cell r="BD1" t="str">
            <v>2024BudgetSNF Census - Private Pay</v>
          </cell>
          <cell r="BE1" t="str">
            <v>2024BudgetSNF Census - Hospice</v>
          </cell>
          <cell r="BF1" t="str">
            <v>2024BudgetReimbursement Rate - Medicare A</v>
          </cell>
          <cell r="BG1" t="str">
            <v>2024BudgetReimbursement Rate - Medicare Advantage</v>
          </cell>
          <cell r="BH1" t="str">
            <v>2024BudgetReimbursement Rate - Medicaid</v>
          </cell>
          <cell r="BI1" t="str">
            <v>2024BudgetReimbursement Rate - Insurance</v>
          </cell>
          <cell r="BJ1" t="str">
            <v>2024BudgetReimbursement Rate - Private Pay</v>
          </cell>
          <cell r="BK1" t="str">
            <v>2024BudgetReimbursement Rate - Hospice</v>
          </cell>
          <cell r="DC1" t="str">
            <v>2023BudgetTotal AL/IL Second Persons</v>
          </cell>
          <cell r="EU1" t="str">
            <v>2023FC 6+6Total AL/IL Second Persons</v>
          </cell>
          <cell r="GM1" t="str">
            <v>2024BudgetTotal AL/IL Second Persons</v>
          </cell>
          <cell r="HB1" t="str">
            <v>2023BudgetTotal AL/IL Rental Units</v>
          </cell>
          <cell r="HQ1" t="str">
            <v>2023FC 6+6Total AL/IL Rental Units</v>
          </cell>
          <cell r="IF1" t="str">
            <v>2024BudgetTotal AL/IL Rental Units</v>
          </cell>
          <cell r="IR1" t="str">
            <v>2023Budget835/840-31 Alcove 2nd Person</v>
          </cell>
          <cell r="IS1" t="str">
            <v>2023Budget835/840-31 Apartment 2nd Person</v>
          </cell>
          <cell r="IT1" t="str">
            <v>2023Budget835/840-31 Alcove Units</v>
          </cell>
          <cell r="IU1" t="str">
            <v>2023Budget835/840-31 Apartment Units</v>
          </cell>
          <cell r="JG1" t="str">
            <v>2023FC 6+6835/840-31 Alcove 2nd Person</v>
          </cell>
          <cell r="JH1" t="str">
            <v>2023FC 6+6835/840-31 Apartment 2nd Person</v>
          </cell>
          <cell r="JI1" t="str">
            <v>2023FC 6+6835/840-31 Alcove Units</v>
          </cell>
          <cell r="JJ1" t="str">
            <v>2023FC 6+6835/840-31 Apartment Units</v>
          </cell>
          <cell r="JV1" t="str">
            <v>2024Budget835/840-31 Alcove 2nd Person</v>
          </cell>
          <cell r="JW1" t="str">
            <v>2024Budget835/840-31 Apartment 2nd Person</v>
          </cell>
          <cell r="JX1" t="str">
            <v>2024Budget835/840-31 Alcove Units</v>
          </cell>
          <cell r="JY1" t="str">
            <v>2024Budget835/840-31 Apartment Units</v>
          </cell>
          <cell r="KG1" t="str">
            <v>2023Budget650-21 Duplexes Units</v>
          </cell>
          <cell r="KH1" t="str">
            <v>2023Budget650-21 Original Units</v>
          </cell>
          <cell r="KI1" t="str">
            <v>2023Budget650-21 Townhomes Units</v>
          </cell>
          <cell r="KQ1" t="str">
            <v>2023FC 6+6650-21 Duplexes Units</v>
          </cell>
          <cell r="KR1" t="str">
            <v>2023FC 6+6650-21 Original Units</v>
          </cell>
          <cell r="KS1" t="str">
            <v>2023FC 6+6650-21 Townhomes Units</v>
          </cell>
          <cell r="LA1" t="str">
            <v>2024Budget650-21 Duplexes Units</v>
          </cell>
          <cell r="LB1" t="str">
            <v>2024Budget650-21 Original Units</v>
          </cell>
          <cell r="LC1" t="str">
            <v>2024Budget650-21 Townhomes Units</v>
          </cell>
        </row>
        <row r="9">
          <cell r="B9">
            <v>72.8</v>
          </cell>
          <cell r="C9">
            <v>74</v>
          </cell>
          <cell r="D9">
            <v>26571.999999999996</v>
          </cell>
          <cell r="E9">
            <v>27010</v>
          </cell>
          <cell r="F9">
            <v>0.98378378378378362</v>
          </cell>
          <cell r="G9">
            <v>0.98378378378378362</v>
          </cell>
          <cell r="H9">
            <v>0.05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72.673972602739724</v>
          </cell>
          <cell r="X9">
            <v>74</v>
          </cell>
          <cell r="Y9">
            <v>26526</v>
          </cell>
          <cell r="Z9">
            <v>27010</v>
          </cell>
          <cell r="AA9">
            <v>0.98208071084783399</v>
          </cell>
          <cell r="AB9">
            <v>0.98208071084783399</v>
          </cell>
          <cell r="AC9">
            <v>0.05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R9">
            <v>71.41</v>
          </cell>
          <cell r="AS9">
            <v>74</v>
          </cell>
          <cell r="AT9">
            <v>26136.05999999999</v>
          </cell>
          <cell r="AU9">
            <v>27084</v>
          </cell>
          <cell r="AV9">
            <v>0.96499999999999964</v>
          </cell>
          <cell r="AW9">
            <v>0.96499999999999964</v>
          </cell>
          <cell r="AX9">
            <v>3.0000000000000009E-2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C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U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M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B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Q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F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KA9">
            <v>0</v>
          </cell>
          <cell r="KB9">
            <v>0</v>
          </cell>
          <cell r="KC9">
            <v>0</v>
          </cell>
          <cell r="KE9">
            <v>0</v>
          </cell>
          <cell r="KG9">
            <v>0</v>
          </cell>
          <cell r="KH9">
            <v>0</v>
          </cell>
          <cell r="KI9">
            <v>0</v>
          </cell>
          <cell r="KK9">
            <v>0</v>
          </cell>
          <cell r="KL9">
            <v>0</v>
          </cell>
          <cell r="KM9">
            <v>0</v>
          </cell>
          <cell r="KO9">
            <v>0</v>
          </cell>
          <cell r="KQ9">
            <v>0</v>
          </cell>
          <cell r="KR9">
            <v>0</v>
          </cell>
          <cell r="KS9">
            <v>0</v>
          </cell>
          <cell r="KU9">
            <v>0</v>
          </cell>
          <cell r="KV9">
            <v>0</v>
          </cell>
          <cell r="KW9">
            <v>0</v>
          </cell>
          <cell r="KY9">
            <v>0</v>
          </cell>
          <cell r="LA9">
            <v>0</v>
          </cell>
          <cell r="LB9">
            <v>0</v>
          </cell>
          <cell r="LC9">
            <v>0</v>
          </cell>
          <cell r="LE9" t="str">
            <v>100-21</v>
          </cell>
        </row>
        <row r="10">
          <cell r="B10">
            <v>42.139999999999993</v>
          </cell>
          <cell r="C10">
            <v>43</v>
          </cell>
          <cell r="D10">
            <v>15381.100000000002</v>
          </cell>
          <cell r="E10">
            <v>15695</v>
          </cell>
          <cell r="F10">
            <v>0.98</v>
          </cell>
          <cell r="G10">
            <v>0.98</v>
          </cell>
          <cell r="H10">
            <v>0.05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42.013698630136986</v>
          </cell>
          <cell r="X10">
            <v>43</v>
          </cell>
          <cell r="Y10">
            <v>15335</v>
          </cell>
          <cell r="Z10">
            <v>15695</v>
          </cell>
          <cell r="AA10">
            <v>0.97706275884039517</v>
          </cell>
          <cell r="AB10">
            <v>0.97706275884039517</v>
          </cell>
          <cell r="AC10">
            <v>0.05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41.28</v>
          </cell>
          <cell r="AS10">
            <v>43</v>
          </cell>
          <cell r="AT10">
            <v>15108.48</v>
          </cell>
          <cell r="AU10">
            <v>15738</v>
          </cell>
          <cell r="AV10">
            <v>0.96</v>
          </cell>
          <cell r="AW10">
            <v>0.96</v>
          </cell>
          <cell r="AX10">
            <v>3.0000000000000009E-2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C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U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M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B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Q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F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KA10">
            <v>0</v>
          </cell>
          <cell r="KB10">
            <v>0</v>
          </cell>
          <cell r="KC10">
            <v>0</v>
          </cell>
          <cell r="KE10">
            <v>0</v>
          </cell>
          <cell r="KG10">
            <v>0</v>
          </cell>
          <cell r="KH10">
            <v>0</v>
          </cell>
          <cell r="KI10">
            <v>0</v>
          </cell>
          <cell r="KK10">
            <v>0</v>
          </cell>
          <cell r="KL10">
            <v>0</v>
          </cell>
          <cell r="KM10">
            <v>0</v>
          </cell>
          <cell r="KO10">
            <v>0</v>
          </cell>
          <cell r="KQ10">
            <v>0</v>
          </cell>
          <cell r="KR10">
            <v>0</v>
          </cell>
          <cell r="KS10">
            <v>0</v>
          </cell>
          <cell r="KU10">
            <v>0</v>
          </cell>
          <cell r="KV10">
            <v>0</v>
          </cell>
          <cell r="KW10">
            <v>0</v>
          </cell>
          <cell r="KY10">
            <v>0</v>
          </cell>
          <cell r="LA10">
            <v>0</v>
          </cell>
          <cell r="LB10">
            <v>0</v>
          </cell>
          <cell r="LC10">
            <v>0</v>
          </cell>
          <cell r="LE10" t="str">
            <v>100-22</v>
          </cell>
        </row>
        <row r="11">
          <cell r="B11">
            <v>77.010958904109586</v>
          </cell>
          <cell r="C11">
            <v>109</v>
          </cell>
          <cell r="D11">
            <v>28109</v>
          </cell>
          <cell r="E11">
            <v>39785</v>
          </cell>
          <cell r="F11">
            <v>0.70652255875329895</v>
          </cell>
          <cell r="G11">
            <v>0.70652255875329895</v>
          </cell>
          <cell r="H11">
            <v>0.05</v>
          </cell>
          <cell r="I11">
            <v>5.3725422127731504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69.353424657534248</v>
          </cell>
          <cell r="X11">
            <v>109</v>
          </cell>
          <cell r="Y11">
            <v>25314</v>
          </cell>
          <cell r="Z11">
            <v>39785</v>
          </cell>
          <cell r="AA11">
            <v>0.6362699509865527</v>
          </cell>
          <cell r="AB11">
            <v>0.6362699509865527</v>
          </cell>
          <cell r="AC11">
            <v>0.05</v>
          </cell>
          <cell r="AD11">
            <v>5.7436406442432029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71.76229508196721</v>
          </cell>
          <cell r="AS11">
            <v>109</v>
          </cell>
          <cell r="AT11">
            <v>26265</v>
          </cell>
          <cell r="AU11">
            <v>39894</v>
          </cell>
          <cell r="AV11">
            <v>0.6583696796510754</v>
          </cell>
          <cell r="AW11">
            <v>0.6583696796510754</v>
          </cell>
          <cell r="AX11">
            <v>3.0000000000000009E-2</v>
          </cell>
          <cell r="AY11">
            <v>5.4979813296114166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9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C11">
            <v>9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9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U11">
            <v>9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8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M11">
            <v>8</v>
          </cell>
          <cell r="GO11">
            <v>2</v>
          </cell>
          <cell r="GP11">
            <v>4</v>
          </cell>
          <cell r="GQ11">
            <v>3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B11">
            <v>9</v>
          </cell>
          <cell r="HD11">
            <v>2</v>
          </cell>
          <cell r="HE11">
            <v>4</v>
          </cell>
          <cell r="HF11">
            <v>3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Q11">
            <v>9</v>
          </cell>
          <cell r="HS11">
            <v>2</v>
          </cell>
          <cell r="HT11">
            <v>4</v>
          </cell>
          <cell r="HU11">
            <v>3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F11">
            <v>9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KA11">
            <v>0</v>
          </cell>
          <cell r="KB11">
            <v>0</v>
          </cell>
          <cell r="KC11">
            <v>0</v>
          </cell>
          <cell r="KE11">
            <v>0</v>
          </cell>
          <cell r="KG11">
            <v>0</v>
          </cell>
          <cell r="KH11">
            <v>0</v>
          </cell>
          <cell r="KI11">
            <v>0</v>
          </cell>
          <cell r="KK11">
            <v>0</v>
          </cell>
          <cell r="KL11">
            <v>0</v>
          </cell>
          <cell r="KM11">
            <v>0</v>
          </cell>
          <cell r="KO11">
            <v>0</v>
          </cell>
          <cell r="KQ11">
            <v>0</v>
          </cell>
          <cell r="KR11">
            <v>0</v>
          </cell>
          <cell r="KS11">
            <v>0</v>
          </cell>
          <cell r="KU11">
            <v>0</v>
          </cell>
          <cell r="KV11">
            <v>0</v>
          </cell>
          <cell r="KW11">
            <v>0</v>
          </cell>
          <cell r="KY11">
            <v>0</v>
          </cell>
          <cell r="LA11">
            <v>0</v>
          </cell>
          <cell r="LB11">
            <v>0</v>
          </cell>
          <cell r="LC11">
            <v>0</v>
          </cell>
          <cell r="LE11" t="str">
            <v>100-31</v>
          </cell>
        </row>
        <row r="12">
          <cell r="B12">
            <v>168.31095890410958</v>
          </cell>
          <cell r="C12">
            <v>184</v>
          </cell>
          <cell r="D12">
            <v>61433.5</v>
          </cell>
          <cell r="E12">
            <v>67160</v>
          </cell>
          <cell r="F12">
            <v>0.9147334723049434</v>
          </cell>
          <cell r="G12">
            <v>0.9147334723049434</v>
          </cell>
          <cell r="H12">
            <v>0.05</v>
          </cell>
          <cell r="I12">
            <v>0.32616643504356596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161.72191780821919</v>
          </cell>
          <cell r="X12">
            <v>184</v>
          </cell>
          <cell r="Y12">
            <v>59028.5</v>
          </cell>
          <cell r="Z12">
            <v>67160</v>
          </cell>
          <cell r="AA12">
            <v>0.8789234663490173</v>
          </cell>
          <cell r="AB12">
            <v>0.8789234663490173</v>
          </cell>
          <cell r="AC12">
            <v>0.05</v>
          </cell>
          <cell r="AD12">
            <v>0.32838617902540629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166</v>
          </cell>
          <cell r="AS12">
            <v>184</v>
          </cell>
          <cell r="AT12">
            <v>60756</v>
          </cell>
          <cell r="AU12">
            <v>67344</v>
          </cell>
          <cell r="AV12">
            <v>0.90217391304347838</v>
          </cell>
          <cell r="AW12">
            <v>0.90217391304347838</v>
          </cell>
          <cell r="AX12">
            <v>3.0000000000000009E-2</v>
          </cell>
          <cell r="AY12">
            <v>0.32502432750388738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32.000000000000007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C12">
            <v>32.000000000000007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32.000000000000007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U12">
            <v>32.000000000000007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27.999999999999989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M12">
            <v>27.999999999999989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B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Q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F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KA12">
            <v>0</v>
          </cell>
          <cell r="KB12">
            <v>0</v>
          </cell>
          <cell r="KC12">
            <v>0</v>
          </cell>
          <cell r="KE12">
            <v>0</v>
          </cell>
          <cell r="KG12">
            <v>0</v>
          </cell>
          <cell r="KH12">
            <v>0</v>
          </cell>
          <cell r="KI12">
            <v>0</v>
          </cell>
          <cell r="KK12">
            <v>0</v>
          </cell>
          <cell r="KL12">
            <v>0</v>
          </cell>
          <cell r="KM12">
            <v>0</v>
          </cell>
          <cell r="KO12">
            <v>0</v>
          </cell>
          <cell r="KQ12">
            <v>0</v>
          </cell>
          <cell r="KR12">
            <v>0</v>
          </cell>
          <cell r="KS12">
            <v>0</v>
          </cell>
          <cell r="KU12">
            <v>0</v>
          </cell>
          <cell r="KV12">
            <v>0</v>
          </cell>
          <cell r="KW12">
            <v>0</v>
          </cell>
          <cell r="KY12">
            <v>0</v>
          </cell>
          <cell r="LA12">
            <v>0</v>
          </cell>
          <cell r="LB12">
            <v>0</v>
          </cell>
          <cell r="LC12">
            <v>0</v>
          </cell>
          <cell r="LE12" t="str">
            <v>100-32</v>
          </cell>
        </row>
        <row r="13">
          <cell r="B13">
            <v>88.439726027397256</v>
          </cell>
          <cell r="C13">
            <v>99</v>
          </cell>
          <cell r="D13">
            <v>32280.5</v>
          </cell>
          <cell r="E13">
            <v>36135</v>
          </cell>
          <cell r="F13">
            <v>0.89333056593330562</v>
          </cell>
          <cell r="G13">
            <v>0.89333056593330562</v>
          </cell>
          <cell r="H13">
            <v>0.05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84.746849315068488</v>
          </cell>
          <cell r="X13">
            <v>99</v>
          </cell>
          <cell r="Y13">
            <v>30932.6</v>
          </cell>
          <cell r="Z13">
            <v>36135</v>
          </cell>
          <cell r="AA13">
            <v>0.85602878096028778</v>
          </cell>
          <cell r="AB13">
            <v>0.85602878096028778</v>
          </cell>
          <cell r="AC13">
            <v>0.05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86</v>
          </cell>
          <cell r="AS13">
            <v>99</v>
          </cell>
          <cell r="AT13">
            <v>31476</v>
          </cell>
          <cell r="AU13">
            <v>36234</v>
          </cell>
          <cell r="AV13">
            <v>0.86868686868686873</v>
          </cell>
          <cell r="AW13">
            <v>0.86868686868686873</v>
          </cell>
          <cell r="AX13">
            <v>3.0000000000000009E-2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33.999999999999993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C13">
            <v>33.999999999999993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33.999999999999993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U13">
            <v>33.999999999999993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35.000000000000007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M13">
            <v>35.000000000000007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B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Q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F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KA13">
            <v>0</v>
          </cell>
          <cell r="KB13">
            <v>0</v>
          </cell>
          <cell r="KC13">
            <v>0</v>
          </cell>
          <cell r="KE13">
            <v>0</v>
          </cell>
          <cell r="KG13">
            <v>0</v>
          </cell>
          <cell r="KH13">
            <v>0</v>
          </cell>
          <cell r="KI13">
            <v>0</v>
          </cell>
          <cell r="KK13">
            <v>0</v>
          </cell>
          <cell r="KL13">
            <v>0</v>
          </cell>
          <cell r="KM13">
            <v>0</v>
          </cell>
          <cell r="KO13">
            <v>0</v>
          </cell>
          <cell r="KQ13">
            <v>0</v>
          </cell>
          <cell r="KR13">
            <v>0</v>
          </cell>
          <cell r="KS13">
            <v>0</v>
          </cell>
          <cell r="KU13">
            <v>0</v>
          </cell>
          <cell r="KV13">
            <v>0</v>
          </cell>
          <cell r="KW13">
            <v>0</v>
          </cell>
          <cell r="KY13">
            <v>0</v>
          </cell>
          <cell r="LA13">
            <v>0</v>
          </cell>
          <cell r="LB13">
            <v>0</v>
          </cell>
          <cell r="LC13">
            <v>0</v>
          </cell>
          <cell r="LE13" t="str">
            <v>100-33</v>
          </cell>
        </row>
        <row r="14">
          <cell r="B14">
            <v>56.636986301369866</v>
          </cell>
          <cell r="C14">
            <v>65</v>
          </cell>
          <cell r="D14">
            <v>20672.5</v>
          </cell>
          <cell r="E14">
            <v>23725</v>
          </cell>
          <cell r="F14">
            <v>0.87133825079030558</v>
          </cell>
          <cell r="G14">
            <v>0.87133825079030558</v>
          </cell>
          <cell r="H14">
            <v>0.05</v>
          </cell>
          <cell r="I14">
            <v>0.12343432967447028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53.5013698630137</v>
          </cell>
          <cell r="X14">
            <v>65</v>
          </cell>
          <cell r="Y14">
            <v>19528</v>
          </cell>
          <cell r="Z14">
            <v>23725</v>
          </cell>
          <cell r="AA14">
            <v>0.82309799789251847</v>
          </cell>
          <cell r="AB14">
            <v>0.82309799789251847</v>
          </cell>
          <cell r="AC14">
            <v>0.05</v>
          </cell>
          <cell r="AD14">
            <v>0.13128208032124816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R14">
            <v>55</v>
          </cell>
          <cell r="AS14">
            <v>65</v>
          </cell>
          <cell r="AT14">
            <v>20130</v>
          </cell>
          <cell r="AU14">
            <v>23790</v>
          </cell>
          <cell r="AV14">
            <v>0.84615384615384615</v>
          </cell>
          <cell r="AW14">
            <v>0.84615384615384615</v>
          </cell>
          <cell r="AX14">
            <v>3.0000000000000009E-2</v>
          </cell>
          <cell r="AY14">
            <v>0.12198234163432406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20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C14">
            <v>20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20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U14">
            <v>20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21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M14">
            <v>21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B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Q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F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KA14">
            <v>0</v>
          </cell>
          <cell r="KB14">
            <v>0</v>
          </cell>
          <cell r="KC14">
            <v>0</v>
          </cell>
          <cell r="KE14">
            <v>0</v>
          </cell>
          <cell r="KG14">
            <v>0</v>
          </cell>
          <cell r="KH14">
            <v>0</v>
          </cell>
          <cell r="KI14">
            <v>0</v>
          </cell>
          <cell r="KK14">
            <v>0</v>
          </cell>
          <cell r="KL14">
            <v>0</v>
          </cell>
          <cell r="KM14">
            <v>0</v>
          </cell>
          <cell r="KO14">
            <v>0</v>
          </cell>
          <cell r="KQ14">
            <v>0</v>
          </cell>
          <cell r="KR14">
            <v>0</v>
          </cell>
          <cell r="KS14">
            <v>0</v>
          </cell>
          <cell r="KU14">
            <v>0</v>
          </cell>
          <cell r="KV14">
            <v>0</v>
          </cell>
          <cell r="KW14">
            <v>0</v>
          </cell>
          <cell r="KY14">
            <v>0</v>
          </cell>
          <cell r="LA14">
            <v>0</v>
          </cell>
          <cell r="LB14">
            <v>0</v>
          </cell>
          <cell r="LC14">
            <v>0</v>
          </cell>
          <cell r="LE14" t="str">
            <v>100-34</v>
          </cell>
        </row>
        <row r="15">
          <cell r="B15">
            <v>102.92876712328768</v>
          </cell>
          <cell r="C15">
            <v>126</v>
          </cell>
          <cell r="D15">
            <v>37569</v>
          </cell>
          <cell r="E15">
            <v>45990</v>
          </cell>
          <cell r="F15">
            <v>0.81689497716894977</v>
          </cell>
          <cell r="G15">
            <v>0.81689497716894977</v>
          </cell>
          <cell r="H15">
            <v>0.05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99.599452054794526</v>
          </cell>
          <cell r="X15">
            <v>126</v>
          </cell>
          <cell r="Y15">
            <v>36353.800000000003</v>
          </cell>
          <cell r="Z15">
            <v>45990</v>
          </cell>
          <cell r="AA15">
            <v>0.79047184170471851</v>
          </cell>
          <cell r="AB15">
            <v>0.79047184170471851</v>
          </cell>
          <cell r="AC15">
            <v>0.05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104</v>
          </cell>
          <cell r="AS15">
            <v>126</v>
          </cell>
          <cell r="AT15">
            <v>38064</v>
          </cell>
          <cell r="AU15">
            <v>46116</v>
          </cell>
          <cell r="AV15">
            <v>0.82539682539682535</v>
          </cell>
          <cell r="AW15">
            <v>0.82539682539682535</v>
          </cell>
          <cell r="AX15">
            <v>3.0000000000000009E-2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C15">
            <v>19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19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U15">
            <v>19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21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M15">
            <v>21</v>
          </cell>
          <cell r="GO15">
            <v>0</v>
          </cell>
          <cell r="GP15">
            <v>0</v>
          </cell>
          <cell r="GQ15">
            <v>0</v>
          </cell>
          <cell r="GR15">
            <v>2</v>
          </cell>
          <cell r="GS15">
            <v>1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B15">
            <v>3</v>
          </cell>
          <cell r="HD15">
            <v>0</v>
          </cell>
          <cell r="HE15">
            <v>0</v>
          </cell>
          <cell r="HF15">
            <v>0</v>
          </cell>
          <cell r="HG15">
            <v>2</v>
          </cell>
          <cell r="HH15">
            <v>1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Q15">
            <v>3</v>
          </cell>
          <cell r="HS15">
            <v>0</v>
          </cell>
          <cell r="HT15">
            <v>0</v>
          </cell>
          <cell r="HU15">
            <v>0</v>
          </cell>
          <cell r="HV15">
            <v>2</v>
          </cell>
          <cell r="HW15">
            <v>1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F15">
            <v>3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KA15">
            <v>0</v>
          </cell>
          <cell r="KB15">
            <v>0</v>
          </cell>
          <cell r="KC15">
            <v>0</v>
          </cell>
          <cell r="KE15">
            <v>0</v>
          </cell>
          <cell r="KG15">
            <v>0</v>
          </cell>
          <cell r="KH15">
            <v>0</v>
          </cell>
          <cell r="KI15">
            <v>0</v>
          </cell>
          <cell r="KK15">
            <v>0</v>
          </cell>
          <cell r="KL15">
            <v>0</v>
          </cell>
          <cell r="KM15">
            <v>0</v>
          </cell>
          <cell r="KO15">
            <v>0</v>
          </cell>
          <cell r="KQ15">
            <v>0</v>
          </cell>
          <cell r="KR15">
            <v>0</v>
          </cell>
          <cell r="KS15">
            <v>0</v>
          </cell>
          <cell r="KU15">
            <v>0</v>
          </cell>
          <cell r="KV15">
            <v>0</v>
          </cell>
          <cell r="KW15">
            <v>0</v>
          </cell>
          <cell r="KY15">
            <v>0</v>
          </cell>
          <cell r="LA15">
            <v>0</v>
          </cell>
          <cell r="LB15">
            <v>0</v>
          </cell>
          <cell r="LC15">
            <v>0</v>
          </cell>
          <cell r="LE15" t="str">
            <v>100-35</v>
          </cell>
        </row>
        <row r="16">
          <cell r="B16">
            <v>90.183561643835617</v>
          </cell>
          <cell r="C16">
            <v>126</v>
          </cell>
          <cell r="D16">
            <v>32917</v>
          </cell>
          <cell r="E16">
            <v>45990</v>
          </cell>
          <cell r="F16">
            <v>0.71574255272885412</v>
          </cell>
          <cell r="G16">
            <v>0.71574255272885412</v>
          </cell>
          <cell r="H16">
            <v>0.05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80.910958904109592</v>
          </cell>
          <cell r="X16">
            <v>126</v>
          </cell>
          <cell r="Y16">
            <v>29532.5</v>
          </cell>
          <cell r="Z16">
            <v>45990</v>
          </cell>
          <cell r="AA16">
            <v>0.64215046749293325</v>
          </cell>
          <cell r="AB16">
            <v>0.64215046749293325</v>
          </cell>
          <cell r="AC16">
            <v>0.05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81</v>
          </cell>
          <cell r="AS16">
            <v>126</v>
          </cell>
          <cell r="AT16">
            <v>29646</v>
          </cell>
          <cell r="AU16">
            <v>46116</v>
          </cell>
          <cell r="AV16">
            <v>0.6428571428571429</v>
          </cell>
          <cell r="AW16">
            <v>0.6428571428571429</v>
          </cell>
          <cell r="AX16">
            <v>3.0000000000000009E-2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9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C16">
            <v>9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9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U16">
            <v>9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12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M16">
            <v>12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2</v>
          </cell>
          <cell r="GU16">
            <v>2</v>
          </cell>
          <cell r="GV16">
            <v>1</v>
          </cell>
          <cell r="GW16">
            <v>3</v>
          </cell>
          <cell r="GX16">
            <v>1</v>
          </cell>
          <cell r="GY16">
            <v>0</v>
          </cell>
          <cell r="GZ16">
            <v>0</v>
          </cell>
          <cell r="HB16">
            <v>9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2</v>
          </cell>
          <cell r="HJ16">
            <v>2</v>
          </cell>
          <cell r="HK16">
            <v>1</v>
          </cell>
          <cell r="HL16">
            <v>3</v>
          </cell>
          <cell r="HM16">
            <v>1</v>
          </cell>
          <cell r="HN16">
            <v>0</v>
          </cell>
          <cell r="HO16">
            <v>0</v>
          </cell>
          <cell r="HQ16">
            <v>9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2</v>
          </cell>
          <cell r="HY16">
            <v>2</v>
          </cell>
          <cell r="HZ16">
            <v>1</v>
          </cell>
          <cell r="IA16">
            <v>3</v>
          </cell>
          <cell r="IB16">
            <v>1</v>
          </cell>
          <cell r="IC16">
            <v>0</v>
          </cell>
          <cell r="ID16">
            <v>0</v>
          </cell>
          <cell r="IF16">
            <v>9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KA16">
            <v>0</v>
          </cell>
          <cell r="KB16">
            <v>0</v>
          </cell>
          <cell r="KC16">
            <v>0</v>
          </cell>
          <cell r="KE16">
            <v>0</v>
          </cell>
          <cell r="KG16">
            <v>0</v>
          </cell>
          <cell r="KH16">
            <v>0</v>
          </cell>
          <cell r="KI16">
            <v>0</v>
          </cell>
          <cell r="KK16">
            <v>0</v>
          </cell>
          <cell r="KL16">
            <v>0</v>
          </cell>
          <cell r="KM16">
            <v>0</v>
          </cell>
          <cell r="KO16">
            <v>0</v>
          </cell>
          <cell r="KQ16">
            <v>0</v>
          </cell>
          <cell r="KR16">
            <v>0</v>
          </cell>
          <cell r="KS16">
            <v>0</v>
          </cell>
          <cell r="KU16">
            <v>0</v>
          </cell>
          <cell r="KV16">
            <v>0</v>
          </cell>
          <cell r="KW16">
            <v>0</v>
          </cell>
          <cell r="KY16">
            <v>0</v>
          </cell>
          <cell r="LA16">
            <v>0</v>
          </cell>
          <cell r="LB16">
            <v>0</v>
          </cell>
          <cell r="LC16">
            <v>0</v>
          </cell>
          <cell r="LE16" t="str">
            <v>100-36</v>
          </cell>
        </row>
        <row r="17">
          <cell r="B17">
            <v>124.95479452054796</v>
          </cell>
          <cell r="C17">
            <v>133</v>
          </cell>
          <cell r="D17">
            <v>45608.5</v>
          </cell>
          <cell r="E17">
            <v>48545</v>
          </cell>
          <cell r="F17">
            <v>0.93950973323720244</v>
          </cell>
          <cell r="G17">
            <v>0.93950973323720244</v>
          </cell>
          <cell r="H17">
            <v>3.9999999999999994E-2</v>
          </cell>
          <cell r="I17">
            <v>0.71308821925923027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112.18904109589042</v>
          </cell>
          <cell r="X17">
            <v>133</v>
          </cell>
          <cell r="Y17">
            <v>40949</v>
          </cell>
          <cell r="Z17">
            <v>48545</v>
          </cell>
          <cell r="AA17">
            <v>0.84352662478113094</v>
          </cell>
          <cell r="AB17">
            <v>0.84352662478113094</v>
          </cell>
          <cell r="AC17">
            <v>3.9999999999999994E-2</v>
          </cell>
          <cell r="AD17">
            <v>0.77254483955927911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120</v>
          </cell>
          <cell r="AS17">
            <v>133</v>
          </cell>
          <cell r="AT17">
            <v>43920</v>
          </cell>
          <cell r="AU17">
            <v>48678</v>
          </cell>
          <cell r="AV17">
            <v>0.90225563909774442</v>
          </cell>
          <cell r="AW17">
            <v>0.90225563909774442</v>
          </cell>
          <cell r="AX17">
            <v>3.0000000000000009E-2</v>
          </cell>
          <cell r="AY17">
            <v>0.71188099488222267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6.9999999999999991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C17">
            <v>6.9999999999999991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6.9999999999999991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U17">
            <v>6.9999999999999991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9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M17">
            <v>9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B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Q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F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KA17">
            <v>0</v>
          </cell>
          <cell r="KB17">
            <v>0</v>
          </cell>
          <cell r="KC17">
            <v>0</v>
          </cell>
          <cell r="KE17">
            <v>0</v>
          </cell>
          <cell r="KG17">
            <v>0</v>
          </cell>
          <cell r="KH17">
            <v>0</v>
          </cell>
          <cell r="KI17">
            <v>0</v>
          </cell>
          <cell r="KK17">
            <v>0</v>
          </cell>
          <cell r="KL17">
            <v>0</v>
          </cell>
          <cell r="KM17">
            <v>0</v>
          </cell>
          <cell r="KO17">
            <v>0</v>
          </cell>
          <cell r="KQ17">
            <v>0</v>
          </cell>
          <cell r="KR17">
            <v>0</v>
          </cell>
          <cell r="KS17">
            <v>0</v>
          </cell>
          <cell r="KU17">
            <v>0</v>
          </cell>
          <cell r="KV17">
            <v>0</v>
          </cell>
          <cell r="KW17">
            <v>0</v>
          </cell>
          <cell r="KY17">
            <v>0</v>
          </cell>
          <cell r="LA17">
            <v>0</v>
          </cell>
          <cell r="LB17">
            <v>0</v>
          </cell>
          <cell r="LC17">
            <v>0</v>
          </cell>
          <cell r="LE17" t="str">
            <v>100-51</v>
          </cell>
        </row>
        <row r="18">
          <cell r="B18">
            <v>143.71</v>
          </cell>
          <cell r="C18">
            <v>147</v>
          </cell>
          <cell r="D18">
            <v>52454.150000000009</v>
          </cell>
          <cell r="E18">
            <v>53655</v>
          </cell>
          <cell r="F18">
            <v>0.97761904761904783</v>
          </cell>
          <cell r="G18">
            <v>0.97761904761904783</v>
          </cell>
          <cell r="H18">
            <v>0.05</v>
          </cell>
          <cell r="I18">
            <v>1.5674072424363517</v>
          </cell>
          <cell r="J18">
            <v>9.8211414000000001</v>
          </cell>
          <cell r="K18">
            <v>0.40281913000000008</v>
          </cell>
          <cell r="L18">
            <v>91.191324210000005</v>
          </cell>
          <cell r="M18">
            <v>1.6161626600000003</v>
          </cell>
          <cell r="N18">
            <v>38.507238210000011</v>
          </cell>
          <cell r="O18">
            <v>2.1714580999999997</v>
          </cell>
          <cell r="P18">
            <v>618.24999999999989</v>
          </cell>
          <cell r="Q18">
            <v>538.04999999999995</v>
          </cell>
          <cell r="R18">
            <v>292.33999999999992</v>
          </cell>
          <cell r="S18">
            <v>464.29999999999984</v>
          </cell>
          <cell r="T18">
            <v>553.09</v>
          </cell>
          <cell r="U18">
            <v>268.50999999999988</v>
          </cell>
          <cell r="W18">
            <v>142.64446488048824</v>
          </cell>
          <cell r="X18">
            <v>146.89353884091733</v>
          </cell>
          <cell r="Y18">
            <v>52065.5</v>
          </cell>
          <cell r="Z18">
            <v>53616</v>
          </cell>
          <cell r="AA18">
            <v>0.9710813936138466</v>
          </cell>
          <cell r="AB18">
            <v>0.97037554747926558</v>
          </cell>
          <cell r="AC18">
            <v>0.05</v>
          </cell>
          <cell r="AD18">
            <v>1.4819446581271365</v>
          </cell>
          <cell r="AE18">
            <v>6.4714667997951905</v>
          </cell>
          <cell r="AF18">
            <v>0.78743970948539255</v>
          </cell>
          <cell r="AG18">
            <v>89.048665467869924</v>
          </cell>
          <cell r="AH18">
            <v>0.76049881093189475</v>
          </cell>
          <cell r="AI18">
            <v>42.324413772529454</v>
          </cell>
          <cell r="AJ18">
            <v>3.2326434139784919</v>
          </cell>
          <cell r="AK18">
            <v>603.93406888397271</v>
          </cell>
          <cell r="AL18">
            <v>485.98186432871722</v>
          </cell>
          <cell r="AM18">
            <v>310.80766326666463</v>
          </cell>
          <cell r="AN18">
            <v>357.02548105920687</v>
          </cell>
          <cell r="AO18">
            <v>535.35649756948851</v>
          </cell>
          <cell r="AP18">
            <v>288.80381669775528</v>
          </cell>
          <cell r="AR18">
            <v>141.44000000000003</v>
          </cell>
          <cell r="AS18">
            <v>147</v>
          </cell>
          <cell r="AT18">
            <v>51767.039999999994</v>
          </cell>
          <cell r="AU18">
            <v>53802</v>
          </cell>
          <cell r="AV18">
            <v>0.96217687074829916</v>
          </cell>
          <cell r="AW18">
            <v>0.96217687074829916</v>
          </cell>
          <cell r="AX18">
            <v>3.0000000000000009E-2</v>
          </cell>
          <cell r="AY18">
            <v>1.562454541803086</v>
          </cell>
          <cell r="AZ18">
            <v>2.7891967999999996</v>
          </cell>
          <cell r="BA18">
            <v>0.6972991999999999</v>
          </cell>
          <cell r="BB18">
            <v>89.008191999999994</v>
          </cell>
          <cell r="BC18">
            <v>1.7835584000000002</v>
          </cell>
          <cell r="BD18">
            <v>44.495609599999987</v>
          </cell>
          <cell r="BE18">
            <v>2.6675584000000003</v>
          </cell>
          <cell r="BF18">
            <v>645.33999999999992</v>
          </cell>
          <cell r="BG18">
            <v>514.07999999999981</v>
          </cell>
          <cell r="BH18">
            <v>301.02499999999986</v>
          </cell>
          <cell r="BI18">
            <v>466.33</v>
          </cell>
          <cell r="BJ18">
            <v>569.32999999999993</v>
          </cell>
          <cell r="BK18">
            <v>288.38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C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U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M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B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Q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F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KA18">
            <v>0</v>
          </cell>
          <cell r="KB18">
            <v>0</v>
          </cell>
          <cell r="KC18">
            <v>0</v>
          </cell>
          <cell r="KE18">
            <v>0</v>
          </cell>
          <cell r="KG18">
            <v>0</v>
          </cell>
          <cell r="KH18">
            <v>0</v>
          </cell>
          <cell r="KI18">
            <v>0</v>
          </cell>
          <cell r="KK18">
            <v>0</v>
          </cell>
          <cell r="KL18">
            <v>0</v>
          </cell>
          <cell r="KM18">
            <v>0</v>
          </cell>
          <cell r="KO18">
            <v>0</v>
          </cell>
          <cell r="KQ18">
            <v>0</v>
          </cell>
          <cell r="KR18">
            <v>0</v>
          </cell>
          <cell r="KS18">
            <v>0</v>
          </cell>
          <cell r="KU18">
            <v>0</v>
          </cell>
          <cell r="KV18">
            <v>0</v>
          </cell>
          <cell r="KW18">
            <v>0</v>
          </cell>
          <cell r="KY18">
            <v>0</v>
          </cell>
          <cell r="LA18">
            <v>0</v>
          </cell>
          <cell r="LB18">
            <v>0</v>
          </cell>
          <cell r="LC18">
            <v>0</v>
          </cell>
          <cell r="LE18" t="str">
            <v>100-61</v>
          </cell>
        </row>
        <row r="19">
          <cell r="B19">
            <v>34.58</v>
          </cell>
          <cell r="C19">
            <v>38</v>
          </cell>
          <cell r="D19">
            <v>12621.699999999995</v>
          </cell>
          <cell r="E19">
            <v>13870</v>
          </cell>
          <cell r="F19">
            <v>0.90999999999999981</v>
          </cell>
          <cell r="G19">
            <v>0.90999999999999981</v>
          </cell>
          <cell r="H19">
            <v>0.05</v>
          </cell>
          <cell r="I19">
            <v>0</v>
          </cell>
          <cell r="J19">
            <v>27.663999999999991</v>
          </cell>
          <cell r="K19">
            <v>6.9159999999999977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618.25</v>
          </cell>
          <cell r="Q19">
            <v>538.05000000000007</v>
          </cell>
          <cell r="R19">
            <v>0</v>
          </cell>
          <cell r="S19">
            <v>0</v>
          </cell>
          <cell r="T19">
            <v>799.33000000000015</v>
          </cell>
          <cell r="U19">
            <v>0</v>
          </cell>
          <cell r="W19">
            <v>35.741382130964823</v>
          </cell>
          <cell r="X19">
            <v>38.141550979297151</v>
          </cell>
          <cell r="Y19">
            <v>13045.5</v>
          </cell>
          <cell r="Z19">
            <v>13921</v>
          </cell>
          <cell r="AA19">
            <v>0.93710940306012502</v>
          </cell>
          <cell r="AB19">
            <v>0.94055515501081477</v>
          </cell>
          <cell r="AC19">
            <v>0.05</v>
          </cell>
          <cell r="AD19">
            <v>0</v>
          </cell>
          <cell r="AE19">
            <v>26.552554421479456</v>
          </cell>
          <cell r="AF19">
            <v>7.2565204999833499</v>
          </cell>
          <cell r="AG19">
            <v>0</v>
          </cell>
          <cell r="AH19">
            <v>1.6901307877025735</v>
          </cell>
          <cell r="AI19">
            <v>0.24201932923706951</v>
          </cell>
          <cell r="AJ19">
            <v>0</v>
          </cell>
          <cell r="AK19">
            <v>607.24332752777798</v>
          </cell>
          <cell r="AL19">
            <v>527.90301865749791</v>
          </cell>
          <cell r="AM19">
            <v>0</v>
          </cell>
          <cell r="AN19">
            <v>331.47686763440186</v>
          </cell>
          <cell r="AO19">
            <v>588.842683684029</v>
          </cell>
          <cell r="AP19">
            <v>0</v>
          </cell>
          <cell r="AR19">
            <v>36.564</v>
          </cell>
          <cell r="AS19">
            <v>38</v>
          </cell>
          <cell r="AT19">
            <v>13382.424000000005</v>
          </cell>
          <cell r="AU19">
            <v>13908</v>
          </cell>
          <cell r="AV19">
            <v>0.96221052631578963</v>
          </cell>
          <cell r="AW19">
            <v>0.96221052631578963</v>
          </cell>
          <cell r="AX19">
            <v>3.0000000000000009E-2</v>
          </cell>
          <cell r="AY19">
            <v>0</v>
          </cell>
          <cell r="AZ19">
            <v>29.251199999999997</v>
          </cell>
          <cell r="BA19">
            <v>7.3127999999999993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645.33999999999992</v>
          </cell>
          <cell r="BG19">
            <v>514.07999999999993</v>
          </cell>
          <cell r="BH19">
            <v>0</v>
          </cell>
          <cell r="BI19">
            <v>0</v>
          </cell>
          <cell r="BJ19">
            <v>823.52999999999963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C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U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M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B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Q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F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KA19">
            <v>0</v>
          </cell>
          <cell r="KB19">
            <v>0</v>
          </cell>
          <cell r="KC19">
            <v>0</v>
          </cell>
          <cell r="KE19">
            <v>0</v>
          </cell>
          <cell r="KG19">
            <v>0</v>
          </cell>
          <cell r="KH19">
            <v>0</v>
          </cell>
          <cell r="KI19">
            <v>0</v>
          </cell>
          <cell r="KK19">
            <v>0</v>
          </cell>
          <cell r="KL19">
            <v>0</v>
          </cell>
          <cell r="KM19">
            <v>0</v>
          </cell>
          <cell r="KO19">
            <v>0</v>
          </cell>
          <cell r="KQ19">
            <v>0</v>
          </cell>
          <cell r="KR19">
            <v>0</v>
          </cell>
          <cell r="KS19">
            <v>0</v>
          </cell>
          <cell r="KU19">
            <v>0</v>
          </cell>
          <cell r="KV19">
            <v>0</v>
          </cell>
          <cell r="KW19">
            <v>0</v>
          </cell>
          <cell r="KY19">
            <v>0</v>
          </cell>
          <cell r="LA19">
            <v>0</v>
          </cell>
          <cell r="LB19">
            <v>0</v>
          </cell>
          <cell r="LC19">
            <v>0</v>
          </cell>
          <cell r="LE19" t="str">
            <v>100-62</v>
          </cell>
        </row>
        <row r="20">
          <cell r="B20">
            <v>1001.6957534246576</v>
          </cell>
          <cell r="C20">
            <v>1144</v>
          </cell>
          <cell r="D20">
            <v>365618.95000000007</v>
          </cell>
          <cell r="E20">
            <v>417560</v>
          </cell>
          <cell r="F20">
            <v>0.87560817607050501</v>
          </cell>
          <cell r="G20">
            <v>0.87560817607050501</v>
          </cell>
          <cell r="H20">
            <v>4.9090909090909081E-2</v>
          </cell>
          <cell r="I20">
            <v>0.9832340435377056</v>
          </cell>
          <cell r="J20">
            <v>37.485141400000003</v>
          </cell>
          <cell r="K20">
            <v>7.3188191299999987</v>
          </cell>
          <cell r="L20">
            <v>91.191324210000005</v>
          </cell>
          <cell r="M20">
            <v>1.6161626600000003</v>
          </cell>
          <cell r="N20">
            <v>38.507238210000011</v>
          </cell>
          <cell r="O20">
            <v>2.1714580999999997</v>
          </cell>
          <cell r="P20">
            <v>1236.5</v>
          </cell>
          <cell r="Q20">
            <v>1076.0999999999999</v>
          </cell>
          <cell r="R20">
            <v>292.33999999999986</v>
          </cell>
          <cell r="S20">
            <v>464.3</v>
          </cell>
          <cell r="T20">
            <v>1352.4199999999998</v>
          </cell>
          <cell r="U20">
            <v>268.50999999999993</v>
          </cell>
          <cell r="W20">
            <v>955.09659715370435</v>
          </cell>
          <cell r="X20">
            <v>1144.0328821124556</v>
          </cell>
          <cell r="Y20">
            <v>348610.4</v>
          </cell>
          <cell r="Z20">
            <v>417572</v>
          </cell>
          <cell r="AA20">
            <v>0.83485099575642052</v>
          </cell>
          <cell r="AB20">
            <v>0.83487498802567306</v>
          </cell>
          <cell r="AC20">
            <v>4.9090909090909081E-2</v>
          </cell>
          <cell r="AD20">
            <v>0.99700518325699261</v>
          </cell>
          <cell r="AE20">
            <v>33.024021221274651</v>
          </cell>
          <cell r="AF20">
            <v>8.043960209468743</v>
          </cell>
          <cell r="AG20">
            <v>89.048665467869924</v>
          </cell>
          <cell r="AH20">
            <v>2.4506295986344679</v>
          </cell>
          <cell r="AI20">
            <v>42.566433101766528</v>
          </cell>
          <cell r="AJ20">
            <v>3.2326434139784919</v>
          </cell>
          <cell r="AK20">
            <v>1211.0558047303291</v>
          </cell>
          <cell r="AL20">
            <v>1014.0373877900548</v>
          </cell>
          <cell r="AM20">
            <v>310.80067850813128</v>
          </cell>
          <cell r="AN20">
            <v>688.73926225173034</v>
          </cell>
          <cell r="AO20">
            <v>1124.2509270441765</v>
          </cell>
          <cell r="AP20">
            <v>288.82884570882521</v>
          </cell>
          <cell r="AR20">
            <v>974.4562950819668</v>
          </cell>
          <cell r="AS20">
            <v>1144</v>
          </cell>
          <cell r="AT20">
            <v>356651.00400000002</v>
          </cell>
          <cell r="AU20">
            <v>418704</v>
          </cell>
          <cell r="AV20">
            <v>0.85179746073598539</v>
          </cell>
          <cell r="AW20">
            <v>0.85179746073598539</v>
          </cell>
          <cell r="AX20">
            <v>3.0000000000000009E-2</v>
          </cell>
          <cell r="AY20">
            <v>0.9741956796392448</v>
          </cell>
          <cell r="AZ20">
            <v>32.040396800000003</v>
          </cell>
          <cell r="BA20">
            <v>8.0100992000000009</v>
          </cell>
          <cell r="BB20">
            <v>89.008191999999994</v>
          </cell>
          <cell r="BC20">
            <v>1.7835584000000002</v>
          </cell>
          <cell r="BD20">
            <v>44.495609599999987</v>
          </cell>
          <cell r="BE20">
            <v>2.6675584000000003</v>
          </cell>
          <cell r="BF20">
            <v>1290.68</v>
          </cell>
          <cell r="BG20">
            <v>1028.1600000000001</v>
          </cell>
          <cell r="BH20">
            <v>301.02500000000003</v>
          </cell>
          <cell r="BI20">
            <v>466.33</v>
          </cell>
          <cell r="BJ20">
            <v>1392.86</v>
          </cell>
          <cell r="BK20">
            <v>288.38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32.000000000000007</v>
          </cell>
          <cell r="CC20">
            <v>19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6.9999999999999991</v>
          </cell>
          <cell r="CI20">
            <v>9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20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9</v>
          </cell>
          <cell r="CV20">
            <v>33.999999999999993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C20">
            <v>130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32.000000000000007</v>
          </cell>
          <cell r="DU20">
            <v>19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6.9999999999999991</v>
          </cell>
          <cell r="EA20">
            <v>9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20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9</v>
          </cell>
          <cell r="EN20">
            <v>33.999999999999993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U20">
            <v>130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27.999999999999989</v>
          </cell>
          <cell r="FM20">
            <v>21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9</v>
          </cell>
          <cell r="FS20">
            <v>12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21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8</v>
          </cell>
          <cell r="GF20">
            <v>35.000000000000007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M20">
            <v>134</v>
          </cell>
          <cell r="GO20">
            <v>2</v>
          </cell>
          <cell r="GP20">
            <v>4</v>
          </cell>
          <cell r="GQ20">
            <v>3</v>
          </cell>
          <cell r="GR20">
            <v>2</v>
          </cell>
          <cell r="GS20">
            <v>1</v>
          </cell>
          <cell r="GT20">
            <v>2</v>
          </cell>
          <cell r="GU20">
            <v>2</v>
          </cell>
          <cell r="GV20">
            <v>1</v>
          </cell>
          <cell r="GW20">
            <v>3</v>
          </cell>
          <cell r="GX20">
            <v>1</v>
          </cell>
          <cell r="GY20">
            <v>0</v>
          </cell>
          <cell r="GZ20">
            <v>0</v>
          </cell>
          <cell r="HB20">
            <v>21</v>
          </cell>
          <cell r="HD20">
            <v>2</v>
          </cell>
          <cell r="HE20">
            <v>4</v>
          </cell>
          <cell r="HF20">
            <v>3</v>
          </cell>
          <cell r="HG20">
            <v>2</v>
          </cell>
          <cell r="HH20">
            <v>1</v>
          </cell>
          <cell r="HI20">
            <v>2</v>
          </cell>
          <cell r="HJ20">
            <v>2</v>
          </cell>
          <cell r="HK20">
            <v>1</v>
          </cell>
          <cell r="HL20">
            <v>3</v>
          </cell>
          <cell r="HM20">
            <v>1</v>
          </cell>
          <cell r="HN20">
            <v>0</v>
          </cell>
          <cell r="HO20">
            <v>0</v>
          </cell>
          <cell r="HQ20">
            <v>21</v>
          </cell>
          <cell r="HS20">
            <v>2</v>
          </cell>
          <cell r="HT20">
            <v>4</v>
          </cell>
          <cell r="HU20">
            <v>3</v>
          </cell>
          <cell r="HV20">
            <v>2</v>
          </cell>
          <cell r="HW20">
            <v>1</v>
          </cell>
          <cell r="HX20">
            <v>2</v>
          </cell>
          <cell r="HY20">
            <v>2</v>
          </cell>
          <cell r="HZ20">
            <v>1</v>
          </cell>
          <cell r="IA20">
            <v>3</v>
          </cell>
          <cell r="IB20">
            <v>1</v>
          </cell>
          <cell r="IC20">
            <v>0</v>
          </cell>
          <cell r="ID20">
            <v>0</v>
          </cell>
          <cell r="IF20">
            <v>21</v>
          </cell>
          <cell r="IH20">
            <v>0</v>
          </cell>
          <cell r="II20">
            <v>0</v>
          </cell>
          <cell r="IJ20">
            <v>0</v>
          </cell>
          <cell r="IK20">
            <v>0</v>
          </cell>
          <cell r="IM20">
            <v>0</v>
          </cell>
          <cell r="IN20">
            <v>0</v>
          </cell>
          <cell r="IO20">
            <v>0</v>
          </cell>
          <cell r="IP20">
            <v>0</v>
          </cell>
          <cell r="IR20">
            <v>0</v>
          </cell>
          <cell r="IS20">
            <v>0</v>
          </cell>
          <cell r="IT20">
            <v>0</v>
          </cell>
          <cell r="IU20">
            <v>0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KA20">
            <v>0</v>
          </cell>
          <cell r="KB20">
            <v>0</v>
          </cell>
          <cell r="KC20">
            <v>0</v>
          </cell>
          <cell r="KE20">
            <v>0</v>
          </cell>
          <cell r="KG20">
            <v>0</v>
          </cell>
          <cell r="KH20">
            <v>0</v>
          </cell>
          <cell r="KI20">
            <v>0</v>
          </cell>
          <cell r="KK20">
            <v>0</v>
          </cell>
          <cell r="KL20">
            <v>0</v>
          </cell>
          <cell r="KM20">
            <v>0</v>
          </cell>
          <cell r="KO20">
            <v>0</v>
          </cell>
          <cell r="KQ20">
            <v>0</v>
          </cell>
          <cell r="KR20">
            <v>0</v>
          </cell>
          <cell r="KS20">
            <v>0</v>
          </cell>
          <cell r="KU20">
            <v>0</v>
          </cell>
          <cell r="KV20">
            <v>0</v>
          </cell>
          <cell r="KW20">
            <v>0</v>
          </cell>
          <cell r="KY20">
            <v>0</v>
          </cell>
          <cell r="LA20">
            <v>0</v>
          </cell>
          <cell r="LB20">
            <v>0</v>
          </cell>
          <cell r="LC20">
            <v>0</v>
          </cell>
          <cell r="LE20" t="str">
            <v>100-Entity</v>
          </cell>
        </row>
        <row r="21">
          <cell r="B21">
            <v>69.839999999999989</v>
          </cell>
          <cell r="C21">
            <v>72</v>
          </cell>
          <cell r="D21">
            <v>25491.600000000009</v>
          </cell>
          <cell r="E21">
            <v>26280</v>
          </cell>
          <cell r="F21">
            <v>0.9700000000000002</v>
          </cell>
          <cell r="G21">
            <v>0.9700000000000002</v>
          </cell>
          <cell r="H21">
            <v>4.8999999999999995E-2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70.553424657534251</v>
          </cell>
          <cell r="X21">
            <v>72</v>
          </cell>
          <cell r="Y21">
            <v>25752</v>
          </cell>
          <cell r="Z21">
            <v>26280</v>
          </cell>
          <cell r="AA21">
            <v>0.9799086757990868</v>
          </cell>
          <cell r="AB21">
            <v>0.9799086757990868</v>
          </cell>
          <cell r="AC21">
            <v>4.8999999999999995E-2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70</v>
          </cell>
          <cell r="AS21">
            <v>72</v>
          </cell>
          <cell r="AT21">
            <v>25620</v>
          </cell>
          <cell r="AU21">
            <v>26352</v>
          </cell>
          <cell r="AV21">
            <v>0.97222222222222221</v>
          </cell>
          <cell r="AW21">
            <v>0.97222222222222221</v>
          </cell>
          <cell r="AX21">
            <v>3.0000000000000009E-2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36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C21">
            <v>36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36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U21">
            <v>36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36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M21">
            <v>36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B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Q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F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R21">
            <v>0</v>
          </cell>
          <cell r="IS21">
            <v>0</v>
          </cell>
          <cell r="IT21">
            <v>0</v>
          </cell>
          <cell r="IU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KA21">
            <v>0</v>
          </cell>
          <cell r="KB21">
            <v>0</v>
          </cell>
          <cell r="KC21">
            <v>0</v>
          </cell>
          <cell r="KE21">
            <v>0</v>
          </cell>
          <cell r="KG21">
            <v>0</v>
          </cell>
          <cell r="KH21">
            <v>0</v>
          </cell>
          <cell r="KI21">
            <v>0</v>
          </cell>
          <cell r="KK21">
            <v>0</v>
          </cell>
          <cell r="KL21">
            <v>0</v>
          </cell>
          <cell r="KM21">
            <v>0</v>
          </cell>
          <cell r="KO21">
            <v>0</v>
          </cell>
          <cell r="KQ21">
            <v>0</v>
          </cell>
          <cell r="KR21">
            <v>0</v>
          </cell>
          <cell r="KS21">
            <v>0</v>
          </cell>
          <cell r="KU21">
            <v>0</v>
          </cell>
          <cell r="KV21">
            <v>0</v>
          </cell>
          <cell r="KW21">
            <v>0</v>
          </cell>
          <cell r="KY21">
            <v>0</v>
          </cell>
          <cell r="LA21">
            <v>0</v>
          </cell>
          <cell r="LB21">
            <v>0</v>
          </cell>
          <cell r="LC21">
            <v>0</v>
          </cell>
          <cell r="LE21" t="str">
            <v>200-21</v>
          </cell>
        </row>
        <row r="22">
          <cell r="B22">
            <v>131</v>
          </cell>
          <cell r="C22">
            <v>142</v>
          </cell>
          <cell r="D22">
            <v>47815</v>
          </cell>
          <cell r="E22">
            <v>51830</v>
          </cell>
          <cell r="F22">
            <v>0.92253521126760563</v>
          </cell>
          <cell r="G22">
            <v>0.92253521126760563</v>
          </cell>
          <cell r="H22">
            <v>4.8999999999999995E-2</v>
          </cell>
          <cell r="I22">
            <v>2.0065130281447936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127.61643835616438</v>
          </cell>
          <cell r="X22">
            <v>142</v>
          </cell>
          <cell r="Y22">
            <v>46580</v>
          </cell>
          <cell r="Z22">
            <v>51830</v>
          </cell>
          <cell r="AA22">
            <v>0.89870731236735479</v>
          </cell>
          <cell r="AB22">
            <v>0.89870731236735479</v>
          </cell>
          <cell r="AC22">
            <v>4.8999999999999995E-2</v>
          </cell>
          <cell r="AD22">
            <v>1.9778853149077396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127.8</v>
          </cell>
          <cell r="AS22">
            <v>142</v>
          </cell>
          <cell r="AT22">
            <v>46774.8</v>
          </cell>
          <cell r="AU22">
            <v>51972</v>
          </cell>
          <cell r="AV22">
            <v>0.9</v>
          </cell>
          <cell r="AW22">
            <v>0.9</v>
          </cell>
          <cell r="AX22">
            <v>3.0000000000000009E-2</v>
          </cell>
          <cell r="AY22">
            <v>2.000792516680483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24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C22">
            <v>24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24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U22">
            <v>24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24.999999999999989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M22">
            <v>24.999999999999989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B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Q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F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KA22">
            <v>0</v>
          </cell>
          <cell r="KB22">
            <v>0</v>
          </cell>
          <cell r="KC22">
            <v>0</v>
          </cell>
          <cell r="KE22">
            <v>0</v>
          </cell>
          <cell r="KG22">
            <v>0</v>
          </cell>
          <cell r="KH22">
            <v>0</v>
          </cell>
          <cell r="KI22">
            <v>0</v>
          </cell>
          <cell r="KK22">
            <v>0</v>
          </cell>
          <cell r="KL22">
            <v>0</v>
          </cell>
          <cell r="KM22">
            <v>0</v>
          </cell>
          <cell r="KO22">
            <v>0</v>
          </cell>
          <cell r="KQ22">
            <v>0</v>
          </cell>
          <cell r="KR22">
            <v>0</v>
          </cell>
          <cell r="KS22">
            <v>0</v>
          </cell>
          <cell r="KU22">
            <v>0</v>
          </cell>
          <cell r="KV22">
            <v>0</v>
          </cell>
          <cell r="KW22">
            <v>0</v>
          </cell>
          <cell r="KY22">
            <v>0</v>
          </cell>
          <cell r="LA22">
            <v>0</v>
          </cell>
          <cell r="LB22">
            <v>0</v>
          </cell>
          <cell r="LC22">
            <v>0</v>
          </cell>
          <cell r="LE22" t="str">
            <v>200-31</v>
          </cell>
        </row>
        <row r="23">
          <cell r="B23">
            <v>82.56</v>
          </cell>
          <cell r="C23">
            <v>86</v>
          </cell>
          <cell r="D23">
            <v>30134.400000000001</v>
          </cell>
          <cell r="E23">
            <v>31390</v>
          </cell>
          <cell r="F23">
            <v>0.96</v>
          </cell>
          <cell r="G23">
            <v>0.96</v>
          </cell>
          <cell r="H23">
            <v>4.8999999999999995E-2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82.0054794520548</v>
          </cell>
          <cell r="X23">
            <v>86</v>
          </cell>
          <cell r="Y23">
            <v>29932</v>
          </cell>
          <cell r="Z23">
            <v>31390</v>
          </cell>
          <cell r="AA23">
            <v>0.95355208665180002</v>
          </cell>
          <cell r="AB23">
            <v>0.95355208665180002</v>
          </cell>
          <cell r="AC23">
            <v>4.8999999999999995E-2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81.7</v>
          </cell>
          <cell r="AS23">
            <v>86</v>
          </cell>
          <cell r="AT23">
            <v>29902.200000000004</v>
          </cell>
          <cell r="AU23">
            <v>31476</v>
          </cell>
          <cell r="AV23">
            <v>0.95000000000000018</v>
          </cell>
          <cell r="AW23">
            <v>0.95000000000000018</v>
          </cell>
          <cell r="AX23">
            <v>3.0000000000000009E-2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30.999999999999996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C23">
            <v>30.999999999999996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30.999999999999996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U23">
            <v>30.999999999999996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30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M23">
            <v>30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B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Q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F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KA23">
            <v>0</v>
          </cell>
          <cell r="KB23">
            <v>0</v>
          </cell>
          <cell r="KC23">
            <v>0</v>
          </cell>
          <cell r="KE23">
            <v>0</v>
          </cell>
          <cell r="KG23">
            <v>0</v>
          </cell>
          <cell r="KH23">
            <v>0</v>
          </cell>
          <cell r="KI23">
            <v>0</v>
          </cell>
          <cell r="KK23">
            <v>0</v>
          </cell>
          <cell r="KL23">
            <v>0</v>
          </cell>
          <cell r="KM23">
            <v>0</v>
          </cell>
          <cell r="KO23">
            <v>0</v>
          </cell>
          <cell r="KQ23">
            <v>0</v>
          </cell>
          <cell r="KR23">
            <v>0</v>
          </cell>
          <cell r="KS23">
            <v>0</v>
          </cell>
          <cell r="KU23">
            <v>0</v>
          </cell>
          <cell r="KV23">
            <v>0</v>
          </cell>
          <cell r="KW23">
            <v>0</v>
          </cell>
          <cell r="KY23">
            <v>0</v>
          </cell>
          <cell r="LA23">
            <v>0</v>
          </cell>
          <cell r="LB23">
            <v>0</v>
          </cell>
          <cell r="LC23">
            <v>0</v>
          </cell>
          <cell r="LE23" t="str">
            <v>200-32</v>
          </cell>
        </row>
        <row r="24">
          <cell r="B24">
            <v>23.52</v>
          </cell>
          <cell r="C24">
            <v>24</v>
          </cell>
          <cell r="D24">
            <v>8584.8000000000011</v>
          </cell>
          <cell r="E24">
            <v>8760</v>
          </cell>
          <cell r="F24">
            <v>0.98</v>
          </cell>
          <cell r="G24">
            <v>0.98</v>
          </cell>
          <cell r="H24">
            <v>4.8999999999999995E-2</v>
          </cell>
          <cell r="I24">
            <v>0.86478964531717706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23.797917808219179</v>
          </cell>
          <cell r="X24">
            <v>24</v>
          </cell>
          <cell r="Y24">
            <v>8686.24</v>
          </cell>
          <cell r="Z24">
            <v>8760</v>
          </cell>
          <cell r="AA24">
            <v>0.99157990867579904</v>
          </cell>
          <cell r="AB24">
            <v>0.99157990867579904</v>
          </cell>
          <cell r="AC24">
            <v>4.8999999999999995E-2</v>
          </cell>
          <cell r="AD24">
            <v>0.75561604295871154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23.520000000000003</v>
          </cell>
          <cell r="AS24">
            <v>24</v>
          </cell>
          <cell r="AT24">
            <v>8608.3200000000015</v>
          </cell>
          <cell r="AU24">
            <v>8784</v>
          </cell>
          <cell r="AV24">
            <v>0.9800000000000002</v>
          </cell>
          <cell r="AW24">
            <v>0.9800000000000002</v>
          </cell>
          <cell r="AX24">
            <v>3.0000000000000009E-2</v>
          </cell>
          <cell r="AY24">
            <v>0.83973483907331681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C24">
            <v>1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1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U24">
            <v>1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1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M24">
            <v>1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B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Q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F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KA24">
            <v>0</v>
          </cell>
          <cell r="KB24">
            <v>0</v>
          </cell>
          <cell r="KC24">
            <v>0</v>
          </cell>
          <cell r="KE24">
            <v>0</v>
          </cell>
          <cell r="KG24">
            <v>0</v>
          </cell>
          <cell r="KH24">
            <v>0</v>
          </cell>
          <cell r="KI24">
            <v>0</v>
          </cell>
          <cell r="KK24">
            <v>0</v>
          </cell>
          <cell r="KL24">
            <v>0</v>
          </cell>
          <cell r="KM24">
            <v>0</v>
          </cell>
          <cell r="KO24">
            <v>0</v>
          </cell>
          <cell r="KQ24">
            <v>0</v>
          </cell>
          <cell r="KR24">
            <v>0</v>
          </cell>
          <cell r="KS24">
            <v>0</v>
          </cell>
          <cell r="KU24">
            <v>0</v>
          </cell>
          <cell r="KV24">
            <v>0</v>
          </cell>
          <cell r="KW24">
            <v>0</v>
          </cell>
          <cell r="KY24">
            <v>0</v>
          </cell>
          <cell r="LA24">
            <v>0</v>
          </cell>
          <cell r="LB24">
            <v>0</v>
          </cell>
          <cell r="LC24">
            <v>0</v>
          </cell>
          <cell r="LE24" t="str">
            <v>200-51</v>
          </cell>
        </row>
        <row r="25">
          <cell r="B25">
            <v>43.6</v>
          </cell>
          <cell r="C25">
            <v>48</v>
          </cell>
          <cell r="D25">
            <v>15914.000000000002</v>
          </cell>
          <cell r="E25">
            <v>17520</v>
          </cell>
          <cell r="F25">
            <v>0.90833333333333344</v>
          </cell>
          <cell r="G25">
            <v>0.90833333333333344</v>
          </cell>
          <cell r="H25">
            <v>4.8999999999999995E-2</v>
          </cell>
          <cell r="I25">
            <v>0.98932012927376922</v>
          </cell>
          <cell r="J25">
            <v>5.3999907999999985</v>
          </cell>
          <cell r="K25">
            <v>0</v>
          </cell>
          <cell r="L25">
            <v>12.999993999999999</v>
          </cell>
          <cell r="M25">
            <v>0</v>
          </cell>
          <cell r="N25">
            <v>25.200015199999999</v>
          </cell>
          <cell r="O25">
            <v>0</v>
          </cell>
          <cell r="P25">
            <v>600.03000000000009</v>
          </cell>
          <cell r="Q25">
            <v>0</v>
          </cell>
          <cell r="R25">
            <v>263.34999999999997</v>
          </cell>
          <cell r="S25">
            <v>0</v>
          </cell>
          <cell r="T25">
            <v>494.07999999999981</v>
          </cell>
          <cell r="U25">
            <v>0</v>
          </cell>
          <cell r="W25">
            <v>41.171506849315072</v>
          </cell>
          <cell r="X25">
            <v>48</v>
          </cell>
          <cell r="Y25">
            <v>15027.6</v>
          </cell>
          <cell r="Z25">
            <v>17520</v>
          </cell>
          <cell r="AA25">
            <v>0.85773972602739723</v>
          </cell>
          <cell r="AB25">
            <v>0.85773972602739723</v>
          </cell>
          <cell r="AC25">
            <v>4.8999999999999995E-2</v>
          </cell>
          <cell r="AD25">
            <v>0.97821286812962316</v>
          </cell>
          <cell r="AE25">
            <v>3.9889545233998951</v>
          </cell>
          <cell r="AF25">
            <v>1.190476190476235E-2</v>
          </cell>
          <cell r="AG25">
            <v>14.209577256016388</v>
          </cell>
          <cell r="AH25">
            <v>0</v>
          </cell>
          <cell r="AI25">
            <v>22.981614366001025</v>
          </cell>
          <cell r="AJ25">
            <v>0</v>
          </cell>
          <cell r="AK25">
            <v>603.58182285036412</v>
          </cell>
          <cell r="AL25">
            <v>30.190919894854883</v>
          </cell>
          <cell r="AM25">
            <v>254.79303042917951</v>
          </cell>
          <cell r="AN25">
            <v>0</v>
          </cell>
          <cell r="AO25">
            <v>499.77857503501679</v>
          </cell>
          <cell r="AP25">
            <v>0</v>
          </cell>
          <cell r="AR25">
            <v>42.48</v>
          </cell>
          <cell r="AS25">
            <v>48</v>
          </cell>
          <cell r="AT25">
            <v>15547.679999999997</v>
          </cell>
          <cell r="AU25">
            <v>17568</v>
          </cell>
          <cell r="AV25">
            <v>0.88499999999999968</v>
          </cell>
          <cell r="AW25">
            <v>0.88499999999999968</v>
          </cell>
          <cell r="AX25">
            <v>3.0000000000000009E-2</v>
          </cell>
          <cell r="AY25">
            <v>1.0095513842984751</v>
          </cell>
          <cell r="AZ25">
            <v>4.4519039999999999</v>
          </cell>
          <cell r="BA25">
            <v>0</v>
          </cell>
          <cell r="BB25">
            <v>13.958927999999997</v>
          </cell>
          <cell r="BC25">
            <v>0</v>
          </cell>
          <cell r="BD25">
            <v>24.069167999999991</v>
          </cell>
          <cell r="BE25">
            <v>0</v>
          </cell>
          <cell r="BF25">
            <v>628.99000000000012</v>
          </cell>
          <cell r="BG25">
            <v>0</v>
          </cell>
          <cell r="BH25">
            <v>251.40500000000009</v>
          </cell>
          <cell r="BI25">
            <v>0</v>
          </cell>
          <cell r="BJ25">
            <v>509.00000000000011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C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U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M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B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Q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F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KA25">
            <v>0</v>
          </cell>
          <cell r="KB25">
            <v>0</v>
          </cell>
          <cell r="KC25">
            <v>0</v>
          </cell>
          <cell r="KE25">
            <v>0</v>
          </cell>
          <cell r="KG25">
            <v>0</v>
          </cell>
          <cell r="KH25">
            <v>0</v>
          </cell>
          <cell r="KI25">
            <v>0</v>
          </cell>
          <cell r="KK25">
            <v>0</v>
          </cell>
          <cell r="KL25">
            <v>0</v>
          </cell>
          <cell r="KM25">
            <v>0</v>
          </cell>
          <cell r="KO25">
            <v>0</v>
          </cell>
          <cell r="KQ25">
            <v>0</v>
          </cell>
          <cell r="KR25">
            <v>0</v>
          </cell>
          <cell r="KS25">
            <v>0</v>
          </cell>
          <cell r="KU25">
            <v>0</v>
          </cell>
          <cell r="KV25">
            <v>0</v>
          </cell>
          <cell r="KW25">
            <v>0</v>
          </cell>
          <cell r="KY25">
            <v>0</v>
          </cell>
          <cell r="LA25">
            <v>0</v>
          </cell>
          <cell r="LB25">
            <v>0</v>
          </cell>
          <cell r="LC25">
            <v>0</v>
          </cell>
          <cell r="LE25" t="str">
            <v>200-61</v>
          </cell>
        </row>
        <row r="26">
          <cell r="B26">
            <v>350.52000000000004</v>
          </cell>
          <cell r="C26">
            <v>372</v>
          </cell>
          <cell r="D26">
            <v>127939.8</v>
          </cell>
          <cell r="E26">
            <v>135780</v>
          </cell>
          <cell r="F26">
            <v>0.94225806451612903</v>
          </cell>
          <cell r="G26">
            <v>0.94225806451612903</v>
          </cell>
          <cell r="H26">
            <v>4.8999999999999995E-2</v>
          </cell>
          <cell r="I26">
            <v>0.94205864461200695</v>
          </cell>
          <cell r="J26">
            <v>5.3999907999999985</v>
          </cell>
          <cell r="K26">
            <v>0</v>
          </cell>
          <cell r="L26">
            <v>12.999993999999999</v>
          </cell>
          <cell r="M26">
            <v>0</v>
          </cell>
          <cell r="N26">
            <v>25.200015199999999</v>
          </cell>
          <cell r="O26">
            <v>0</v>
          </cell>
          <cell r="P26">
            <v>600.03000000000009</v>
          </cell>
          <cell r="Q26">
            <v>0</v>
          </cell>
          <cell r="R26">
            <v>263.34999999999997</v>
          </cell>
          <cell r="S26">
            <v>0</v>
          </cell>
          <cell r="T26">
            <v>494.07999999999981</v>
          </cell>
          <cell r="U26">
            <v>0</v>
          </cell>
          <cell r="W26">
            <v>345.14476712328769</v>
          </cell>
          <cell r="X26">
            <v>372</v>
          </cell>
          <cell r="Y26">
            <v>125977.84</v>
          </cell>
          <cell r="Z26">
            <v>135780</v>
          </cell>
          <cell r="AA26">
            <v>0.9278085137722788</v>
          </cell>
          <cell r="AB26">
            <v>0.9278085137722788</v>
          </cell>
          <cell r="AC26">
            <v>4.8999999999999995E-2</v>
          </cell>
          <cell r="AD26">
            <v>0.90062389455618541</v>
          </cell>
          <cell r="AE26">
            <v>3.9889545233998951</v>
          </cell>
          <cell r="AF26">
            <v>1.190476190476235E-2</v>
          </cell>
          <cell r="AG26">
            <v>14.209577256016388</v>
          </cell>
          <cell r="AH26">
            <v>0</v>
          </cell>
          <cell r="AI26">
            <v>22.981614366001025</v>
          </cell>
          <cell r="AJ26">
            <v>0</v>
          </cell>
          <cell r="AK26">
            <v>603.58182285036412</v>
          </cell>
          <cell r="AL26">
            <v>30.190919894854883</v>
          </cell>
          <cell r="AM26">
            <v>254.79303042917951</v>
          </cell>
          <cell r="AN26">
            <v>0</v>
          </cell>
          <cell r="AO26">
            <v>499.77857503501679</v>
          </cell>
          <cell r="AP26">
            <v>0</v>
          </cell>
          <cell r="AR26">
            <v>345.5</v>
          </cell>
          <cell r="AS26">
            <v>372</v>
          </cell>
          <cell r="AT26">
            <v>126453</v>
          </cell>
          <cell r="AU26">
            <v>136152</v>
          </cell>
          <cell r="AV26">
            <v>0.92876344086021501</v>
          </cell>
          <cell r="AW26">
            <v>0.92876344086021501</v>
          </cell>
          <cell r="AX26">
            <v>3.0000000000000009E-2</v>
          </cell>
          <cell r="AY26">
            <v>0.93937147010397204</v>
          </cell>
          <cell r="AZ26">
            <v>4.4519039999999999</v>
          </cell>
          <cell r="BA26">
            <v>0</v>
          </cell>
          <cell r="BB26">
            <v>13.958927999999997</v>
          </cell>
          <cell r="BC26">
            <v>0</v>
          </cell>
          <cell r="BD26">
            <v>24.069167999999991</v>
          </cell>
          <cell r="BE26">
            <v>0</v>
          </cell>
          <cell r="BF26">
            <v>628.99000000000012</v>
          </cell>
          <cell r="BG26">
            <v>0</v>
          </cell>
          <cell r="BH26">
            <v>251.40500000000009</v>
          </cell>
          <cell r="BI26">
            <v>0</v>
          </cell>
          <cell r="BJ26">
            <v>509.00000000000011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55.000000000000021</v>
          </cell>
          <cell r="BX26">
            <v>36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C26">
            <v>92.000000000000028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1</v>
          </cell>
          <cell r="DO26">
            <v>55.000000000000021</v>
          </cell>
          <cell r="DP26">
            <v>36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U26">
            <v>92.000000000000028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1</v>
          </cell>
          <cell r="FG26">
            <v>55.000000000000007</v>
          </cell>
          <cell r="FH26">
            <v>36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M26">
            <v>92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B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Q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F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R26">
            <v>0</v>
          </cell>
          <cell r="IS26">
            <v>0</v>
          </cell>
          <cell r="IT26">
            <v>0</v>
          </cell>
          <cell r="IU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KA26">
            <v>0</v>
          </cell>
          <cell r="KB26">
            <v>0</v>
          </cell>
          <cell r="KC26">
            <v>0</v>
          </cell>
          <cell r="KE26">
            <v>0</v>
          </cell>
          <cell r="KG26">
            <v>0</v>
          </cell>
          <cell r="KH26">
            <v>0</v>
          </cell>
          <cell r="KI26">
            <v>0</v>
          </cell>
          <cell r="KK26">
            <v>0</v>
          </cell>
          <cell r="KL26">
            <v>0</v>
          </cell>
          <cell r="KM26">
            <v>0</v>
          </cell>
          <cell r="KO26">
            <v>0</v>
          </cell>
          <cell r="KQ26">
            <v>0</v>
          </cell>
          <cell r="KR26">
            <v>0</v>
          </cell>
          <cell r="KS26">
            <v>0</v>
          </cell>
          <cell r="KU26">
            <v>0</v>
          </cell>
          <cell r="KV26">
            <v>0</v>
          </cell>
          <cell r="KW26">
            <v>0</v>
          </cell>
          <cell r="KY26">
            <v>0</v>
          </cell>
          <cell r="LA26">
            <v>0</v>
          </cell>
          <cell r="LB26">
            <v>0</v>
          </cell>
          <cell r="LC26">
            <v>0</v>
          </cell>
          <cell r="LE26" t="str">
            <v>200-Entity</v>
          </cell>
        </row>
        <row r="27">
          <cell r="B27">
            <v>35</v>
          </cell>
          <cell r="C27">
            <v>36</v>
          </cell>
          <cell r="D27">
            <v>12775</v>
          </cell>
          <cell r="E27">
            <v>13140</v>
          </cell>
          <cell r="F27">
            <v>0.97222222222222221</v>
          </cell>
          <cell r="G27">
            <v>0.97222222222222221</v>
          </cell>
          <cell r="H27">
            <v>0.05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35.123287671232873</v>
          </cell>
          <cell r="X27">
            <v>36</v>
          </cell>
          <cell r="Y27">
            <v>12820</v>
          </cell>
          <cell r="Z27">
            <v>13140</v>
          </cell>
          <cell r="AA27">
            <v>0.9756468797564688</v>
          </cell>
          <cell r="AB27">
            <v>0.9756468797564688</v>
          </cell>
          <cell r="AC27">
            <v>0.05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R27">
            <v>35</v>
          </cell>
          <cell r="AS27">
            <v>36</v>
          </cell>
          <cell r="AT27">
            <v>12810</v>
          </cell>
          <cell r="AU27">
            <v>13176</v>
          </cell>
          <cell r="AV27">
            <v>0.97222222222222221</v>
          </cell>
          <cell r="AW27">
            <v>0.97222222222222221</v>
          </cell>
          <cell r="AX27">
            <v>3.0000000000000009E-2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C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U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M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B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Q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F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KA27">
            <v>0</v>
          </cell>
          <cell r="KB27">
            <v>0</v>
          </cell>
          <cell r="KC27">
            <v>0</v>
          </cell>
          <cell r="KE27">
            <v>0</v>
          </cell>
          <cell r="KG27">
            <v>0</v>
          </cell>
          <cell r="KH27">
            <v>0</v>
          </cell>
          <cell r="KI27">
            <v>0</v>
          </cell>
          <cell r="KK27">
            <v>0</v>
          </cell>
          <cell r="KL27">
            <v>0</v>
          </cell>
          <cell r="KM27">
            <v>0</v>
          </cell>
          <cell r="KO27">
            <v>0</v>
          </cell>
          <cell r="KQ27">
            <v>0</v>
          </cell>
          <cell r="KR27">
            <v>0</v>
          </cell>
          <cell r="KS27">
            <v>0</v>
          </cell>
          <cell r="KU27">
            <v>0</v>
          </cell>
          <cell r="KV27">
            <v>0</v>
          </cell>
          <cell r="KW27">
            <v>0</v>
          </cell>
          <cell r="KY27">
            <v>0</v>
          </cell>
          <cell r="LA27">
            <v>0</v>
          </cell>
          <cell r="LB27">
            <v>0</v>
          </cell>
          <cell r="LC27">
            <v>0</v>
          </cell>
          <cell r="LE27" t="str">
            <v>324-21</v>
          </cell>
        </row>
        <row r="28">
          <cell r="B28">
            <v>117.5</v>
          </cell>
          <cell r="C28">
            <v>123</v>
          </cell>
          <cell r="D28">
            <v>42887.5</v>
          </cell>
          <cell r="E28">
            <v>44895</v>
          </cell>
          <cell r="F28">
            <v>0.95528455284552838</v>
          </cell>
          <cell r="G28">
            <v>0.95528455284552838</v>
          </cell>
          <cell r="H28">
            <v>0.05</v>
          </cell>
          <cell r="I28">
            <v>1.1073828996987918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111.27671232876712</v>
          </cell>
          <cell r="X28">
            <v>123</v>
          </cell>
          <cell r="Y28">
            <v>40616</v>
          </cell>
          <cell r="Z28">
            <v>44895</v>
          </cell>
          <cell r="AA28">
            <v>0.90468871812005802</v>
          </cell>
          <cell r="AB28">
            <v>0.90468871812005802</v>
          </cell>
          <cell r="AC28">
            <v>0.05</v>
          </cell>
          <cell r="AD28">
            <v>1.1140695400841307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R28">
            <v>111.93</v>
          </cell>
          <cell r="AS28">
            <v>123</v>
          </cell>
          <cell r="AT28">
            <v>40966.380000000012</v>
          </cell>
          <cell r="AU28">
            <v>45018</v>
          </cell>
          <cell r="AV28">
            <v>0.91000000000000036</v>
          </cell>
          <cell r="AW28">
            <v>0.91000000000000036</v>
          </cell>
          <cell r="AX28">
            <v>3.0000000000000009E-2</v>
          </cell>
          <cell r="AY28">
            <v>1.1421201566538928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</v>
          </cell>
          <cell r="CY28">
            <v>0</v>
          </cell>
          <cell r="CZ28">
            <v>0</v>
          </cell>
          <cell r="DA28">
            <v>13.999999999999998</v>
          </cell>
          <cell r="DC28">
            <v>14.999999999999998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1</v>
          </cell>
          <cell r="EQ28">
            <v>0</v>
          </cell>
          <cell r="ER28">
            <v>0</v>
          </cell>
          <cell r="ES28">
            <v>13.999999999999998</v>
          </cell>
          <cell r="EU28">
            <v>14.999999999999998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10.999999999999998</v>
          </cell>
          <cell r="GM28">
            <v>10.999999999999998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B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Q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F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KA28">
            <v>0</v>
          </cell>
          <cell r="KB28">
            <v>0</v>
          </cell>
          <cell r="KC28">
            <v>0</v>
          </cell>
          <cell r="KE28">
            <v>0</v>
          </cell>
          <cell r="KG28">
            <v>0</v>
          </cell>
          <cell r="KH28">
            <v>0</v>
          </cell>
          <cell r="KI28">
            <v>0</v>
          </cell>
          <cell r="KK28">
            <v>0</v>
          </cell>
          <cell r="KL28">
            <v>0</v>
          </cell>
          <cell r="KM28">
            <v>0</v>
          </cell>
          <cell r="KO28">
            <v>0</v>
          </cell>
          <cell r="KQ28">
            <v>0</v>
          </cell>
          <cell r="KR28">
            <v>0</v>
          </cell>
          <cell r="KS28">
            <v>0</v>
          </cell>
          <cell r="KU28">
            <v>0</v>
          </cell>
          <cell r="KV28">
            <v>0</v>
          </cell>
          <cell r="KW28">
            <v>0</v>
          </cell>
          <cell r="KY28">
            <v>0</v>
          </cell>
          <cell r="LA28">
            <v>0</v>
          </cell>
          <cell r="LB28">
            <v>0</v>
          </cell>
          <cell r="LC28">
            <v>0</v>
          </cell>
          <cell r="LE28" t="str">
            <v>324-31</v>
          </cell>
        </row>
        <row r="29">
          <cell r="B29">
            <v>32.549999999999997</v>
          </cell>
          <cell r="C29">
            <v>35</v>
          </cell>
          <cell r="D29">
            <v>11880.749999999998</v>
          </cell>
          <cell r="E29">
            <v>12775</v>
          </cell>
          <cell r="F29">
            <v>0.92999999999999983</v>
          </cell>
          <cell r="G29">
            <v>0.92999999999999983</v>
          </cell>
          <cell r="H29">
            <v>0.05</v>
          </cell>
          <cell r="I29">
            <v>1.2325119953115329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33.441095890410956</v>
          </cell>
          <cell r="X29">
            <v>35</v>
          </cell>
          <cell r="Y29">
            <v>12206</v>
          </cell>
          <cell r="Z29">
            <v>12775</v>
          </cell>
          <cell r="AA29">
            <v>0.95545988258317038</v>
          </cell>
          <cell r="AB29">
            <v>0.95545988258317038</v>
          </cell>
          <cell r="AC29">
            <v>0.05</v>
          </cell>
          <cell r="AD29">
            <v>1.1612715145804271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R29">
            <v>33</v>
          </cell>
          <cell r="AS29">
            <v>35</v>
          </cell>
          <cell r="AT29">
            <v>12078</v>
          </cell>
          <cell r="AU29">
            <v>12810</v>
          </cell>
          <cell r="AV29">
            <v>0.94285714285714284</v>
          </cell>
          <cell r="AW29">
            <v>0.94285714285714284</v>
          </cell>
          <cell r="AX29">
            <v>3.0000000000000009E-2</v>
          </cell>
          <cell r="AY29">
            <v>1.1761179337711969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C29">
            <v>1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1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U29">
            <v>1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M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B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Q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F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KA29">
            <v>0</v>
          </cell>
          <cell r="KB29">
            <v>0</v>
          </cell>
          <cell r="KC29">
            <v>0</v>
          </cell>
          <cell r="KE29">
            <v>0</v>
          </cell>
          <cell r="KG29">
            <v>0</v>
          </cell>
          <cell r="KH29">
            <v>0</v>
          </cell>
          <cell r="KI29">
            <v>0</v>
          </cell>
          <cell r="KK29">
            <v>0</v>
          </cell>
          <cell r="KL29">
            <v>0</v>
          </cell>
          <cell r="KM29">
            <v>0</v>
          </cell>
          <cell r="KO29">
            <v>0</v>
          </cell>
          <cell r="KQ29">
            <v>0</v>
          </cell>
          <cell r="KR29">
            <v>0</v>
          </cell>
          <cell r="KS29">
            <v>0</v>
          </cell>
          <cell r="KU29">
            <v>0</v>
          </cell>
          <cell r="KV29">
            <v>0</v>
          </cell>
          <cell r="KW29">
            <v>0</v>
          </cell>
          <cell r="KY29">
            <v>0</v>
          </cell>
          <cell r="LA29">
            <v>0</v>
          </cell>
          <cell r="LB29">
            <v>0</v>
          </cell>
          <cell r="LC29">
            <v>0</v>
          </cell>
          <cell r="LE29" t="str">
            <v>324-51</v>
          </cell>
        </row>
        <row r="30">
          <cell r="B30">
            <v>70.5</v>
          </cell>
          <cell r="C30">
            <v>76</v>
          </cell>
          <cell r="D30">
            <v>25732.5</v>
          </cell>
          <cell r="E30">
            <v>27740</v>
          </cell>
          <cell r="F30">
            <v>0.92763157894736836</v>
          </cell>
          <cell r="G30">
            <v>0.92763157894736836</v>
          </cell>
          <cell r="H30">
            <v>0.05</v>
          </cell>
          <cell r="I30">
            <v>1.0141507438089989</v>
          </cell>
          <cell r="J30">
            <v>4.0000289999999987</v>
          </cell>
          <cell r="K30">
            <v>2.0000144999999994</v>
          </cell>
          <cell r="L30">
            <v>24.000032999999998</v>
          </cell>
          <cell r="M30">
            <v>0</v>
          </cell>
          <cell r="N30">
            <v>40.499994000000008</v>
          </cell>
          <cell r="O30">
            <v>0</v>
          </cell>
          <cell r="P30">
            <v>509.62999999999988</v>
          </cell>
          <cell r="Q30">
            <v>419.99999999999994</v>
          </cell>
          <cell r="R30">
            <v>249.99999999999997</v>
          </cell>
          <cell r="S30">
            <v>0</v>
          </cell>
          <cell r="T30">
            <v>403.00999999999988</v>
          </cell>
          <cell r="U30">
            <v>0</v>
          </cell>
          <cell r="W30">
            <v>72.190626756604829</v>
          </cell>
          <cell r="X30">
            <v>78.034851039910066</v>
          </cell>
          <cell r="Y30">
            <v>26339.5</v>
          </cell>
          <cell r="Z30">
            <v>28464</v>
          </cell>
          <cell r="AA30">
            <v>0.92536186059584036</v>
          </cell>
          <cell r="AB30">
            <v>0.94951333813987038</v>
          </cell>
          <cell r="AC30">
            <v>0.05</v>
          </cell>
          <cell r="AD30">
            <v>0.95274320469745022</v>
          </cell>
          <cell r="AE30">
            <v>2.4194894162826359</v>
          </cell>
          <cell r="AF30">
            <v>1.8276303236047069</v>
          </cell>
          <cell r="AG30">
            <v>28.631273405017922</v>
          </cell>
          <cell r="AH30">
            <v>0.10253456221198344</v>
          </cell>
          <cell r="AI30">
            <v>39.188275156170008</v>
          </cell>
          <cell r="AJ30">
            <v>0</v>
          </cell>
          <cell r="AK30">
            <v>494.9852101477033</v>
          </cell>
          <cell r="AL30">
            <v>391.43258830205122</v>
          </cell>
          <cell r="AM30">
            <v>272.4514948133197</v>
          </cell>
          <cell r="AN30">
            <v>257.09355263951659</v>
          </cell>
          <cell r="AO30">
            <v>408.88412331631673</v>
          </cell>
          <cell r="AP30">
            <v>0</v>
          </cell>
          <cell r="AR30">
            <v>72.199999999999989</v>
          </cell>
          <cell r="AS30">
            <v>76</v>
          </cell>
          <cell r="AT30">
            <v>26425.200000000004</v>
          </cell>
          <cell r="AU30">
            <v>27816</v>
          </cell>
          <cell r="AV30">
            <v>0.95000000000000018</v>
          </cell>
          <cell r="AW30">
            <v>0.95000000000000018</v>
          </cell>
          <cell r="AX30">
            <v>3.0000000000000009E-2</v>
          </cell>
          <cell r="AY30">
            <v>0.97795726244426839</v>
          </cell>
          <cell r="AZ30">
            <v>2.4547999999999996</v>
          </cell>
          <cell r="BA30">
            <v>1.9782800000000005</v>
          </cell>
          <cell r="BB30">
            <v>28.002770000000002</v>
          </cell>
          <cell r="BC30">
            <v>0</v>
          </cell>
          <cell r="BD30">
            <v>39.764149999999994</v>
          </cell>
          <cell r="BE30">
            <v>0</v>
          </cell>
          <cell r="BF30">
            <v>523.21999999999991</v>
          </cell>
          <cell r="BG30">
            <v>446.87999999999988</v>
          </cell>
          <cell r="BH30">
            <v>272.29999999999995</v>
          </cell>
          <cell r="BI30">
            <v>292.39521857923489</v>
          </cell>
          <cell r="BJ30">
            <v>415.33999999999986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C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U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M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B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Q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F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KA30">
            <v>0</v>
          </cell>
          <cell r="KB30">
            <v>0</v>
          </cell>
          <cell r="KC30">
            <v>0</v>
          </cell>
          <cell r="KE30">
            <v>0</v>
          </cell>
          <cell r="KG30">
            <v>0</v>
          </cell>
          <cell r="KH30">
            <v>0</v>
          </cell>
          <cell r="KI30">
            <v>0</v>
          </cell>
          <cell r="KK30">
            <v>0</v>
          </cell>
          <cell r="KL30">
            <v>0</v>
          </cell>
          <cell r="KM30">
            <v>0</v>
          </cell>
          <cell r="KO30">
            <v>0</v>
          </cell>
          <cell r="KQ30">
            <v>0</v>
          </cell>
          <cell r="KR30">
            <v>0</v>
          </cell>
          <cell r="KS30">
            <v>0</v>
          </cell>
          <cell r="KU30">
            <v>0</v>
          </cell>
          <cell r="KV30">
            <v>0</v>
          </cell>
          <cell r="KW30">
            <v>0</v>
          </cell>
          <cell r="KY30">
            <v>0</v>
          </cell>
          <cell r="LA30">
            <v>0</v>
          </cell>
          <cell r="LB30">
            <v>0</v>
          </cell>
          <cell r="LC30">
            <v>0</v>
          </cell>
          <cell r="LE30" t="str">
            <v>324-61</v>
          </cell>
        </row>
        <row r="31">
          <cell r="B31">
            <v>255.55</v>
          </cell>
          <cell r="C31">
            <v>270</v>
          </cell>
          <cell r="D31">
            <v>93275.75</v>
          </cell>
          <cell r="E31">
            <v>98550</v>
          </cell>
          <cell r="F31">
            <v>0.94648148148148159</v>
          </cell>
          <cell r="G31">
            <v>0.94648148148148159</v>
          </cell>
          <cell r="H31">
            <v>0.05</v>
          </cell>
          <cell r="I31">
            <v>1.0074429367544899</v>
          </cell>
          <cell r="J31">
            <v>4.0000289999999987</v>
          </cell>
          <cell r="K31">
            <v>2.0000144999999994</v>
          </cell>
          <cell r="L31">
            <v>24.000032999999998</v>
          </cell>
          <cell r="M31">
            <v>0</v>
          </cell>
          <cell r="N31">
            <v>40.499994000000008</v>
          </cell>
          <cell r="O31">
            <v>0</v>
          </cell>
          <cell r="P31">
            <v>509.62999999999988</v>
          </cell>
          <cell r="Q31">
            <v>419.99999999999994</v>
          </cell>
          <cell r="R31">
            <v>249.99999999999997</v>
          </cell>
          <cell r="S31">
            <v>0</v>
          </cell>
          <cell r="T31">
            <v>403.00999999999988</v>
          </cell>
          <cell r="U31">
            <v>0</v>
          </cell>
          <cell r="W31">
            <v>252.01334689848295</v>
          </cell>
          <cell r="X31">
            <v>271.99826742147997</v>
          </cell>
          <cell r="Y31">
            <v>91981.5</v>
          </cell>
          <cell r="Z31">
            <v>99274</v>
          </cell>
          <cell r="AA31">
            <v>0.92654169268892161</v>
          </cell>
          <cell r="AB31">
            <v>0.9333485540334856</v>
          </cell>
          <cell r="AC31">
            <v>0.05</v>
          </cell>
          <cell r="AD31">
            <v>0.96906071967082996</v>
          </cell>
          <cell r="AE31">
            <v>2.4194894162826359</v>
          </cell>
          <cell r="AF31">
            <v>1.8276303236047069</v>
          </cell>
          <cell r="AG31">
            <v>28.631273405017922</v>
          </cell>
          <cell r="AH31">
            <v>0.10253456221198344</v>
          </cell>
          <cell r="AI31">
            <v>39.188275156170008</v>
          </cell>
          <cell r="AJ31">
            <v>0</v>
          </cell>
          <cell r="AK31">
            <v>494.9852101477033</v>
          </cell>
          <cell r="AL31">
            <v>391.43258830205122</v>
          </cell>
          <cell r="AM31">
            <v>272.4514948133197</v>
          </cell>
          <cell r="AN31">
            <v>257.09355263951659</v>
          </cell>
          <cell r="AO31">
            <v>408.88412331631673</v>
          </cell>
          <cell r="AP31">
            <v>0</v>
          </cell>
          <cell r="AR31">
            <v>252.13</v>
          </cell>
          <cell r="AS31">
            <v>270</v>
          </cell>
          <cell r="AT31">
            <v>92279.58</v>
          </cell>
          <cell r="AU31">
            <v>98820</v>
          </cell>
          <cell r="AV31">
            <v>0.93381481481481476</v>
          </cell>
          <cell r="AW31">
            <v>0.93381481481481476</v>
          </cell>
          <cell r="AX31">
            <v>3.0000000000000009E-2</v>
          </cell>
          <cell r="AY31">
            <v>0.989231193022438</v>
          </cell>
          <cell r="AZ31">
            <v>2.4547999999999996</v>
          </cell>
          <cell r="BA31">
            <v>1.9782800000000005</v>
          </cell>
          <cell r="BB31">
            <v>28.002770000000002</v>
          </cell>
          <cell r="BC31">
            <v>0</v>
          </cell>
          <cell r="BD31">
            <v>39.764149999999994</v>
          </cell>
          <cell r="BE31">
            <v>0</v>
          </cell>
          <cell r="BF31">
            <v>523.21999999999991</v>
          </cell>
          <cell r="BG31">
            <v>446.87999999999988</v>
          </cell>
          <cell r="BH31">
            <v>272.29999999999995</v>
          </cell>
          <cell r="BI31">
            <v>292.39521857923489</v>
          </cell>
          <cell r="BJ31">
            <v>415.33999999999986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1</v>
          </cell>
          <cell r="CY31">
            <v>0</v>
          </cell>
          <cell r="CZ31">
            <v>0</v>
          </cell>
          <cell r="DA31">
            <v>13.999999999999998</v>
          </cell>
          <cell r="DC31">
            <v>15.999999999999998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1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1</v>
          </cell>
          <cell r="EQ31">
            <v>0</v>
          </cell>
          <cell r="ER31">
            <v>0</v>
          </cell>
          <cell r="ES31">
            <v>13.999999999999998</v>
          </cell>
          <cell r="EU31">
            <v>15.999999999999998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10.999999999999998</v>
          </cell>
          <cell r="GM31">
            <v>10.999999999999998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B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Q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F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KA31">
            <v>0</v>
          </cell>
          <cell r="KB31">
            <v>0</v>
          </cell>
          <cell r="KC31">
            <v>0</v>
          </cell>
          <cell r="KE31">
            <v>0</v>
          </cell>
          <cell r="KG31">
            <v>0</v>
          </cell>
          <cell r="KH31">
            <v>0</v>
          </cell>
          <cell r="KI31">
            <v>0</v>
          </cell>
          <cell r="KK31">
            <v>0</v>
          </cell>
          <cell r="KL31">
            <v>0</v>
          </cell>
          <cell r="KM31">
            <v>0</v>
          </cell>
          <cell r="KO31">
            <v>0</v>
          </cell>
          <cell r="KQ31">
            <v>0</v>
          </cell>
          <cell r="KR31">
            <v>0</v>
          </cell>
          <cell r="KS31">
            <v>0</v>
          </cell>
          <cell r="KU31">
            <v>0</v>
          </cell>
          <cell r="KV31">
            <v>0</v>
          </cell>
          <cell r="KW31">
            <v>0</v>
          </cell>
          <cell r="KY31">
            <v>0</v>
          </cell>
          <cell r="LA31">
            <v>0</v>
          </cell>
          <cell r="LB31">
            <v>0</v>
          </cell>
          <cell r="LC31">
            <v>0</v>
          </cell>
          <cell r="LE31" t="str">
            <v>324-Entity</v>
          </cell>
        </row>
        <row r="32">
          <cell r="B32">
            <v>35.520000000000003</v>
          </cell>
          <cell r="C32">
            <v>37</v>
          </cell>
          <cell r="D32">
            <v>12964.800000000005</v>
          </cell>
          <cell r="E32">
            <v>13505</v>
          </cell>
          <cell r="F32">
            <v>0.96000000000000019</v>
          </cell>
          <cell r="G32">
            <v>0.96000000000000019</v>
          </cell>
          <cell r="H32">
            <v>7.9999999999999988E-2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35.789041095890411</v>
          </cell>
          <cell r="X32">
            <v>37</v>
          </cell>
          <cell r="Y32">
            <v>13063</v>
          </cell>
          <cell r="Z32">
            <v>13505</v>
          </cell>
          <cell r="AA32">
            <v>0.9672713809700112</v>
          </cell>
          <cell r="AB32">
            <v>0.9672713809700112</v>
          </cell>
          <cell r="AC32">
            <v>7.9999999999999988E-2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35.334999999999994</v>
          </cell>
          <cell r="AS32">
            <v>37</v>
          </cell>
          <cell r="AT32">
            <v>12932.61</v>
          </cell>
          <cell r="AU32">
            <v>13542</v>
          </cell>
          <cell r="AV32">
            <v>0.95499999999999996</v>
          </cell>
          <cell r="AW32">
            <v>0.95499999999999996</v>
          </cell>
          <cell r="AX32">
            <v>3.0000000000000009E-2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19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C32">
            <v>19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19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U32">
            <v>19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21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M32">
            <v>21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B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Q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F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KA32">
            <v>10.999999999999998</v>
          </cell>
          <cell r="KB32">
            <v>39.000000000000007</v>
          </cell>
          <cell r="KC32">
            <v>6</v>
          </cell>
          <cell r="KE32">
            <v>19</v>
          </cell>
          <cell r="KG32">
            <v>10.999999999999998</v>
          </cell>
          <cell r="KH32">
            <v>20.000000000000007</v>
          </cell>
          <cell r="KI32">
            <v>6</v>
          </cell>
          <cell r="KK32">
            <v>10.999999999999998</v>
          </cell>
          <cell r="KL32">
            <v>39.000000000000007</v>
          </cell>
          <cell r="KM32">
            <v>6</v>
          </cell>
          <cell r="KO32">
            <v>19</v>
          </cell>
          <cell r="KQ32">
            <v>10.999999999999998</v>
          </cell>
          <cell r="KR32">
            <v>20.000000000000007</v>
          </cell>
          <cell r="KS32">
            <v>6</v>
          </cell>
          <cell r="KU32">
            <v>10.999999999999998</v>
          </cell>
          <cell r="KV32">
            <v>41.000000000000014</v>
          </cell>
          <cell r="KW32">
            <v>6</v>
          </cell>
          <cell r="KY32">
            <v>21</v>
          </cell>
          <cell r="LA32">
            <v>10.999999999999998</v>
          </cell>
          <cell r="LB32">
            <v>20.000000000000014</v>
          </cell>
          <cell r="LC32">
            <v>6</v>
          </cell>
          <cell r="LE32" t="str">
            <v>650-21</v>
          </cell>
        </row>
        <row r="33">
          <cell r="B33">
            <v>34.560000000000009</v>
          </cell>
          <cell r="C33">
            <v>36</v>
          </cell>
          <cell r="D33">
            <v>12614.4</v>
          </cell>
          <cell r="E33">
            <v>13140</v>
          </cell>
          <cell r="F33">
            <v>0.96</v>
          </cell>
          <cell r="G33">
            <v>0.96</v>
          </cell>
          <cell r="H33">
            <v>7.9999999999999988E-2</v>
          </cell>
          <cell r="I33">
            <v>3.538471467610699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34.778082191780825</v>
          </cell>
          <cell r="X33">
            <v>36</v>
          </cell>
          <cell r="Y33">
            <v>12694</v>
          </cell>
          <cell r="Z33">
            <v>13140</v>
          </cell>
          <cell r="AA33">
            <v>0.96605783866057837</v>
          </cell>
          <cell r="AB33">
            <v>0.96605783866057837</v>
          </cell>
          <cell r="AC33">
            <v>7.9999999999999988E-2</v>
          </cell>
          <cell r="AD33">
            <v>3.4574188844680078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34.523999999999987</v>
          </cell>
          <cell r="AS33">
            <v>36</v>
          </cell>
          <cell r="AT33">
            <v>12635.784</v>
          </cell>
          <cell r="AU33">
            <v>13176</v>
          </cell>
          <cell r="AV33">
            <v>0.95899999999999996</v>
          </cell>
          <cell r="AW33">
            <v>0.95899999999999996</v>
          </cell>
          <cell r="AX33">
            <v>3.0000000000000009E-2</v>
          </cell>
          <cell r="AY33">
            <v>3.536855725315676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C33">
            <v>8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8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U33">
            <v>8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6.9999999999999991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M33">
            <v>6.9999999999999991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B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Q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F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KA33">
            <v>0</v>
          </cell>
          <cell r="KB33">
            <v>0</v>
          </cell>
          <cell r="KC33">
            <v>0</v>
          </cell>
          <cell r="KE33">
            <v>0</v>
          </cell>
          <cell r="KG33">
            <v>0</v>
          </cell>
          <cell r="KH33">
            <v>0</v>
          </cell>
          <cell r="KI33">
            <v>0</v>
          </cell>
          <cell r="KK33">
            <v>0</v>
          </cell>
          <cell r="KL33">
            <v>0</v>
          </cell>
          <cell r="KM33">
            <v>0</v>
          </cell>
          <cell r="KO33">
            <v>0</v>
          </cell>
          <cell r="KQ33">
            <v>0</v>
          </cell>
          <cell r="KR33">
            <v>0</v>
          </cell>
          <cell r="KS33">
            <v>0</v>
          </cell>
          <cell r="KU33">
            <v>0</v>
          </cell>
          <cell r="KV33">
            <v>0</v>
          </cell>
          <cell r="KW33">
            <v>0</v>
          </cell>
          <cell r="KY33">
            <v>0</v>
          </cell>
          <cell r="LA33">
            <v>0</v>
          </cell>
          <cell r="LB33">
            <v>0</v>
          </cell>
          <cell r="LC33">
            <v>0</v>
          </cell>
          <cell r="LE33" t="str">
            <v>650-31</v>
          </cell>
        </row>
        <row r="34">
          <cell r="B34">
            <v>64.240000000000009</v>
          </cell>
          <cell r="C34">
            <v>73</v>
          </cell>
          <cell r="D34">
            <v>23447.599999999999</v>
          </cell>
          <cell r="E34">
            <v>26645</v>
          </cell>
          <cell r="F34">
            <v>0.87999999999999989</v>
          </cell>
          <cell r="G34">
            <v>0.87999999999999989</v>
          </cell>
          <cell r="H34">
            <v>7.9999999999999988E-2</v>
          </cell>
          <cell r="I34">
            <v>1.4567744529699995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57.602739726027394</v>
          </cell>
          <cell r="X34">
            <v>73</v>
          </cell>
          <cell r="Y34">
            <v>21025</v>
          </cell>
          <cell r="Z34">
            <v>26645</v>
          </cell>
          <cell r="AA34">
            <v>0.789078626383937</v>
          </cell>
          <cell r="AB34">
            <v>0.789078626383937</v>
          </cell>
          <cell r="AC34">
            <v>7.9999999999999988E-2</v>
          </cell>
          <cell r="AD34">
            <v>1.3742104479015071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62.05</v>
          </cell>
          <cell r="AS34">
            <v>73</v>
          </cell>
          <cell r="AT34">
            <v>22710.299999999996</v>
          </cell>
          <cell r="AU34">
            <v>26718</v>
          </cell>
          <cell r="AV34">
            <v>0.84999999999999987</v>
          </cell>
          <cell r="AW34">
            <v>0.84999999999999987</v>
          </cell>
          <cell r="AX34">
            <v>3.0000000000000009E-2</v>
          </cell>
          <cell r="AY34">
            <v>1.4579186901663568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1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C34">
            <v>1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U34">
            <v>1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1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M34">
            <v>1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B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Q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F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KA34">
            <v>0</v>
          </cell>
          <cell r="KB34">
            <v>0</v>
          </cell>
          <cell r="KC34">
            <v>0</v>
          </cell>
          <cell r="KE34">
            <v>0</v>
          </cell>
          <cell r="KG34">
            <v>0</v>
          </cell>
          <cell r="KH34">
            <v>0</v>
          </cell>
          <cell r="KI34">
            <v>0</v>
          </cell>
          <cell r="KK34">
            <v>0</v>
          </cell>
          <cell r="KL34">
            <v>0</v>
          </cell>
          <cell r="KM34">
            <v>0</v>
          </cell>
          <cell r="KO34">
            <v>0</v>
          </cell>
          <cell r="KQ34">
            <v>0</v>
          </cell>
          <cell r="KR34">
            <v>0</v>
          </cell>
          <cell r="KS34">
            <v>0</v>
          </cell>
          <cell r="KU34">
            <v>0</v>
          </cell>
          <cell r="KV34">
            <v>0</v>
          </cell>
          <cell r="KW34">
            <v>0</v>
          </cell>
          <cell r="KY34">
            <v>0</v>
          </cell>
          <cell r="LA34">
            <v>0</v>
          </cell>
          <cell r="LB34">
            <v>0</v>
          </cell>
          <cell r="LC34">
            <v>0</v>
          </cell>
          <cell r="LE34" t="str">
            <v>650-51</v>
          </cell>
        </row>
        <row r="35">
          <cell r="B35">
            <v>36.780821917808218</v>
          </cell>
          <cell r="C35">
            <v>44</v>
          </cell>
          <cell r="D35">
            <v>13425</v>
          </cell>
          <cell r="E35">
            <v>16060</v>
          </cell>
          <cell r="F35">
            <v>0.83592777085927772</v>
          </cell>
          <cell r="G35">
            <v>0.83592777085927772</v>
          </cell>
          <cell r="H35">
            <v>7.9999999999999988E-2</v>
          </cell>
          <cell r="I35">
            <v>0.5765973113922882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18.772602739726029</v>
          </cell>
          <cell r="X35">
            <v>44</v>
          </cell>
          <cell r="Y35">
            <v>6852</v>
          </cell>
          <cell r="Z35">
            <v>16060</v>
          </cell>
          <cell r="AA35">
            <v>0.4266500622665006</v>
          </cell>
          <cell r="AB35">
            <v>0.4266500622665006</v>
          </cell>
          <cell r="AC35">
            <v>7.9999999999999988E-2</v>
          </cell>
          <cell r="AD35">
            <v>0.9490544931107322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26.4</v>
          </cell>
          <cell r="AS35">
            <v>44</v>
          </cell>
          <cell r="AT35">
            <v>9662.4</v>
          </cell>
          <cell r="AU35">
            <v>16104</v>
          </cell>
          <cell r="AV35">
            <v>0.6</v>
          </cell>
          <cell r="AW35">
            <v>0.6</v>
          </cell>
          <cell r="AX35">
            <v>3.0000000000000009E-2</v>
          </cell>
          <cell r="AY35">
            <v>0.79597820460048008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C35">
            <v>1</v>
          </cell>
          <cell r="DE35">
            <v>0</v>
          </cell>
          <cell r="DF35">
            <v>1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U35">
            <v>1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M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B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Q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F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KA35">
            <v>0</v>
          </cell>
          <cell r="KB35">
            <v>0</v>
          </cell>
          <cell r="KC35">
            <v>0</v>
          </cell>
          <cell r="KE35">
            <v>0</v>
          </cell>
          <cell r="KG35">
            <v>0</v>
          </cell>
          <cell r="KH35">
            <v>0</v>
          </cell>
          <cell r="KI35">
            <v>0</v>
          </cell>
          <cell r="KK35">
            <v>0</v>
          </cell>
          <cell r="KL35">
            <v>0</v>
          </cell>
          <cell r="KM35">
            <v>0</v>
          </cell>
          <cell r="KO35">
            <v>0</v>
          </cell>
          <cell r="KQ35">
            <v>0</v>
          </cell>
          <cell r="KR35">
            <v>0</v>
          </cell>
          <cell r="KS35">
            <v>0</v>
          </cell>
          <cell r="KU35">
            <v>0</v>
          </cell>
          <cell r="KV35">
            <v>0</v>
          </cell>
          <cell r="KW35">
            <v>0</v>
          </cell>
          <cell r="KY35">
            <v>0</v>
          </cell>
          <cell r="LA35">
            <v>0</v>
          </cell>
          <cell r="LB35">
            <v>0</v>
          </cell>
          <cell r="LC35">
            <v>0</v>
          </cell>
          <cell r="LE35" t="str">
            <v>650-52</v>
          </cell>
        </row>
        <row r="36">
          <cell r="B36">
            <v>87.300000000000011</v>
          </cell>
          <cell r="C36">
            <v>97</v>
          </cell>
          <cell r="D36">
            <v>31864.499999999996</v>
          </cell>
          <cell r="E36">
            <v>35405</v>
          </cell>
          <cell r="F36">
            <v>0.89999999999999991</v>
          </cell>
          <cell r="G36">
            <v>0.89999999999999991</v>
          </cell>
          <cell r="H36">
            <v>7.9999999999999988E-2</v>
          </cell>
          <cell r="I36">
            <v>1.616439831896753</v>
          </cell>
          <cell r="J36">
            <v>9.0000189000000006</v>
          </cell>
          <cell r="K36">
            <v>10.0000404</v>
          </cell>
          <cell r="L36">
            <v>61.000002000000002</v>
          </cell>
          <cell r="M36">
            <v>0</v>
          </cell>
          <cell r="N36">
            <v>5.2999829999999992</v>
          </cell>
          <cell r="O36">
            <v>1.9991699999999997</v>
          </cell>
          <cell r="P36">
            <v>482.57</v>
          </cell>
          <cell r="Q36">
            <v>334.43000000000012</v>
          </cell>
          <cell r="R36">
            <v>219.58000000000004</v>
          </cell>
          <cell r="S36">
            <v>330</v>
          </cell>
          <cell r="T36">
            <v>312.53000000000003</v>
          </cell>
          <cell r="U36">
            <v>220.55000000000007</v>
          </cell>
          <cell r="W36">
            <v>75.545205479452051</v>
          </cell>
          <cell r="X36">
            <v>97</v>
          </cell>
          <cell r="Y36">
            <v>27574</v>
          </cell>
          <cell r="Z36">
            <v>35405</v>
          </cell>
          <cell r="AA36">
            <v>0.77881655133455729</v>
          </cell>
          <cell r="AB36">
            <v>0.77881655133455729</v>
          </cell>
          <cell r="AC36">
            <v>7.9999999999999988E-2</v>
          </cell>
          <cell r="AD36">
            <v>1.8309336644635976</v>
          </cell>
          <cell r="AE36">
            <v>4.1394734064260099</v>
          </cell>
          <cell r="AF36">
            <v>5.2098663312851974</v>
          </cell>
          <cell r="AG36">
            <v>50.952564421402961</v>
          </cell>
          <cell r="AH36">
            <v>0.17813620071684941</v>
          </cell>
          <cell r="AI36">
            <v>9.6667158973374239</v>
          </cell>
          <cell r="AJ36">
            <v>5.3741931003584211</v>
          </cell>
          <cell r="AK36">
            <v>499.56562551678496</v>
          </cell>
          <cell r="AL36">
            <v>397.9941998369128</v>
          </cell>
          <cell r="AM36">
            <v>220.51920494109956</v>
          </cell>
          <cell r="AN36">
            <v>319.04873001909363</v>
          </cell>
          <cell r="AO36">
            <v>308.19242639383185</v>
          </cell>
          <cell r="AP36">
            <v>226.36941083667051</v>
          </cell>
          <cell r="AR36">
            <v>77.600000000000009</v>
          </cell>
          <cell r="AS36">
            <v>97</v>
          </cell>
          <cell r="AT36">
            <v>28401.599999999995</v>
          </cell>
          <cell r="AU36">
            <v>35502</v>
          </cell>
          <cell r="AV36">
            <v>0.79999999999999982</v>
          </cell>
          <cell r="AW36">
            <v>0.79999999999999982</v>
          </cell>
          <cell r="AX36">
            <v>3.0000000000000009E-2</v>
          </cell>
          <cell r="AY36">
            <v>1.955094341753689</v>
          </cell>
          <cell r="AZ36">
            <v>5.1068559999999996</v>
          </cell>
          <cell r="BA36">
            <v>4.0026080000000004</v>
          </cell>
          <cell r="BB36">
            <v>60.006838399999992</v>
          </cell>
          <cell r="BC36">
            <v>0</v>
          </cell>
          <cell r="BD36">
            <v>3.4358176</v>
          </cell>
          <cell r="BE36">
            <v>5.0481127999999993</v>
          </cell>
          <cell r="BF36">
            <v>518.17999999999995</v>
          </cell>
          <cell r="BG36">
            <v>416.84000000000009</v>
          </cell>
          <cell r="BH36">
            <v>220.00000000000003</v>
          </cell>
          <cell r="BI36">
            <v>0</v>
          </cell>
          <cell r="BJ36">
            <v>312.48000000000013</v>
          </cell>
          <cell r="BK36">
            <v>220.00000000000003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C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U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M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B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Q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F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KA36">
            <v>0</v>
          </cell>
          <cell r="KB36">
            <v>0</v>
          </cell>
          <cell r="KC36">
            <v>0</v>
          </cell>
          <cell r="KE36">
            <v>0</v>
          </cell>
          <cell r="KG36">
            <v>0</v>
          </cell>
          <cell r="KH36">
            <v>0</v>
          </cell>
          <cell r="KI36">
            <v>0</v>
          </cell>
          <cell r="KK36">
            <v>0</v>
          </cell>
          <cell r="KL36">
            <v>0</v>
          </cell>
          <cell r="KM36">
            <v>0</v>
          </cell>
          <cell r="KO36">
            <v>0</v>
          </cell>
          <cell r="KQ36">
            <v>0</v>
          </cell>
          <cell r="KR36">
            <v>0</v>
          </cell>
          <cell r="KS36">
            <v>0</v>
          </cell>
          <cell r="KU36">
            <v>0</v>
          </cell>
          <cell r="KV36">
            <v>0</v>
          </cell>
          <cell r="KW36">
            <v>0</v>
          </cell>
          <cell r="KY36">
            <v>0</v>
          </cell>
          <cell r="LA36">
            <v>0</v>
          </cell>
          <cell r="LB36">
            <v>0</v>
          </cell>
          <cell r="LC36">
            <v>0</v>
          </cell>
          <cell r="LE36" t="str">
            <v>650-61</v>
          </cell>
        </row>
        <row r="37">
          <cell r="B37">
            <v>17.600000000000001</v>
          </cell>
          <cell r="C37">
            <v>22</v>
          </cell>
          <cell r="D37">
            <v>6424.0000000000009</v>
          </cell>
          <cell r="E37">
            <v>8030</v>
          </cell>
          <cell r="F37">
            <v>0.80000000000000016</v>
          </cell>
          <cell r="G37">
            <v>0.80000000000000016</v>
          </cell>
          <cell r="H37">
            <v>7.9999999999999988E-2</v>
          </cell>
          <cell r="I37">
            <v>0.27427025218287843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17.599999999999998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367.2</v>
          </cell>
          <cell r="U37">
            <v>0</v>
          </cell>
          <cell r="W37">
            <v>12.421917808219176</v>
          </cell>
          <cell r="X37">
            <v>22</v>
          </cell>
          <cell r="Y37">
            <v>4534</v>
          </cell>
          <cell r="Z37">
            <v>8030</v>
          </cell>
          <cell r="AA37">
            <v>0.56463262764632627</v>
          </cell>
          <cell r="AB37">
            <v>0.56463262764632627</v>
          </cell>
          <cell r="AC37">
            <v>7.9999999999999988E-2</v>
          </cell>
          <cell r="AD37">
            <v>0.138159750989755</v>
          </cell>
          <cell r="AE37">
            <v>1.5112775217613923</v>
          </cell>
          <cell r="AF37">
            <v>0.47542242703533094</v>
          </cell>
          <cell r="AG37">
            <v>0</v>
          </cell>
          <cell r="AH37">
            <v>8.3429339477727363E-2</v>
          </cell>
          <cell r="AI37">
            <v>10.339240911418331</v>
          </cell>
          <cell r="AJ37">
            <v>0</v>
          </cell>
          <cell r="AK37">
            <v>462.40803394866879</v>
          </cell>
          <cell r="AL37">
            <v>442.92784530968203</v>
          </cell>
          <cell r="AM37">
            <v>0</v>
          </cell>
          <cell r="AN37">
            <v>87.689666380331118</v>
          </cell>
          <cell r="AO37">
            <v>355.39859629512438</v>
          </cell>
          <cell r="AP37">
            <v>0</v>
          </cell>
          <cell r="AR37">
            <v>14.300000000000002</v>
          </cell>
          <cell r="AS37">
            <v>22</v>
          </cell>
          <cell r="AT37">
            <v>5233.8</v>
          </cell>
          <cell r="AU37">
            <v>8052</v>
          </cell>
          <cell r="AV37">
            <v>0.65</v>
          </cell>
          <cell r="AW37">
            <v>0.65</v>
          </cell>
          <cell r="AX37">
            <v>3.0000000000000009E-2</v>
          </cell>
          <cell r="AY37">
            <v>0.38983666070789791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14.300000000000002</v>
          </cell>
          <cell r="BE37">
            <v>0</v>
          </cell>
          <cell r="BF37">
            <v>518.18000000000006</v>
          </cell>
          <cell r="BG37">
            <v>416.84</v>
          </cell>
          <cell r="BH37">
            <v>0</v>
          </cell>
          <cell r="BI37">
            <v>0</v>
          </cell>
          <cell r="BJ37">
            <v>367.00000000000006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C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U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M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B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Q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F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KA37">
            <v>0</v>
          </cell>
          <cell r="KB37">
            <v>0</v>
          </cell>
          <cell r="KC37">
            <v>0</v>
          </cell>
          <cell r="KE37">
            <v>0</v>
          </cell>
          <cell r="KG37">
            <v>0</v>
          </cell>
          <cell r="KH37">
            <v>0</v>
          </cell>
          <cell r="KI37">
            <v>0</v>
          </cell>
          <cell r="KK37">
            <v>0</v>
          </cell>
          <cell r="KL37">
            <v>0</v>
          </cell>
          <cell r="KM37">
            <v>0</v>
          </cell>
          <cell r="KO37">
            <v>0</v>
          </cell>
          <cell r="KQ37">
            <v>0</v>
          </cell>
          <cell r="KR37">
            <v>0</v>
          </cell>
          <cell r="KS37">
            <v>0</v>
          </cell>
          <cell r="KU37">
            <v>0</v>
          </cell>
          <cell r="KV37">
            <v>0</v>
          </cell>
          <cell r="KW37">
            <v>0</v>
          </cell>
          <cell r="KY37">
            <v>0</v>
          </cell>
          <cell r="LA37">
            <v>0</v>
          </cell>
          <cell r="LB37">
            <v>0</v>
          </cell>
          <cell r="LC37">
            <v>0</v>
          </cell>
          <cell r="LE37" t="str">
            <v>650-62</v>
          </cell>
        </row>
        <row r="38">
          <cell r="B38">
            <v>276.0008219178082</v>
          </cell>
          <cell r="C38">
            <v>309</v>
          </cell>
          <cell r="D38">
            <v>100740.30000000002</v>
          </cell>
          <cell r="E38">
            <v>112785</v>
          </cell>
          <cell r="F38">
            <v>0.89320654342332773</v>
          </cell>
          <cell r="G38">
            <v>0.89320654342332773</v>
          </cell>
          <cell r="H38">
            <v>7.9999999999999988E-2</v>
          </cell>
          <cell r="I38">
            <v>1.3106923585869272</v>
          </cell>
          <cell r="J38">
            <v>9.0000189000000006</v>
          </cell>
          <cell r="K38">
            <v>10.0000404</v>
          </cell>
          <cell r="L38">
            <v>61.000002000000002</v>
          </cell>
          <cell r="M38">
            <v>0</v>
          </cell>
          <cell r="N38">
            <v>22.899982999999995</v>
          </cell>
          <cell r="O38">
            <v>1.9991699999999997</v>
          </cell>
          <cell r="P38">
            <v>482.56999999999994</v>
          </cell>
          <cell r="Q38">
            <v>334.42999999999995</v>
          </cell>
          <cell r="R38">
            <v>219.58</v>
          </cell>
          <cell r="S38">
            <v>329.99999999999994</v>
          </cell>
          <cell r="T38">
            <v>679.73</v>
          </cell>
          <cell r="U38">
            <v>220.55</v>
          </cell>
          <cell r="W38">
            <v>234.9095890410959</v>
          </cell>
          <cell r="X38">
            <v>309</v>
          </cell>
          <cell r="Y38">
            <v>85742</v>
          </cell>
          <cell r="Z38">
            <v>112785</v>
          </cell>
          <cell r="AA38">
            <v>0.76022520725273746</v>
          </cell>
          <cell r="AB38">
            <v>0.76022520725273746</v>
          </cell>
          <cell r="AC38">
            <v>7.9999999999999988E-2</v>
          </cell>
          <cell r="AD38">
            <v>1.5603849449278349</v>
          </cell>
          <cell r="AE38">
            <v>5.650750928187402</v>
          </cell>
          <cell r="AF38">
            <v>5.685288758320528</v>
          </cell>
          <cell r="AG38">
            <v>50.952564421402961</v>
          </cell>
          <cell r="AH38">
            <v>0.26156554019457673</v>
          </cell>
          <cell r="AI38">
            <v>20.005956808755755</v>
          </cell>
          <cell r="AJ38">
            <v>5.3741931003584211</v>
          </cell>
          <cell r="AK38">
            <v>962.52384104125042</v>
          </cell>
          <cell r="AL38">
            <v>836.97393244373075</v>
          </cell>
          <cell r="AM38">
            <v>220.50980384119771</v>
          </cell>
          <cell r="AN38">
            <v>413.79451087215159</v>
          </cell>
          <cell r="AO38">
            <v>663.49938609826984</v>
          </cell>
          <cell r="AP38">
            <v>226.42149457530104</v>
          </cell>
          <cell r="AR38">
            <v>250.209</v>
          </cell>
          <cell r="AS38">
            <v>309</v>
          </cell>
          <cell r="AT38">
            <v>91576.494000000021</v>
          </cell>
          <cell r="AU38">
            <v>113094</v>
          </cell>
          <cell r="AV38">
            <v>0.80973786407767012</v>
          </cell>
          <cell r="AW38">
            <v>0.80973786407767012</v>
          </cell>
          <cell r="AX38">
            <v>3.0000000000000009E-2</v>
          </cell>
          <cell r="AY38">
            <v>1.5301885630169696</v>
          </cell>
          <cell r="AZ38">
            <v>5.1068559999999996</v>
          </cell>
          <cell r="BA38">
            <v>4.0026080000000004</v>
          </cell>
          <cell r="BB38">
            <v>60.006838399999992</v>
          </cell>
          <cell r="BC38">
            <v>0</v>
          </cell>
          <cell r="BD38">
            <v>17.735817599999997</v>
          </cell>
          <cell r="BE38">
            <v>5.0481127999999993</v>
          </cell>
          <cell r="BF38">
            <v>1036.3599999999999</v>
          </cell>
          <cell r="BG38">
            <v>833.68000000000029</v>
          </cell>
          <cell r="BH38">
            <v>220.00000000000009</v>
          </cell>
          <cell r="BI38">
            <v>0</v>
          </cell>
          <cell r="BJ38">
            <v>679.48000000000025</v>
          </cell>
          <cell r="BK38">
            <v>220.00000000000009</v>
          </cell>
          <cell r="BM38">
            <v>0</v>
          </cell>
          <cell r="BN38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</v>
          </cell>
          <cell r="BU38">
            <v>19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8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C38">
            <v>29</v>
          </cell>
          <cell r="DE38">
            <v>0</v>
          </cell>
          <cell r="DF38">
            <v>1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1</v>
          </cell>
          <cell r="DM38">
            <v>19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8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U38">
            <v>29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1</v>
          </cell>
          <cell r="FE38">
            <v>21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6.9999999999999991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M38">
            <v>29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B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Q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F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KA38">
            <v>10.999999999999998</v>
          </cell>
          <cell r="KB38">
            <v>39.000000000000007</v>
          </cell>
          <cell r="KC38">
            <v>6</v>
          </cell>
          <cell r="KE38">
            <v>19</v>
          </cell>
          <cell r="KG38">
            <v>10.999999999999998</v>
          </cell>
          <cell r="KH38">
            <v>20.000000000000007</v>
          </cell>
          <cell r="KI38">
            <v>6</v>
          </cell>
          <cell r="KK38">
            <v>10.999999999999998</v>
          </cell>
          <cell r="KL38">
            <v>39.000000000000007</v>
          </cell>
          <cell r="KM38">
            <v>6</v>
          </cell>
          <cell r="KO38">
            <v>19</v>
          </cell>
          <cell r="KQ38">
            <v>10.999999999999998</v>
          </cell>
          <cell r="KR38">
            <v>20.000000000000007</v>
          </cell>
          <cell r="KS38">
            <v>6</v>
          </cell>
          <cell r="KU38">
            <v>10.999999999999998</v>
          </cell>
          <cell r="KV38">
            <v>41.000000000000014</v>
          </cell>
          <cell r="KW38">
            <v>6</v>
          </cell>
          <cell r="KY38">
            <v>21</v>
          </cell>
          <cell r="LA38">
            <v>10.999999999999998</v>
          </cell>
          <cell r="LB38">
            <v>20.000000000000014</v>
          </cell>
          <cell r="LC38">
            <v>6</v>
          </cell>
          <cell r="LE38" t="str">
            <v>650-Entity</v>
          </cell>
        </row>
        <row r="39">
          <cell r="B39">
            <v>24.25</v>
          </cell>
          <cell r="C39">
            <v>25</v>
          </cell>
          <cell r="D39">
            <v>8851.25</v>
          </cell>
          <cell r="E39">
            <v>9125</v>
          </cell>
          <cell r="F39">
            <v>0.97</v>
          </cell>
          <cell r="G39">
            <v>0.97</v>
          </cell>
          <cell r="H39">
            <v>7.9999999999999988E-2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24.257534246575343</v>
          </cell>
          <cell r="X39">
            <v>25</v>
          </cell>
          <cell r="Y39">
            <v>8854</v>
          </cell>
          <cell r="Z39">
            <v>9125</v>
          </cell>
          <cell r="AA39">
            <v>0.97030136986301363</v>
          </cell>
          <cell r="AB39">
            <v>0.97030136986301363</v>
          </cell>
          <cell r="AC39">
            <v>7.9999999999999988E-2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23.75</v>
          </cell>
          <cell r="AS39">
            <v>25</v>
          </cell>
          <cell r="AT39">
            <v>8692.5</v>
          </cell>
          <cell r="AU39">
            <v>9150</v>
          </cell>
          <cell r="AV39">
            <v>0.95</v>
          </cell>
          <cell r="AW39">
            <v>0.95</v>
          </cell>
          <cell r="AX39">
            <v>3.0000000000000009E-2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16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C39">
            <v>16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16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U39">
            <v>16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16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M39">
            <v>16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B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Q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F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KA39">
            <v>0</v>
          </cell>
          <cell r="KB39">
            <v>0</v>
          </cell>
          <cell r="KC39">
            <v>0</v>
          </cell>
          <cell r="KE39">
            <v>0</v>
          </cell>
          <cell r="KG39">
            <v>0</v>
          </cell>
          <cell r="KH39">
            <v>0</v>
          </cell>
          <cell r="KI39">
            <v>0</v>
          </cell>
          <cell r="KK39">
            <v>0</v>
          </cell>
          <cell r="KL39">
            <v>0</v>
          </cell>
          <cell r="KM39">
            <v>0</v>
          </cell>
          <cell r="KO39">
            <v>0</v>
          </cell>
          <cell r="KQ39">
            <v>0</v>
          </cell>
          <cell r="KR39">
            <v>0</v>
          </cell>
          <cell r="KS39">
            <v>0</v>
          </cell>
          <cell r="KU39">
            <v>0</v>
          </cell>
          <cell r="KV39">
            <v>0</v>
          </cell>
          <cell r="KW39">
            <v>0</v>
          </cell>
          <cell r="KY39">
            <v>0</v>
          </cell>
          <cell r="LA39">
            <v>0</v>
          </cell>
          <cell r="LB39">
            <v>0</v>
          </cell>
          <cell r="LC39">
            <v>0</v>
          </cell>
          <cell r="LE39" t="str">
            <v>660-21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7.9999999999999988E-2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7.9999999999999988E-2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3.0000000000000009E-2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C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U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M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B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Q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F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KA40">
            <v>0</v>
          </cell>
          <cell r="KB40">
            <v>0</v>
          </cell>
          <cell r="KC40">
            <v>0</v>
          </cell>
          <cell r="KE40">
            <v>0</v>
          </cell>
          <cell r="KG40">
            <v>0</v>
          </cell>
          <cell r="KH40">
            <v>0</v>
          </cell>
          <cell r="KI40">
            <v>0</v>
          </cell>
          <cell r="KK40">
            <v>0</v>
          </cell>
          <cell r="KL40">
            <v>0</v>
          </cell>
          <cell r="KM40">
            <v>0</v>
          </cell>
          <cell r="KO40">
            <v>0</v>
          </cell>
          <cell r="KQ40">
            <v>0</v>
          </cell>
          <cell r="KR40">
            <v>0</v>
          </cell>
          <cell r="KS40">
            <v>0</v>
          </cell>
          <cell r="KU40">
            <v>0</v>
          </cell>
          <cell r="KV40">
            <v>0</v>
          </cell>
          <cell r="KW40">
            <v>0</v>
          </cell>
          <cell r="KY40">
            <v>0</v>
          </cell>
          <cell r="LA40">
            <v>0</v>
          </cell>
          <cell r="LB40">
            <v>0</v>
          </cell>
          <cell r="LC40">
            <v>0</v>
          </cell>
          <cell r="LE40" t="str">
            <v>660-22</v>
          </cell>
        </row>
        <row r="41">
          <cell r="B41">
            <v>73.268493150684932</v>
          </cell>
          <cell r="C41">
            <v>87</v>
          </cell>
          <cell r="D41">
            <v>26743</v>
          </cell>
          <cell r="E41">
            <v>31755</v>
          </cell>
          <cell r="F41">
            <v>0.84216658793890731</v>
          </cell>
          <cell r="G41">
            <v>0.84216658793890731</v>
          </cell>
          <cell r="H41">
            <v>7.9999999999999988E-2</v>
          </cell>
          <cell r="I41">
            <v>1.4721485044712663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63.016438356164386</v>
          </cell>
          <cell r="X41">
            <v>87</v>
          </cell>
          <cell r="Y41">
            <v>23001</v>
          </cell>
          <cell r="Z41">
            <v>31755</v>
          </cell>
          <cell r="AA41">
            <v>0.72432687765706183</v>
          </cell>
          <cell r="AB41">
            <v>0.72432687765706183</v>
          </cell>
          <cell r="AC41">
            <v>7.9999999999999988E-2</v>
          </cell>
          <cell r="AD41">
            <v>1.5986608913036895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64.38</v>
          </cell>
          <cell r="AS41">
            <v>87</v>
          </cell>
          <cell r="AT41">
            <v>23563.08</v>
          </cell>
          <cell r="AU41">
            <v>31842</v>
          </cell>
          <cell r="AV41">
            <v>0.74</v>
          </cell>
          <cell r="AW41">
            <v>0.74</v>
          </cell>
          <cell r="AX41">
            <v>3.0000000000000009E-2</v>
          </cell>
          <cell r="AY41">
            <v>1.668476750937923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C41">
            <v>9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9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U41">
            <v>9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9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M41">
            <v>9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B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Q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F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KA41">
            <v>0</v>
          </cell>
          <cell r="KB41">
            <v>0</v>
          </cell>
          <cell r="KC41">
            <v>0</v>
          </cell>
          <cell r="KE41">
            <v>0</v>
          </cell>
          <cell r="KG41">
            <v>0</v>
          </cell>
          <cell r="KH41">
            <v>0</v>
          </cell>
          <cell r="KI41">
            <v>0</v>
          </cell>
          <cell r="KK41">
            <v>0</v>
          </cell>
          <cell r="KL41">
            <v>0</v>
          </cell>
          <cell r="KM41">
            <v>0</v>
          </cell>
          <cell r="KO41">
            <v>0</v>
          </cell>
          <cell r="KQ41">
            <v>0</v>
          </cell>
          <cell r="KR41">
            <v>0</v>
          </cell>
          <cell r="KS41">
            <v>0</v>
          </cell>
          <cell r="KU41">
            <v>0</v>
          </cell>
          <cell r="KV41">
            <v>0</v>
          </cell>
          <cell r="KW41">
            <v>0</v>
          </cell>
          <cell r="KY41">
            <v>0</v>
          </cell>
          <cell r="LA41">
            <v>0</v>
          </cell>
          <cell r="LB41">
            <v>0</v>
          </cell>
          <cell r="LC41">
            <v>0</v>
          </cell>
          <cell r="LE41" t="str">
            <v>660-31</v>
          </cell>
        </row>
        <row r="42">
          <cell r="B42">
            <v>44.100000000000009</v>
          </cell>
          <cell r="C42">
            <v>49</v>
          </cell>
          <cell r="D42">
            <v>16096.500000000002</v>
          </cell>
          <cell r="E42">
            <v>17885</v>
          </cell>
          <cell r="F42">
            <v>0.90000000000000013</v>
          </cell>
          <cell r="G42">
            <v>0.90000000000000013</v>
          </cell>
          <cell r="H42">
            <v>7.9999999999999988E-2</v>
          </cell>
          <cell r="I42">
            <v>1.3405653407299545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42.42739726027397</v>
          </cell>
          <cell r="X42">
            <v>49</v>
          </cell>
          <cell r="Y42">
            <v>15486</v>
          </cell>
          <cell r="Z42">
            <v>17885</v>
          </cell>
          <cell r="AA42">
            <v>0.86586525020967287</v>
          </cell>
          <cell r="AB42">
            <v>0.86586525020967287</v>
          </cell>
          <cell r="AC42">
            <v>7.9999999999999988E-2</v>
          </cell>
          <cell r="AD42">
            <v>1.2802044329996674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44.100000000000009</v>
          </cell>
          <cell r="AS42">
            <v>49</v>
          </cell>
          <cell r="AT42">
            <v>16140.600000000002</v>
          </cell>
          <cell r="AU42">
            <v>17934</v>
          </cell>
          <cell r="AV42">
            <v>0.90000000000000013</v>
          </cell>
          <cell r="AW42">
            <v>0.90000000000000013</v>
          </cell>
          <cell r="AX42">
            <v>3.0000000000000009E-2</v>
          </cell>
          <cell r="AY42">
            <v>1.3370777172539989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C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U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M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B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Q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F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KA42">
            <v>0</v>
          </cell>
          <cell r="KB42">
            <v>0</v>
          </cell>
          <cell r="KC42">
            <v>0</v>
          </cell>
          <cell r="KE42">
            <v>0</v>
          </cell>
          <cell r="KG42">
            <v>0</v>
          </cell>
          <cell r="KH42">
            <v>0</v>
          </cell>
          <cell r="KI42">
            <v>0</v>
          </cell>
          <cell r="KK42">
            <v>0</v>
          </cell>
          <cell r="KL42">
            <v>0</v>
          </cell>
          <cell r="KM42">
            <v>0</v>
          </cell>
          <cell r="KO42">
            <v>0</v>
          </cell>
          <cell r="KQ42">
            <v>0</v>
          </cell>
          <cell r="KR42">
            <v>0</v>
          </cell>
          <cell r="KS42">
            <v>0</v>
          </cell>
          <cell r="KU42">
            <v>0</v>
          </cell>
          <cell r="KV42">
            <v>0</v>
          </cell>
          <cell r="KW42">
            <v>0</v>
          </cell>
          <cell r="KY42">
            <v>0</v>
          </cell>
          <cell r="LA42">
            <v>0</v>
          </cell>
          <cell r="LB42">
            <v>0</v>
          </cell>
          <cell r="LC42">
            <v>0</v>
          </cell>
          <cell r="LE42" t="str">
            <v>660-52</v>
          </cell>
        </row>
        <row r="43">
          <cell r="B43">
            <v>34.174520547945207</v>
          </cell>
          <cell r="C43">
            <v>45</v>
          </cell>
          <cell r="D43">
            <v>12473.7</v>
          </cell>
          <cell r="E43">
            <v>16425</v>
          </cell>
          <cell r="F43">
            <v>0.75943378995433775</v>
          </cell>
          <cell r="G43">
            <v>0.75943378995433775</v>
          </cell>
          <cell r="H43">
            <v>7.9999999999999988E-2</v>
          </cell>
          <cell r="I43">
            <v>1.3257466011252088</v>
          </cell>
          <cell r="J43">
            <v>5.2088349733333335</v>
          </cell>
          <cell r="K43">
            <v>18.752051759999997</v>
          </cell>
          <cell r="L43">
            <v>0</v>
          </cell>
          <cell r="M43">
            <v>0</v>
          </cell>
          <cell r="N43">
            <v>10.18581408</v>
          </cell>
          <cell r="O43">
            <v>0</v>
          </cell>
          <cell r="P43">
            <v>457.92</v>
          </cell>
          <cell r="Q43">
            <v>414.18999999999994</v>
          </cell>
          <cell r="R43">
            <v>0</v>
          </cell>
          <cell r="S43">
            <v>393</v>
          </cell>
          <cell r="T43">
            <v>343.84999999999997</v>
          </cell>
          <cell r="U43">
            <v>0</v>
          </cell>
          <cell r="W43">
            <v>22.005479452054793</v>
          </cell>
          <cell r="X43">
            <v>45</v>
          </cell>
          <cell r="Y43">
            <v>8032</v>
          </cell>
          <cell r="Z43">
            <v>16425</v>
          </cell>
          <cell r="AA43">
            <v>0.48901065449010656</v>
          </cell>
          <cell r="AB43">
            <v>0.48901065449010656</v>
          </cell>
          <cell r="AC43">
            <v>7.9999999999999988E-2</v>
          </cell>
          <cell r="AD43">
            <v>1.6439264348616212</v>
          </cell>
          <cell r="AE43">
            <v>4.2608510565796207</v>
          </cell>
          <cell r="AF43">
            <v>9.7843585299539182</v>
          </cell>
          <cell r="AG43">
            <v>0</v>
          </cell>
          <cell r="AH43">
            <v>8.1989247311827398E-2</v>
          </cell>
          <cell r="AI43">
            <v>7.8636598812083962</v>
          </cell>
          <cell r="AJ43">
            <v>0</v>
          </cell>
          <cell r="AK43">
            <v>503.89625225497525</v>
          </cell>
          <cell r="AL43">
            <v>440.92110044262421</v>
          </cell>
          <cell r="AM43">
            <v>0</v>
          </cell>
          <cell r="AN43">
            <v>354.597518996921</v>
          </cell>
          <cell r="AO43">
            <v>347.28590919162298</v>
          </cell>
          <cell r="AP43">
            <v>0</v>
          </cell>
          <cell r="AR43">
            <v>25</v>
          </cell>
          <cell r="AS43">
            <v>45</v>
          </cell>
          <cell r="AT43">
            <v>9150</v>
          </cell>
          <cell r="AU43">
            <v>16470</v>
          </cell>
          <cell r="AV43">
            <v>0.55555555555555558</v>
          </cell>
          <cell r="AW43">
            <v>0.55555555555555558</v>
          </cell>
          <cell r="AX43">
            <v>3.0000000000000009E-2</v>
          </cell>
          <cell r="AY43">
            <v>1.7024570271763275</v>
          </cell>
          <cell r="AZ43">
            <v>3.9504500000000018</v>
          </cell>
          <cell r="BA43">
            <v>9.5592249999999996</v>
          </cell>
          <cell r="BB43">
            <v>0</v>
          </cell>
          <cell r="BC43">
            <v>0</v>
          </cell>
          <cell r="BD43">
            <v>11.490550000000001</v>
          </cell>
          <cell r="BE43">
            <v>0</v>
          </cell>
          <cell r="BF43">
            <v>528.21999999999991</v>
          </cell>
          <cell r="BG43">
            <v>455.90999999999985</v>
          </cell>
          <cell r="BH43">
            <v>0</v>
          </cell>
          <cell r="BI43">
            <v>0</v>
          </cell>
          <cell r="BJ43">
            <v>343.41999999999996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C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U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M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B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Q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F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KA43">
            <v>0</v>
          </cell>
          <cell r="KB43">
            <v>0</v>
          </cell>
          <cell r="KC43">
            <v>0</v>
          </cell>
          <cell r="KE43">
            <v>0</v>
          </cell>
          <cell r="KG43">
            <v>0</v>
          </cell>
          <cell r="KH43">
            <v>0</v>
          </cell>
          <cell r="KI43">
            <v>0</v>
          </cell>
          <cell r="KK43">
            <v>0</v>
          </cell>
          <cell r="KL43">
            <v>0</v>
          </cell>
          <cell r="KM43">
            <v>0</v>
          </cell>
          <cell r="KO43">
            <v>0</v>
          </cell>
          <cell r="KQ43">
            <v>0</v>
          </cell>
          <cell r="KR43">
            <v>0</v>
          </cell>
          <cell r="KS43">
            <v>0</v>
          </cell>
          <cell r="KU43">
            <v>0</v>
          </cell>
          <cell r="KV43">
            <v>0</v>
          </cell>
          <cell r="KW43">
            <v>0</v>
          </cell>
          <cell r="KY43">
            <v>0</v>
          </cell>
          <cell r="LA43">
            <v>0</v>
          </cell>
          <cell r="LB43">
            <v>0</v>
          </cell>
          <cell r="LC43">
            <v>0</v>
          </cell>
          <cell r="LE43" t="str">
            <v>660-61</v>
          </cell>
        </row>
        <row r="44">
          <cell r="B44">
            <v>20.020000000000003</v>
          </cell>
          <cell r="C44">
            <v>22</v>
          </cell>
          <cell r="D44">
            <v>7307.3</v>
          </cell>
          <cell r="E44">
            <v>8030</v>
          </cell>
          <cell r="F44">
            <v>0.91</v>
          </cell>
          <cell r="G44">
            <v>0.91</v>
          </cell>
          <cell r="H44">
            <v>7.9999999999999988E-2</v>
          </cell>
          <cell r="I44">
            <v>0.3493970156625209</v>
          </cell>
          <cell r="J44">
            <v>1.9999980000000004</v>
          </cell>
          <cell r="K44">
            <v>3.9999960000000008</v>
          </cell>
          <cell r="L44">
            <v>0</v>
          </cell>
          <cell r="M44">
            <v>0</v>
          </cell>
          <cell r="N44">
            <v>14.020005999999997</v>
          </cell>
          <cell r="O44">
            <v>0</v>
          </cell>
          <cell r="P44">
            <v>457.92</v>
          </cell>
          <cell r="Q44">
            <v>414.19000000000005</v>
          </cell>
          <cell r="R44">
            <v>0</v>
          </cell>
          <cell r="S44">
            <v>0</v>
          </cell>
          <cell r="T44">
            <v>361.80000000000007</v>
          </cell>
          <cell r="U44">
            <v>0</v>
          </cell>
          <cell r="W44">
            <v>13.295890410958904</v>
          </cell>
          <cell r="X44">
            <v>22</v>
          </cell>
          <cell r="Y44">
            <v>4853</v>
          </cell>
          <cell r="Z44">
            <v>8030</v>
          </cell>
          <cell r="AA44">
            <v>0.60435865504358655</v>
          </cell>
          <cell r="AB44">
            <v>0.60435865504358655</v>
          </cell>
          <cell r="AC44">
            <v>7.9999999999999988E-2</v>
          </cell>
          <cell r="AD44">
            <v>0.31067748371493609</v>
          </cell>
          <cell r="AE44">
            <v>1.4220645801331298</v>
          </cell>
          <cell r="AF44">
            <v>3.1099829749103942</v>
          </cell>
          <cell r="AG44">
            <v>0</v>
          </cell>
          <cell r="AH44">
            <v>0</v>
          </cell>
          <cell r="AI44">
            <v>8.7763369815668195</v>
          </cell>
          <cell r="AJ44">
            <v>0</v>
          </cell>
          <cell r="AK44">
            <v>419.45596712275602</v>
          </cell>
          <cell r="AL44">
            <v>430.73080884505976</v>
          </cell>
          <cell r="AM44">
            <v>0</v>
          </cell>
          <cell r="AN44">
            <v>0</v>
          </cell>
          <cell r="AO44">
            <v>351.02509912699844</v>
          </cell>
          <cell r="AP44">
            <v>0</v>
          </cell>
          <cell r="AR44">
            <v>15</v>
          </cell>
          <cell r="AS44">
            <v>22</v>
          </cell>
          <cell r="AT44">
            <v>5490</v>
          </cell>
          <cell r="AU44">
            <v>8052</v>
          </cell>
          <cell r="AV44">
            <v>0.68181818181818166</v>
          </cell>
          <cell r="AW44">
            <v>0.68181818181818166</v>
          </cell>
          <cell r="AX44">
            <v>3.0000000000000009E-2</v>
          </cell>
          <cell r="AY44">
            <v>0.4599262653007361</v>
          </cell>
          <cell r="AZ44">
            <v>1.5</v>
          </cell>
          <cell r="BA44">
            <v>3</v>
          </cell>
          <cell r="BB44">
            <v>0</v>
          </cell>
          <cell r="BC44">
            <v>0</v>
          </cell>
          <cell r="BD44">
            <v>10.5</v>
          </cell>
          <cell r="BE44">
            <v>0</v>
          </cell>
          <cell r="BF44">
            <v>495</v>
          </cell>
          <cell r="BG44">
            <v>445</v>
          </cell>
          <cell r="BH44">
            <v>0</v>
          </cell>
          <cell r="BI44">
            <v>0</v>
          </cell>
          <cell r="BJ44">
            <v>362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C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U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M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B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Q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F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KA44">
            <v>0</v>
          </cell>
          <cell r="KB44">
            <v>0</v>
          </cell>
          <cell r="KC44">
            <v>0</v>
          </cell>
          <cell r="KE44">
            <v>0</v>
          </cell>
          <cell r="KG44">
            <v>0</v>
          </cell>
          <cell r="KH44">
            <v>0</v>
          </cell>
          <cell r="KI44">
            <v>0</v>
          </cell>
          <cell r="KK44">
            <v>0</v>
          </cell>
          <cell r="KL44">
            <v>0</v>
          </cell>
          <cell r="KM44">
            <v>0</v>
          </cell>
          <cell r="KO44">
            <v>0</v>
          </cell>
          <cell r="KQ44">
            <v>0</v>
          </cell>
          <cell r="KR44">
            <v>0</v>
          </cell>
          <cell r="KS44">
            <v>0</v>
          </cell>
          <cell r="KU44">
            <v>0</v>
          </cell>
          <cell r="KV44">
            <v>0</v>
          </cell>
          <cell r="KW44">
            <v>0</v>
          </cell>
          <cell r="KY44">
            <v>0</v>
          </cell>
          <cell r="LA44">
            <v>0</v>
          </cell>
          <cell r="LB44">
            <v>0</v>
          </cell>
          <cell r="LC44">
            <v>0</v>
          </cell>
          <cell r="LE44" t="str">
            <v>660-62</v>
          </cell>
        </row>
        <row r="45">
          <cell r="B45">
            <v>195.81301369863016</v>
          </cell>
          <cell r="C45">
            <v>228</v>
          </cell>
          <cell r="D45">
            <v>71471.75</v>
          </cell>
          <cell r="E45">
            <v>83220</v>
          </cell>
          <cell r="F45">
            <v>0.85882900745013213</v>
          </cell>
          <cell r="G45">
            <v>0.85882900745013213</v>
          </cell>
          <cell r="H45">
            <v>7.9999999999999988E-2</v>
          </cell>
          <cell r="I45">
            <v>1.0736627271878629</v>
          </cell>
          <cell r="J45">
            <v>7.2088329733333323</v>
          </cell>
          <cell r="K45">
            <v>22.752047759999996</v>
          </cell>
          <cell r="L45">
            <v>0</v>
          </cell>
          <cell r="M45">
            <v>0</v>
          </cell>
          <cell r="N45">
            <v>24.205820079999999</v>
          </cell>
          <cell r="O45">
            <v>0</v>
          </cell>
          <cell r="P45">
            <v>915.84</v>
          </cell>
          <cell r="Q45">
            <v>828.38000000000011</v>
          </cell>
          <cell r="R45">
            <v>0</v>
          </cell>
          <cell r="S45">
            <v>392.99999999999994</v>
          </cell>
          <cell r="T45">
            <v>705.65000000000009</v>
          </cell>
          <cell r="U45">
            <v>0</v>
          </cell>
          <cell r="W45">
            <v>165.00273972602739</v>
          </cell>
          <cell r="X45">
            <v>228</v>
          </cell>
          <cell r="Y45">
            <v>60226</v>
          </cell>
          <cell r="Z45">
            <v>83220</v>
          </cell>
          <cell r="AA45">
            <v>0.72369622686854118</v>
          </cell>
          <cell r="AB45">
            <v>0.72369622686854118</v>
          </cell>
          <cell r="AC45">
            <v>7.9999999999999988E-2</v>
          </cell>
          <cell r="AD45">
            <v>1.2073137207120996</v>
          </cell>
          <cell r="AE45">
            <v>5.6829156367127496</v>
          </cell>
          <cell r="AF45">
            <v>12.894341504864313</v>
          </cell>
          <cell r="AG45">
            <v>0</v>
          </cell>
          <cell r="AH45">
            <v>8.1989247311827398E-2</v>
          </cell>
          <cell r="AI45">
            <v>16.639996862775217</v>
          </cell>
          <cell r="AJ45">
            <v>0</v>
          </cell>
          <cell r="AK45">
            <v>929.96765673244875</v>
          </cell>
          <cell r="AL45">
            <v>870.54791014937575</v>
          </cell>
          <cell r="AM45">
            <v>0</v>
          </cell>
          <cell r="AN45">
            <v>345.54182135538133</v>
          </cell>
          <cell r="AO45">
            <v>698.26406784145649</v>
          </cell>
          <cell r="AP45">
            <v>0</v>
          </cell>
          <cell r="AR45">
            <v>172.23</v>
          </cell>
          <cell r="AS45">
            <v>228</v>
          </cell>
          <cell r="AT45">
            <v>63036.179999999993</v>
          </cell>
          <cell r="AU45">
            <v>83448</v>
          </cell>
          <cell r="AV45">
            <v>0.75539473684210523</v>
          </cell>
          <cell r="AW45">
            <v>0.75539473684210523</v>
          </cell>
          <cell r="AX45">
            <v>3.0000000000000009E-2</v>
          </cell>
          <cell r="AY45">
            <v>1.2552981960977194</v>
          </cell>
          <cell r="AZ45">
            <v>5.4504500000000009</v>
          </cell>
          <cell r="BA45">
            <v>12.559225</v>
          </cell>
          <cell r="BB45">
            <v>0</v>
          </cell>
          <cell r="BC45">
            <v>0</v>
          </cell>
          <cell r="BD45">
            <v>21.990549999999995</v>
          </cell>
          <cell r="BE45">
            <v>0</v>
          </cell>
          <cell r="BF45">
            <v>1023.2199999999996</v>
          </cell>
          <cell r="BG45">
            <v>900.91</v>
          </cell>
          <cell r="BH45">
            <v>0</v>
          </cell>
          <cell r="BI45">
            <v>0</v>
          </cell>
          <cell r="BJ45">
            <v>705.42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9</v>
          </cell>
          <cell r="BR45">
            <v>16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C45">
            <v>25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9</v>
          </cell>
          <cell r="DJ45">
            <v>16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U45">
            <v>25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9</v>
          </cell>
          <cell r="FB45">
            <v>16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M45">
            <v>25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B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Q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F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KA45">
            <v>0</v>
          </cell>
          <cell r="KB45">
            <v>0</v>
          </cell>
          <cell r="KC45">
            <v>0</v>
          </cell>
          <cell r="KE45">
            <v>0</v>
          </cell>
          <cell r="KG45">
            <v>0</v>
          </cell>
          <cell r="KH45">
            <v>0</v>
          </cell>
          <cell r="KI45">
            <v>0</v>
          </cell>
          <cell r="KK45">
            <v>0</v>
          </cell>
          <cell r="KL45">
            <v>0</v>
          </cell>
          <cell r="KM45">
            <v>0</v>
          </cell>
          <cell r="KO45">
            <v>0</v>
          </cell>
          <cell r="KQ45">
            <v>0</v>
          </cell>
          <cell r="KR45">
            <v>0</v>
          </cell>
          <cell r="KS45">
            <v>0</v>
          </cell>
          <cell r="KU45">
            <v>0</v>
          </cell>
          <cell r="KV45">
            <v>0</v>
          </cell>
          <cell r="KW45">
            <v>0</v>
          </cell>
          <cell r="KY45">
            <v>0</v>
          </cell>
          <cell r="LA45">
            <v>0</v>
          </cell>
          <cell r="LB45">
            <v>0</v>
          </cell>
          <cell r="LC45">
            <v>0</v>
          </cell>
          <cell r="LE45" t="str">
            <v>660-Entity</v>
          </cell>
        </row>
        <row r="46">
          <cell r="B46">
            <v>92.15</v>
          </cell>
          <cell r="C46">
            <v>95</v>
          </cell>
          <cell r="D46">
            <v>33634.750000000007</v>
          </cell>
          <cell r="E46">
            <v>34675</v>
          </cell>
          <cell r="F46">
            <v>0.9700000000000002</v>
          </cell>
          <cell r="G46">
            <v>0.9700000000000002</v>
          </cell>
          <cell r="H46">
            <v>0.05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93.317808219178076</v>
          </cell>
          <cell r="X46">
            <v>95</v>
          </cell>
          <cell r="Y46">
            <v>34061</v>
          </cell>
          <cell r="Z46">
            <v>34675</v>
          </cell>
          <cell r="AA46">
            <v>0.98229271809661123</v>
          </cell>
          <cell r="AB46">
            <v>0.98229271809661123</v>
          </cell>
          <cell r="AC46">
            <v>0.05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92.15</v>
          </cell>
          <cell r="AS46">
            <v>95</v>
          </cell>
          <cell r="AT46">
            <v>33726.9</v>
          </cell>
          <cell r="AU46">
            <v>34770</v>
          </cell>
          <cell r="AV46">
            <v>0.97</v>
          </cell>
          <cell r="AW46">
            <v>0.97</v>
          </cell>
          <cell r="AX46">
            <v>3.0000000000000009E-2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C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U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M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B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Q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F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KA46">
            <v>0</v>
          </cell>
          <cell r="KB46">
            <v>0</v>
          </cell>
          <cell r="KC46">
            <v>0</v>
          </cell>
          <cell r="KE46">
            <v>0</v>
          </cell>
          <cell r="KG46">
            <v>0</v>
          </cell>
          <cell r="KH46">
            <v>0</v>
          </cell>
          <cell r="KI46">
            <v>0</v>
          </cell>
          <cell r="KK46">
            <v>0</v>
          </cell>
          <cell r="KL46">
            <v>0</v>
          </cell>
          <cell r="KM46">
            <v>0</v>
          </cell>
          <cell r="KO46">
            <v>0</v>
          </cell>
          <cell r="KQ46">
            <v>0</v>
          </cell>
          <cell r="KR46">
            <v>0</v>
          </cell>
          <cell r="KS46">
            <v>0</v>
          </cell>
          <cell r="KU46">
            <v>0</v>
          </cell>
          <cell r="KV46">
            <v>0</v>
          </cell>
          <cell r="KW46">
            <v>0</v>
          </cell>
          <cell r="KY46">
            <v>0</v>
          </cell>
          <cell r="LA46">
            <v>0</v>
          </cell>
          <cell r="LB46">
            <v>0</v>
          </cell>
          <cell r="LC46">
            <v>0</v>
          </cell>
          <cell r="LE46" t="str">
            <v>810-21</v>
          </cell>
        </row>
        <row r="47">
          <cell r="B47">
            <v>46.06</v>
          </cell>
          <cell r="C47">
            <v>47</v>
          </cell>
          <cell r="D47">
            <v>16811.900000000001</v>
          </cell>
          <cell r="E47">
            <v>17155</v>
          </cell>
          <cell r="F47">
            <v>0.98</v>
          </cell>
          <cell r="G47">
            <v>0.98</v>
          </cell>
          <cell r="H47">
            <v>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46.317808219178083</v>
          </cell>
          <cell r="X47">
            <v>47</v>
          </cell>
          <cell r="Y47">
            <v>16906</v>
          </cell>
          <cell r="Z47">
            <v>17155</v>
          </cell>
          <cell r="AA47">
            <v>0.98548528125910817</v>
          </cell>
          <cell r="AB47">
            <v>0.98548528125910817</v>
          </cell>
          <cell r="AC47">
            <v>0.05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46.06</v>
          </cell>
          <cell r="AS47">
            <v>47</v>
          </cell>
          <cell r="AT47">
            <v>16857.960000000003</v>
          </cell>
          <cell r="AU47">
            <v>17202</v>
          </cell>
          <cell r="AV47">
            <v>0.9800000000000002</v>
          </cell>
          <cell r="AW47">
            <v>0.9800000000000002</v>
          </cell>
          <cell r="AX47">
            <v>3.0000000000000009E-2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C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U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M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B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Q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F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KA47">
            <v>0</v>
          </cell>
          <cell r="KB47">
            <v>0</v>
          </cell>
          <cell r="KC47">
            <v>0</v>
          </cell>
          <cell r="KE47">
            <v>0</v>
          </cell>
          <cell r="KG47">
            <v>0</v>
          </cell>
          <cell r="KH47">
            <v>0</v>
          </cell>
          <cell r="KI47">
            <v>0</v>
          </cell>
          <cell r="KK47">
            <v>0</v>
          </cell>
          <cell r="KL47">
            <v>0</v>
          </cell>
          <cell r="KM47">
            <v>0</v>
          </cell>
          <cell r="KO47">
            <v>0</v>
          </cell>
          <cell r="KQ47">
            <v>0</v>
          </cell>
          <cell r="KR47">
            <v>0</v>
          </cell>
          <cell r="KS47">
            <v>0</v>
          </cell>
          <cell r="KU47">
            <v>0</v>
          </cell>
          <cell r="KV47">
            <v>0</v>
          </cell>
          <cell r="KW47">
            <v>0</v>
          </cell>
          <cell r="KY47">
            <v>0</v>
          </cell>
          <cell r="LA47">
            <v>0</v>
          </cell>
          <cell r="LB47">
            <v>0</v>
          </cell>
          <cell r="LC47">
            <v>0</v>
          </cell>
          <cell r="LE47" t="str">
            <v>810-22</v>
          </cell>
        </row>
        <row r="48">
          <cell r="B48">
            <v>16.489999999999998</v>
          </cell>
          <cell r="C48">
            <v>17</v>
          </cell>
          <cell r="D48">
            <v>6018.8499999999985</v>
          </cell>
          <cell r="E48">
            <v>6205</v>
          </cell>
          <cell r="F48">
            <v>0.96999999999999975</v>
          </cell>
          <cell r="G48">
            <v>0.96999999999999975</v>
          </cell>
          <cell r="H48">
            <v>0.05</v>
          </cell>
          <cell r="I48">
            <v>9.8637361146459099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16.449315068493149</v>
          </cell>
          <cell r="X48">
            <v>17</v>
          </cell>
          <cell r="Y48">
            <v>6004</v>
          </cell>
          <cell r="Z48">
            <v>6205</v>
          </cell>
          <cell r="AA48">
            <v>0.96760676873489115</v>
          </cell>
          <cell r="AB48">
            <v>0.96760676873489115</v>
          </cell>
          <cell r="AC48">
            <v>0.05</v>
          </cell>
          <cell r="AD48">
            <v>5.9687007018515041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16.32</v>
          </cell>
          <cell r="AS48">
            <v>17</v>
          </cell>
          <cell r="AT48">
            <v>5973.1200000000008</v>
          </cell>
          <cell r="AU48">
            <v>6222</v>
          </cell>
          <cell r="AV48">
            <v>0.96</v>
          </cell>
          <cell r="AW48">
            <v>0.96</v>
          </cell>
          <cell r="AX48">
            <v>3.0000000000000009E-2</v>
          </cell>
          <cell r="AY48">
            <v>9.889286337948084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C48">
            <v>1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U48">
            <v>1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M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13.999999999999998</v>
          </cell>
          <cell r="GZ48">
            <v>3</v>
          </cell>
          <cell r="HB48">
            <v>17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13.999999999999998</v>
          </cell>
          <cell r="HO48">
            <v>3</v>
          </cell>
          <cell r="HQ48">
            <v>17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13.999999999999998</v>
          </cell>
          <cell r="ID48">
            <v>3</v>
          </cell>
          <cell r="IF48">
            <v>17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KA48">
            <v>0</v>
          </cell>
          <cell r="KB48">
            <v>0</v>
          </cell>
          <cell r="KC48">
            <v>0</v>
          </cell>
          <cell r="KE48">
            <v>0</v>
          </cell>
          <cell r="KG48">
            <v>0</v>
          </cell>
          <cell r="KH48">
            <v>0</v>
          </cell>
          <cell r="KI48">
            <v>0</v>
          </cell>
          <cell r="KK48">
            <v>0</v>
          </cell>
          <cell r="KL48">
            <v>0</v>
          </cell>
          <cell r="KM48">
            <v>0</v>
          </cell>
          <cell r="KO48">
            <v>0</v>
          </cell>
          <cell r="KQ48">
            <v>0</v>
          </cell>
          <cell r="KR48">
            <v>0</v>
          </cell>
          <cell r="KS48">
            <v>0</v>
          </cell>
          <cell r="KU48">
            <v>0</v>
          </cell>
          <cell r="KV48">
            <v>0</v>
          </cell>
          <cell r="KW48">
            <v>0</v>
          </cell>
          <cell r="KY48">
            <v>0</v>
          </cell>
          <cell r="LA48">
            <v>0</v>
          </cell>
          <cell r="LB48">
            <v>0</v>
          </cell>
          <cell r="LC48">
            <v>0</v>
          </cell>
          <cell r="LE48" t="str">
            <v>810-31</v>
          </cell>
        </row>
        <row r="49">
          <cell r="B49">
            <v>87.419999999999973</v>
          </cell>
          <cell r="C49">
            <v>94</v>
          </cell>
          <cell r="D49">
            <v>31908.3</v>
          </cell>
          <cell r="E49">
            <v>34310</v>
          </cell>
          <cell r="F49">
            <v>0.93</v>
          </cell>
          <cell r="G49">
            <v>0.93</v>
          </cell>
          <cell r="H49">
            <v>0.05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91.312328767123276</v>
          </cell>
          <cell r="X49">
            <v>94</v>
          </cell>
          <cell r="Y49">
            <v>33329</v>
          </cell>
          <cell r="Z49">
            <v>34310</v>
          </cell>
          <cell r="AA49">
            <v>0.97140775284173719</v>
          </cell>
          <cell r="AB49">
            <v>0.97140775284173719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90</v>
          </cell>
          <cell r="AS49">
            <v>94</v>
          </cell>
          <cell r="AT49">
            <v>32940</v>
          </cell>
          <cell r="AU49">
            <v>34404</v>
          </cell>
          <cell r="AV49">
            <v>0.95744680851063835</v>
          </cell>
          <cell r="AW49">
            <v>0.95744680851063835</v>
          </cell>
          <cell r="AX49">
            <v>3.0000000000000009E-2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13.000000000000002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C49">
            <v>13.000000000000002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13.000000000000002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U49">
            <v>13.000000000000002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10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M49">
            <v>10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B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Q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F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KA49">
            <v>0</v>
          </cell>
          <cell r="KB49">
            <v>0</v>
          </cell>
          <cell r="KC49">
            <v>0</v>
          </cell>
          <cell r="KE49">
            <v>0</v>
          </cell>
          <cell r="KG49">
            <v>0</v>
          </cell>
          <cell r="KH49">
            <v>0</v>
          </cell>
          <cell r="KI49">
            <v>0</v>
          </cell>
          <cell r="KK49">
            <v>0</v>
          </cell>
          <cell r="KL49">
            <v>0</v>
          </cell>
          <cell r="KM49">
            <v>0</v>
          </cell>
          <cell r="KO49">
            <v>0</v>
          </cell>
          <cell r="KQ49">
            <v>0</v>
          </cell>
          <cell r="KR49">
            <v>0</v>
          </cell>
          <cell r="KS49">
            <v>0</v>
          </cell>
          <cell r="KU49">
            <v>0</v>
          </cell>
          <cell r="KV49">
            <v>0</v>
          </cell>
          <cell r="KW49">
            <v>0</v>
          </cell>
          <cell r="KY49">
            <v>0</v>
          </cell>
          <cell r="LA49">
            <v>0</v>
          </cell>
          <cell r="LB49">
            <v>0</v>
          </cell>
          <cell r="LC49">
            <v>0</v>
          </cell>
          <cell r="LE49" t="str">
            <v>810-32</v>
          </cell>
        </row>
        <row r="50">
          <cell r="B50">
            <v>125.58000000000004</v>
          </cell>
          <cell r="C50">
            <v>138</v>
          </cell>
          <cell r="D50">
            <v>45836.7</v>
          </cell>
          <cell r="E50">
            <v>50370</v>
          </cell>
          <cell r="F50">
            <v>0.91</v>
          </cell>
          <cell r="G50">
            <v>0.91</v>
          </cell>
          <cell r="H50">
            <v>0.05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127.23287671232876</v>
          </cell>
          <cell r="X50">
            <v>138</v>
          </cell>
          <cell r="Y50">
            <v>46440</v>
          </cell>
          <cell r="Z50">
            <v>50370</v>
          </cell>
          <cell r="AA50">
            <v>0.92197736748064318</v>
          </cell>
          <cell r="AB50">
            <v>0.92197736748064318</v>
          </cell>
          <cell r="AC50">
            <v>0.05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125</v>
          </cell>
          <cell r="AS50">
            <v>138</v>
          </cell>
          <cell r="AT50">
            <v>45750</v>
          </cell>
          <cell r="AU50">
            <v>50508</v>
          </cell>
          <cell r="AV50">
            <v>0.90579710144927539</v>
          </cell>
          <cell r="AW50">
            <v>0.90579710144927539</v>
          </cell>
          <cell r="AX50">
            <v>3.0000000000000009E-2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C50">
            <v>38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38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U50">
            <v>38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38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M50">
            <v>38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B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Q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F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KA50">
            <v>0</v>
          </cell>
          <cell r="KB50">
            <v>0</v>
          </cell>
          <cell r="KC50">
            <v>0</v>
          </cell>
          <cell r="KE50">
            <v>0</v>
          </cell>
          <cell r="KG50">
            <v>0</v>
          </cell>
          <cell r="KH50">
            <v>0</v>
          </cell>
          <cell r="KI50">
            <v>0</v>
          </cell>
          <cell r="KK50">
            <v>0</v>
          </cell>
          <cell r="KL50">
            <v>0</v>
          </cell>
          <cell r="KM50">
            <v>0</v>
          </cell>
          <cell r="KO50">
            <v>0</v>
          </cell>
          <cell r="KQ50">
            <v>0</v>
          </cell>
          <cell r="KR50">
            <v>0</v>
          </cell>
          <cell r="KS50">
            <v>0</v>
          </cell>
          <cell r="KU50">
            <v>0</v>
          </cell>
          <cell r="KV50">
            <v>0</v>
          </cell>
          <cell r="KW50">
            <v>0</v>
          </cell>
          <cell r="KY50">
            <v>0</v>
          </cell>
          <cell r="LA50">
            <v>0</v>
          </cell>
          <cell r="LB50">
            <v>0</v>
          </cell>
          <cell r="LC50">
            <v>0</v>
          </cell>
          <cell r="LE50" t="str">
            <v>810-33</v>
          </cell>
        </row>
        <row r="51">
          <cell r="B51">
            <v>97</v>
          </cell>
          <cell r="C51">
            <v>100</v>
          </cell>
          <cell r="D51">
            <v>35405</v>
          </cell>
          <cell r="E51">
            <v>36500</v>
          </cell>
          <cell r="F51">
            <v>0.97</v>
          </cell>
          <cell r="G51">
            <v>0.97</v>
          </cell>
          <cell r="H51">
            <v>6.0000000000000019E-2</v>
          </cell>
          <cell r="I51">
            <v>0.82997422156279954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95.976712328767121</v>
          </cell>
          <cell r="X51">
            <v>100</v>
          </cell>
          <cell r="Y51">
            <v>35031.5</v>
          </cell>
          <cell r="Z51">
            <v>36500</v>
          </cell>
          <cell r="AA51">
            <v>0.95976712328767122</v>
          </cell>
          <cell r="AB51">
            <v>0.95976712328767122</v>
          </cell>
          <cell r="AC51">
            <v>6.0000000000000019E-2</v>
          </cell>
          <cell r="AD51">
            <v>0.79495924787999817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96</v>
          </cell>
          <cell r="AS51">
            <v>100</v>
          </cell>
          <cell r="AT51">
            <v>35136</v>
          </cell>
          <cell r="AU51">
            <v>36600</v>
          </cell>
          <cell r="AV51">
            <v>0.96</v>
          </cell>
          <cell r="AW51">
            <v>0.96</v>
          </cell>
          <cell r="AX51">
            <v>3.0000000000000009E-2</v>
          </cell>
          <cell r="AY51">
            <v>0.80651762682564065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2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C51">
            <v>2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2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U51">
            <v>2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2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M51">
            <v>2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B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Q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F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KA51">
            <v>0</v>
          </cell>
          <cell r="KB51">
            <v>0</v>
          </cell>
          <cell r="KC51">
            <v>0</v>
          </cell>
          <cell r="KE51">
            <v>0</v>
          </cell>
          <cell r="KG51">
            <v>0</v>
          </cell>
          <cell r="KH51">
            <v>0</v>
          </cell>
          <cell r="KI51">
            <v>0</v>
          </cell>
          <cell r="KK51">
            <v>0</v>
          </cell>
          <cell r="KL51">
            <v>0</v>
          </cell>
          <cell r="KM51">
            <v>0</v>
          </cell>
          <cell r="KO51">
            <v>0</v>
          </cell>
          <cell r="KQ51">
            <v>0</v>
          </cell>
          <cell r="KR51">
            <v>0</v>
          </cell>
          <cell r="KS51">
            <v>0</v>
          </cell>
          <cell r="KU51">
            <v>0</v>
          </cell>
          <cell r="KV51">
            <v>0</v>
          </cell>
          <cell r="KW51">
            <v>0</v>
          </cell>
          <cell r="KY51">
            <v>0</v>
          </cell>
          <cell r="LA51">
            <v>0</v>
          </cell>
          <cell r="LB51">
            <v>0</v>
          </cell>
          <cell r="LC51">
            <v>0</v>
          </cell>
          <cell r="LE51" t="str">
            <v>810-51</v>
          </cell>
        </row>
        <row r="52">
          <cell r="B52">
            <v>66.03</v>
          </cell>
          <cell r="C52">
            <v>69</v>
          </cell>
          <cell r="D52">
            <v>24100.950000000004</v>
          </cell>
          <cell r="E52">
            <v>25185</v>
          </cell>
          <cell r="F52">
            <v>0.95695652173913059</v>
          </cell>
          <cell r="G52">
            <v>0.95695652173913059</v>
          </cell>
          <cell r="H52">
            <v>6.0000000000000019E-2</v>
          </cell>
          <cell r="I52">
            <v>0.96328232042174278</v>
          </cell>
          <cell r="J52">
            <v>4.9999896899999996</v>
          </cell>
          <cell r="K52">
            <v>2.5000278599999999</v>
          </cell>
          <cell r="L52">
            <v>18.500021279999999</v>
          </cell>
          <cell r="M52">
            <v>0</v>
          </cell>
          <cell r="N52">
            <v>40.030027199999999</v>
          </cell>
          <cell r="O52">
            <v>0</v>
          </cell>
          <cell r="P52">
            <v>585.92999999999984</v>
          </cell>
          <cell r="Q52">
            <v>397.63000000000005</v>
          </cell>
          <cell r="R52">
            <v>260.00000000000006</v>
          </cell>
          <cell r="S52">
            <v>0</v>
          </cell>
          <cell r="T52">
            <v>511.24000000000012</v>
          </cell>
          <cell r="U52">
            <v>0</v>
          </cell>
          <cell r="W52">
            <v>65.950684931506856</v>
          </cell>
          <cell r="X52">
            <v>69</v>
          </cell>
          <cell r="Y52">
            <v>24072</v>
          </cell>
          <cell r="Z52">
            <v>25185</v>
          </cell>
          <cell r="AA52">
            <v>0.95580702799285278</v>
          </cell>
          <cell r="AB52">
            <v>0.95580702799285278</v>
          </cell>
          <cell r="AC52">
            <v>6.0000000000000019E-2</v>
          </cell>
          <cell r="AD52">
            <v>0.89605184310259856</v>
          </cell>
          <cell r="AE52">
            <v>4.4006350625960016</v>
          </cell>
          <cell r="AF52">
            <v>2.270912268049154</v>
          </cell>
          <cell r="AG52">
            <v>19.222892450588844</v>
          </cell>
          <cell r="AH52">
            <v>0</v>
          </cell>
          <cell r="AI52">
            <v>40.04732922683052</v>
          </cell>
          <cell r="AJ52">
            <v>0</v>
          </cell>
          <cell r="AK52">
            <v>606.65128379073019</v>
          </cell>
          <cell r="AL52">
            <v>446.02548354189344</v>
          </cell>
          <cell r="AM52">
            <v>331.38537113937423</v>
          </cell>
          <cell r="AN52">
            <v>0</v>
          </cell>
          <cell r="AO52">
            <v>496.21136444608544</v>
          </cell>
          <cell r="AP52">
            <v>0</v>
          </cell>
          <cell r="AR52">
            <v>65.549999999999983</v>
          </cell>
          <cell r="AS52">
            <v>69</v>
          </cell>
          <cell r="AT52">
            <v>23991.299999999996</v>
          </cell>
          <cell r="AU52">
            <v>25254</v>
          </cell>
          <cell r="AV52">
            <v>0.94999999999999984</v>
          </cell>
          <cell r="AW52">
            <v>0.94999999999999984</v>
          </cell>
          <cell r="AX52">
            <v>3.0000000000000009E-2</v>
          </cell>
          <cell r="AY52">
            <v>0.91954121210827777</v>
          </cell>
          <cell r="AZ52">
            <v>4.1558699999999993</v>
          </cell>
          <cell r="BA52">
            <v>2.3925750000000003</v>
          </cell>
          <cell r="BB52">
            <v>19.527345</v>
          </cell>
          <cell r="BC52">
            <v>0</v>
          </cell>
          <cell r="BD52">
            <v>39.474209999999985</v>
          </cell>
          <cell r="BE52">
            <v>0</v>
          </cell>
          <cell r="BF52">
            <v>629.5200000000001</v>
          </cell>
          <cell r="BG52">
            <v>454.98</v>
          </cell>
          <cell r="BH52">
            <v>316.32</v>
          </cell>
          <cell r="BI52">
            <v>0</v>
          </cell>
          <cell r="BJ52">
            <v>526.41999999999996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C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U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M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B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Q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F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KA52">
            <v>0</v>
          </cell>
          <cell r="KB52">
            <v>0</v>
          </cell>
          <cell r="KC52">
            <v>0</v>
          </cell>
          <cell r="KE52">
            <v>0</v>
          </cell>
          <cell r="KG52">
            <v>0</v>
          </cell>
          <cell r="KH52">
            <v>0</v>
          </cell>
          <cell r="KI52">
            <v>0</v>
          </cell>
          <cell r="KK52">
            <v>0</v>
          </cell>
          <cell r="KL52">
            <v>0</v>
          </cell>
          <cell r="KM52">
            <v>0</v>
          </cell>
          <cell r="KO52">
            <v>0</v>
          </cell>
          <cell r="KQ52">
            <v>0</v>
          </cell>
          <cell r="KR52">
            <v>0</v>
          </cell>
          <cell r="KS52">
            <v>0</v>
          </cell>
          <cell r="KU52">
            <v>0</v>
          </cell>
          <cell r="KV52">
            <v>0</v>
          </cell>
          <cell r="KW52">
            <v>0</v>
          </cell>
          <cell r="KY52">
            <v>0</v>
          </cell>
          <cell r="LA52">
            <v>0</v>
          </cell>
          <cell r="LB52">
            <v>0</v>
          </cell>
          <cell r="LC52">
            <v>0</v>
          </cell>
          <cell r="LE52" t="str">
            <v>810-61</v>
          </cell>
        </row>
        <row r="53">
          <cell r="B53">
            <v>530.7299999999999</v>
          </cell>
          <cell r="C53">
            <v>560</v>
          </cell>
          <cell r="D53">
            <v>193716.45</v>
          </cell>
          <cell r="E53">
            <v>204400</v>
          </cell>
          <cell r="F53">
            <v>0.9477321428571428</v>
          </cell>
          <cell r="G53">
            <v>0.9477321428571428</v>
          </cell>
          <cell r="H53">
            <v>5.2857142857142859E-2</v>
          </cell>
          <cell r="I53">
            <v>0.9281992573179636</v>
          </cell>
          <cell r="J53">
            <v>4.9999896899999996</v>
          </cell>
          <cell r="K53">
            <v>2.5000278599999999</v>
          </cell>
          <cell r="L53">
            <v>18.500021279999999</v>
          </cell>
          <cell r="M53">
            <v>0</v>
          </cell>
          <cell r="N53">
            <v>40.030027199999999</v>
          </cell>
          <cell r="O53">
            <v>0</v>
          </cell>
          <cell r="P53">
            <v>585.92999999999984</v>
          </cell>
          <cell r="Q53">
            <v>397.63000000000005</v>
          </cell>
          <cell r="R53">
            <v>260.00000000000006</v>
          </cell>
          <cell r="S53">
            <v>0</v>
          </cell>
          <cell r="T53">
            <v>511.24000000000012</v>
          </cell>
          <cell r="U53">
            <v>0</v>
          </cell>
          <cell r="W53">
            <v>536.5575342465753</v>
          </cell>
          <cell r="X53">
            <v>560</v>
          </cell>
          <cell r="Y53">
            <v>195843.5</v>
          </cell>
          <cell r="Z53">
            <v>204400</v>
          </cell>
          <cell r="AA53">
            <v>0.95813845401174158</v>
          </cell>
          <cell r="AB53">
            <v>0.95813845401174158</v>
          </cell>
          <cell r="AC53">
            <v>5.2857142857142859E-2</v>
          </cell>
          <cell r="AD53">
            <v>0.87808759765852951</v>
          </cell>
          <cell r="AE53">
            <v>4.4006350625960016</v>
          </cell>
          <cell r="AF53">
            <v>2.270912268049154</v>
          </cell>
          <cell r="AG53">
            <v>19.222892450588844</v>
          </cell>
          <cell r="AH53">
            <v>0</v>
          </cell>
          <cell r="AI53">
            <v>40.04732922683052</v>
          </cell>
          <cell r="AJ53">
            <v>0</v>
          </cell>
          <cell r="AK53">
            <v>606.65128379073019</v>
          </cell>
          <cell r="AL53">
            <v>446.02548354189344</v>
          </cell>
          <cell r="AM53">
            <v>331.38537113937423</v>
          </cell>
          <cell r="AN53">
            <v>0</v>
          </cell>
          <cell r="AO53">
            <v>496.21136444608544</v>
          </cell>
          <cell r="AP53">
            <v>0</v>
          </cell>
          <cell r="AR53">
            <v>531.07999999999993</v>
          </cell>
          <cell r="AS53">
            <v>560</v>
          </cell>
          <cell r="AT53">
            <v>194375.28</v>
          </cell>
          <cell r="AU53">
            <v>204960</v>
          </cell>
          <cell r="AV53">
            <v>0.94835714285714279</v>
          </cell>
          <cell r="AW53">
            <v>0.94835714285714279</v>
          </cell>
          <cell r="AX53">
            <v>3.0000000000000009E-2</v>
          </cell>
          <cell r="AY53">
            <v>0.89776254793127741</v>
          </cell>
          <cell r="AZ53">
            <v>4.1558699999999993</v>
          </cell>
          <cell r="BA53">
            <v>2.3925750000000003</v>
          </cell>
          <cell r="BB53">
            <v>19.527345</v>
          </cell>
          <cell r="BC53">
            <v>0</v>
          </cell>
          <cell r="BD53">
            <v>39.474209999999985</v>
          </cell>
          <cell r="BE53">
            <v>0</v>
          </cell>
          <cell r="BF53">
            <v>629.5200000000001</v>
          </cell>
          <cell r="BG53">
            <v>454.98</v>
          </cell>
          <cell r="BH53">
            <v>316.32</v>
          </cell>
          <cell r="BI53">
            <v>0</v>
          </cell>
          <cell r="BJ53">
            <v>526.41999999999996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2</v>
          </cell>
          <cell r="BZ53">
            <v>1</v>
          </cell>
          <cell r="CA53">
            <v>13.000000000000002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38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C53">
            <v>54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2</v>
          </cell>
          <cell r="DR53">
            <v>1</v>
          </cell>
          <cell r="DS53">
            <v>13.000000000000002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38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U53">
            <v>54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2</v>
          </cell>
          <cell r="FJ53">
            <v>0</v>
          </cell>
          <cell r="FK53">
            <v>10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38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M53">
            <v>50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13.999999999999998</v>
          </cell>
          <cell r="GZ53">
            <v>3</v>
          </cell>
          <cell r="HB53">
            <v>17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13.999999999999998</v>
          </cell>
          <cell r="HO53">
            <v>3</v>
          </cell>
          <cell r="HQ53">
            <v>17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13.999999999999998</v>
          </cell>
          <cell r="ID53">
            <v>3</v>
          </cell>
          <cell r="IF53">
            <v>17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KA53">
            <v>0</v>
          </cell>
          <cell r="KB53">
            <v>0</v>
          </cell>
          <cell r="KC53">
            <v>0</v>
          </cell>
          <cell r="KE53">
            <v>0</v>
          </cell>
          <cell r="KG53">
            <v>0</v>
          </cell>
          <cell r="KH53">
            <v>0</v>
          </cell>
          <cell r="KI53">
            <v>0</v>
          </cell>
          <cell r="KK53">
            <v>0</v>
          </cell>
          <cell r="KL53">
            <v>0</v>
          </cell>
          <cell r="KM53">
            <v>0</v>
          </cell>
          <cell r="KO53">
            <v>0</v>
          </cell>
          <cell r="KQ53">
            <v>0</v>
          </cell>
          <cell r="KR53">
            <v>0</v>
          </cell>
          <cell r="KS53">
            <v>0</v>
          </cell>
          <cell r="KU53">
            <v>0</v>
          </cell>
          <cell r="KV53">
            <v>0</v>
          </cell>
          <cell r="KW53">
            <v>0</v>
          </cell>
          <cell r="KY53">
            <v>0</v>
          </cell>
          <cell r="LA53">
            <v>0</v>
          </cell>
          <cell r="LB53">
            <v>0</v>
          </cell>
          <cell r="LC53">
            <v>0</v>
          </cell>
          <cell r="LE53" t="str">
            <v>810-Entity</v>
          </cell>
        </row>
        <row r="54">
          <cell r="B54">
            <v>30</v>
          </cell>
          <cell r="C54">
            <v>31</v>
          </cell>
          <cell r="D54">
            <v>10950</v>
          </cell>
          <cell r="E54">
            <v>11315</v>
          </cell>
          <cell r="F54">
            <v>0.967741935483871</v>
          </cell>
          <cell r="G54">
            <v>0.967741935483871</v>
          </cell>
          <cell r="H54">
            <v>3.9999999999999994E-2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30.649315068493152</v>
          </cell>
          <cell r="X54">
            <v>31</v>
          </cell>
          <cell r="Y54">
            <v>11187</v>
          </cell>
          <cell r="Z54">
            <v>11315</v>
          </cell>
          <cell r="AA54">
            <v>0.98868758285461777</v>
          </cell>
          <cell r="AB54">
            <v>0.98868758285461777</v>
          </cell>
          <cell r="AC54">
            <v>3.9999999999999994E-2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30</v>
          </cell>
          <cell r="AS54">
            <v>31</v>
          </cell>
          <cell r="AT54">
            <v>10980</v>
          </cell>
          <cell r="AU54">
            <v>11346</v>
          </cell>
          <cell r="AV54">
            <v>0.967741935483871</v>
          </cell>
          <cell r="AW54">
            <v>0.967741935483871</v>
          </cell>
          <cell r="AX54">
            <v>3.0000000000000009E-2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C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U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M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B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Q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F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KA54">
            <v>0</v>
          </cell>
          <cell r="KB54">
            <v>0</v>
          </cell>
          <cell r="KC54">
            <v>0</v>
          </cell>
          <cell r="KE54">
            <v>0</v>
          </cell>
          <cell r="KG54">
            <v>0</v>
          </cell>
          <cell r="KH54">
            <v>0</v>
          </cell>
          <cell r="KI54">
            <v>0</v>
          </cell>
          <cell r="KK54">
            <v>0</v>
          </cell>
          <cell r="KL54">
            <v>0</v>
          </cell>
          <cell r="KM54">
            <v>0</v>
          </cell>
          <cell r="KO54">
            <v>0</v>
          </cell>
          <cell r="KQ54">
            <v>0</v>
          </cell>
          <cell r="KR54">
            <v>0</v>
          </cell>
          <cell r="KS54">
            <v>0</v>
          </cell>
          <cell r="KU54">
            <v>0</v>
          </cell>
          <cell r="KV54">
            <v>0</v>
          </cell>
          <cell r="KW54">
            <v>0</v>
          </cell>
          <cell r="KY54">
            <v>0</v>
          </cell>
          <cell r="LA54">
            <v>0</v>
          </cell>
          <cell r="LB54">
            <v>0</v>
          </cell>
          <cell r="LC54">
            <v>0</v>
          </cell>
          <cell r="LE54" t="str">
            <v>925-21</v>
          </cell>
        </row>
        <row r="55">
          <cell r="B55">
            <v>35</v>
          </cell>
          <cell r="C55">
            <v>36</v>
          </cell>
          <cell r="D55">
            <v>12775</v>
          </cell>
          <cell r="E55">
            <v>13140</v>
          </cell>
          <cell r="F55">
            <v>0.97222222222222221</v>
          </cell>
          <cell r="G55">
            <v>0.97222222222222221</v>
          </cell>
          <cell r="H55">
            <v>3.9999999999999994E-2</v>
          </cell>
          <cell r="I55">
            <v>1.3288950784761482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35.745205479452054</v>
          </cell>
          <cell r="X55">
            <v>36</v>
          </cell>
          <cell r="Y55">
            <v>13047</v>
          </cell>
          <cell r="Z55">
            <v>13140</v>
          </cell>
          <cell r="AA55">
            <v>0.9929223744292236</v>
          </cell>
          <cell r="AB55">
            <v>0.9929223744292236</v>
          </cell>
          <cell r="AC55">
            <v>3.9999999999999994E-2</v>
          </cell>
          <cell r="AD55">
            <v>1.1712177045396737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35</v>
          </cell>
          <cell r="AS55">
            <v>36</v>
          </cell>
          <cell r="AT55">
            <v>12810</v>
          </cell>
          <cell r="AU55">
            <v>13176</v>
          </cell>
          <cell r="AV55">
            <v>0.97222222222222221</v>
          </cell>
          <cell r="AW55">
            <v>0.97222222222222221</v>
          </cell>
          <cell r="AX55">
            <v>3.0000000000000009E-2</v>
          </cell>
          <cell r="AY55">
            <v>1.2554283686476939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C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U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M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B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Q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F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KA55">
            <v>0</v>
          </cell>
          <cell r="KB55">
            <v>0</v>
          </cell>
          <cell r="KC55">
            <v>0</v>
          </cell>
          <cell r="KE55">
            <v>0</v>
          </cell>
          <cell r="KG55">
            <v>0</v>
          </cell>
          <cell r="KH55">
            <v>0</v>
          </cell>
          <cell r="KI55">
            <v>0</v>
          </cell>
          <cell r="KK55">
            <v>0</v>
          </cell>
          <cell r="KL55">
            <v>0</v>
          </cell>
          <cell r="KM55">
            <v>0</v>
          </cell>
          <cell r="KO55">
            <v>0</v>
          </cell>
          <cell r="KQ55">
            <v>0</v>
          </cell>
          <cell r="KR55">
            <v>0</v>
          </cell>
          <cell r="KS55">
            <v>0</v>
          </cell>
          <cell r="KU55">
            <v>0</v>
          </cell>
          <cell r="KV55">
            <v>0</v>
          </cell>
          <cell r="KW55">
            <v>0</v>
          </cell>
          <cell r="KY55">
            <v>0</v>
          </cell>
          <cell r="LA55">
            <v>0</v>
          </cell>
          <cell r="LB55">
            <v>0</v>
          </cell>
          <cell r="LC55">
            <v>0</v>
          </cell>
          <cell r="LE55" t="str">
            <v>925-31</v>
          </cell>
        </row>
        <row r="56">
          <cell r="B56">
            <v>38</v>
          </cell>
          <cell r="C56">
            <v>39</v>
          </cell>
          <cell r="D56">
            <v>13870</v>
          </cell>
          <cell r="E56">
            <v>14235</v>
          </cell>
          <cell r="F56">
            <v>0.97435897435897445</v>
          </cell>
          <cell r="G56">
            <v>0.97435897435897445</v>
          </cell>
          <cell r="H56">
            <v>3.9999999999999994E-2</v>
          </cell>
          <cell r="I56">
            <v>0.94481658730529305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37.950684931506849</v>
          </cell>
          <cell r="X56">
            <v>39</v>
          </cell>
          <cell r="Y56">
            <v>13852</v>
          </cell>
          <cell r="Z56">
            <v>14235</v>
          </cell>
          <cell r="AA56">
            <v>0.97309448542325239</v>
          </cell>
          <cell r="AB56">
            <v>0.97309448542325239</v>
          </cell>
          <cell r="AC56">
            <v>3.9999999999999994E-2</v>
          </cell>
          <cell r="AD56">
            <v>0.87485580634784332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38</v>
          </cell>
          <cell r="AS56">
            <v>39</v>
          </cell>
          <cell r="AT56">
            <v>13908</v>
          </cell>
          <cell r="AU56">
            <v>14274</v>
          </cell>
          <cell r="AV56">
            <v>0.97435897435897445</v>
          </cell>
          <cell r="AW56">
            <v>0.97435897435897445</v>
          </cell>
          <cell r="AX56">
            <v>3.0000000000000009E-2</v>
          </cell>
          <cell r="AY56">
            <v>0.895605069134771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C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U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M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B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Q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F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KA56">
            <v>0</v>
          </cell>
          <cell r="KB56">
            <v>0</v>
          </cell>
          <cell r="KC56">
            <v>0</v>
          </cell>
          <cell r="KE56">
            <v>0</v>
          </cell>
          <cell r="KG56">
            <v>0</v>
          </cell>
          <cell r="KH56">
            <v>0</v>
          </cell>
          <cell r="KI56">
            <v>0</v>
          </cell>
          <cell r="KK56">
            <v>0</v>
          </cell>
          <cell r="KL56">
            <v>0</v>
          </cell>
          <cell r="KM56">
            <v>0</v>
          </cell>
          <cell r="KO56">
            <v>0</v>
          </cell>
          <cell r="KQ56">
            <v>0</v>
          </cell>
          <cell r="KR56">
            <v>0</v>
          </cell>
          <cell r="KS56">
            <v>0</v>
          </cell>
          <cell r="KU56">
            <v>0</v>
          </cell>
          <cell r="KV56">
            <v>0</v>
          </cell>
          <cell r="KW56">
            <v>0</v>
          </cell>
          <cell r="KY56">
            <v>0</v>
          </cell>
          <cell r="LA56">
            <v>0</v>
          </cell>
          <cell r="LB56">
            <v>0</v>
          </cell>
          <cell r="LC56">
            <v>0</v>
          </cell>
          <cell r="LE56" t="str">
            <v>925-51</v>
          </cell>
        </row>
        <row r="57">
          <cell r="B57">
            <v>103</v>
          </cell>
          <cell r="C57">
            <v>106</v>
          </cell>
          <cell r="D57">
            <v>37595</v>
          </cell>
          <cell r="E57">
            <v>38690</v>
          </cell>
          <cell r="F57">
            <v>0.97169811320754718</v>
          </cell>
          <cell r="G57">
            <v>0.97169811320754718</v>
          </cell>
          <cell r="H57">
            <v>3.9999999999999994E-2</v>
          </cell>
          <cell r="I57">
            <v>0.84281156608517804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104.34520547945203</v>
          </cell>
          <cell r="X57">
            <v>106</v>
          </cell>
          <cell r="Y57">
            <v>38086</v>
          </cell>
          <cell r="Z57">
            <v>38690</v>
          </cell>
          <cell r="AA57">
            <v>0.98438873093822699</v>
          </cell>
          <cell r="AB57">
            <v>0.98438873093822699</v>
          </cell>
          <cell r="AC57">
            <v>3.9999999999999994E-2</v>
          </cell>
          <cell r="AD57">
            <v>0.73987537948292781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103</v>
          </cell>
          <cell r="AS57">
            <v>106</v>
          </cell>
          <cell r="AT57">
            <v>37698</v>
          </cell>
          <cell r="AU57">
            <v>38796</v>
          </cell>
          <cell r="AV57">
            <v>0.97169811320754718</v>
          </cell>
          <cell r="AW57">
            <v>0.97169811320754718</v>
          </cell>
          <cell r="AX57">
            <v>3.0000000000000009E-2</v>
          </cell>
          <cell r="AY57">
            <v>0.79822688622356364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C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U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M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B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Q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F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KA57">
            <v>0</v>
          </cell>
          <cell r="KB57">
            <v>0</v>
          </cell>
          <cell r="KC57">
            <v>0</v>
          </cell>
          <cell r="KE57">
            <v>0</v>
          </cell>
          <cell r="KG57">
            <v>0</v>
          </cell>
          <cell r="KH57">
            <v>0</v>
          </cell>
          <cell r="KI57">
            <v>0</v>
          </cell>
          <cell r="KK57">
            <v>0</v>
          </cell>
          <cell r="KL57">
            <v>0</v>
          </cell>
          <cell r="KM57">
            <v>0</v>
          </cell>
          <cell r="KO57">
            <v>0</v>
          </cell>
          <cell r="KQ57">
            <v>0</v>
          </cell>
          <cell r="KR57">
            <v>0</v>
          </cell>
          <cell r="KS57">
            <v>0</v>
          </cell>
          <cell r="KU57">
            <v>0</v>
          </cell>
          <cell r="KV57">
            <v>0</v>
          </cell>
          <cell r="KW57">
            <v>0</v>
          </cell>
          <cell r="KY57">
            <v>0</v>
          </cell>
          <cell r="LA57">
            <v>0</v>
          </cell>
          <cell r="LB57">
            <v>0</v>
          </cell>
          <cell r="LC57">
            <v>0</v>
          </cell>
          <cell r="LE57" t="str">
            <v>925-Entity</v>
          </cell>
        </row>
        <row r="58">
          <cell r="B58">
            <v>2713.3095890410964</v>
          </cell>
          <cell r="C58">
            <v>2989</v>
          </cell>
          <cell r="D58">
            <v>990358</v>
          </cell>
          <cell r="E58">
            <v>1090985</v>
          </cell>
          <cell r="F58">
            <v>0.90776500135198923</v>
          </cell>
          <cell r="G58">
            <v>0.90776500135198923</v>
          </cell>
          <cell r="H58">
            <v>5.7976190476190487E-2</v>
          </cell>
          <cell r="I58">
            <v>0.9926275830643756</v>
          </cell>
          <cell r="J58">
            <v>68.094002763333336</v>
          </cell>
          <cell r="K58">
            <v>44.57094965000001</v>
          </cell>
          <cell r="L58">
            <v>207.69137448999996</v>
          </cell>
          <cell r="M58">
            <v>1.6161626600000003</v>
          </cell>
          <cell r="N58">
            <v>191.34307769</v>
          </cell>
          <cell r="O58">
            <v>4.1706281000000009</v>
          </cell>
          <cell r="P58">
            <v>4330.5000000000009</v>
          </cell>
          <cell r="Q58">
            <v>3056.5400000000004</v>
          </cell>
          <cell r="R58">
            <v>1285.27</v>
          </cell>
          <cell r="S58">
            <v>1187.3000000000002</v>
          </cell>
          <cell r="T58">
            <v>4146.130000000001</v>
          </cell>
          <cell r="U58">
            <v>489.06000000000012</v>
          </cell>
          <cell r="W58">
            <v>2593.0403595621092</v>
          </cell>
          <cell r="X58">
            <v>2991.0178219979848</v>
          </cell>
          <cell r="Y58">
            <v>946467.24</v>
          </cell>
          <cell r="Z58">
            <v>1091721</v>
          </cell>
          <cell r="AA58">
            <v>0.86694974265402969</v>
          </cell>
          <cell r="AB58">
            <v>0.86753460405046812</v>
          </cell>
          <cell r="AC58">
            <v>5.7976190476190487E-2</v>
          </cell>
          <cell r="AD58">
            <v>0.98745975169518085</v>
          </cell>
          <cell r="AE58">
            <v>55.166766788453323</v>
          </cell>
          <cell r="AF58">
            <v>30.734037826212202</v>
          </cell>
          <cell r="AG58">
            <v>202.06497300089609</v>
          </cell>
          <cell r="AH58">
            <v>2.8967189483528557</v>
          </cell>
          <cell r="AI58">
            <v>181.429605522299</v>
          </cell>
          <cell r="AJ58">
            <v>8.6068365143369121</v>
          </cell>
          <cell r="AK58">
            <v>4808.7625612229194</v>
          </cell>
          <cell r="AL58">
            <v>3590.6848702432062</v>
          </cell>
          <cell r="AM58">
            <v>1390.0939449968282</v>
          </cell>
          <cell r="AN58">
            <v>1709.8917181846105</v>
          </cell>
          <cell r="AO58">
            <v>3891.7824935255621</v>
          </cell>
          <cell r="AP58">
            <v>515.1841279230656</v>
          </cell>
          <cell r="AR58">
            <v>2628.6052950819676</v>
          </cell>
          <cell r="AS58">
            <v>2989</v>
          </cell>
          <cell r="AT58">
            <v>962069.53800000041</v>
          </cell>
          <cell r="AU58">
            <v>1093974</v>
          </cell>
          <cell r="AV58">
            <v>0.87942632823083577</v>
          </cell>
          <cell r="AW58">
            <v>0.87942632823083577</v>
          </cell>
          <cell r="AX58">
            <v>3.0000000000000023E-2</v>
          </cell>
          <cell r="AY58">
            <v>1.0045419588324636</v>
          </cell>
          <cell r="AZ58">
            <v>53.660276800000013</v>
          </cell>
          <cell r="BA58">
            <v>28.942787200000001</v>
          </cell>
          <cell r="BB58">
            <v>210.50407339999995</v>
          </cell>
          <cell r="BC58">
            <v>1.7835584000000002</v>
          </cell>
          <cell r="BD58">
            <v>187.52950519999999</v>
          </cell>
          <cell r="BE58">
            <v>7.7156712000000018</v>
          </cell>
          <cell r="BF58">
            <v>5131.99</v>
          </cell>
          <cell r="BG58">
            <v>3664.6100000000006</v>
          </cell>
          <cell r="BH58">
            <v>1361.0500000000004</v>
          </cell>
          <cell r="BI58">
            <v>758.72521857923516</v>
          </cell>
          <cell r="BJ58">
            <v>4228.5200000000023</v>
          </cell>
          <cell r="BK58">
            <v>508.38</v>
          </cell>
          <cell r="BM58">
            <v>0</v>
          </cell>
          <cell r="BN58">
            <v>1</v>
          </cell>
          <cell r="BO58">
            <v>0</v>
          </cell>
          <cell r="BP58">
            <v>0</v>
          </cell>
          <cell r="BQ58">
            <v>9</v>
          </cell>
          <cell r="BR58">
            <v>16</v>
          </cell>
          <cell r="BS58">
            <v>0</v>
          </cell>
          <cell r="BT58">
            <v>1</v>
          </cell>
          <cell r="BU58">
            <v>19</v>
          </cell>
          <cell r="BV58">
            <v>1</v>
          </cell>
          <cell r="BW58">
            <v>55.000000000000021</v>
          </cell>
          <cell r="BX58">
            <v>36</v>
          </cell>
          <cell r="BY58">
            <v>2</v>
          </cell>
          <cell r="BZ58">
            <v>1</v>
          </cell>
          <cell r="CA58">
            <v>13.000000000000002</v>
          </cell>
          <cell r="CB58">
            <v>32.000000000000007</v>
          </cell>
          <cell r="CC58">
            <v>19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6.9999999999999991</v>
          </cell>
          <cell r="CI58">
            <v>9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1</v>
          </cell>
          <cell r="CO58">
            <v>0</v>
          </cell>
          <cell r="CP58">
            <v>20</v>
          </cell>
          <cell r="CQ58">
            <v>0</v>
          </cell>
          <cell r="CR58">
            <v>0</v>
          </cell>
          <cell r="CS58">
            <v>0</v>
          </cell>
          <cell r="CT58">
            <v>8</v>
          </cell>
          <cell r="CU58">
            <v>9</v>
          </cell>
          <cell r="CV58">
            <v>33.999999999999993</v>
          </cell>
          <cell r="CW58">
            <v>38</v>
          </cell>
          <cell r="CX58">
            <v>1</v>
          </cell>
          <cell r="CY58">
            <v>0</v>
          </cell>
          <cell r="CZ58">
            <v>0</v>
          </cell>
          <cell r="DA58">
            <v>13.999999999999998</v>
          </cell>
          <cell r="DC58">
            <v>346</v>
          </cell>
          <cell r="DE58">
            <v>0</v>
          </cell>
          <cell r="DF58">
            <v>1</v>
          </cell>
          <cell r="DG58">
            <v>0</v>
          </cell>
          <cell r="DH58">
            <v>0</v>
          </cell>
          <cell r="DI58">
            <v>9</v>
          </cell>
          <cell r="DJ58">
            <v>16</v>
          </cell>
          <cell r="DK58">
            <v>0</v>
          </cell>
          <cell r="DL58">
            <v>1</v>
          </cell>
          <cell r="DM58">
            <v>19</v>
          </cell>
          <cell r="DN58">
            <v>1</v>
          </cell>
          <cell r="DO58">
            <v>55.000000000000021</v>
          </cell>
          <cell r="DP58">
            <v>36</v>
          </cell>
          <cell r="DQ58">
            <v>2</v>
          </cell>
          <cell r="DR58">
            <v>1</v>
          </cell>
          <cell r="DS58">
            <v>13.000000000000002</v>
          </cell>
          <cell r="DT58">
            <v>32.000000000000007</v>
          </cell>
          <cell r="DU58">
            <v>19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6.9999999999999991</v>
          </cell>
          <cell r="EA58">
            <v>9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1</v>
          </cell>
          <cell r="EG58">
            <v>0</v>
          </cell>
          <cell r="EH58">
            <v>20</v>
          </cell>
          <cell r="EI58">
            <v>0</v>
          </cell>
          <cell r="EJ58">
            <v>0</v>
          </cell>
          <cell r="EK58">
            <v>0</v>
          </cell>
          <cell r="EL58">
            <v>8</v>
          </cell>
          <cell r="EM58">
            <v>9</v>
          </cell>
          <cell r="EN58">
            <v>33.999999999999993</v>
          </cell>
          <cell r="EO58">
            <v>38</v>
          </cell>
          <cell r="EP58">
            <v>1</v>
          </cell>
          <cell r="EQ58">
            <v>0</v>
          </cell>
          <cell r="ER58">
            <v>0</v>
          </cell>
          <cell r="ES58">
            <v>13.999999999999998</v>
          </cell>
          <cell r="EU58">
            <v>346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9</v>
          </cell>
          <cell r="FB58">
            <v>16</v>
          </cell>
          <cell r="FC58">
            <v>0</v>
          </cell>
          <cell r="FD58">
            <v>1</v>
          </cell>
          <cell r="FE58">
            <v>21</v>
          </cell>
          <cell r="FF58">
            <v>1</v>
          </cell>
          <cell r="FG58">
            <v>55.000000000000007</v>
          </cell>
          <cell r="FH58">
            <v>36</v>
          </cell>
          <cell r="FI58">
            <v>2</v>
          </cell>
          <cell r="FJ58">
            <v>0</v>
          </cell>
          <cell r="FK58">
            <v>10</v>
          </cell>
          <cell r="FL58">
            <v>27.999999999999989</v>
          </cell>
          <cell r="FM58">
            <v>21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9</v>
          </cell>
          <cell r="FS58">
            <v>12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21</v>
          </cell>
          <cell r="GA58">
            <v>0</v>
          </cell>
          <cell r="GB58">
            <v>0</v>
          </cell>
          <cell r="GC58">
            <v>0</v>
          </cell>
          <cell r="GD58">
            <v>6.9999999999999991</v>
          </cell>
          <cell r="GE58">
            <v>8</v>
          </cell>
          <cell r="GF58">
            <v>35.000000000000007</v>
          </cell>
          <cell r="GG58">
            <v>38</v>
          </cell>
          <cell r="GH58">
            <v>0</v>
          </cell>
          <cell r="GI58">
            <v>0</v>
          </cell>
          <cell r="GJ58">
            <v>0</v>
          </cell>
          <cell r="GK58">
            <v>10.999999999999998</v>
          </cell>
          <cell r="GM58">
            <v>341</v>
          </cell>
          <cell r="GO58">
            <v>2</v>
          </cell>
          <cell r="GP58">
            <v>4</v>
          </cell>
          <cell r="GQ58">
            <v>3</v>
          </cell>
          <cell r="GR58">
            <v>2</v>
          </cell>
          <cell r="GS58">
            <v>1</v>
          </cell>
          <cell r="GT58">
            <v>2</v>
          </cell>
          <cell r="GU58">
            <v>2</v>
          </cell>
          <cell r="GV58">
            <v>1</v>
          </cell>
          <cell r="GW58">
            <v>3</v>
          </cell>
          <cell r="GX58">
            <v>1</v>
          </cell>
          <cell r="GY58">
            <v>13.999999999999998</v>
          </cell>
          <cell r="GZ58">
            <v>3</v>
          </cell>
          <cell r="HB58">
            <v>38</v>
          </cell>
          <cell r="HD58">
            <v>2</v>
          </cell>
          <cell r="HE58">
            <v>4</v>
          </cell>
          <cell r="HF58">
            <v>3</v>
          </cell>
          <cell r="HG58">
            <v>2</v>
          </cell>
          <cell r="HH58">
            <v>1</v>
          </cell>
          <cell r="HI58">
            <v>2</v>
          </cell>
          <cell r="HJ58">
            <v>2</v>
          </cell>
          <cell r="HK58">
            <v>1</v>
          </cell>
          <cell r="HL58">
            <v>3</v>
          </cell>
          <cell r="HM58">
            <v>1</v>
          </cell>
          <cell r="HN58">
            <v>13.999999999999998</v>
          </cell>
          <cell r="HO58">
            <v>3</v>
          </cell>
          <cell r="HQ58">
            <v>38</v>
          </cell>
          <cell r="HS58">
            <v>2</v>
          </cell>
          <cell r="HT58">
            <v>4</v>
          </cell>
          <cell r="HU58">
            <v>3</v>
          </cell>
          <cell r="HV58">
            <v>2</v>
          </cell>
          <cell r="HW58">
            <v>1</v>
          </cell>
          <cell r="HX58">
            <v>2</v>
          </cell>
          <cell r="HY58">
            <v>2</v>
          </cell>
          <cell r="HZ58">
            <v>1</v>
          </cell>
          <cell r="IA58">
            <v>3</v>
          </cell>
          <cell r="IB58">
            <v>1</v>
          </cell>
          <cell r="IC58">
            <v>13.999999999999998</v>
          </cell>
          <cell r="ID58">
            <v>3</v>
          </cell>
          <cell r="IF58">
            <v>38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KA58">
            <v>10.999999999999998</v>
          </cell>
          <cell r="KB58">
            <v>39.000000000000007</v>
          </cell>
          <cell r="KC58">
            <v>6</v>
          </cell>
          <cell r="KE58">
            <v>19</v>
          </cell>
          <cell r="KG58">
            <v>10.999999999999998</v>
          </cell>
          <cell r="KH58">
            <v>20.000000000000007</v>
          </cell>
          <cell r="KI58">
            <v>6</v>
          </cell>
          <cell r="KK58">
            <v>10.999999999999998</v>
          </cell>
          <cell r="KL58">
            <v>39.000000000000007</v>
          </cell>
          <cell r="KM58">
            <v>6</v>
          </cell>
          <cell r="KO58">
            <v>19</v>
          </cell>
          <cell r="KQ58">
            <v>10.999999999999998</v>
          </cell>
          <cell r="KR58">
            <v>20.000000000000007</v>
          </cell>
          <cell r="KS58">
            <v>6</v>
          </cell>
          <cell r="KU58">
            <v>10.999999999999998</v>
          </cell>
          <cell r="KV58">
            <v>41.000000000000014</v>
          </cell>
          <cell r="KW58">
            <v>6</v>
          </cell>
          <cell r="KY58">
            <v>21</v>
          </cell>
          <cell r="LA58">
            <v>10.999999999999998</v>
          </cell>
          <cell r="LB58">
            <v>20.000000000000014</v>
          </cell>
          <cell r="LC58">
            <v>6</v>
          </cell>
          <cell r="LE58" t="str">
            <v>Asbury-Asbury</v>
          </cell>
        </row>
        <row r="59">
          <cell r="B59">
            <v>2713.3095890410964</v>
          </cell>
          <cell r="C59">
            <v>2989</v>
          </cell>
          <cell r="D59">
            <v>990358</v>
          </cell>
          <cell r="E59">
            <v>1090985</v>
          </cell>
          <cell r="F59">
            <v>0.90776500135198923</v>
          </cell>
          <cell r="G59">
            <v>0.90776500135198923</v>
          </cell>
          <cell r="H59">
            <v>5.7976190476190487E-2</v>
          </cell>
          <cell r="I59">
            <v>0.99112872043527001</v>
          </cell>
          <cell r="J59">
            <v>68.094002763333336</v>
          </cell>
          <cell r="K59">
            <v>44.57094965000001</v>
          </cell>
          <cell r="L59">
            <v>207.69137448999996</v>
          </cell>
          <cell r="M59">
            <v>1.6161626600000003</v>
          </cell>
          <cell r="N59">
            <v>191.34307769</v>
          </cell>
          <cell r="O59">
            <v>4.1706281000000009</v>
          </cell>
          <cell r="P59">
            <v>4330.5000000000009</v>
          </cell>
          <cell r="Q59">
            <v>3056.5400000000004</v>
          </cell>
          <cell r="R59">
            <v>1285.27</v>
          </cell>
          <cell r="S59">
            <v>1187.3000000000002</v>
          </cell>
          <cell r="T59">
            <v>4146.130000000001</v>
          </cell>
          <cell r="U59">
            <v>489.06000000000012</v>
          </cell>
          <cell r="W59">
            <v>2593.0403595621092</v>
          </cell>
          <cell r="X59">
            <v>2991.0178219979848</v>
          </cell>
          <cell r="Y59">
            <v>946467.24</v>
          </cell>
          <cell r="Z59">
            <v>1091721</v>
          </cell>
          <cell r="AA59">
            <v>0.86694974265402969</v>
          </cell>
          <cell r="AB59">
            <v>0.86753460405046812</v>
          </cell>
          <cell r="AC59">
            <v>5.7976190476190487E-2</v>
          </cell>
          <cell r="AD59">
            <v>0.98566846294121235</v>
          </cell>
          <cell r="AE59">
            <v>55.166766788453323</v>
          </cell>
          <cell r="AF59">
            <v>30.734037826212202</v>
          </cell>
          <cell r="AG59">
            <v>202.06497300089609</v>
          </cell>
          <cell r="AH59">
            <v>2.8967189483528557</v>
          </cell>
          <cell r="AI59">
            <v>181.429605522299</v>
          </cell>
          <cell r="AJ59">
            <v>8.6068365143369121</v>
          </cell>
          <cell r="AK59">
            <v>4808.7625612229194</v>
          </cell>
          <cell r="AL59">
            <v>3590.6848702432062</v>
          </cell>
          <cell r="AM59">
            <v>1390.0939449968282</v>
          </cell>
          <cell r="AN59">
            <v>1709.8917181846105</v>
          </cell>
          <cell r="AO59">
            <v>3891.7824935255621</v>
          </cell>
          <cell r="AP59">
            <v>515.1841279230656</v>
          </cell>
          <cell r="AR59">
            <v>2628.6052950819676</v>
          </cell>
          <cell r="AS59">
            <v>2989</v>
          </cell>
          <cell r="AT59">
            <v>962069.53800000041</v>
          </cell>
          <cell r="AU59">
            <v>1093974</v>
          </cell>
          <cell r="AV59">
            <v>0.87942632823083577</v>
          </cell>
          <cell r="AW59">
            <v>0.87942632823083577</v>
          </cell>
          <cell r="AX59">
            <v>3.0000000000000023E-2</v>
          </cell>
          <cell r="AY59">
            <v>1.006613439779688</v>
          </cell>
          <cell r="AZ59">
            <v>53.660276800000013</v>
          </cell>
          <cell r="BA59">
            <v>28.942787200000001</v>
          </cell>
          <cell r="BB59">
            <v>210.50407339999995</v>
          </cell>
          <cell r="BC59">
            <v>1.7835584000000002</v>
          </cell>
          <cell r="BD59">
            <v>187.52950519999999</v>
          </cell>
          <cell r="BE59">
            <v>7.7156712000000018</v>
          </cell>
          <cell r="BF59">
            <v>5131.99</v>
          </cell>
          <cell r="BG59">
            <v>3664.6100000000006</v>
          </cell>
          <cell r="BH59">
            <v>1361.0500000000004</v>
          </cell>
          <cell r="BI59">
            <v>758.72521857923516</v>
          </cell>
          <cell r="BJ59">
            <v>4228.5200000000023</v>
          </cell>
          <cell r="BK59">
            <v>508.38</v>
          </cell>
          <cell r="BM59">
            <v>0</v>
          </cell>
          <cell r="BN59">
            <v>1</v>
          </cell>
          <cell r="BO59">
            <v>0</v>
          </cell>
          <cell r="BP59">
            <v>0</v>
          </cell>
          <cell r="BQ59">
            <v>9</v>
          </cell>
          <cell r="BR59">
            <v>16</v>
          </cell>
          <cell r="BS59">
            <v>0</v>
          </cell>
          <cell r="BT59">
            <v>1</v>
          </cell>
          <cell r="BU59">
            <v>19</v>
          </cell>
          <cell r="BV59">
            <v>1</v>
          </cell>
          <cell r="BW59">
            <v>55.000000000000021</v>
          </cell>
          <cell r="BX59">
            <v>36</v>
          </cell>
          <cell r="BY59">
            <v>2</v>
          </cell>
          <cell r="BZ59">
            <v>1</v>
          </cell>
          <cell r="CA59">
            <v>13.000000000000002</v>
          </cell>
          <cell r="CB59">
            <v>32.000000000000007</v>
          </cell>
          <cell r="CC59">
            <v>19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6.9999999999999991</v>
          </cell>
          <cell r="CI59">
            <v>9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1</v>
          </cell>
          <cell r="CO59">
            <v>0</v>
          </cell>
          <cell r="CP59">
            <v>20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9</v>
          </cell>
          <cell r="CV59">
            <v>33.999999999999993</v>
          </cell>
          <cell r="CW59">
            <v>38</v>
          </cell>
          <cell r="CX59">
            <v>1</v>
          </cell>
          <cell r="CY59">
            <v>0</v>
          </cell>
          <cell r="CZ59">
            <v>0</v>
          </cell>
          <cell r="DA59">
            <v>13.999999999999998</v>
          </cell>
          <cell r="DC59">
            <v>346</v>
          </cell>
          <cell r="DE59">
            <v>0</v>
          </cell>
          <cell r="DF59">
            <v>1</v>
          </cell>
          <cell r="DG59">
            <v>0</v>
          </cell>
          <cell r="DH59">
            <v>0</v>
          </cell>
          <cell r="DI59">
            <v>9</v>
          </cell>
          <cell r="DJ59">
            <v>16</v>
          </cell>
          <cell r="DK59">
            <v>0</v>
          </cell>
          <cell r="DL59">
            <v>1</v>
          </cell>
          <cell r="DM59">
            <v>19</v>
          </cell>
          <cell r="DN59">
            <v>1</v>
          </cell>
          <cell r="DO59">
            <v>55.000000000000021</v>
          </cell>
          <cell r="DP59">
            <v>36</v>
          </cell>
          <cell r="DQ59">
            <v>2</v>
          </cell>
          <cell r="DR59">
            <v>1</v>
          </cell>
          <cell r="DS59">
            <v>13.000000000000002</v>
          </cell>
          <cell r="DT59">
            <v>32.000000000000007</v>
          </cell>
          <cell r="DU59">
            <v>19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6.9999999999999991</v>
          </cell>
          <cell r="EA59">
            <v>9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1</v>
          </cell>
          <cell r="EG59">
            <v>0</v>
          </cell>
          <cell r="EH59">
            <v>20</v>
          </cell>
          <cell r="EI59">
            <v>0</v>
          </cell>
          <cell r="EJ59">
            <v>0</v>
          </cell>
          <cell r="EK59">
            <v>0</v>
          </cell>
          <cell r="EL59">
            <v>8</v>
          </cell>
          <cell r="EM59">
            <v>9</v>
          </cell>
          <cell r="EN59">
            <v>33.999999999999993</v>
          </cell>
          <cell r="EO59">
            <v>38</v>
          </cell>
          <cell r="EP59">
            <v>1</v>
          </cell>
          <cell r="EQ59">
            <v>0</v>
          </cell>
          <cell r="ER59">
            <v>0</v>
          </cell>
          <cell r="ES59">
            <v>13.999999999999998</v>
          </cell>
          <cell r="EU59">
            <v>346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9</v>
          </cell>
          <cell r="FB59">
            <v>16</v>
          </cell>
          <cell r="FC59">
            <v>0</v>
          </cell>
          <cell r="FD59">
            <v>1</v>
          </cell>
          <cell r="FE59">
            <v>21</v>
          </cell>
          <cell r="FF59">
            <v>1</v>
          </cell>
          <cell r="FG59">
            <v>55.000000000000007</v>
          </cell>
          <cell r="FH59">
            <v>36</v>
          </cell>
          <cell r="FI59">
            <v>2</v>
          </cell>
          <cell r="FJ59">
            <v>0</v>
          </cell>
          <cell r="FK59">
            <v>10</v>
          </cell>
          <cell r="FL59">
            <v>27.999999999999989</v>
          </cell>
          <cell r="FM59">
            <v>21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9</v>
          </cell>
          <cell r="FS59">
            <v>12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21</v>
          </cell>
          <cell r="GA59">
            <v>0</v>
          </cell>
          <cell r="GB59">
            <v>0</v>
          </cell>
          <cell r="GC59">
            <v>0</v>
          </cell>
          <cell r="GD59">
            <v>6.9999999999999991</v>
          </cell>
          <cell r="GE59">
            <v>8</v>
          </cell>
          <cell r="GF59">
            <v>35.000000000000007</v>
          </cell>
          <cell r="GG59">
            <v>38</v>
          </cell>
          <cell r="GH59">
            <v>0</v>
          </cell>
          <cell r="GI59">
            <v>0</v>
          </cell>
          <cell r="GJ59">
            <v>0</v>
          </cell>
          <cell r="GK59">
            <v>10.999999999999998</v>
          </cell>
          <cell r="GM59">
            <v>341</v>
          </cell>
          <cell r="GO59">
            <v>2</v>
          </cell>
          <cell r="GP59">
            <v>4</v>
          </cell>
          <cell r="GQ59">
            <v>3</v>
          </cell>
          <cell r="GR59">
            <v>2</v>
          </cell>
          <cell r="GS59">
            <v>1</v>
          </cell>
          <cell r="GT59">
            <v>2</v>
          </cell>
          <cell r="GU59">
            <v>2</v>
          </cell>
          <cell r="GV59">
            <v>1</v>
          </cell>
          <cell r="GW59">
            <v>3</v>
          </cell>
          <cell r="GX59">
            <v>1</v>
          </cell>
          <cell r="GY59">
            <v>13.999999999999998</v>
          </cell>
          <cell r="GZ59">
            <v>3</v>
          </cell>
          <cell r="HB59">
            <v>38</v>
          </cell>
          <cell r="HD59">
            <v>2</v>
          </cell>
          <cell r="HE59">
            <v>4</v>
          </cell>
          <cell r="HF59">
            <v>3</v>
          </cell>
          <cell r="HG59">
            <v>2</v>
          </cell>
          <cell r="HH59">
            <v>1</v>
          </cell>
          <cell r="HI59">
            <v>2</v>
          </cell>
          <cell r="HJ59">
            <v>2</v>
          </cell>
          <cell r="HK59">
            <v>1</v>
          </cell>
          <cell r="HL59">
            <v>3</v>
          </cell>
          <cell r="HM59">
            <v>1</v>
          </cell>
          <cell r="HN59">
            <v>13.999999999999998</v>
          </cell>
          <cell r="HO59">
            <v>3</v>
          </cell>
          <cell r="HQ59">
            <v>38</v>
          </cell>
          <cell r="HS59">
            <v>2</v>
          </cell>
          <cell r="HT59">
            <v>4</v>
          </cell>
          <cell r="HU59">
            <v>3</v>
          </cell>
          <cell r="HV59">
            <v>2</v>
          </cell>
          <cell r="HW59">
            <v>1</v>
          </cell>
          <cell r="HX59">
            <v>2</v>
          </cell>
          <cell r="HY59">
            <v>2</v>
          </cell>
          <cell r="HZ59">
            <v>1</v>
          </cell>
          <cell r="IA59">
            <v>3</v>
          </cell>
          <cell r="IB59">
            <v>1</v>
          </cell>
          <cell r="IC59">
            <v>13.999999999999998</v>
          </cell>
          <cell r="ID59">
            <v>3</v>
          </cell>
          <cell r="IF59">
            <v>38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KA59">
            <v>10.999999999999998</v>
          </cell>
          <cell r="KB59">
            <v>39.000000000000007</v>
          </cell>
          <cell r="KC59">
            <v>6</v>
          </cell>
          <cell r="KE59">
            <v>19</v>
          </cell>
          <cell r="KG59">
            <v>10.999999999999998</v>
          </cell>
          <cell r="KH59">
            <v>20.000000000000007</v>
          </cell>
          <cell r="KI59">
            <v>6</v>
          </cell>
          <cell r="KK59">
            <v>10.999999999999998</v>
          </cell>
          <cell r="KL59">
            <v>39.000000000000007</v>
          </cell>
          <cell r="KM59">
            <v>6</v>
          </cell>
          <cell r="KO59">
            <v>19</v>
          </cell>
          <cell r="KQ59">
            <v>10.999999999999998</v>
          </cell>
          <cell r="KR59">
            <v>20.000000000000007</v>
          </cell>
          <cell r="KS59">
            <v>6</v>
          </cell>
          <cell r="KU59">
            <v>10.999999999999998</v>
          </cell>
          <cell r="KV59">
            <v>41.000000000000014</v>
          </cell>
          <cell r="KW59">
            <v>6</v>
          </cell>
          <cell r="KY59">
            <v>21</v>
          </cell>
          <cell r="LA59">
            <v>10.999999999999998</v>
          </cell>
          <cell r="LB59">
            <v>20.000000000000014</v>
          </cell>
          <cell r="LC59">
            <v>6</v>
          </cell>
          <cell r="LE59" t="str">
            <v>Asbury (Consolidated)-Asbury (Consolidated)</v>
          </cell>
        </row>
        <row r="60">
          <cell r="B60">
            <v>48</v>
          </cell>
          <cell r="C60">
            <v>52</v>
          </cell>
          <cell r="D60">
            <v>17520</v>
          </cell>
          <cell r="E60">
            <v>18980</v>
          </cell>
          <cell r="F60">
            <v>0.92307692307692324</v>
          </cell>
          <cell r="G60">
            <v>0.92307692307692324</v>
          </cell>
          <cell r="H60">
            <v>7.9999999999999988E-2</v>
          </cell>
          <cell r="I60">
            <v>0.63737150903302131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49.841095890410962</v>
          </cell>
          <cell r="X60">
            <v>52</v>
          </cell>
          <cell r="Y60">
            <v>18192</v>
          </cell>
          <cell r="Z60">
            <v>18980</v>
          </cell>
          <cell r="AA60">
            <v>0.9584826132771338</v>
          </cell>
          <cell r="AB60">
            <v>0.9584826132771338</v>
          </cell>
          <cell r="AC60">
            <v>7.9999999999999988E-2</v>
          </cell>
          <cell r="AD60">
            <v>0.49054837299932225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50</v>
          </cell>
          <cell r="AS60">
            <v>52</v>
          </cell>
          <cell r="AT60">
            <v>18300</v>
          </cell>
          <cell r="AU60">
            <v>19032</v>
          </cell>
          <cell r="AV60">
            <v>0.96153846153846156</v>
          </cell>
          <cell r="AW60">
            <v>0.96153846153846156</v>
          </cell>
          <cell r="AX60">
            <v>3.0000000000000009E-2</v>
          </cell>
          <cell r="AY60">
            <v>0.54841623410876994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C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U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20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M60">
            <v>20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B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Q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F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KA60">
            <v>0</v>
          </cell>
          <cell r="KB60">
            <v>0</v>
          </cell>
          <cell r="KC60">
            <v>0</v>
          </cell>
          <cell r="KE60">
            <v>0</v>
          </cell>
          <cell r="KG60">
            <v>0</v>
          </cell>
          <cell r="KH60">
            <v>0</v>
          </cell>
          <cell r="KI60">
            <v>0</v>
          </cell>
          <cell r="KK60">
            <v>0</v>
          </cell>
          <cell r="KL60">
            <v>0</v>
          </cell>
          <cell r="KM60">
            <v>0</v>
          </cell>
          <cell r="KO60">
            <v>0</v>
          </cell>
          <cell r="KQ60">
            <v>0</v>
          </cell>
          <cell r="KR60">
            <v>0</v>
          </cell>
          <cell r="KS60">
            <v>0</v>
          </cell>
          <cell r="KU60">
            <v>0</v>
          </cell>
          <cell r="KV60">
            <v>0</v>
          </cell>
          <cell r="KW60">
            <v>0</v>
          </cell>
          <cell r="KY60">
            <v>0</v>
          </cell>
          <cell r="LA60">
            <v>0</v>
          </cell>
          <cell r="LB60">
            <v>0</v>
          </cell>
          <cell r="LC60">
            <v>0</v>
          </cell>
          <cell r="LE60" t="str">
            <v>835-21</v>
          </cell>
        </row>
        <row r="61">
          <cell r="B61">
            <v>72.929999999999993</v>
          </cell>
          <cell r="C61">
            <v>78</v>
          </cell>
          <cell r="D61">
            <v>26619.450000000008</v>
          </cell>
          <cell r="E61">
            <v>28470</v>
          </cell>
          <cell r="F61">
            <v>0.93500000000000039</v>
          </cell>
          <cell r="G61">
            <v>0.93500000000000039</v>
          </cell>
          <cell r="H61">
            <v>7.9999999999999988E-2</v>
          </cell>
          <cell r="I61">
            <v>2.4166115936996184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70.454219178082184</v>
          </cell>
          <cell r="X61">
            <v>78</v>
          </cell>
          <cell r="Y61">
            <v>25715.790000000008</v>
          </cell>
          <cell r="Z61">
            <v>28470</v>
          </cell>
          <cell r="AA61">
            <v>0.90325922023182315</v>
          </cell>
          <cell r="AB61">
            <v>0.90325922023182315</v>
          </cell>
          <cell r="AC61">
            <v>7.9999999999999988E-2</v>
          </cell>
          <cell r="AD61">
            <v>2.4869209885485279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71</v>
          </cell>
          <cell r="AS61">
            <v>78</v>
          </cell>
          <cell r="AT61">
            <v>25986</v>
          </cell>
          <cell r="AU61">
            <v>28548</v>
          </cell>
          <cell r="AV61">
            <v>0.91025641025641024</v>
          </cell>
          <cell r="AW61">
            <v>0.91025641025641024</v>
          </cell>
          <cell r="AX61">
            <v>3.0000000000000009E-2</v>
          </cell>
          <cell r="AY61">
            <v>2.4045069724633636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5</v>
          </cell>
          <cell r="CR61">
            <v>0</v>
          </cell>
          <cell r="CS61">
            <v>13.999999999999998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C61">
            <v>19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5</v>
          </cell>
          <cell r="EJ61">
            <v>0</v>
          </cell>
          <cell r="EK61">
            <v>13.999999999999998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U61">
            <v>19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4</v>
          </cell>
          <cell r="GB61">
            <v>0</v>
          </cell>
          <cell r="GC61">
            <v>12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M61">
            <v>16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B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Q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F61">
            <v>0</v>
          </cell>
          <cell r="IH61">
            <v>19</v>
          </cell>
          <cell r="II61">
            <v>78.000000000000014</v>
          </cell>
          <cell r="IJ61">
            <v>0</v>
          </cell>
          <cell r="IK61">
            <v>0</v>
          </cell>
          <cell r="IM61">
            <v>5</v>
          </cell>
          <cell r="IN61">
            <v>13.999999999999998</v>
          </cell>
          <cell r="IO61">
            <v>0</v>
          </cell>
          <cell r="IP61">
            <v>0</v>
          </cell>
          <cell r="IR61">
            <v>5</v>
          </cell>
          <cell r="IS61">
            <v>13.999999999999998</v>
          </cell>
          <cell r="IT61">
            <v>14</v>
          </cell>
          <cell r="IU61">
            <v>64.000000000000014</v>
          </cell>
          <cell r="IW61">
            <v>19</v>
          </cell>
          <cell r="IX61">
            <v>78.000000000000014</v>
          </cell>
          <cell r="IY61">
            <v>0</v>
          </cell>
          <cell r="IZ61">
            <v>0</v>
          </cell>
          <cell r="JB61">
            <v>5</v>
          </cell>
          <cell r="JC61">
            <v>13.999999999999998</v>
          </cell>
          <cell r="JD61">
            <v>0</v>
          </cell>
          <cell r="JE61">
            <v>0</v>
          </cell>
          <cell r="JG61">
            <v>5</v>
          </cell>
          <cell r="JH61">
            <v>13.999999999999998</v>
          </cell>
          <cell r="JI61">
            <v>14</v>
          </cell>
          <cell r="JJ61">
            <v>64.000000000000014</v>
          </cell>
          <cell r="JL61">
            <v>17.999999999999996</v>
          </cell>
          <cell r="JM61">
            <v>76</v>
          </cell>
          <cell r="JN61">
            <v>0</v>
          </cell>
          <cell r="JO61">
            <v>0</v>
          </cell>
          <cell r="JQ61">
            <v>4</v>
          </cell>
          <cell r="JR61">
            <v>12</v>
          </cell>
          <cell r="JS61">
            <v>0</v>
          </cell>
          <cell r="JT61">
            <v>0</v>
          </cell>
          <cell r="JV61">
            <v>4</v>
          </cell>
          <cell r="JW61">
            <v>12</v>
          </cell>
          <cell r="JX61">
            <v>13.999999999999996</v>
          </cell>
          <cell r="JY61">
            <v>64</v>
          </cell>
          <cell r="KA61">
            <v>0</v>
          </cell>
          <cell r="KB61">
            <v>0</v>
          </cell>
          <cell r="KC61">
            <v>0</v>
          </cell>
          <cell r="KE61">
            <v>0</v>
          </cell>
          <cell r="KG61">
            <v>0</v>
          </cell>
          <cell r="KH61">
            <v>0</v>
          </cell>
          <cell r="KI61">
            <v>0</v>
          </cell>
          <cell r="KK61">
            <v>0</v>
          </cell>
          <cell r="KL61">
            <v>0</v>
          </cell>
          <cell r="KM61">
            <v>0</v>
          </cell>
          <cell r="KO61">
            <v>0</v>
          </cell>
          <cell r="KQ61">
            <v>0</v>
          </cell>
          <cell r="KR61">
            <v>0</v>
          </cell>
          <cell r="KS61">
            <v>0</v>
          </cell>
          <cell r="KU61">
            <v>0</v>
          </cell>
          <cell r="KV61">
            <v>0</v>
          </cell>
          <cell r="KW61">
            <v>0</v>
          </cell>
          <cell r="KY61">
            <v>0</v>
          </cell>
          <cell r="LA61">
            <v>0</v>
          </cell>
          <cell r="LB61">
            <v>0</v>
          </cell>
          <cell r="LC61">
            <v>0</v>
          </cell>
          <cell r="LE61" t="str">
            <v>835-31</v>
          </cell>
        </row>
        <row r="62">
          <cell r="B62">
            <v>36</v>
          </cell>
          <cell r="C62">
            <v>38</v>
          </cell>
          <cell r="D62">
            <v>13140</v>
          </cell>
          <cell r="E62">
            <v>13870</v>
          </cell>
          <cell r="F62">
            <v>0.94736842105263164</v>
          </cell>
          <cell r="G62">
            <v>0.94736842105263164</v>
          </cell>
          <cell r="H62">
            <v>7.9999999999999988E-2</v>
          </cell>
          <cell r="I62">
            <v>0.93744776147366404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35.147945205479452</v>
          </cell>
          <cell r="X62">
            <v>38</v>
          </cell>
          <cell r="Y62">
            <v>12829</v>
          </cell>
          <cell r="Z62">
            <v>13870</v>
          </cell>
          <cell r="AA62">
            <v>0.92494592645998563</v>
          </cell>
          <cell r="AB62">
            <v>0.92494592645998563</v>
          </cell>
          <cell r="AC62">
            <v>7.9999999999999988E-2</v>
          </cell>
          <cell r="AD62">
            <v>0.91153543114727464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35.719999999999992</v>
          </cell>
          <cell r="AS62">
            <v>38</v>
          </cell>
          <cell r="AT62">
            <v>13073.52</v>
          </cell>
          <cell r="AU62">
            <v>13908</v>
          </cell>
          <cell r="AV62">
            <v>0.94</v>
          </cell>
          <cell r="AW62">
            <v>0.94</v>
          </cell>
          <cell r="AX62">
            <v>3.0000000000000009E-2</v>
          </cell>
          <cell r="AY62">
            <v>0.93938841088524716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3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C62">
            <v>3</v>
          </cell>
          <cell r="DE62">
            <v>0</v>
          </cell>
          <cell r="DF62">
            <v>0</v>
          </cell>
          <cell r="DG62">
            <v>3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U62">
            <v>3</v>
          </cell>
          <cell r="EW62">
            <v>0</v>
          </cell>
          <cell r="EX62">
            <v>0</v>
          </cell>
          <cell r="EY62">
            <v>1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M62">
            <v>1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B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Q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F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KA62">
            <v>0</v>
          </cell>
          <cell r="KB62">
            <v>0</v>
          </cell>
          <cell r="KC62">
            <v>0</v>
          </cell>
          <cell r="KE62">
            <v>0</v>
          </cell>
          <cell r="KG62">
            <v>0</v>
          </cell>
          <cell r="KH62">
            <v>0</v>
          </cell>
          <cell r="KI62">
            <v>0</v>
          </cell>
          <cell r="KK62">
            <v>0</v>
          </cell>
          <cell r="KL62">
            <v>0</v>
          </cell>
          <cell r="KM62">
            <v>0</v>
          </cell>
          <cell r="KO62">
            <v>0</v>
          </cell>
          <cell r="KQ62">
            <v>0</v>
          </cell>
          <cell r="KR62">
            <v>0</v>
          </cell>
          <cell r="KS62">
            <v>0</v>
          </cell>
          <cell r="KU62">
            <v>0</v>
          </cell>
          <cell r="KV62">
            <v>0</v>
          </cell>
          <cell r="KW62">
            <v>0</v>
          </cell>
          <cell r="KY62">
            <v>0</v>
          </cell>
          <cell r="LA62">
            <v>0</v>
          </cell>
          <cell r="LB62">
            <v>0</v>
          </cell>
          <cell r="LC62">
            <v>0</v>
          </cell>
          <cell r="LE62" t="str">
            <v>835-51</v>
          </cell>
        </row>
        <row r="63">
          <cell r="B63">
            <v>90</v>
          </cell>
          <cell r="C63">
            <v>119</v>
          </cell>
          <cell r="D63">
            <v>32850</v>
          </cell>
          <cell r="E63">
            <v>43435</v>
          </cell>
          <cell r="F63">
            <v>0.75630252100840334</v>
          </cell>
          <cell r="G63">
            <v>0.75630252100840334</v>
          </cell>
          <cell r="H63">
            <v>8.8999999999999982E-2</v>
          </cell>
          <cell r="I63">
            <v>1.2305812111559395</v>
          </cell>
          <cell r="J63">
            <v>8.0999999999999979</v>
          </cell>
          <cell r="K63">
            <v>4.5</v>
          </cell>
          <cell r="L63">
            <v>57.203999999999986</v>
          </cell>
          <cell r="M63">
            <v>0.999</v>
          </cell>
          <cell r="N63">
            <v>19.196999999999999</v>
          </cell>
          <cell r="O63">
            <v>0</v>
          </cell>
          <cell r="P63">
            <v>539.08000000000015</v>
          </cell>
          <cell r="Q63">
            <v>384.00000000000006</v>
          </cell>
          <cell r="R63">
            <v>206</v>
          </cell>
          <cell r="S63">
            <v>212.08000000000007</v>
          </cell>
          <cell r="T63">
            <v>456.7600000000001</v>
          </cell>
          <cell r="U63">
            <v>0</v>
          </cell>
          <cell r="W63">
            <v>93.986301369863</v>
          </cell>
          <cell r="X63">
            <v>119</v>
          </cell>
          <cell r="Y63">
            <v>34305</v>
          </cell>
          <cell r="Z63">
            <v>43435</v>
          </cell>
          <cell r="AA63">
            <v>0.7898008518475883</v>
          </cell>
          <cell r="AB63">
            <v>0.7898008518475883</v>
          </cell>
          <cell r="AC63">
            <v>8.8999999999999982E-2</v>
          </cell>
          <cell r="AD63">
            <v>1.0152106651275794</v>
          </cell>
          <cell r="AE63">
            <v>7.4922595953134818</v>
          </cell>
          <cell r="AF63">
            <v>8.0061815800137577</v>
          </cell>
          <cell r="AG63">
            <v>58.605584123921346</v>
          </cell>
          <cell r="AH63">
            <v>2.3220713891087779</v>
          </cell>
          <cell r="AI63">
            <v>17.57793556970714</v>
          </cell>
          <cell r="AJ63">
            <v>0</v>
          </cell>
          <cell r="AK63">
            <v>533.93248480942088</v>
          </cell>
          <cell r="AL63">
            <v>377.81289893505442</v>
          </cell>
          <cell r="AM63">
            <v>213.36227047119195</v>
          </cell>
          <cell r="AN63">
            <v>215.8455689570296</v>
          </cell>
          <cell r="AO63">
            <v>432.8695197383451</v>
          </cell>
          <cell r="AP63">
            <v>0</v>
          </cell>
          <cell r="AR63">
            <v>92</v>
          </cell>
          <cell r="AS63">
            <v>119</v>
          </cell>
          <cell r="AT63">
            <v>33672</v>
          </cell>
          <cell r="AU63">
            <v>43554</v>
          </cell>
          <cell r="AV63">
            <v>0.77310924369747902</v>
          </cell>
          <cell r="AW63">
            <v>0.77310924369747902</v>
          </cell>
          <cell r="AX63">
            <v>3.0000000000000009E-2</v>
          </cell>
          <cell r="AY63">
            <v>1.2136140882660549</v>
          </cell>
          <cell r="AZ63">
            <v>8.2799999999999994</v>
          </cell>
          <cell r="BA63">
            <v>6.7987999999999991</v>
          </cell>
          <cell r="BB63">
            <v>58.015200000000014</v>
          </cell>
          <cell r="BC63">
            <v>1.9319999999999995</v>
          </cell>
          <cell r="BD63">
            <v>16.973999999999997</v>
          </cell>
          <cell r="BE63">
            <v>0</v>
          </cell>
          <cell r="BF63">
            <v>554.65</v>
          </cell>
          <cell r="BG63">
            <v>391.26999999999992</v>
          </cell>
          <cell r="BH63">
            <v>211.38499999999996</v>
          </cell>
          <cell r="BI63">
            <v>215</v>
          </cell>
          <cell r="BJ63">
            <v>472.94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C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U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M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B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Q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F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KA63">
            <v>0</v>
          </cell>
          <cell r="KB63">
            <v>0</v>
          </cell>
          <cell r="KC63">
            <v>0</v>
          </cell>
          <cell r="KE63">
            <v>0</v>
          </cell>
          <cell r="KG63">
            <v>0</v>
          </cell>
          <cell r="KH63">
            <v>0</v>
          </cell>
          <cell r="KI63">
            <v>0</v>
          </cell>
          <cell r="KK63">
            <v>0</v>
          </cell>
          <cell r="KL63">
            <v>0</v>
          </cell>
          <cell r="KM63">
            <v>0</v>
          </cell>
          <cell r="KO63">
            <v>0</v>
          </cell>
          <cell r="KQ63">
            <v>0</v>
          </cell>
          <cell r="KR63">
            <v>0</v>
          </cell>
          <cell r="KS63">
            <v>0</v>
          </cell>
          <cell r="KU63">
            <v>0</v>
          </cell>
          <cell r="KV63">
            <v>0</v>
          </cell>
          <cell r="KW63">
            <v>0</v>
          </cell>
          <cell r="KY63">
            <v>0</v>
          </cell>
          <cell r="LA63">
            <v>0</v>
          </cell>
          <cell r="LB63">
            <v>0</v>
          </cell>
          <cell r="LC63">
            <v>0</v>
          </cell>
          <cell r="LE63" t="str">
            <v>835-61</v>
          </cell>
        </row>
        <row r="64">
          <cell r="B64">
            <v>246.93000000000009</v>
          </cell>
          <cell r="C64">
            <v>287</v>
          </cell>
          <cell r="D64">
            <v>90129.45</v>
          </cell>
          <cell r="E64">
            <v>104755</v>
          </cell>
          <cell r="F64">
            <v>0.86038327526132397</v>
          </cell>
          <cell r="G64">
            <v>0.86038327526132397</v>
          </cell>
          <cell r="H64">
            <v>8.2250000000000018E-2</v>
          </cell>
          <cell r="I64">
            <v>1.2712114879258003</v>
          </cell>
          <cell r="J64">
            <v>8.0999999999999979</v>
          </cell>
          <cell r="K64">
            <v>4.5</v>
          </cell>
          <cell r="L64">
            <v>57.203999999999986</v>
          </cell>
          <cell r="M64">
            <v>0.999</v>
          </cell>
          <cell r="N64">
            <v>19.196999999999999</v>
          </cell>
          <cell r="O64">
            <v>0</v>
          </cell>
          <cell r="P64">
            <v>539.08000000000015</v>
          </cell>
          <cell r="Q64">
            <v>384.00000000000006</v>
          </cell>
          <cell r="R64">
            <v>206</v>
          </cell>
          <cell r="S64">
            <v>212.08000000000007</v>
          </cell>
          <cell r="T64">
            <v>456.7600000000001</v>
          </cell>
          <cell r="U64">
            <v>0</v>
          </cell>
          <cell r="W64">
            <v>249.42956164383563</v>
          </cell>
          <cell r="X64">
            <v>287</v>
          </cell>
          <cell r="Y64">
            <v>91041.79</v>
          </cell>
          <cell r="Z64">
            <v>104755</v>
          </cell>
          <cell r="AA64">
            <v>0.86909254928165713</v>
          </cell>
          <cell r="AB64">
            <v>0.86909254928165713</v>
          </cell>
          <cell r="AC64">
            <v>8.2250000000000018E-2</v>
          </cell>
          <cell r="AD64">
            <v>1.1146987262555199</v>
          </cell>
          <cell r="AE64">
            <v>7.4922595953134818</v>
          </cell>
          <cell r="AF64">
            <v>8.0061815800137577</v>
          </cell>
          <cell r="AG64">
            <v>58.605584123921346</v>
          </cell>
          <cell r="AH64">
            <v>2.3220713891087779</v>
          </cell>
          <cell r="AI64">
            <v>17.57793556970714</v>
          </cell>
          <cell r="AJ64">
            <v>0</v>
          </cell>
          <cell r="AK64">
            <v>533.93248480942088</v>
          </cell>
          <cell r="AL64">
            <v>377.81289893505442</v>
          </cell>
          <cell r="AM64">
            <v>213.36227047119195</v>
          </cell>
          <cell r="AN64">
            <v>215.8455689570296</v>
          </cell>
          <cell r="AO64">
            <v>432.8695197383451</v>
          </cell>
          <cell r="AP64">
            <v>0</v>
          </cell>
          <cell r="AR64">
            <v>248.71999999999997</v>
          </cell>
          <cell r="AS64">
            <v>287</v>
          </cell>
          <cell r="AT64">
            <v>91031.520000000019</v>
          </cell>
          <cell r="AU64">
            <v>105042</v>
          </cell>
          <cell r="AV64">
            <v>0.86662020905923365</v>
          </cell>
          <cell r="AW64">
            <v>0.86662020905923365</v>
          </cell>
          <cell r="AX64">
            <v>3.0000000000000009E-2</v>
          </cell>
          <cell r="AY64">
            <v>1.2461695146847682</v>
          </cell>
          <cell r="AZ64">
            <v>8.2799999999999994</v>
          </cell>
          <cell r="BA64">
            <v>6.7987999999999991</v>
          </cell>
          <cell r="BB64">
            <v>58.015200000000014</v>
          </cell>
          <cell r="BC64">
            <v>1.9319999999999995</v>
          </cell>
          <cell r="BD64">
            <v>16.973999999999997</v>
          </cell>
          <cell r="BE64">
            <v>0</v>
          </cell>
          <cell r="BF64">
            <v>554.65</v>
          </cell>
          <cell r="BG64">
            <v>391.26999999999992</v>
          </cell>
          <cell r="BH64">
            <v>211.38499999999996</v>
          </cell>
          <cell r="BI64">
            <v>215</v>
          </cell>
          <cell r="BJ64">
            <v>472.94</v>
          </cell>
          <cell r="BK64">
            <v>0</v>
          </cell>
          <cell r="BM64">
            <v>0</v>
          </cell>
          <cell r="BN64">
            <v>0</v>
          </cell>
          <cell r="BO64">
            <v>3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5</v>
          </cell>
          <cell r="CR64">
            <v>0</v>
          </cell>
          <cell r="CS64">
            <v>13.999999999999998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C64">
            <v>22</v>
          </cell>
          <cell r="DE64">
            <v>0</v>
          </cell>
          <cell r="DF64">
            <v>0</v>
          </cell>
          <cell r="DG64">
            <v>3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5</v>
          </cell>
          <cell r="EJ64">
            <v>0</v>
          </cell>
          <cell r="EK64">
            <v>13.999999999999998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U64">
            <v>22</v>
          </cell>
          <cell r="EW64">
            <v>0</v>
          </cell>
          <cell r="EX64">
            <v>0</v>
          </cell>
          <cell r="EY64">
            <v>1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4</v>
          </cell>
          <cell r="GB64">
            <v>20</v>
          </cell>
          <cell r="GC64">
            <v>12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M64">
            <v>37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B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Q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F64">
            <v>0</v>
          </cell>
          <cell r="IH64">
            <v>19</v>
          </cell>
          <cell r="II64">
            <v>78.000000000000014</v>
          </cell>
          <cell r="IJ64">
            <v>0</v>
          </cell>
          <cell r="IK64">
            <v>0</v>
          </cell>
          <cell r="IM64">
            <v>5</v>
          </cell>
          <cell r="IN64">
            <v>13.999999999999998</v>
          </cell>
          <cell r="IO64">
            <v>0</v>
          </cell>
          <cell r="IP64">
            <v>0</v>
          </cell>
          <cell r="IR64">
            <v>5</v>
          </cell>
          <cell r="IS64">
            <v>13.999999999999998</v>
          </cell>
          <cell r="IT64">
            <v>14</v>
          </cell>
          <cell r="IU64">
            <v>64.000000000000014</v>
          </cell>
          <cell r="IW64">
            <v>19</v>
          </cell>
          <cell r="IX64">
            <v>78.000000000000014</v>
          </cell>
          <cell r="IY64">
            <v>0</v>
          </cell>
          <cell r="IZ64">
            <v>0</v>
          </cell>
          <cell r="JB64">
            <v>5</v>
          </cell>
          <cell r="JC64">
            <v>13.999999999999998</v>
          </cell>
          <cell r="JD64">
            <v>0</v>
          </cell>
          <cell r="JE64">
            <v>0</v>
          </cell>
          <cell r="JG64">
            <v>5</v>
          </cell>
          <cell r="JH64">
            <v>13.999999999999998</v>
          </cell>
          <cell r="JI64">
            <v>14</v>
          </cell>
          <cell r="JJ64">
            <v>64.000000000000014</v>
          </cell>
          <cell r="JL64">
            <v>17.999999999999996</v>
          </cell>
          <cell r="JM64">
            <v>76</v>
          </cell>
          <cell r="JN64">
            <v>0</v>
          </cell>
          <cell r="JO64">
            <v>0</v>
          </cell>
          <cell r="JQ64">
            <v>4</v>
          </cell>
          <cell r="JR64">
            <v>12</v>
          </cell>
          <cell r="JS64">
            <v>0</v>
          </cell>
          <cell r="JT64">
            <v>0</v>
          </cell>
          <cell r="JV64">
            <v>4</v>
          </cell>
          <cell r="JW64">
            <v>12</v>
          </cell>
          <cell r="JX64">
            <v>13.999999999999996</v>
          </cell>
          <cell r="JY64">
            <v>64</v>
          </cell>
          <cell r="KA64">
            <v>0</v>
          </cell>
          <cell r="KB64">
            <v>0</v>
          </cell>
          <cell r="KC64">
            <v>0</v>
          </cell>
          <cell r="KE64">
            <v>0</v>
          </cell>
          <cell r="KG64">
            <v>0</v>
          </cell>
          <cell r="KH64">
            <v>0</v>
          </cell>
          <cell r="KI64">
            <v>0</v>
          </cell>
          <cell r="KK64">
            <v>0</v>
          </cell>
          <cell r="KL64">
            <v>0</v>
          </cell>
          <cell r="KM64">
            <v>0</v>
          </cell>
          <cell r="KO64">
            <v>0</v>
          </cell>
          <cell r="KQ64">
            <v>0</v>
          </cell>
          <cell r="KR64">
            <v>0</v>
          </cell>
          <cell r="KS64">
            <v>0</v>
          </cell>
          <cell r="KU64">
            <v>0</v>
          </cell>
          <cell r="KV64">
            <v>0</v>
          </cell>
          <cell r="KW64">
            <v>0</v>
          </cell>
          <cell r="KY64">
            <v>0</v>
          </cell>
          <cell r="LA64">
            <v>0</v>
          </cell>
          <cell r="LB64">
            <v>0</v>
          </cell>
          <cell r="LC64">
            <v>0</v>
          </cell>
          <cell r="LE64" t="str">
            <v>835-Entity</v>
          </cell>
        </row>
        <row r="65">
          <cell r="B65">
            <v>62</v>
          </cell>
          <cell r="C65">
            <v>66</v>
          </cell>
          <cell r="D65">
            <v>22630</v>
          </cell>
          <cell r="E65">
            <v>24090</v>
          </cell>
          <cell r="F65">
            <v>0.93939393939393945</v>
          </cell>
          <cell r="G65">
            <v>0.93939393939393945</v>
          </cell>
          <cell r="H65">
            <v>7.9999999999999988E-2</v>
          </cell>
          <cell r="I65">
            <v>0.22985095953412235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62.049315068493151</v>
          </cell>
          <cell r="X65">
            <v>66</v>
          </cell>
          <cell r="Y65">
            <v>22648</v>
          </cell>
          <cell r="Z65">
            <v>24090</v>
          </cell>
          <cell r="AA65">
            <v>0.94014113740141136</v>
          </cell>
          <cell r="AB65">
            <v>0.94014113740141136</v>
          </cell>
          <cell r="AC65">
            <v>7.9999999999999988E-2</v>
          </cell>
          <cell r="AD65">
            <v>0.17848758686841348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62</v>
          </cell>
          <cell r="AS65">
            <v>66</v>
          </cell>
          <cell r="AT65">
            <v>22692</v>
          </cell>
          <cell r="AU65">
            <v>24156</v>
          </cell>
          <cell r="AV65">
            <v>0.93939393939393945</v>
          </cell>
          <cell r="AW65">
            <v>0.93939393939393945</v>
          </cell>
          <cell r="AX65">
            <v>3.0000000000000009E-2</v>
          </cell>
          <cell r="AY65">
            <v>0.22323096161337536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24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C65">
            <v>24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24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U65">
            <v>24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24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M65">
            <v>24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B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Q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F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R65">
            <v>0</v>
          </cell>
          <cell r="IS65">
            <v>0</v>
          </cell>
          <cell r="IT65">
            <v>0</v>
          </cell>
          <cell r="IU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KA65">
            <v>0</v>
          </cell>
          <cell r="KB65">
            <v>0</v>
          </cell>
          <cell r="KC65">
            <v>0</v>
          </cell>
          <cell r="KE65">
            <v>0</v>
          </cell>
          <cell r="KG65">
            <v>0</v>
          </cell>
          <cell r="KH65">
            <v>0</v>
          </cell>
          <cell r="KI65">
            <v>0</v>
          </cell>
          <cell r="KK65">
            <v>0</v>
          </cell>
          <cell r="KL65">
            <v>0</v>
          </cell>
          <cell r="KM65">
            <v>0</v>
          </cell>
          <cell r="KO65">
            <v>0</v>
          </cell>
          <cell r="KQ65">
            <v>0</v>
          </cell>
          <cell r="KR65">
            <v>0</v>
          </cell>
          <cell r="KS65">
            <v>0</v>
          </cell>
          <cell r="KU65">
            <v>0</v>
          </cell>
          <cell r="KV65">
            <v>0</v>
          </cell>
          <cell r="KW65">
            <v>0</v>
          </cell>
          <cell r="KY65">
            <v>0</v>
          </cell>
          <cell r="LA65">
            <v>0</v>
          </cell>
          <cell r="LB65">
            <v>0</v>
          </cell>
          <cell r="LC65">
            <v>0</v>
          </cell>
          <cell r="LE65" t="str">
            <v>840-21</v>
          </cell>
        </row>
        <row r="66">
          <cell r="B66">
            <v>86.24</v>
          </cell>
          <cell r="C66">
            <v>88</v>
          </cell>
          <cell r="D66">
            <v>31477.599999999995</v>
          </cell>
          <cell r="E66">
            <v>32120</v>
          </cell>
          <cell r="F66">
            <v>0.98</v>
          </cell>
          <cell r="G66">
            <v>0.98</v>
          </cell>
          <cell r="H66">
            <v>7.9999999999999988E-2</v>
          </cell>
          <cell r="I66">
            <v>2.016101291839969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84.737205479452058</v>
          </cell>
          <cell r="X66">
            <v>88</v>
          </cell>
          <cell r="Y66">
            <v>30929.08</v>
          </cell>
          <cell r="Z66">
            <v>32120</v>
          </cell>
          <cell r="AA66">
            <v>0.96292278953922783</v>
          </cell>
          <cell r="AB66">
            <v>0.96292278953922783</v>
          </cell>
          <cell r="AC66">
            <v>7.9999999999999988E-2</v>
          </cell>
          <cell r="AD66">
            <v>2.1314235766777334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84.47999999999999</v>
          </cell>
          <cell r="AS66">
            <v>88</v>
          </cell>
          <cell r="AT66">
            <v>30919.680000000004</v>
          </cell>
          <cell r="AU66">
            <v>32208</v>
          </cell>
          <cell r="AV66">
            <v>0.96</v>
          </cell>
          <cell r="AW66">
            <v>0.96</v>
          </cell>
          <cell r="AX66">
            <v>3.0000000000000009E-2</v>
          </cell>
          <cell r="AY66">
            <v>2.0177559714618716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2</v>
          </cell>
          <cell r="CK66">
            <v>0</v>
          </cell>
          <cell r="CL66">
            <v>18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C66">
            <v>20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2</v>
          </cell>
          <cell r="EC66">
            <v>0</v>
          </cell>
          <cell r="ED66">
            <v>18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U66">
            <v>20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2</v>
          </cell>
          <cell r="FU66">
            <v>0</v>
          </cell>
          <cell r="FV66">
            <v>18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M66">
            <v>20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B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Q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F66">
            <v>0</v>
          </cell>
          <cell r="IH66">
            <v>0</v>
          </cell>
          <cell r="II66">
            <v>0</v>
          </cell>
          <cell r="IJ66">
            <v>15</v>
          </cell>
          <cell r="IK66">
            <v>93</v>
          </cell>
          <cell r="IM66">
            <v>0</v>
          </cell>
          <cell r="IN66">
            <v>0</v>
          </cell>
          <cell r="IO66">
            <v>2</v>
          </cell>
          <cell r="IP66">
            <v>18</v>
          </cell>
          <cell r="IR66">
            <v>2</v>
          </cell>
          <cell r="IS66">
            <v>18</v>
          </cell>
          <cell r="IT66">
            <v>13</v>
          </cell>
          <cell r="IU66">
            <v>75</v>
          </cell>
          <cell r="IW66">
            <v>0</v>
          </cell>
          <cell r="IX66">
            <v>0</v>
          </cell>
          <cell r="IY66">
            <v>15</v>
          </cell>
          <cell r="IZ66">
            <v>93</v>
          </cell>
          <cell r="JB66">
            <v>0</v>
          </cell>
          <cell r="JC66">
            <v>0</v>
          </cell>
          <cell r="JD66">
            <v>2</v>
          </cell>
          <cell r="JE66">
            <v>18</v>
          </cell>
          <cell r="JG66">
            <v>2</v>
          </cell>
          <cell r="JH66">
            <v>18</v>
          </cell>
          <cell r="JI66">
            <v>13</v>
          </cell>
          <cell r="JJ66">
            <v>75</v>
          </cell>
          <cell r="JL66">
            <v>0</v>
          </cell>
          <cell r="JM66">
            <v>0</v>
          </cell>
          <cell r="JN66">
            <v>15</v>
          </cell>
          <cell r="JO66">
            <v>93</v>
          </cell>
          <cell r="JQ66">
            <v>0</v>
          </cell>
          <cell r="JR66">
            <v>0</v>
          </cell>
          <cell r="JS66">
            <v>2</v>
          </cell>
          <cell r="JT66">
            <v>18</v>
          </cell>
          <cell r="JV66">
            <v>2</v>
          </cell>
          <cell r="JW66">
            <v>18</v>
          </cell>
          <cell r="JX66">
            <v>13</v>
          </cell>
          <cell r="JY66">
            <v>75</v>
          </cell>
          <cell r="KA66">
            <v>0</v>
          </cell>
          <cell r="KB66">
            <v>0</v>
          </cell>
          <cell r="KC66">
            <v>0</v>
          </cell>
          <cell r="KE66">
            <v>0</v>
          </cell>
          <cell r="KG66">
            <v>0</v>
          </cell>
          <cell r="KH66">
            <v>0</v>
          </cell>
          <cell r="KI66">
            <v>0</v>
          </cell>
          <cell r="KK66">
            <v>0</v>
          </cell>
          <cell r="KL66">
            <v>0</v>
          </cell>
          <cell r="KM66">
            <v>0</v>
          </cell>
          <cell r="KO66">
            <v>0</v>
          </cell>
          <cell r="KQ66">
            <v>0</v>
          </cell>
          <cell r="KR66">
            <v>0</v>
          </cell>
          <cell r="KS66">
            <v>0</v>
          </cell>
          <cell r="KU66">
            <v>0</v>
          </cell>
          <cell r="KV66">
            <v>0</v>
          </cell>
          <cell r="KW66">
            <v>0</v>
          </cell>
          <cell r="KY66">
            <v>0</v>
          </cell>
          <cell r="LA66">
            <v>0</v>
          </cell>
          <cell r="LB66">
            <v>0</v>
          </cell>
          <cell r="LC66">
            <v>0</v>
          </cell>
          <cell r="LE66" t="str">
            <v>840-31</v>
          </cell>
        </row>
        <row r="67">
          <cell r="B67">
            <v>7</v>
          </cell>
          <cell r="C67">
            <v>9</v>
          </cell>
          <cell r="D67">
            <v>2555</v>
          </cell>
          <cell r="E67">
            <v>3285</v>
          </cell>
          <cell r="F67">
            <v>0.77777777777777779</v>
          </cell>
          <cell r="G67">
            <v>0.77777777777777779</v>
          </cell>
          <cell r="H67">
            <v>7.9999999999999988E-2</v>
          </cell>
          <cell r="I67">
            <v>1.6052680845371972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8.7013698630136993</v>
          </cell>
          <cell r="X67">
            <v>9</v>
          </cell>
          <cell r="Y67">
            <v>3176</v>
          </cell>
          <cell r="Z67">
            <v>3285</v>
          </cell>
          <cell r="AA67">
            <v>0.96681887366818875</v>
          </cell>
          <cell r="AB67">
            <v>0.96681887366818875</v>
          </cell>
          <cell r="AC67">
            <v>7.9999999999999988E-2</v>
          </cell>
          <cell r="AD67">
            <v>1.3610846085576711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8</v>
          </cell>
          <cell r="AS67">
            <v>9</v>
          </cell>
          <cell r="AT67">
            <v>2928</v>
          </cell>
          <cell r="AU67">
            <v>3294</v>
          </cell>
          <cell r="AV67">
            <v>0.88888888888888884</v>
          </cell>
          <cell r="AW67">
            <v>0.88888888888888884</v>
          </cell>
          <cell r="AX67">
            <v>3.0000000000000009E-2</v>
          </cell>
          <cell r="AY67">
            <v>1.4724962826784109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1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C67">
            <v>1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1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U67">
            <v>1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1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M67">
            <v>1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B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Q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F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KA67">
            <v>0</v>
          </cell>
          <cell r="KB67">
            <v>0</v>
          </cell>
          <cell r="KC67">
            <v>0</v>
          </cell>
          <cell r="KE67">
            <v>0</v>
          </cell>
          <cell r="KG67">
            <v>0</v>
          </cell>
          <cell r="KH67">
            <v>0</v>
          </cell>
          <cell r="KI67">
            <v>0</v>
          </cell>
          <cell r="KK67">
            <v>0</v>
          </cell>
          <cell r="KL67">
            <v>0</v>
          </cell>
          <cell r="KM67">
            <v>0</v>
          </cell>
          <cell r="KO67">
            <v>0</v>
          </cell>
          <cell r="KQ67">
            <v>0</v>
          </cell>
          <cell r="KR67">
            <v>0</v>
          </cell>
          <cell r="KS67">
            <v>0</v>
          </cell>
          <cell r="KU67">
            <v>0</v>
          </cell>
          <cell r="KV67">
            <v>0</v>
          </cell>
          <cell r="KW67">
            <v>0</v>
          </cell>
          <cell r="KY67">
            <v>0</v>
          </cell>
          <cell r="LA67">
            <v>0</v>
          </cell>
          <cell r="LB67">
            <v>0</v>
          </cell>
          <cell r="LC67">
            <v>0</v>
          </cell>
          <cell r="LE67" t="str">
            <v>840-51</v>
          </cell>
        </row>
        <row r="68">
          <cell r="B68">
            <v>15.52</v>
          </cell>
          <cell r="C68">
            <v>16</v>
          </cell>
          <cell r="D68">
            <v>5664.8</v>
          </cell>
          <cell r="E68">
            <v>5840</v>
          </cell>
          <cell r="F68">
            <v>0.97</v>
          </cell>
          <cell r="G68">
            <v>0.97</v>
          </cell>
          <cell r="H68">
            <v>7.9999999999999988E-2</v>
          </cell>
          <cell r="I68">
            <v>0.45721733775451057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15.609424657534248</v>
          </cell>
          <cell r="X68">
            <v>16</v>
          </cell>
          <cell r="Y68">
            <v>5697.4400000000005</v>
          </cell>
          <cell r="Z68">
            <v>5840</v>
          </cell>
          <cell r="AA68">
            <v>0.9755890410958904</v>
          </cell>
          <cell r="AB68">
            <v>0.9755890410958904</v>
          </cell>
          <cell r="AC68">
            <v>7.9999999999999988E-2</v>
          </cell>
          <cell r="AD68">
            <v>0.50686815732598511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15</v>
          </cell>
          <cell r="AS68">
            <v>16</v>
          </cell>
          <cell r="AT68">
            <v>5490</v>
          </cell>
          <cell r="AU68">
            <v>5856</v>
          </cell>
          <cell r="AV68">
            <v>0.9375</v>
          </cell>
          <cell r="AW68">
            <v>0.9375</v>
          </cell>
          <cell r="AX68">
            <v>3.0000000000000009E-2</v>
          </cell>
          <cell r="AY68">
            <v>0.45655902152997557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C68">
            <v>1</v>
          </cell>
          <cell r="DE68">
            <v>1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U68">
            <v>1</v>
          </cell>
          <cell r="EW68">
            <v>1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M68">
            <v>1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B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Q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F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R68">
            <v>0</v>
          </cell>
          <cell r="IS68">
            <v>0</v>
          </cell>
          <cell r="IT68">
            <v>0</v>
          </cell>
          <cell r="IU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KA68">
            <v>0</v>
          </cell>
          <cell r="KB68">
            <v>0</v>
          </cell>
          <cell r="KC68">
            <v>0</v>
          </cell>
          <cell r="KE68">
            <v>0</v>
          </cell>
          <cell r="KG68">
            <v>0</v>
          </cell>
          <cell r="KH68">
            <v>0</v>
          </cell>
          <cell r="KI68">
            <v>0</v>
          </cell>
          <cell r="KK68">
            <v>0</v>
          </cell>
          <cell r="KL68">
            <v>0</v>
          </cell>
          <cell r="KM68">
            <v>0</v>
          </cell>
          <cell r="KO68">
            <v>0</v>
          </cell>
          <cell r="KQ68">
            <v>0</v>
          </cell>
          <cell r="KR68">
            <v>0</v>
          </cell>
          <cell r="KS68">
            <v>0</v>
          </cell>
          <cell r="KU68">
            <v>0</v>
          </cell>
          <cell r="KV68">
            <v>0</v>
          </cell>
          <cell r="KW68">
            <v>0</v>
          </cell>
          <cell r="KY68">
            <v>0</v>
          </cell>
          <cell r="LA68">
            <v>0</v>
          </cell>
          <cell r="LB68">
            <v>0</v>
          </cell>
          <cell r="LC68">
            <v>0</v>
          </cell>
          <cell r="LE68" t="str">
            <v>840-52</v>
          </cell>
        </row>
        <row r="69">
          <cell r="B69">
            <v>59</v>
          </cell>
          <cell r="C69">
            <v>64</v>
          </cell>
          <cell r="D69">
            <v>21535</v>
          </cell>
          <cell r="E69">
            <v>23360</v>
          </cell>
          <cell r="F69">
            <v>0.921875</v>
          </cell>
          <cell r="G69">
            <v>0.921875</v>
          </cell>
          <cell r="H69">
            <v>7.9999999999999988E-2</v>
          </cell>
          <cell r="I69">
            <v>1.0392815174149941</v>
          </cell>
          <cell r="J69">
            <v>12.400029999999999</v>
          </cell>
          <cell r="K69">
            <v>5.9997100000000003</v>
          </cell>
          <cell r="L69">
            <v>22.99996999999999</v>
          </cell>
          <cell r="M69">
            <v>0</v>
          </cell>
          <cell r="N69">
            <v>17.600290000000001</v>
          </cell>
          <cell r="O69">
            <v>0</v>
          </cell>
          <cell r="P69">
            <v>575.47000000000014</v>
          </cell>
          <cell r="Q69">
            <v>403.83</v>
          </cell>
          <cell r="R69">
            <v>248</v>
          </cell>
          <cell r="S69">
            <v>0</v>
          </cell>
          <cell r="T69">
            <v>427.21</v>
          </cell>
          <cell r="U69">
            <v>0</v>
          </cell>
          <cell r="W69">
            <v>59.323287671232883</v>
          </cell>
          <cell r="X69">
            <v>64</v>
          </cell>
          <cell r="Y69">
            <v>21653</v>
          </cell>
          <cell r="Z69">
            <v>23360</v>
          </cell>
          <cell r="AA69">
            <v>0.92692636986301358</v>
          </cell>
          <cell r="AB69">
            <v>0.92692636986301358</v>
          </cell>
          <cell r="AC69">
            <v>7.9999999999999988E-2</v>
          </cell>
          <cell r="AD69">
            <v>0.93068097934681637</v>
          </cell>
          <cell r="AE69">
            <v>10.923317912186382</v>
          </cell>
          <cell r="AF69">
            <v>5.4105090412186376</v>
          </cell>
          <cell r="AG69">
            <v>27.747845259856632</v>
          </cell>
          <cell r="AH69">
            <v>3.8620071684587198E-2</v>
          </cell>
          <cell r="AI69">
            <v>15.205029772145418</v>
          </cell>
          <cell r="AJ69">
            <v>0</v>
          </cell>
          <cell r="AK69">
            <v>577.5636852996646</v>
          </cell>
          <cell r="AL69">
            <v>394.05139967312579</v>
          </cell>
          <cell r="AM69">
            <v>280.33228861020001</v>
          </cell>
          <cell r="AN69">
            <v>56.754811714104562</v>
          </cell>
          <cell r="AO69">
            <v>374.52361424701456</v>
          </cell>
          <cell r="AP69">
            <v>0</v>
          </cell>
          <cell r="AR69">
            <v>58.88</v>
          </cell>
          <cell r="AS69">
            <v>64</v>
          </cell>
          <cell r="AT69">
            <v>21550.080000000002</v>
          </cell>
          <cell r="AU69">
            <v>23424</v>
          </cell>
          <cell r="AV69">
            <v>0.92</v>
          </cell>
          <cell r="AW69">
            <v>0.92</v>
          </cell>
          <cell r="AX69">
            <v>3.0000000000000009E-2</v>
          </cell>
          <cell r="AY69">
            <v>1.0493740738606987</v>
          </cell>
          <cell r="AZ69">
            <v>10.621952</v>
          </cell>
          <cell r="BA69">
            <v>4.4925440000000014</v>
          </cell>
          <cell r="BB69">
            <v>27.750143999999995</v>
          </cell>
          <cell r="BC69">
            <v>0</v>
          </cell>
          <cell r="BD69">
            <v>16.015359999999998</v>
          </cell>
          <cell r="BE69">
            <v>0</v>
          </cell>
          <cell r="BF69">
            <v>599.36000000000013</v>
          </cell>
          <cell r="BG69">
            <v>407.25000000000006</v>
          </cell>
          <cell r="BH69">
            <v>266.93000000000006</v>
          </cell>
          <cell r="BI69">
            <v>0</v>
          </cell>
          <cell r="BJ69">
            <v>440.58999999999992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C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U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M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B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Q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F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R69">
            <v>0</v>
          </cell>
          <cell r="IS69">
            <v>0</v>
          </cell>
          <cell r="IT69">
            <v>0</v>
          </cell>
          <cell r="IU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KA69">
            <v>0</v>
          </cell>
          <cell r="KB69">
            <v>0</v>
          </cell>
          <cell r="KC69">
            <v>0</v>
          </cell>
          <cell r="KE69">
            <v>0</v>
          </cell>
          <cell r="KG69">
            <v>0</v>
          </cell>
          <cell r="KH69">
            <v>0</v>
          </cell>
          <cell r="KI69">
            <v>0</v>
          </cell>
          <cell r="KK69">
            <v>0</v>
          </cell>
          <cell r="KL69">
            <v>0</v>
          </cell>
          <cell r="KM69">
            <v>0</v>
          </cell>
          <cell r="KO69">
            <v>0</v>
          </cell>
          <cell r="KQ69">
            <v>0</v>
          </cell>
          <cell r="KR69">
            <v>0</v>
          </cell>
          <cell r="KS69">
            <v>0</v>
          </cell>
          <cell r="KU69">
            <v>0</v>
          </cell>
          <cell r="KV69">
            <v>0</v>
          </cell>
          <cell r="KW69">
            <v>0</v>
          </cell>
          <cell r="KY69">
            <v>0</v>
          </cell>
          <cell r="LA69">
            <v>0</v>
          </cell>
          <cell r="LB69">
            <v>0</v>
          </cell>
          <cell r="LC69">
            <v>0</v>
          </cell>
          <cell r="LE69" t="str">
            <v>840-61</v>
          </cell>
        </row>
        <row r="70">
          <cell r="B70">
            <v>229.75999999999996</v>
          </cell>
          <cell r="C70">
            <v>243</v>
          </cell>
          <cell r="D70">
            <v>83862.399999999994</v>
          </cell>
          <cell r="E70">
            <v>88695</v>
          </cell>
          <cell r="F70">
            <v>0.94551440329218095</v>
          </cell>
          <cell r="G70">
            <v>0.94551440329218095</v>
          </cell>
          <cell r="H70">
            <v>7.9999999999999988E-2</v>
          </cell>
          <cell r="I70">
            <v>1.0797951684472016</v>
          </cell>
          <cell r="J70">
            <v>12.400029999999999</v>
          </cell>
          <cell r="K70">
            <v>5.9997100000000003</v>
          </cell>
          <cell r="L70">
            <v>22.99996999999999</v>
          </cell>
          <cell r="M70">
            <v>0</v>
          </cell>
          <cell r="N70">
            <v>17.600290000000001</v>
          </cell>
          <cell r="O70">
            <v>0</v>
          </cell>
          <cell r="P70">
            <v>575.47000000000014</v>
          </cell>
          <cell r="Q70">
            <v>403.83</v>
          </cell>
          <cell r="R70">
            <v>248</v>
          </cell>
          <cell r="S70">
            <v>0</v>
          </cell>
          <cell r="T70">
            <v>427.21</v>
          </cell>
          <cell r="U70">
            <v>0</v>
          </cell>
          <cell r="W70">
            <v>230.42060273972601</v>
          </cell>
          <cell r="X70">
            <v>243</v>
          </cell>
          <cell r="Y70">
            <v>84103.52</v>
          </cell>
          <cell r="Z70">
            <v>88695</v>
          </cell>
          <cell r="AA70">
            <v>0.94823293308529244</v>
          </cell>
          <cell r="AB70">
            <v>0.94823293308529244</v>
          </cell>
          <cell r="AC70">
            <v>7.9999999999999988E-2</v>
          </cell>
          <cell r="AD70">
            <v>1.0039335958355315</v>
          </cell>
          <cell r="AE70">
            <v>10.923317912186382</v>
          </cell>
          <cell r="AF70">
            <v>5.4105090412186376</v>
          </cell>
          <cell r="AG70">
            <v>27.747845259856632</v>
          </cell>
          <cell r="AH70">
            <v>3.8620071684587198E-2</v>
          </cell>
          <cell r="AI70">
            <v>15.205029772145418</v>
          </cell>
          <cell r="AJ70">
            <v>0</v>
          </cell>
          <cell r="AK70">
            <v>577.5636852996646</v>
          </cell>
          <cell r="AL70">
            <v>394.05139967312579</v>
          </cell>
          <cell r="AM70">
            <v>280.33228861020001</v>
          </cell>
          <cell r="AN70">
            <v>56.754811714104562</v>
          </cell>
          <cell r="AO70">
            <v>374.52361424701456</v>
          </cell>
          <cell r="AP70">
            <v>0</v>
          </cell>
          <cell r="AR70">
            <v>228.36</v>
          </cell>
          <cell r="AS70">
            <v>243</v>
          </cell>
          <cell r="AT70">
            <v>83579.760000000024</v>
          </cell>
          <cell r="AU70">
            <v>88938</v>
          </cell>
          <cell r="AV70">
            <v>0.93975308641975319</v>
          </cell>
          <cell r="AW70">
            <v>0.93975308641975319</v>
          </cell>
          <cell r="AX70">
            <v>3.0000000000000009E-2</v>
          </cell>
          <cell r="AY70">
            <v>1.0799556563781962</v>
          </cell>
          <cell r="AZ70">
            <v>10.621952</v>
          </cell>
          <cell r="BA70">
            <v>4.4925440000000014</v>
          </cell>
          <cell r="BB70">
            <v>27.750143999999995</v>
          </cell>
          <cell r="BC70">
            <v>0</v>
          </cell>
          <cell r="BD70">
            <v>16.015359999999998</v>
          </cell>
          <cell r="BE70">
            <v>0</v>
          </cell>
          <cell r="BF70">
            <v>599.36000000000013</v>
          </cell>
          <cell r="BG70">
            <v>407.25000000000006</v>
          </cell>
          <cell r="BH70">
            <v>266.93000000000006</v>
          </cell>
          <cell r="BI70">
            <v>0</v>
          </cell>
          <cell r="BJ70">
            <v>440.58999999999992</v>
          </cell>
          <cell r="BK70">
            <v>0</v>
          </cell>
          <cell r="BM70">
            <v>1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2</v>
          </cell>
          <cell r="CK70">
            <v>24</v>
          </cell>
          <cell r="CL70">
            <v>18</v>
          </cell>
          <cell r="CM70">
            <v>1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C70">
            <v>46</v>
          </cell>
          <cell r="DE70">
            <v>1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2</v>
          </cell>
          <cell r="EC70">
            <v>24</v>
          </cell>
          <cell r="ED70">
            <v>18</v>
          </cell>
          <cell r="EE70">
            <v>1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U70">
            <v>46</v>
          </cell>
          <cell r="EW70">
            <v>1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2</v>
          </cell>
          <cell r="FU70">
            <v>24</v>
          </cell>
          <cell r="FV70">
            <v>18</v>
          </cell>
          <cell r="FW70">
            <v>1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M70">
            <v>46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B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Q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F70">
            <v>0</v>
          </cell>
          <cell r="IH70">
            <v>0</v>
          </cell>
          <cell r="II70">
            <v>0</v>
          </cell>
          <cell r="IJ70">
            <v>15</v>
          </cell>
          <cell r="IK70">
            <v>93</v>
          </cell>
          <cell r="IM70">
            <v>0</v>
          </cell>
          <cell r="IN70">
            <v>0</v>
          </cell>
          <cell r="IO70">
            <v>2</v>
          </cell>
          <cell r="IP70">
            <v>18</v>
          </cell>
          <cell r="IR70">
            <v>2</v>
          </cell>
          <cell r="IS70">
            <v>18</v>
          </cell>
          <cell r="IT70">
            <v>13</v>
          </cell>
          <cell r="IU70">
            <v>75</v>
          </cell>
          <cell r="IW70">
            <v>0</v>
          </cell>
          <cell r="IX70">
            <v>0</v>
          </cell>
          <cell r="IY70">
            <v>15</v>
          </cell>
          <cell r="IZ70">
            <v>93</v>
          </cell>
          <cell r="JB70">
            <v>0</v>
          </cell>
          <cell r="JC70">
            <v>0</v>
          </cell>
          <cell r="JD70">
            <v>2</v>
          </cell>
          <cell r="JE70">
            <v>18</v>
          </cell>
          <cell r="JG70">
            <v>2</v>
          </cell>
          <cell r="JH70">
            <v>18</v>
          </cell>
          <cell r="JI70">
            <v>13</v>
          </cell>
          <cell r="JJ70">
            <v>75</v>
          </cell>
          <cell r="JL70">
            <v>0</v>
          </cell>
          <cell r="JM70">
            <v>0</v>
          </cell>
          <cell r="JN70">
            <v>15</v>
          </cell>
          <cell r="JO70">
            <v>93</v>
          </cell>
          <cell r="JQ70">
            <v>0</v>
          </cell>
          <cell r="JR70">
            <v>0</v>
          </cell>
          <cell r="JS70">
            <v>2</v>
          </cell>
          <cell r="JT70">
            <v>18</v>
          </cell>
          <cell r="JV70">
            <v>2</v>
          </cell>
          <cell r="JW70">
            <v>18</v>
          </cell>
          <cell r="JX70">
            <v>13</v>
          </cell>
          <cell r="JY70">
            <v>75</v>
          </cell>
          <cell r="KA70">
            <v>0</v>
          </cell>
          <cell r="KB70">
            <v>0</v>
          </cell>
          <cell r="KC70">
            <v>0</v>
          </cell>
          <cell r="KE70">
            <v>0</v>
          </cell>
          <cell r="KG70">
            <v>0</v>
          </cell>
          <cell r="KH70">
            <v>0</v>
          </cell>
          <cell r="KI70">
            <v>0</v>
          </cell>
          <cell r="KK70">
            <v>0</v>
          </cell>
          <cell r="KL70">
            <v>0</v>
          </cell>
          <cell r="KM70">
            <v>0</v>
          </cell>
          <cell r="KO70">
            <v>0</v>
          </cell>
          <cell r="KQ70">
            <v>0</v>
          </cell>
          <cell r="KR70">
            <v>0</v>
          </cell>
          <cell r="KS70">
            <v>0</v>
          </cell>
          <cell r="KU70">
            <v>0</v>
          </cell>
          <cell r="KV70">
            <v>0</v>
          </cell>
          <cell r="KW70">
            <v>0</v>
          </cell>
          <cell r="KY70">
            <v>0</v>
          </cell>
          <cell r="LA70">
            <v>0</v>
          </cell>
          <cell r="LB70">
            <v>0</v>
          </cell>
          <cell r="LC70">
            <v>0</v>
          </cell>
          <cell r="LE70" t="str">
            <v>840-Entity</v>
          </cell>
        </row>
        <row r="71">
          <cell r="B71">
            <v>476.69000000000005</v>
          </cell>
          <cell r="C71">
            <v>530</v>
          </cell>
          <cell r="D71">
            <v>173991.85000000003</v>
          </cell>
          <cell r="E71">
            <v>193450</v>
          </cell>
          <cell r="F71">
            <v>0.89941509433962286</v>
          </cell>
          <cell r="G71">
            <v>0.89941509433962286</v>
          </cell>
          <cell r="H71">
            <v>8.0999999999999989E-2</v>
          </cell>
          <cell r="I71">
            <v>1.0682714896814312</v>
          </cell>
          <cell r="J71">
            <v>20.500029999999999</v>
          </cell>
          <cell r="K71">
            <v>10.49971</v>
          </cell>
          <cell r="L71">
            <v>80.203970000000012</v>
          </cell>
          <cell r="M71">
            <v>0.999</v>
          </cell>
          <cell r="N71">
            <v>36.797289999999997</v>
          </cell>
          <cell r="O71">
            <v>0</v>
          </cell>
          <cell r="P71">
            <v>1114.5500000000002</v>
          </cell>
          <cell r="Q71">
            <v>787.82999999999993</v>
          </cell>
          <cell r="R71">
            <v>454</v>
          </cell>
          <cell r="S71">
            <v>212.07999999999996</v>
          </cell>
          <cell r="T71">
            <v>883.96999999999991</v>
          </cell>
          <cell r="U71">
            <v>0</v>
          </cell>
          <cell r="W71">
            <v>479.85016438356172</v>
          </cell>
          <cell r="X71">
            <v>530</v>
          </cell>
          <cell r="Y71">
            <v>175145.31</v>
          </cell>
          <cell r="Z71">
            <v>193450</v>
          </cell>
          <cell r="AA71">
            <v>0.90537766864822955</v>
          </cell>
          <cell r="AB71">
            <v>0.90537766864822955</v>
          </cell>
          <cell r="AC71">
            <v>8.0999999999999989E-2</v>
          </cell>
          <cell r="AD71">
            <v>1.0816346379081825</v>
          </cell>
          <cell r="AE71">
            <v>18.415577507499865</v>
          </cell>
          <cell r="AF71">
            <v>13.416690621232393</v>
          </cell>
          <cell r="AG71">
            <v>86.353429383777964</v>
          </cell>
          <cell r="AH71">
            <v>2.3606914607933649</v>
          </cell>
          <cell r="AI71">
            <v>32.78296534185256</v>
          </cell>
          <cell r="AJ71">
            <v>0</v>
          </cell>
          <cell r="AK71">
            <v>1111.4594704633168</v>
          </cell>
          <cell r="AL71">
            <v>771.87021696112902</v>
          </cell>
          <cell r="AM71">
            <v>493.70714060810934</v>
          </cell>
          <cell r="AN71">
            <v>273.14149748243233</v>
          </cell>
          <cell r="AO71">
            <v>807.49931682364547</v>
          </cell>
          <cell r="AP71">
            <v>0</v>
          </cell>
          <cell r="AR71">
            <v>477.08</v>
          </cell>
          <cell r="AS71">
            <v>530</v>
          </cell>
          <cell r="AT71">
            <v>174611.28</v>
          </cell>
          <cell r="AU71">
            <v>193980</v>
          </cell>
          <cell r="AV71">
            <v>0.90015094339622637</v>
          </cell>
          <cell r="AW71">
            <v>0.90015094339622637</v>
          </cell>
          <cell r="AX71">
            <v>3.0000000000000009E-2</v>
          </cell>
          <cell r="AY71">
            <v>1.0853854969705103</v>
          </cell>
          <cell r="AZ71">
            <v>18.901952000000001</v>
          </cell>
          <cell r="BA71">
            <v>11.291343999999995</v>
          </cell>
          <cell r="BB71">
            <v>85.765344000000013</v>
          </cell>
          <cell r="BC71">
            <v>1.9319999999999995</v>
          </cell>
          <cell r="BD71">
            <v>32.989360000000012</v>
          </cell>
          <cell r="BE71">
            <v>0</v>
          </cell>
          <cell r="BF71">
            <v>1154.01</v>
          </cell>
          <cell r="BG71">
            <v>798.52000000000021</v>
          </cell>
          <cell r="BH71">
            <v>478.315</v>
          </cell>
          <cell r="BI71">
            <v>215</v>
          </cell>
          <cell r="BJ71">
            <v>913.53</v>
          </cell>
          <cell r="BK71">
            <v>0</v>
          </cell>
          <cell r="BM71">
            <v>1</v>
          </cell>
          <cell r="BN71">
            <v>0</v>
          </cell>
          <cell r="BO71">
            <v>3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</v>
          </cell>
          <cell r="CK71">
            <v>24</v>
          </cell>
          <cell r="CL71">
            <v>18</v>
          </cell>
          <cell r="CM71">
            <v>1</v>
          </cell>
          <cell r="CN71">
            <v>0</v>
          </cell>
          <cell r="CO71">
            <v>0</v>
          </cell>
          <cell r="CP71">
            <v>0</v>
          </cell>
          <cell r="CQ71">
            <v>5</v>
          </cell>
          <cell r="CR71">
            <v>0</v>
          </cell>
          <cell r="CS71">
            <v>13.999999999999998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C71">
            <v>68</v>
          </cell>
          <cell r="DE71">
            <v>1</v>
          </cell>
          <cell r="DF71">
            <v>0</v>
          </cell>
          <cell r="DG71">
            <v>3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2</v>
          </cell>
          <cell r="EC71">
            <v>24</v>
          </cell>
          <cell r="ED71">
            <v>18</v>
          </cell>
          <cell r="EE71">
            <v>1</v>
          </cell>
          <cell r="EF71">
            <v>0</v>
          </cell>
          <cell r="EG71">
            <v>0</v>
          </cell>
          <cell r="EH71">
            <v>0</v>
          </cell>
          <cell r="EI71">
            <v>5</v>
          </cell>
          <cell r="EJ71">
            <v>0</v>
          </cell>
          <cell r="EK71">
            <v>13.999999999999998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U71">
            <v>68</v>
          </cell>
          <cell r="EW71">
            <v>1</v>
          </cell>
          <cell r="EX71">
            <v>0</v>
          </cell>
          <cell r="EY71">
            <v>1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2</v>
          </cell>
          <cell r="FU71">
            <v>24</v>
          </cell>
          <cell r="FV71">
            <v>18</v>
          </cell>
          <cell r="FW71">
            <v>1</v>
          </cell>
          <cell r="FX71">
            <v>0</v>
          </cell>
          <cell r="FY71">
            <v>0</v>
          </cell>
          <cell r="FZ71">
            <v>0</v>
          </cell>
          <cell r="GA71">
            <v>4</v>
          </cell>
          <cell r="GB71">
            <v>20</v>
          </cell>
          <cell r="GC71">
            <v>12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M71">
            <v>83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B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Q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F71">
            <v>0</v>
          </cell>
          <cell r="IH71">
            <v>19</v>
          </cell>
          <cell r="II71">
            <v>78.000000000000014</v>
          </cell>
          <cell r="IJ71">
            <v>15</v>
          </cell>
          <cell r="IK71">
            <v>93</v>
          </cell>
          <cell r="IM71">
            <v>5</v>
          </cell>
          <cell r="IN71">
            <v>13.999999999999998</v>
          </cell>
          <cell r="IO71">
            <v>2</v>
          </cell>
          <cell r="IP71">
            <v>18</v>
          </cell>
          <cell r="IR71">
            <v>7</v>
          </cell>
          <cell r="IS71">
            <v>32</v>
          </cell>
          <cell r="IT71">
            <v>27</v>
          </cell>
          <cell r="IU71">
            <v>139</v>
          </cell>
          <cell r="IW71">
            <v>19</v>
          </cell>
          <cell r="IX71">
            <v>78.000000000000014</v>
          </cell>
          <cell r="IY71">
            <v>15</v>
          </cell>
          <cell r="IZ71">
            <v>93</v>
          </cell>
          <cell r="JB71">
            <v>5</v>
          </cell>
          <cell r="JC71">
            <v>13.999999999999998</v>
          </cell>
          <cell r="JD71">
            <v>2</v>
          </cell>
          <cell r="JE71">
            <v>18</v>
          </cell>
          <cell r="JG71">
            <v>7</v>
          </cell>
          <cell r="JH71">
            <v>32</v>
          </cell>
          <cell r="JI71">
            <v>27</v>
          </cell>
          <cell r="JJ71">
            <v>139</v>
          </cell>
          <cell r="JL71">
            <v>17.999999999999996</v>
          </cell>
          <cell r="JM71">
            <v>76</v>
          </cell>
          <cell r="JN71">
            <v>15</v>
          </cell>
          <cell r="JO71">
            <v>93</v>
          </cell>
          <cell r="JQ71">
            <v>4</v>
          </cell>
          <cell r="JR71">
            <v>12</v>
          </cell>
          <cell r="JS71">
            <v>2</v>
          </cell>
          <cell r="JT71">
            <v>18</v>
          </cell>
          <cell r="JV71">
            <v>6</v>
          </cell>
          <cell r="JW71">
            <v>30</v>
          </cell>
          <cell r="JX71">
            <v>27</v>
          </cell>
          <cell r="JY71">
            <v>139</v>
          </cell>
          <cell r="KA71">
            <v>0</v>
          </cell>
          <cell r="KB71">
            <v>0</v>
          </cell>
          <cell r="KC71">
            <v>0</v>
          </cell>
          <cell r="KE71">
            <v>0</v>
          </cell>
          <cell r="KG71">
            <v>0</v>
          </cell>
          <cell r="KH71">
            <v>0</v>
          </cell>
          <cell r="KI71">
            <v>0</v>
          </cell>
          <cell r="KK71">
            <v>0</v>
          </cell>
          <cell r="KL71">
            <v>0</v>
          </cell>
          <cell r="KM71">
            <v>0</v>
          </cell>
          <cell r="KO71">
            <v>0</v>
          </cell>
          <cell r="KQ71">
            <v>0</v>
          </cell>
          <cell r="KR71">
            <v>0</v>
          </cell>
          <cell r="KS71">
            <v>0</v>
          </cell>
          <cell r="KU71">
            <v>0</v>
          </cell>
          <cell r="KV71">
            <v>0</v>
          </cell>
          <cell r="KW71">
            <v>0</v>
          </cell>
          <cell r="KY71">
            <v>0</v>
          </cell>
          <cell r="LA71">
            <v>0</v>
          </cell>
          <cell r="LB71">
            <v>0</v>
          </cell>
          <cell r="LC71">
            <v>0</v>
          </cell>
          <cell r="LE71" t="str">
            <v>Albright-Albright</v>
          </cell>
        </row>
        <row r="72">
          <cell r="B72">
            <v>476.69000000000005</v>
          </cell>
          <cell r="C72">
            <v>530</v>
          </cell>
          <cell r="D72">
            <v>173991.85000000003</v>
          </cell>
          <cell r="E72">
            <v>193450</v>
          </cell>
          <cell r="F72">
            <v>0.89941509433962286</v>
          </cell>
          <cell r="G72">
            <v>0.89941509433962286</v>
          </cell>
          <cell r="H72">
            <v>8.0999999999999989E-2</v>
          </cell>
          <cell r="I72">
            <v>1.0682714896814312</v>
          </cell>
          <cell r="J72">
            <v>20.500029999999999</v>
          </cell>
          <cell r="K72">
            <v>10.49971</v>
          </cell>
          <cell r="L72">
            <v>80.203970000000012</v>
          </cell>
          <cell r="M72">
            <v>0.999</v>
          </cell>
          <cell r="N72">
            <v>36.797289999999997</v>
          </cell>
          <cell r="O72">
            <v>0</v>
          </cell>
          <cell r="P72">
            <v>1114.5500000000002</v>
          </cell>
          <cell r="Q72">
            <v>787.82999999999993</v>
          </cell>
          <cell r="R72">
            <v>454</v>
          </cell>
          <cell r="S72">
            <v>212.07999999999996</v>
          </cell>
          <cell r="T72">
            <v>883.96999999999991</v>
          </cell>
          <cell r="U72">
            <v>0</v>
          </cell>
          <cell r="W72">
            <v>479.85016438356172</v>
          </cell>
          <cell r="X72">
            <v>530</v>
          </cell>
          <cell r="Y72">
            <v>175145.31</v>
          </cell>
          <cell r="Z72">
            <v>193450</v>
          </cell>
          <cell r="AA72">
            <v>0.90537766864822955</v>
          </cell>
          <cell r="AB72">
            <v>0.90537766864822955</v>
          </cell>
          <cell r="AC72">
            <v>8.0999999999999989E-2</v>
          </cell>
          <cell r="AD72">
            <v>1.0816346379081825</v>
          </cell>
          <cell r="AE72">
            <v>18.415577507499865</v>
          </cell>
          <cell r="AF72">
            <v>13.416690621232393</v>
          </cell>
          <cell r="AG72">
            <v>86.353429383777964</v>
          </cell>
          <cell r="AH72">
            <v>2.3606914607933649</v>
          </cell>
          <cell r="AI72">
            <v>32.78296534185256</v>
          </cell>
          <cell r="AJ72">
            <v>0</v>
          </cell>
          <cell r="AK72">
            <v>1111.4594704633168</v>
          </cell>
          <cell r="AL72">
            <v>771.87021696112902</v>
          </cell>
          <cell r="AM72">
            <v>493.70714060810934</v>
          </cell>
          <cell r="AN72">
            <v>273.14149748243233</v>
          </cell>
          <cell r="AO72">
            <v>807.49931682364547</v>
          </cell>
          <cell r="AP72">
            <v>0</v>
          </cell>
          <cell r="AR72">
            <v>477.08</v>
          </cell>
          <cell r="AS72">
            <v>530</v>
          </cell>
          <cell r="AT72">
            <v>174611.28</v>
          </cell>
          <cell r="AU72">
            <v>193980</v>
          </cell>
          <cell r="AV72">
            <v>0.90015094339622637</v>
          </cell>
          <cell r="AW72">
            <v>0.90015094339622637</v>
          </cell>
          <cell r="AX72">
            <v>3.0000000000000009E-2</v>
          </cell>
          <cell r="AY72">
            <v>1.0853854969705103</v>
          </cell>
          <cell r="AZ72">
            <v>18.901952000000001</v>
          </cell>
          <cell r="BA72">
            <v>11.291343999999995</v>
          </cell>
          <cell r="BB72">
            <v>85.765344000000013</v>
          </cell>
          <cell r="BC72">
            <v>1.9319999999999995</v>
          </cell>
          <cell r="BD72">
            <v>32.989360000000012</v>
          </cell>
          <cell r="BE72">
            <v>0</v>
          </cell>
          <cell r="BF72">
            <v>1154.01</v>
          </cell>
          <cell r="BG72">
            <v>798.52000000000021</v>
          </cell>
          <cell r="BH72">
            <v>478.315</v>
          </cell>
          <cell r="BI72">
            <v>215</v>
          </cell>
          <cell r="BJ72">
            <v>913.53</v>
          </cell>
          <cell r="BK72">
            <v>0</v>
          </cell>
          <cell r="BM72">
            <v>1</v>
          </cell>
          <cell r="BN72">
            <v>0</v>
          </cell>
          <cell r="BO72">
            <v>3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2</v>
          </cell>
          <cell r="CK72">
            <v>24</v>
          </cell>
          <cell r="CL72">
            <v>18</v>
          </cell>
          <cell r="CM72">
            <v>1</v>
          </cell>
          <cell r="CN72">
            <v>0</v>
          </cell>
          <cell r="CO72">
            <v>0</v>
          </cell>
          <cell r="CP72">
            <v>0</v>
          </cell>
          <cell r="CQ72">
            <v>5</v>
          </cell>
          <cell r="CR72">
            <v>0</v>
          </cell>
          <cell r="CS72">
            <v>13.999999999999998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C72">
            <v>68</v>
          </cell>
          <cell r="DE72">
            <v>1</v>
          </cell>
          <cell r="DF72">
            <v>0</v>
          </cell>
          <cell r="DG72">
            <v>3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2</v>
          </cell>
          <cell r="EC72">
            <v>24</v>
          </cell>
          <cell r="ED72">
            <v>18</v>
          </cell>
          <cell r="EE72">
            <v>1</v>
          </cell>
          <cell r="EF72">
            <v>0</v>
          </cell>
          <cell r="EG72">
            <v>0</v>
          </cell>
          <cell r="EH72">
            <v>0</v>
          </cell>
          <cell r="EI72">
            <v>5</v>
          </cell>
          <cell r="EJ72">
            <v>0</v>
          </cell>
          <cell r="EK72">
            <v>13.999999999999998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U72">
            <v>68</v>
          </cell>
          <cell r="EW72">
            <v>1</v>
          </cell>
          <cell r="EX72">
            <v>0</v>
          </cell>
          <cell r="EY72">
            <v>1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2</v>
          </cell>
          <cell r="FU72">
            <v>24</v>
          </cell>
          <cell r="FV72">
            <v>18</v>
          </cell>
          <cell r="FW72">
            <v>1</v>
          </cell>
          <cell r="FX72">
            <v>0</v>
          </cell>
          <cell r="FY72">
            <v>0</v>
          </cell>
          <cell r="FZ72">
            <v>0</v>
          </cell>
          <cell r="GA72">
            <v>4</v>
          </cell>
          <cell r="GB72">
            <v>20</v>
          </cell>
          <cell r="GC72">
            <v>12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M72">
            <v>83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B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Q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F72">
            <v>0</v>
          </cell>
          <cell r="IH72">
            <v>19</v>
          </cell>
          <cell r="II72">
            <v>78.000000000000014</v>
          </cell>
          <cell r="IJ72">
            <v>15</v>
          </cell>
          <cell r="IK72">
            <v>93</v>
          </cell>
          <cell r="IM72">
            <v>5</v>
          </cell>
          <cell r="IN72">
            <v>13.999999999999998</v>
          </cell>
          <cell r="IO72">
            <v>2</v>
          </cell>
          <cell r="IP72">
            <v>18</v>
          </cell>
          <cell r="IR72">
            <v>7</v>
          </cell>
          <cell r="IS72">
            <v>32</v>
          </cell>
          <cell r="IT72">
            <v>27</v>
          </cell>
          <cell r="IU72">
            <v>139</v>
          </cell>
          <cell r="IW72">
            <v>19</v>
          </cell>
          <cell r="IX72">
            <v>78.000000000000014</v>
          </cell>
          <cell r="IY72">
            <v>15</v>
          </cell>
          <cell r="IZ72">
            <v>93</v>
          </cell>
          <cell r="JB72">
            <v>5</v>
          </cell>
          <cell r="JC72">
            <v>13.999999999999998</v>
          </cell>
          <cell r="JD72">
            <v>2</v>
          </cell>
          <cell r="JE72">
            <v>18</v>
          </cell>
          <cell r="JG72">
            <v>7</v>
          </cell>
          <cell r="JH72">
            <v>32</v>
          </cell>
          <cell r="JI72">
            <v>27</v>
          </cell>
          <cell r="JJ72">
            <v>139</v>
          </cell>
          <cell r="JL72">
            <v>17.999999999999996</v>
          </cell>
          <cell r="JM72">
            <v>76</v>
          </cell>
          <cell r="JN72">
            <v>15</v>
          </cell>
          <cell r="JO72">
            <v>93</v>
          </cell>
          <cell r="JQ72">
            <v>4</v>
          </cell>
          <cell r="JR72">
            <v>12</v>
          </cell>
          <cell r="JS72">
            <v>2</v>
          </cell>
          <cell r="JT72">
            <v>18</v>
          </cell>
          <cell r="JV72">
            <v>6</v>
          </cell>
          <cell r="JW72">
            <v>30</v>
          </cell>
          <cell r="JX72">
            <v>27</v>
          </cell>
          <cell r="JY72">
            <v>139</v>
          </cell>
          <cell r="KA72">
            <v>0</v>
          </cell>
          <cell r="KB72">
            <v>0</v>
          </cell>
          <cell r="KC72">
            <v>0</v>
          </cell>
          <cell r="KE72">
            <v>0</v>
          </cell>
          <cell r="KG72">
            <v>0</v>
          </cell>
          <cell r="KH72">
            <v>0</v>
          </cell>
          <cell r="KI72">
            <v>0</v>
          </cell>
          <cell r="KK72">
            <v>0</v>
          </cell>
          <cell r="KL72">
            <v>0</v>
          </cell>
          <cell r="KM72">
            <v>0</v>
          </cell>
          <cell r="KO72">
            <v>0</v>
          </cell>
          <cell r="KQ72">
            <v>0</v>
          </cell>
          <cell r="KR72">
            <v>0</v>
          </cell>
          <cell r="KS72">
            <v>0</v>
          </cell>
          <cell r="KU72">
            <v>0</v>
          </cell>
          <cell r="KV72">
            <v>0</v>
          </cell>
          <cell r="KW72">
            <v>0</v>
          </cell>
          <cell r="KY72">
            <v>0</v>
          </cell>
          <cell r="LA72">
            <v>0</v>
          </cell>
          <cell r="LB72">
            <v>0</v>
          </cell>
          <cell r="LC72">
            <v>0</v>
          </cell>
          <cell r="LE72" t="str">
            <v>Albright (Consolidated)-Albright (Consolidated)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C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U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M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B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Q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F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R73">
            <v>0</v>
          </cell>
          <cell r="IS73">
            <v>0</v>
          </cell>
          <cell r="IT73">
            <v>0</v>
          </cell>
          <cell r="IU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KA73">
            <v>0</v>
          </cell>
          <cell r="KB73">
            <v>0</v>
          </cell>
          <cell r="KC73">
            <v>0</v>
          </cell>
          <cell r="KE73">
            <v>0</v>
          </cell>
          <cell r="KG73">
            <v>0</v>
          </cell>
          <cell r="KH73">
            <v>0</v>
          </cell>
          <cell r="KI73">
            <v>0</v>
          </cell>
          <cell r="KK73">
            <v>0</v>
          </cell>
          <cell r="KL73">
            <v>0</v>
          </cell>
          <cell r="KM73">
            <v>0</v>
          </cell>
          <cell r="KO73">
            <v>0</v>
          </cell>
          <cell r="KQ73">
            <v>0</v>
          </cell>
          <cell r="KR73">
            <v>0</v>
          </cell>
          <cell r="KS73">
            <v>0</v>
          </cell>
          <cell r="KU73">
            <v>0</v>
          </cell>
          <cell r="KV73">
            <v>0</v>
          </cell>
          <cell r="KW73">
            <v>0</v>
          </cell>
          <cell r="KY73">
            <v>0</v>
          </cell>
          <cell r="LA73">
            <v>0</v>
          </cell>
          <cell r="LB73">
            <v>0</v>
          </cell>
          <cell r="LC73">
            <v>0</v>
          </cell>
          <cell r="LE73" t="str">
            <v>Top Level (Consolidated) (Only)-Top Level (Consolidated) (Only)</v>
          </cell>
        </row>
        <row r="74">
          <cell r="B74">
            <v>3189.9995890410951</v>
          </cell>
          <cell r="C74">
            <v>3519</v>
          </cell>
          <cell r="D74">
            <v>1164349.8500000001</v>
          </cell>
          <cell r="E74">
            <v>1284435</v>
          </cell>
          <cell r="F74">
            <v>0.90650741376558563</v>
          </cell>
          <cell r="G74">
            <v>0.90650741376558563</v>
          </cell>
          <cell r="H74">
            <v>6.2039215686274497E-2</v>
          </cell>
          <cell r="I74">
            <v>1.0122163213795343</v>
          </cell>
          <cell r="J74">
            <v>88.594032763333345</v>
          </cell>
          <cell r="K74">
            <v>55.070659650000003</v>
          </cell>
          <cell r="L74">
            <v>287.89534448999996</v>
          </cell>
          <cell r="M74">
            <v>2.6151626600000002</v>
          </cell>
          <cell r="N74">
            <v>228.14036769000003</v>
          </cell>
          <cell r="O74">
            <v>4.1706281000000009</v>
          </cell>
          <cell r="P74">
            <v>5445.05</v>
          </cell>
          <cell r="Q74">
            <v>3844.37</v>
          </cell>
          <cell r="R74">
            <v>1739.27</v>
          </cell>
          <cell r="S74">
            <v>1399.38</v>
          </cell>
          <cell r="T74">
            <v>5030.1000000000004</v>
          </cell>
          <cell r="U74">
            <v>489.06000000000006</v>
          </cell>
          <cell r="W74">
            <v>3072.8933336125315</v>
          </cell>
          <cell r="X74">
            <v>3521.0176137256922</v>
          </cell>
          <cell r="Y74">
            <v>1121612.55</v>
          </cell>
          <cell r="Z74">
            <v>1285171</v>
          </cell>
          <cell r="AA74">
            <v>0.87273409530716151</v>
          </cell>
          <cell r="AB74">
            <v>0.87323418468042369</v>
          </cell>
          <cell r="AC74">
            <v>6.2039215686274497E-2</v>
          </cell>
          <cell r="AD74">
            <v>1.0113610013667089</v>
          </cell>
          <cell r="AE74">
            <v>73.582344295953192</v>
          </cell>
          <cell r="AF74">
            <v>44.1507284474446</v>
          </cell>
          <cell r="AG74">
            <v>288.41840238467404</v>
          </cell>
          <cell r="AH74">
            <v>5.257410409146221</v>
          </cell>
          <cell r="AI74">
            <v>214.21257086415156</v>
          </cell>
          <cell r="AJ74">
            <v>8.6068365143369121</v>
          </cell>
          <cell r="AK74">
            <v>5919.6481274245316</v>
          </cell>
          <cell r="AL74">
            <v>4362.0599729842334</v>
          </cell>
          <cell r="AM74">
            <v>1883.7907803569033</v>
          </cell>
          <cell r="AN74">
            <v>1979.4214268942128</v>
          </cell>
          <cell r="AO74">
            <v>4698.2830446131593</v>
          </cell>
          <cell r="AP74">
            <v>515.22338545080993</v>
          </cell>
          <cell r="AR74">
            <v>3105.6852950819666</v>
          </cell>
          <cell r="AS74">
            <v>3519</v>
          </cell>
          <cell r="AT74">
            <v>1136680.818</v>
          </cell>
          <cell r="AU74">
            <v>1287954</v>
          </cell>
          <cell r="AV74">
            <v>0.88254768260357119</v>
          </cell>
          <cell r="AW74">
            <v>0.88254768260357119</v>
          </cell>
          <cell r="AX74">
            <v>3.0000000000000023E-2</v>
          </cell>
          <cell r="AY74">
            <v>1.0283039800667957</v>
          </cell>
          <cell r="AZ74">
            <v>72.562228799999971</v>
          </cell>
          <cell r="BA74">
            <v>40.2341312</v>
          </cell>
          <cell r="BB74">
            <v>296.2694173999999</v>
          </cell>
          <cell r="BC74">
            <v>3.715558399999999</v>
          </cell>
          <cell r="BD74">
            <v>220.51886519999999</v>
          </cell>
          <cell r="BE74">
            <v>7.7156712000000018</v>
          </cell>
          <cell r="BF74">
            <v>6285.9999999999982</v>
          </cell>
          <cell r="BG74">
            <v>4463.13</v>
          </cell>
          <cell r="BH74">
            <v>1839.365</v>
          </cell>
          <cell r="BI74">
            <v>973.72521857923482</v>
          </cell>
          <cell r="BJ74">
            <v>5142.0499999999975</v>
          </cell>
          <cell r="BK74">
            <v>508.37999999999982</v>
          </cell>
          <cell r="BM74">
            <v>1</v>
          </cell>
          <cell r="BN74">
            <v>1</v>
          </cell>
          <cell r="BO74">
            <v>3</v>
          </cell>
          <cell r="BP74">
            <v>0</v>
          </cell>
          <cell r="BQ74">
            <v>9</v>
          </cell>
          <cell r="BR74">
            <v>16</v>
          </cell>
          <cell r="BS74">
            <v>0</v>
          </cell>
          <cell r="BT74">
            <v>1</v>
          </cell>
          <cell r="BU74">
            <v>19</v>
          </cell>
          <cell r="BV74">
            <v>1</v>
          </cell>
          <cell r="BW74">
            <v>55.000000000000021</v>
          </cell>
          <cell r="BX74">
            <v>36</v>
          </cell>
          <cell r="BY74">
            <v>2</v>
          </cell>
          <cell r="BZ74">
            <v>1</v>
          </cell>
          <cell r="CA74">
            <v>13.000000000000002</v>
          </cell>
          <cell r="CB74">
            <v>32.000000000000007</v>
          </cell>
          <cell r="CC74">
            <v>19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6.9999999999999991</v>
          </cell>
          <cell r="CI74">
            <v>9</v>
          </cell>
          <cell r="CJ74">
            <v>2</v>
          </cell>
          <cell r="CK74">
            <v>24</v>
          </cell>
          <cell r="CL74">
            <v>18</v>
          </cell>
          <cell r="CM74">
            <v>1</v>
          </cell>
          <cell r="CN74">
            <v>1</v>
          </cell>
          <cell r="CO74">
            <v>0</v>
          </cell>
          <cell r="CP74">
            <v>20</v>
          </cell>
          <cell r="CQ74">
            <v>5</v>
          </cell>
          <cell r="CR74">
            <v>0</v>
          </cell>
          <cell r="CS74">
            <v>13.999999999999998</v>
          </cell>
          <cell r="CT74">
            <v>8</v>
          </cell>
          <cell r="CU74">
            <v>9</v>
          </cell>
          <cell r="CV74">
            <v>33.999999999999993</v>
          </cell>
          <cell r="CW74">
            <v>38</v>
          </cell>
          <cell r="CX74">
            <v>1</v>
          </cell>
          <cell r="CY74">
            <v>0</v>
          </cell>
          <cell r="CZ74">
            <v>0</v>
          </cell>
          <cell r="DA74">
            <v>13.999999999999998</v>
          </cell>
          <cell r="DC74">
            <v>414</v>
          </cell>
          <cell r="DE74">
            <v>1</v>
          </cell>
          <cell r="DF74">
            <v>1</v>
          </cell>
          <cell r="DG74">
            <v>3</v>
          </cell>
          <cell r="DH74">
            <v>0</v>
          </cell>
          <cell r="DI74">
            <v>9</v>
          </cell>
          <cell r="DJ74">
            <v>16</v>
          </cell>
          <cell r="DK74">
            <v>0</v>
          </cell>
          <cell r="DL74">
            <v>1</v>
          </cell>
          <cell r="DM74">
            <v>19</v>
          </cell>
          <cell r="DN74">
            <v>1</v>
          </cell>
          <cell r="DO74">
            <v>55.000000000000021</v>
          </cell>
          <cell r="DP74">
            <v>36</v>
          </cell>
          <cell r="DQ74">
            <v>2</v>
          </cell>
          <cell r="DR74">
            <v>1</v>
          </cell>
          <cell r="DS74">
            <v>13.000000000000002</v>
          </cell>
          <cell r="DT74">
            <v>32.000000000000007</v>
          </cell>
          <cell r="DU74">
            <v>19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6.9999999999999991</v>
          </cell>
          <cell r="EA74">
            <v>9</v>
          </cell>
          <cell r="EB74">
            <v>2</v>
          </cell>
          <cell r="EC74">
            <v>24</v>
          </cell>
          <cell r="ED74">
            <v>18</v>
          </cell>
          <cell r="EE74">
            <v>1</v>
          </cell>
          <cell r="EF74">
            <v>1</v>
          </cell>
          <cell r="EG74">
            <v>0</v>
          </cell>
          <cell r="EH74">
            <v>20</v>
          </cell>
          <cell r="EI74">
            <v>5</v>
          </cell>
          <cell r="EJ74">
            <v>0</v>
          </cell>
          <cell r="EK74">
            <v>13.999999999999998</v>
          </cell>
          <cell r="EL74">
            <v>8</v>
          </cell>
          <cell r="EM74">
            <v>9</v>
          </cell>
          <cell r="EN74">
            <v>33.999999999999993</v>
          </cell>
          <cell r="EO74">
            <v>38</v>
          </cell>
          <cell r="EP74">
            <v>1</v>
          </cell>
          <cell r="EQ74">
            <v>0</v>
          </cell>
          <cell r="ER74">
            <v>0</v>
          </cell>
          <cell r="ES74">
            <v>13.999999999999998</v>
          </cell>
          <cell r="EU74">
            <v>414</v>
          </cell>
          <cell r="EW74">
            <v>1</v>
          </cell>
          <cell r="EX74">
            <v>0</v>
          </cell>
          <cell r="EY74">
            <v>1</v>
          </cell>
          <cell r="EZ74">
            <v>0</v>
          </cell>
          <cell r="FA74">
            <v>9</v>
          </cell>
          <cell r="FB74">
            <v>16</v>
          </cell>
          <cell r="FC74">
            <v>0</v>
          </cell>
          <cell r="FD74">
            <v>1</v>
          </cell>
          <cell r="FE74">
            <v>21</v>
          </cell>
          <cell r="FF74">
            <v>1</v>
          </cell>
          <cell r="FG74">
            <v>55.000000000000007</v>
          </cell>
          <cell r="FH74">
            <v>36</v>
          </cell>
          <cell r="FI74">
            <v>2</v>
          </cell>
          <cell r="FJ74">
            <v>0</v>
          </cell>
          <cell r="FK74">
            <v>10</v>
          </cell>
          <cell r="FL74">
            <v>27.999999999999989</v>
          </cell>
          <cell r="FM74">
            <v>21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9</v>
          </cell>
          <cell r="FS74">
            <v>12</v>
          </cell>
          <cell r="FT74">
            <v>2</v>
          </cell>
          <cell r="FU74">
            <v>24</v>
          </cell>
          <cell r="FV74">
            <v>18</v>
          </cell>
          <cell r="FW74">
            <v>1</v>
          </cell>
          <cell r="FX74">
            <v>0</v>
          </cell>
          <cell r="FY74">
            <v>0</v>
          </cell>
          <cell r="FZ74">
            <v>21</v>
          </cell>
          <cell r="GA74">
            <v>4</v>
          </cell>
          <cell r="GB74">
            <v>20</v>
          </cell>
          <cell r="GC74">
            <v>12</v>
          </cell>
          <cell r="GD74">
            <v>6.9999999999999991</v>
          </cell>
          <cell r="GE74">
            <v>8</v>
          </cell>
          <cell r="GF74">
            <v>35.000000000000007</v>
          </cell>
          <cell r="GG74">
            <v>38</v>
          </cell>
          <cell r="GH74">
            <v>0</v>
          </cell>
          <cell r="GI74">
            <v>0</v>
          </cell>
          <cell r="GJ74">
            <v>0</v>
          </cell>
          <cell r="GK74">
            <v>10.999999999999998</v>
          </cell>
          <cell r="GM74">
            <v>424</v>
          </cell>
          <cell r="GO74">
            <v>2</v>
          </cell>
          <cell r="GP74">
            <v>4</v>
          </cell>
          <cell r="GQ74">
            <v>3</v>
          </cell>
          <cell r="GR74">
            <v>2</v>
          </cell>
          <cell r="GS74">
            <v>1</v>
          </cell>
          <cell r="GT74">
            <v>2</v>
          </cell>
          <cell r="GU74">
            <v>2</v>
          </cell>
          <cell r="GV74">
            <v>1</v>
          </cell>
          <cell r="GW74">
            <v>3</v>
          </cell>
          <cell r="GX74">
            <v>1</v>
          </cell>
          <cell r="GY74">
            <v>13.999999999999998</v>
          </cell>
          <cell r="GZ74">
            <v>3</v>
          </cell>
          <cell r="HB74">
            <v>38</v>
          </cell>
          <cell r="HD74">
            <v>2</v>
          </cell>
          <cell r="HE74">
            <v>4</v>
          </cell>
          <cell r="HF74">
            <v>3</v>
          </cell>
          <cell r="HG74">
            <v>2</v>
          </cell>
          <cell r="HH74">
            <v>1</v>
          </cell>
          <cell r="HI74">
            <v>2</v>
          </cell>
          <cell r="HJ74">
            <v>2</v>
          </cell>
          <cell r="HK74">
            <v>1</v>
          </cell>
          <cell r="HL74">
            <v>3</v>
          </cell>
          <cell r="HM74">
            <v>1</v>
          </cell>
          <cell r="HN74">
            <v>13.999999999999998</v>
          </cell>
          <cell r="HO74">
            <v>3</v>
          </cell>
          <cell r="HQ74">
            <v>38</v>
          </cell>
          <cell r="HS74">
            <v>2</v>
          </cell>
          <cell r="HT74">
            <v>4</v>
          </cell>
          <cell r="HU74">
            <v>3</v>
          </cell>
          <cell r="HV74">
            <v>2</v>
          </cell>
          <cell r="HW74">
            <v>1</v>
          </cell>
          <cell r="HX74">
            <v>2</v>
          </cell>
          <cell r="HY74">
            <v>2</v>
          </cell>
          <cell r="HZ74">
            <v>1</v>
          </cell>
          <cell r="IA74">
            <v>3</v>
          </cell>
          <cell r="IB74">
            <v>1</v>
          </cell>
          <cell r="IC74">
            <v>13.999999999999998</v>
          </cell>
          <cell r="ID74">
            <v>3</v>
          </cell>
          <cell r="IF74">
            <v>38</v>
          </cell>
          <cell r="IH74">
            <v>19</v>
          </cell>
          <cell r="II74">
            <v>78.000000000000014</v>
          </cell>
          <cell r="IJ74">
            <v>15</v>
          </cell>
          <cell r="IK74">
            <v>93</v>
          </cell>
          <cell r="IM74">
            <v>5</v>
          </cell>
          <cell r="IN74">
            <v>13.999999999999998</v>
          </cell>
          <cell r="IO74">
            <v>2</v>
          </cell>
          <cell r="IP74">
            <v>18</v>
          </cell>
          <cell r="IR74">
            <v>7</v>
          </cell>
          <cell r="IS74">
            <v>32</v>
          </cell>
          <cell r="IT74">
            <v>27</v>
          </cell>
          <cell r="IU74">
            <v>139</v>
          </cell>
          <cell r="IW74">
            <v>19</v>
          </cell>
          <cell r="IX74">
            <v>78.000000000000014</v>
          </cell>
          <cell r="IY74">
            <v>15</v>
          </cell>
          <cell r="IZ74">
            <v>93</v>
          </cell>
          <cell r="JB74">
            <v>5</v>
          </cell>
          <cell r="JC74">
            <v>13.999999999999998</v>
          </cell>
          <cell r="JD74">
            <v>2</v>
          </cell>
          <cell r="JE74">
            <v>18</v>
          </cell>
          <cell r="JG74">
            <v>7</v>
          </cell>
          <cell r="JH74">
            <v>32</v>
          </cell>
          <cell r="JI74">
            <v>27</v>
          </cell>
          <cell r="JJ74">
            <v>139</v>
          </cell>
          <cell r="JL74">
            <v>17.999999999999996</v>
          </cell>
          <cell r="JM74">
            <v>76</v>
          </cell>
          <cell r="JN74">
            <v>15</v>
          </cell>
          <cell r="JO74">
            <v>93</v>
          </cell>
          <cell r="JQ74">
            <v>4</v>
          </cell>
          <cell r="JR74">
            <v>12</v>
          </cell>
          <cell r="JS74">
            <v>2</v>
          </cell>
          <cell r="JT74">
            <v>18</v>
          </cell>
          <cell r="JV74">
            <v>6</v>
          </cell>
          <cell r="JW74">
            <v>30</v>
          </cell>
          <cell r="JX74">
            <v>27</v>
          </cell>
          <cell r="JY74">
            <v>139</v>
          </cell>
          <cell r="KA74">
            <v>10.999999999999998</v>
          </cell>
          <cell r="KB74">
            <v>39.000000000000007</v>
          </cell>
          <cell r="KC74">
            <v>6</v>
          </cell>
          <cell r="KE74">
            <v>19</v>
          </cell>
          <cell r="KG74">
            <v>10.999999999999998</v>
          </cell>
          <cell r="KH74">
            <v>20.000000000000007</v>
          </cell>
          <cell r="KI74">
            <v>6</v>
          </cell>
          <cell r="KK74">
            <v>10.999999999999998</v>
          </cell>
          <cell r="KL74">
            <v>39.000000000000007</v>
          </cell>
          <cell r="KM74">
            <v>6</v>
          </cell>
          <cell r="KO74">
            <v>19</v>
          </cell>
          <cell r="KQ74">
            <v>10.999999999999998</v>
          </cell>
          <cell r="KR74">
            <v>20.000000000000007</v>
          </cell>
          <cell r="KS74">
            <v>6</v>
          </cell>
          <cell r="KU74">
            <v>10.999999999999998</v>
          </cell>
          <cell r="KV74">
            <v>41.000000000000014</v>
          </cell>
          <cell r="KW74">
            <v>6</v>
          </cell>
          <cell r="KY74">
            <v>21</v>
          </cell>
          <cell r="LA74">
            <v>10.999999999999998</v>
          </cell>
          <cell r="LB74">
            <v>20.000000000000014</v>
          </cell>
          <cell r="LC74">
            <v>6</v>
          </cell>
          <cell r="LE74" t="str">
            <v>Top Level (Consolidated)-Top Level (Consolidated)</v>
          </cell>
        </row>
      </sheetData>
      <sheetData sheetId="32" refreshError="1"/>
      <sheetData sheetId="33" refreshError="1"/>
      <sheetData sheetId="34">
        <row r="1">
          <cell r="B1" t="str">
            <v>2023Budget</v>
          </cell>
          <cell r="C1" t="str">
            <v>2023FC 6+6</v>
          </cell>
          <cell r="D1" t="str">
            <v>2024Budget</v>
          </cell>
        </row>
        <row r="2">
          <cell r="I2" t="str">
            <v>x'OC-Raise'!$B$7:$D$54</v>
          </cell>
        </row>
        <row r="3">
          <cell r="I3" t="str">
            <v>x'OC-Raise'!$F$7:$F$54</v>
          </cell>
        </row>
      </sheetData>
      <sheetData sheetId="35" refreshError="1"/>
      <sheetData sheetId="36">
        <row r="1">
          <cell r="B1" t="str">
            <v>45170FC 6+6SNF Census - Medicare A</v>
          </cell>
          <cell r="C1" t="str">
            <v>45200FC 6+6SNF Census - Medicare A</v>
          </cell>
          <cell r="D1" t="str">
            <v>45231FC 6+6SNF Census - Medicare A</v>
          </cell>
          <cell r="E1" t="str">
            <v>45261FC 6+6SNF Census - Medicare A</v>
          </cell>
          <cell r="F1" t="str">
            <v>45292BudgetSNF Census - Medicare A</v>
          </cell>
          <cell r="G1" t="str">
            <v>45323BudgetSNF Census - Medicare A</v>
          </cell>
          <cell r="H1" t="str">
            <v>45352BudgetSNF Census - Medicare A</v>
          </cell>
          <cell r="I1" t="str">
            <v>45383BudgetSNF Census - Medicare A</v>
          </cell>
          <cell r="J1" t="str">
            <v>45413BudgetSNF Census - Medicare A</v>
          </cell>
          <cell r="K1" t="str">
            <v>45444BudgetSNF Census - Medicare A</v>
          </cell>
          <cell r="L1" t="str">
            <v>45474BudgetSNF Census - Medicare A</v>
          </cell>
          <cell r="M1" t="str">
            <v>45505BudgetSNF Census - Medicare A</v>
          </cell>
          <cell r="N1" t="str">
            <v>45536BudgetSNF Census - Medicare A</v>
          </cell>
          <cell r="O1" t="str">
            <v>45566BudgetSNF Census - Medicare A</v>
          </cell>
          <cell r="P1" t="str">
            <v>45597BudgetSNF Census - Medicare A</v>
          </cell>
          <cell r="Q1" t="str">
            <v>45627BudgetSNF Census - Medicare A</v>
          </cell>
          <cell r="S1" t="str">
            <v>45170FC 6+6SNF Census - Medicare Advantage</v>
          </cell>
          <cell r="T1" t="str">
            <v>45200FC 6+6SNF Census - Medicare Advantage</v>
          </cell>
          <cell r="U1" t="str">
            <v>45231FC 6+6SNF Census - Medicare Advantage</v>
          </cell>
          <cell r="V1" t="str">
            <v>45261FC 6+6SNF Census - Medicare Advantage</v>
          </cell>
          <cell r="W1" t="str">
            <v>45292BudgetSNF Census - Medicare Advantage</v>
          </cell>
          <cell r="X1" t="str">
            <v>45323BudgetSNF Census - Medicare Advantage</v>
          </cell>
          <cell r="Y1" t="str">
            <v>45352BudgetSNF Census - Medicare Advantage</v>
          </cell>
          <cell r="Z1" t="str">
            <v>45383BudgetSNF Census - Medicare Advantage</v>
          </cell>
          <cell r="AA1" t="str">
            <v>45413BudgetSNF Census - Medicare Advantage</v>
          </cell>
          <cell r="AB1" t="str">
            <v>45444BudgetSNF Census - Medicare Advantage</v>
          </cell>
          <cell r="AC1" t="str">
            <v>45474BudgetSNF Census - Medicare Advantage</v>
          </cell>
          <cell r="AD1" t="str">
            <v>45505BudgetSNF Census - Medicare Advantage</v>
          </cell>
          <cell r="AE1" t="str">
            <v>45536BudgetSNF Census - Medicare Advantage</v>
          </cell>
          <cell r="AF1" t="str">
            <v>45566BudgetSNF Census - Medicare Advantage</v>
          </cell>
          <cell r="AG1" t="str">
            <v>45597BudgetSNF Census - Medicare Advantage</v>
          </cell>
          <cell r="AH1" t="str">
            <v>45627BudgetSNF Census - Medicare Advantage</v>
          </cell>
          <cell r="AJ1" t="str">
            <v>45170FC 6+6SNF Census - Medicaid</v>
          </cell>
          <cell r="AK1" t="str">
            <v>45200FC 6+6SNF Census - Medicaid</v>
          </cell>
          <cell r="AL1" t="str">
            <v>45231FC 6+6SNF Census - Medicaid</v>
          </cell>
          <cell r="AM1" t="str">
            <v>45261FC 6+6SNF Census - Medicaid</v>
          </cell>
          <cell r="AN1" t="str">
            <v>45292BudgetSNF Census - Medicaid</v>
          </cell>
          <cell r="AO1" t="str">
            <v>45323BudgetSNF Census - Medicaid</v>
          </cell>
          <cell r="AP1" t="str">
            <v>45352BudgetSNF Census - Medicaid</v>
          </cell>
          <cell r="AQ1" t="str">
            <v>45383BudgetSNF Census - Medicaid</v>
          </cell>
          <cell r="AR1" t="str">
            <v>45413BudgetSNF Census - Medicaid</v>
          </cell>
          <cell r="AS1" t="str">
            <v>45444BudgetSNF Census - Medicaid</v>
          </cell>
          <cell r="AT1" t="str">
            <v>45474BudgetSNF Census - Medicaid</v>
          </cell>
          <cell r="AU1" t="str">
            <v>45505BudgetSNF Census - Medicaid</v>
          </cell>
          <cell r="AV1" t="str">
            <v>45536BudgetSNF Census - Medicaid</v>
          </cell>
          <cell r="AW1" t="str">
            <v>45566BudgetSNF Census - Medicaid</v>
          </cell>
          <cell r="AX1" t="str">
            <v>45597BudgetSNF Census - Medicaid</v>
          </cell>
          <cell r="AY1" t="str">
            <v>45627BudgetSNF Census - Medicaid</v>
          </cell>
          <cell r="BA1" t="str">
            <v>45170FC 6+6SNF Census - Insurance</v>
          </cell>
          <cell r="BB1" t="str">
            <v>45200FC 6+6SNF Census - Insurance</v>
          </cell>
          <cell r="BC1" t="str">
            <v>45231FC 6+6SNF Census - Insurance</v>
          </cell>
          <cell r="BD1" t="str">
            <v>45261FC 6+6SNF Census - Insurance</v>
          </cell>
          <cell r="BE1" t="str">
            <v>45292BudgetSNF Census - Insurance</v>
          </cell>
          <cell r="BF1" t="str">
            <v>45323BudgetSNF Census - Insurance</v>
          </cell>
          <cell r="BG1" t="str">
            <v>45352BudgetSNF Census - Insurance</v>
          </cell>
          <cell r="BH1" t="str">
            <v>45383BudgetSNF Census - Insurance</v>
          </cell>
          <cell r="BI1" t="str">
            <v>45413BudgetSNF Census - Insurance</v>
          </cell>
          <cell r="BJ1" t="str">
            <v>45444BudgetSNF Census - Insurance</v>
          </cell>
          <cell r="BK1" t="str">
            <v>45474BudgetSNF Census - Insurance</v>
          </cell>
          <cell r="BL1" t="str">
            <v>45505BudgetSNF Census - Insurance</v>
          </cell>
          <cell r="BM1" t="str">
            <v>45536BudgetSNF Census - Insurance</v>
          </cell>
          <cell r="BN1" t="str">
            <v>45566BudgetSNF Census - Insurance</v>
          </cell>
          <cell r="BO1" t="str">
            <v>45597BudgetSNF Census - Insurance</v>
          </cell>
          <cell r="BP1" t="str">
            <v>45627BudgetSNF Census - Insurance</v>
          </cell>
          <cell r="BR1" t="str">
            <v>45170FC 6+6SNF Census - Private Pay</v>
          </cell>
          <cell r="BS1" t="str">
            <v>45200FC 6+6SNF Census - Private Pay</v>
          </cell>
          <cell r="BT1" t="str">
            <v>45231FC 6+6SNF Census - Private Pay</v>
          </cell>
          <cell r="BU1" t="str">
            <v>45261FC 6+6SNF Census - Private Pay</v>
          </cell>
          <cell r="BV1" t="str">
            <v>45292BudgetSNF Census - Private Pay</v>
          </cell>
          <cell r="BW1" t="str">
            <v>45323BudgetSNF Census - Private Pay</v>
          </cell>
          <cell r="BX1" t="str">
            <v>45352BudgetSNF Census - Private Pay</v>
          </cell>
          <cell r="BY1" t="str">
            <v>45383BudgetSNF Census - Private Pay</v>
          </cell>
          <cell r="BZ1" t="str">
            <v>45413BudgetSNF Census - Private Pay</v>
          </cell>
          <cell r="CA1" t="str">
            <v>45444BudgetSNF Census - Private Pay</v>
          </cell>
          <cell r="CB1" t="str">
            <v>45474BudgetSNF Census - Private Pay</v>
          </cell>
          <cell r="CC1" t="str">
            <v>45505BudgetSNF Census - Private Pay</v>
          </cell>
          <cell r="CD1" t="str">
            <v>45536BudgetSNF Census - Private Pay</v>
          </cell>
          <cell r="CE1" t="str">
            <v>45566BudgetSNF Census - Private Pay</v>
          </cell>
          <cell r="CF1" t="str">
            <v>45597BudgetSNF Census - Private Pay</v>
          </cell>
          <cell r="CG1" t="str">
            <v>45627BudgetSNF Census - Private Pay</v>
          </cell>
          <cell r="CI1" t="str">
            <v>45170FC 6+6SNF Census - Hospice</v>
          </cell>
          <cell r="CJ1" t="str">
            <v>45200FC 6+6SNF Census - Hospice</v>
          </cell>
          <cell r="CK1" t="str">
            <v>45231FC 6+6SNF Census - Hospice</v>
          </cell>
          <cell r="CL1" t="str">
            <v>45261FC 6+6SNF Census - Hospice</v>
          </cell>
          <cell r="CM1" t="str">
            <v>45292BudgetSNF Census - Hospice</v>
          </cell>
          <cell r="CN1" t="str">
            <v>45323BudgetSNF Census - Hospice</v>
          </cell>
          <cell r="CO1" t="str">
            <v>45352BudgetSNF Census - Hospice</v>
          </cell>
          <cell r="CP1" t="str">
            <v>45383BudgetSNF Census - Hospice</v>
          </cell>
          <cell r="CQ1" t="str">
            <v>45413BudgetSNF Census - Hospice</v>
          </cell>
          <cell r="CR1" t="str">
            <v>45444BudgetSNF Census - Hospice</v>
          </cell>
          <cell r="CS1" t="str">
            <v>45474BudgetSNF Census - Hospice</v>
          </cell>
          <cell r="CT1" t="str">
            <v>45505BudgetSNF Census - Hospice</v>
          </cell>
          <cell r="CU1" t="str">
            <v>45536BudgetSNF Census - Hospice</v>
          </cell>
          <cell r="CV1" t="str">
            <v>45566BudgetSNF Census - Hospice</v>
          </cell>
          <cell r="CW1" t="str">
            <v>45597BudgetSNF Census - Hospice</v>
          </cell>
          <cell r="CX1" t="str">
            <v>45627BudgetSNF Census - Hospice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Z9" t="str">
            <v>660-21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Z10" t="str">
            <v>660-22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Z11" t="str">
            <v>660-31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Z12" t="str">
            <v>660-52</v>
          </cell>
        </row>
        <row r="13">
          <cell r="B13">
            <v>5.28</v>
          </cell>
          <cell r="C13">
            <v>3.8135750000000002</v>
          </cell>
          <cell r="D13">
            <v>3.9661179999999998</v>
          </cell>
          <cell r="E13">
            <v>4.1186610000000003</v>
          </cell>
          <cell r="F13">
            <v>3.95045</v>
          </cell>
          <cell r="G13">
            <v>3.95045</v>
          </cell>
          <cell r="H13">
            <v>3.95045</v>
          </cell>
          <cell r="I13">
            <v>3.95045</v>
          </cell>
          <cell r="J13">
            <v>3.95045</v>
          </cell>
          <cell r="K13">
            <v>3.95045</v>
          </cell>
          <cell r="L13">
            <v>3.95045</v>
          </cell>
          <cell r="M13">
            <v>3.95045</v>
          </cell>
          <cell r="N13">
            <v>3.95045</v>
          </cell>
          <cell r="O13">
            <v>3.95045</v>
          </cell>
          <cell r="P13">
            <v>3.95045</v>
          </cell>
          <cell r="Q13">
            <v>3.95045</v>
          </cell>
          <cell r="S13">
            <v>11.5608</v>
          </cell>
          <cell r="T13">
            <v>13.729050000000001</v>
          </cell>
          <cell r="U13">
            <v>14.278212000000002</v>
          </cell>
          <cell r="V13">
            <v>14.827374000000001</v>
          </cell>
          <cell r="W13">
            <v>9.5592249999999996</v>
          </cell>
          <cell r="X13">
            <v>9.5592249999999996</v>
          </cell>
          <cell r="Y13">
            <v>9.5592249999999996</v>
          </cell>
          <cell r="Z13">
            <v>9.5592249999999996</v>
          </cell>
          <cell r="AA13">
            <v>9.5592249999999996</v>
          </cell>
          <cell r="AB13">
            <v>9.5592249999999996</v>
          </cell>
          <cell r="AC13">
            <v>9.5592249999999996</v>
          </cell>
          <cell r="AD13">
            <v>9.5592249999999996</v>
          </cell>
          <cell r="AE13">
            <v>9.5592249999999996</v>
          </cell>
          <cell r="AF13">
            <v>9.5592249999999996</v>
          </cell>
          <cell r="AG13">
            <v>9.5592249999999996</v>
          </cell>
          <cell r="AH13">
            <v>9.5592249999999996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R13">
            <v>7.1591040000000001</v>
          </cell>
          <cell r="BS13">
            <v>7.4573999999999998</v>
          </cell>
          <cell r="BT13">
            <v>7.7556960000000004</v>
          </cell>
          <cell r="BU13">
            <v>8.0539920000000009</v>
          </cell>
          <cell r="BV13">
            <v>11.490550000000001</v>
          </cell>
          <cell r="BW13">
            <v>11.490550000000001</v>
          </cell>
          <cell r="BX13">
            <v>11.490550000000001</v>
          </cell>
          <cell r="BY13">
            <v>11.490550000000001</v>
          </cell>
          <cell r="BZ13">
            <v>11.490550000000001</v>
          </cell>
          <cell r="CA13">
            <v>11.490550000000001</v>
          </cell>
          <cell r="CB13">
            <v>11.490550000000001</v>
          </cell>
          <cell r="CC13">
            <v>11.490550000000001</v>
          </cell>
          <cell r="CD13">
            <v>11.490550000000001</v>
          </cell>
          <cell r="CE13">
            <v>11.490550000000001</v>
          </cell>
          <cell r="CF13">
            <v>11.490550000000001</v>
          </cell>
          <cell r="CG13">
            <v>11.490550000000001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Z13" t="str">
            <v>660-61</v>
          </cell>
        </row>
        <row r="14">
          <cell r="B14">
            <v>1.1988000000000001</v>
          </cell>
          <cell r="C14">
            <v>1.2987</v>
          </cell>
          <cell r="D14">
            <v>1.3986000000000001</v>
          </cell>
          <cell r="E14">
            <v>1.4984999999999999</v>
          </cell>
          <cell r="F14">
            <v>1.5</v>
          </cell>
          <cell r="G14">
            <v>1.5</v>
          </cell>
          <cell r="H14">
            <v>1.5</v>
          </cell>
          <cell r="I14">
            <v>1.5</v>
          </cell>
          <cell r="J14">
            <v>1.5</v>
          </cell>
          <cell r="K14">
            <v>1.5</v>
          </cell>
          <cell r="L14">
            <v>1.5</v>
          </cell>
          <cell r="M14">
            <v>1.5</v>
          </cell>
          <cell r="N14">
            <v>1.5</v>
          </cell>
          <cell r="O14">
            <v>1.5</v>
          </cell>
          <cell r="P14">
            <v>1.5</v>
          </cell>
          <cell r="Q14">
            <v>1.5</v>
          </cell>
          <cell r="S14">
            <v>2.3976000000000002</v>
          </cell>
          <cell r="T14">
            <v>2.5973999999999999</v>
          </cell>
          <cell r="U14">
            <v>2.7972000000000001</v>
          </cell>
          <cell r="V14">
            <v>2.9969999999999999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R14">
            <v>8.4036000000000008</v>
          </cell>
          <cell r="BS14">
            <v>9.1038999999999994</v>
          </cell>
          <cell r="BT14">
            <v>9.8041999999999998</v>
          </cell>
          <cell r="BU14">
            <v>10.5045</v>
          </cell>
          <cell r="BV14">
            <v>10.5</v>
          </cell>
          <cell r="BW14">
            <v>10.5</v>
          </cell>
          <cell r="BX14">
            <v>10.5</v>
          </cell>
          <cell r="BY14">
            <v>10.5</v>
          </cell>
          <cell r="BZ14">
            <v>10.5</v>
          </cell>
          <cell r="CA14">
            <v>10.5</v>
          </cell>
          <cell r="CB14">
            <v>10.5</v>
          </cell>
          <cell r="CC14">
            <v>10.5</v>
          </cell>
          <cell r="CD14">
            <v>10.5</v>
          </cell>
          <cell r="CE14">
            <v>10.5</v>
          </cell>
          <cell r="CF14">
            <v>10.5</v>
          </cell>
          <cell r="CG14">
            <v>10.5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Z14" t="str">
            <v>660-62</v>
          </cell>
        </row>
        <row r="15">
          <cell r="B15">
            <v>6.4788000000000006</v>
          </cell>
          <cell r="C15">
            <v>5.1122750000000003</v>
          </cell>
          <cell r="D15">
            <v>5.3647179999999999</v>
          </cell>
          <cell r="E15">
            <v>5.6171610000000003</v>
          </cell>
          <cell r="F15">
            <v>5.45045</v>
          </cell>
          <cell r="G15">
            <v>5.45045</v>
          </cell>
          <cell r="H15">
            <v>5.45045</v>
          </cell>
          <cell r="I15">
            <v>5.45045</v>
          </cell>
          <cell r="J15">
            <v>5.45045</v>
          </cell>
          <cell r="K15">
            <v>5.45045</v>
          </cell>
          <cell r="L15">
            <v>5.45045</v>
          </cell>
          <cell r="M15">
            <v>5.45045</v>
          </cell>
          <cell r="N15">
            <v>5.45045</v>
          </cell>
          <cell r="O15">
            <v>5.45045</v>
          </cell>
          <cell r="P15">
            <v>5.45045</v>
          </cell>
          <cell r="Q15">
            <v>5.45045</v>
          </cell>
          <cell r="S15">
            <v>13.958399999999999</v>
          </cell>
          <cell r="T15">
            <v>16.326450000000001</v>
          </cell>
          <cell r="U15">
            <v>17.075412</v>
          </cell>
          <cell r="V15">
            <v>17.824373999999999</v>
          </cell>
          <cell r="W15">
            <v>12.559225</v>
          </cell>
          <cell r="X15">
            <v>12.559225</v>
          </cell>
          <cell r="Y15">
            <v>12.559225</v>
          </cell>
          <cell r="Z15">
            <v>12.559225</v>
          </cell>
          <cell r="AA15">
            <v>12.559225</v>
          </cell>
          <cell r="AB15">
            <v>12.559225</v>
          </cell>
          <cell r="AC15">
            <v>12.559225</v>
          </cell>
          <cell r="AD15">
            <v>12.559225</v>
          </cell>
          <cell r="AE15">
            <v>12.559225</v>
          </cell>
          <cell r="AF15">
            <v>12.559225</v>
          </cell>
          <cell r="AG15">
            <v>12.559225</v>
          </cell>
          <cell r="AH15">
            <v>12.559225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R15">
            <v>15.562704</v>
          </cell>
          <cell r="BS15">
            <v>16.561300000000003</v>
          </cell>
          <cell r="BT15">
            <v>17.559896000000002</v>
          </cell>
          <cell r="BU15">
            <v>18.558492000000001</v>
          </cell>
          <cell r="BV15">
            <v>21.990549999999999</v>
          </cell>
          <cell r="BW15">
            <v>21.990549999999999</v>
          </cell>
          <cell r="BX15">
            <v>21.990549999999999</v>
          </cell>
          <cell r="BY15">
            <v>21.990549999999999</v>
          </cell>
          <cell r="BZ15">
            <v>21.990549999999999</v>
          </cell>
          <cell r="CA15">
            <v>21.990549999999999</v>
          </cell>
          <cell r="CB15">
            <v>21.990549999999999</v>
          </cell>
          <cell r="CC15">
            <v>21.990549999999999</v>
          </cell>
          <cell r="CD15">
            <v>21.990549999999999</v>
          </cell>
          <cell r="CE15">
            <v>21.990549999999999</v>
          </cell>
          <cell r="CF15">
            <v>21.990549999999999</v>
          </cell>
          <cell r="CG15">
            <v>21.990549999999999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Z15" t="str">
            <v>660-Entity</v>
          </cell>
        </row>
      </sheetData>
      <sheetData sheetId="37">
        <row r="1">
          <cell r="B1" t="str">
            <v>44927FC 6+6Forecasted Census (Entry)</v>
          </cell>
          <cell r="C1" t="str">
            <v>44958FC 6+6Forecasted Census (Entry)</v>
          </cell>
          <cell r="D1" t="str">
            <v>44986FC 6+6Forecasted Census (Entry)</v>
          </cell>
          <cell r="E1" t="str">
            <v>45017FC 6+6Forecasted Census (Entry)</v>
          </cell>
          <cell r="F1" t="str">
            <v>45047FC 6+6Forecasted Census (Entry)</v>
          </cell>
          <cell r="G1" t="str">
            <v>45078FC 6+6Forecasted Census (Entry)</v>
          </cell>
          <cell r="H1" t="str">
            <v>45108FC 6+6Forecasted Census (Entry)</v>
          </cell>
          <cell r="I1" t="str">
            <v>45139FC 6+6Forecasted Census (Entry)</v>
          </cell>
          <cell r="J1" t="str">
            <v>45170FC 6+6Forecasted Census (Entry)</v>
          </cell>
          <cell r="K1" t="str">
            <v>45200FC 6+6Forecasted Census (Entry)</v>
          </cell>
          <cell r="L1" t="str">
            <v>45231FC 6+6Forecasted Census (Entry)</v>
          </cell>
          <cell r="M1" t="str">
            <v>45261FC 6+6Forecasted Census (Entry)</v>
          </cell>
          <cell r="N1" t="str">
            <v>44927FC 6+6# of Actual Available Units (Entry)</v>
          </cell>
          <cell r="O1" t="str">
            <v>44958FC 6+6# of Actual Available Units (Entry)</v>
          </cell>
          <cell r="P1" t="str">
            <v>44986FC 6+6# of Actual Available Units (Entry)</v>
          </cell>
          <cell r="Q1" t="str">
            <v>45017FC 6+6# of Actual Available Units (Entry)</v>
          </cell>
          <cell r="R1" t="str">
            <v>45047FC 6+6# of Actual Available Units (Entry)</v>
          </cell>
          <cell r="S1" t="str">
            <v>45078FC 6+6# of Actual Available Units (Entry)</v>
          </cell>
          <cell r="T1" t="str">
            <v>45108FC 6+6# of Actual Available Units (Entry)</v>
          </cell>
          <cell r="U1" t="str">
            <v>45139FC 6+6# of Actual Available Units (Entry)</v>
          </cell>
          <cell r="V1" t="str">
            <v>45170FC 6+6# of Actual Available Units (Entry)</v>
          </cell>
          <cell r="W1" t="str">
            <v>45200FC 6+6# of Actual Available Units (Entry)</v>
          </cell>
          <cell r="X1" t="str">
            <v>45231FC 6+6# of Actual Available Units (Entry)</v>
          </cell>
          <cell r="Y1" t="str">
            <v>45261FC 6+6# of Actual Available Units (Entry)</v>
          </cell>
          <cell r="AA1" t="str">
            <v>45292BudgetForecasted Census (Entry)</v>
          </cell>
          <cell r="AB1" t="str">
            <v>45323BudgetForecasted Census (Entry)</v>
          </cell>
          <cell r="AC1" t="str">
            <v>45352BudgetForecasted Census (Entry)</v>
          </cell>
          <cell r="AD1" t="str">
            <v>45383BudgetForecasted Census (Entry)</v>
          </cell>
          <cell r="AE1" t="str">
            <v>45413BudgetForecasted Census (Entry)</v>
          </cell>
          <cell r="AF1" t="str">
            <v>45444BudgetForecasted Census (Entry)</v>
          </cell>
          <cell r="AG1" t="str">
            <v>45474BudgetForecasted Census (Entry)</v>
          </cell>
          <cell r="AH1" t="str">
            <v>45505BudgetForecasted Census (Entry)</v>
          </cell>
          <cell r="AI1" t="str">
            <v>45536BudgetForecasted Census (Entry)</v>
          </cell>
          <cell r="AJ1" t="str">
            <v>45566BudgetForecasted Census (Entry)</v>
          </cell>
          <cell r="AK1" t="str">
            <v>45597BudgetForecasted Census (Entry)</v>
          </cell>
          <cell r="AL1" t="str">
            <v>45627BudgetForecasted Census (Entry)</v>
          </cell>
          <cell r="AM1" t="str">
            <v>45292Budget# of Actual Available Units (Entry)</v>
          </cell>
          <cell r="AN1" t="str">
            <v>45323Budget# of Actual Available Units (Entry)</v>
          </cell>
          <cell r="AO1" t="str">
            <v>45352Budget# of Actual Available Units (Entry)</v>
          </cell>
          <cell r="AP1" t="str">
            <v>45383Budget# of Actual Available Units (Entry)</v>
          </cell>
          <cell r="AQ1" t="str">
            <v>45413Budget# of Actual Available Units (Entry)</v>
          </cell>
          <cell r="AR1" t="str">
            <v>45444Budget# of Actual Available Units (Entry)</v>
          </cell>
          <cell r="AS1" t="str">
            <v>45474Budget# of Actual Available Units (Entry)</v>
          </cell>
          <cell r="AT1" t="str">
            <v>45505Budget# of Actual Available Units (Entry)</v>
          </cell>
          <cell r="AU1" t="str">
            <v>45536Budget# of Actual Available Units (Entry)</v>
          </cell>
          <cell r="AV1" t="str">
            <v>45566Budget# of Actual Available Units (Entry)</v>
          </cell>
          <cell r="AW1" t="str">
            <v>45597Budget# of Actual Available Units (Entry)</v>
          </cell>
          <cell r="AX1" t="str">
            <v>45627Budget# of Actual Available Units (Entry)</v>
          </cell>
          <cell r="GO1" t="str">
            <v>44927FC 6+6Total AL/IL Rental Units</v>
          </cell>
          <cell r="GP1" t="str">
            <v>44958FC 6+6Total AL/IL Rental Units</v>
          </cell>
          <cell r="GQ1" t="str">
            <v>44986FC 6+6Total AL/IL Rental Units</v>
          </cell>
          <cell r="GR1" t="str">
            <v>45017FC 6+6Total AL/IL Rental Units</v>
          </cell>
          <cell r="GS1" t="str">
            <v>45047FC 6+6Total AL/IL Rental Units</v>
          </cell>
          <cell r="GT1" t="str">
            <v>45078FC 6+6Total AL/IL Rental Units</v>
          </cell>
          <cell r="GU1" t="str">
            <v>45108FC 6+6Total AL/IL Rental Units</v>
          </cell>
          <cell r="GV1" t="str">
            <v>45139FC 6+6Total AL/IL Rental Units</v>
          </cell>
          <cell r="GW1" t="str">
            <v>45170FC 6+6Total AL/IL Rental Units</v>
          </cell>
          <cell r="GX1" t="str">
            <v>45200FC 6+6Total AL/IL Rental Units</v>
          </cell>
          <cell r="GY1" t="str">
            <v>45231FC 6+6Total AL/IL Rental Units</v>
          </cell>
          <cell r="GZ1" t="str">
            <v>45261FC 6+6Total AL/IL Rental Units</v>
          </cell>
          <cell r="MQ1" t="str">
            <v>45292BudgetTotal AL/IL Rental Units</v>
          </cell>
          <cell r="MR1" t="str">
            <v>45323BudgetTotal AL/IL Rental Units</v>
          </cell>
          <cell r="MS1" t="str">
            <v>45352BudgetTotal AL/IL Rental Units</v>
          </cell>
          <cell r="MT1" t="str">
            <v>45383BudgetTotal AL/IL Rental Units</v>
          </cell>
          <cell r="MU1" t="str">
            <v>45413BudgetTotal AL/IL Rental Units</v>
          </cell>
          <cell r="MV1" t="str">
            <v>45444BudgetTotal AL/IL Rental Units</v>
          </cell>
          <cell r="MW1" t="str">
            <v>45474BudgetTotal AL/IL Rental Units</v>
          </cell>
          <cell r="MX1" t="str">
            <v>45505BudgetTotal AL/IL Rental Units</v>
          </cell>
          <cell r="MY1" t="str">
            <v>45536BudgetTotal AL/IL Rental Units</v>
          </cell>
          <cell r="MZ1" t="str">
            <v>45566BudgetTotal AL/IL Rental Units</v>
          </cell>
          <cell r="NA1" t="str">
            <v>45597BudgetTotal AL/IL Rental Units</v>
          </cell>
          <cell r="NB1" t="str">
            <v>45627BudgetTotal AL/IL Rental Units</v>
          </cell>
        </row>
        <row r="6">
          <cell r="NI6" t="str">
            <v>x'OC-Fill'!$B$9:$NB$34</v>
          </cell>
        </row>
        <row r="7">
          <cell r="NI7" t="str">
            <v>x'OC-Fill'!$ND$9:$ND$34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OfficeConnectCellHighlights"/>
      <sheetName val="Edit History"/>
      <sheetName val="Assumptions Summary"/>
      <sheetName val="AMV"/>
      <sheetName val="AMV Fill (2024)"/>
      <sheetName val="AS"/>
      <sheetName val="SH"/>
      <sheetName val="SH Fill (2024)"/>
      <sheetName val="BV"/>
      <sheetName val="CE"/>
      <sheetName val="RW"/>
      <sheetName val="NR"/>
      <sheetName val="APM"/>
      <sheetName val="APM AL MC (2024)"/>
      <sheetName val="APK"/>
      <sheetName val="APK Apts (2024)"/>
      <sheetName val="APK SNF Fill (2024)"/>
      <sheetName val="Pay Mix "/>
      <sheetName val="Qlik Pay Mix"/>
      <sheetName val="Pennsylvania MA "/>
      <sheetName val="Maryland MA"/>
      <sheetName val="Medicare A (Notes)"/>
      <sheetName val="Adaptive Uploads &gt;&gt;&gt;"/>
      <sheetName val="Rate Increase"/>
      <sheetName val="Census"/>
      <sheetName val="SNF Cube Rate"/>
      <sheetName val="SNF PP Rates"/>
      <sheetName val="SNF Cube %"/>
      <sheetName val="Available Unit"/>
      <sheetName val="HQ"/>
      <sheetName val="Repository"/>
      <sheetName val="OC-Main"/>
      <sheetName val="OC-SNF Rates"/>
      <sheetName val="OC-Summ"/>
      <sheetName val="OC-Raise"/>
      <sheetName val="OC-Days"/>
      <sheetName val="OC-SNF Fill"/>
      <sheetName val="OC-Fill"/>
      <sheetName val="QLK-AMV Rentals"/>
      <sheetName val="QLK-AMV Rentals Piv"/>
      <sheetName val="REF"/>
      <sheetName val="Notes"/>
      <sheetName val="AMV SNF Fill (2023)"/>
      <sheetName val="SH Apts Fill (2022)"/>
      <sheetName val="SH SNF Fill (2022)"/>
      <sheetName val="BV Apts Fill (2023)"/>
      <sheetName val="RW SNF Fill (2023)"/>
      <sheetName val="APM SNF Fill (2022)"/>
      <sheetName val="depre"/>
      <sheetName val="dep data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9">
          <cell r="B19">
            <v>2023</v>
          </cell>
        </row>
        <row r="20">
          <cell r="B20" t="str">
            <v>9+3</v>
          </cell>
        </row>
        <row r="21">
          <cell r="B21">
            <v>2024</v>
          </cell>
        </row>
      </sheetData>
      <sheetData sheetId="31"/>
      <sheetData sheetId="32">
        <row r="1">
          <cell r="B1" t="str">
            <v>2023BudgetForecasted Census (Entry)</v>
          </cell>
          <cell r="C1" t="str">
            <v>2023Budget# of Actual Available Units (Entry)</v>
          </cell>
          <cell r="D1" t="str">
            <v>2023BudgetForecasted Resident Days</v>
          </cell>
          <cell r="E1" t="str">
            <v>2023BudgetMaximum Resident Days</v>
          </cell>
          <cell r="F1" t="str">
            <v>2023BudgetForecasted Occ. % - Actual Available Units</v>
          </cell>
          <cell r="G1" t="str">
            <v>2023BudgetForecasted Occ. %  - Budget Available Units</v>
          </cell>
          <cell r="H1" t="str">
            <v>2023BudgetResident Rate Increase %</v>
          </cell>
          <cell r="I1" t="str">
            <v>2023BudgetOperating Ratio (New)</v>
          </cell>
          <cell r="J1" t="str">
            <v>2023BudgetSNF Census - Medicare A</v>
          </cell>
          <cell r="K1" t="str">
            <v>2023BudgetSNF Census - Medicare Advantage</v>
          </cell>
          <cell r="L1" t="str">
            <v>2023BudgetSNF Census - Medicaid</v>
          </cell>
          <cell r="M1" t="str">
            <v>2023BudgetSNF Census - Insurance</v>
          </cell>
          <cell r="N1" t="str">
            <v>2023BudgetSNF Census - Private Pay</v>
          </cell>
          <cell r="O1" t="str">
            <v>2023BudgetSNF Census - Hospice</v>
          </cell>
          <cell r="P1" t="str">
            <v>2023BudgetReimbursement Rate - Medicare A</v>
          </cell>
          <cell r="Q1" t="str">
            <v>2023BudgetReimbursement Rate - Medicare Advantage</v>
          </cell>
          <cell r="R1" t="str">
            <v>2023BudgetReimbursement Rate - Medicaid</v>
          </cell>
          <cell r="S1" t="str">
            <v>2023BudgetReimbursement Rate - Insurance</v>
          </cell>
          <cell r="T1" t="str">
            <v>2023BudgetReimbursement Rate - Private Pay</v>
          </cell>
          <cell r="U1" t="str">
            <v>2023BudgetReimbursement Rate - Hospice</v>
          </cell>
          <cell r="W1" t="str">
            <v>2023FC 9+3Forecasted Census (Entry)</v>
          </cell>
          <cell r="X1" t="str">
            <v>2023FC 9+3# of Actual Available Units (Entry)</v>
          </cell>
          <cell r="Y1" t="str">
            <v>2023FC 9+3Forecasted Resident Days</v>
          </cell>
          <cell r="Z1" t="str">
            <v>2023FC 9+3Maximum Resident Days</v>
          </cell>
          <cell r="AA1" t="str">
            <v>2023FC 9+3Forecasted Occ. % - Actual Available Units</v>
          </cell>
          <cell r="AB1" t="str">
            <v>2023FC 9+3Forecasted Occ. %  - Budget Available Units</v>
          </cell>
          <cell r="AC1" t="str">
            <v>2023FC 9+3Resident Rate Increase %</v>
          </cell>
          <cell r="AD1" t="str">
            <v>2023FC 9+3Operating Ratio (New)</v>
          </cell>
          <cell r="AE1" t="str">
            <v>2023FC 9+3SNF Census - Medicare A</v>
          </cell>
          <cell r="AF1" t="str">
            <v>2023FC 9+3SNF Census - Medicare Advantage</v>
          </cell>
          <cell r="AG1" t="str">
            <v>2023FC 9+3SNF Census - Medicaid</v>
          </cell>
          <cell r="AH1" t="str">
            <v>2023FC 9+3SNF Census - Insurance</v>
          </cell>
          <cell r="AI1" t="str">
            <v>2023FC 9+3SNF Census - Private Pay</v>
          </cell>
          <cell r="AJ1" t="str">
            <v>2023FC 9+3SNF Census - Hospice</v>
          </cell>
          <cell r="AK1" t="str">
            <v>2023FC 9+3Reimbursement Rate - Medicare A</v>
          </cell>
          <cell r="AL1" t="str">
            <v>2023FC 9+3Reimbursement Rate - Medicare Advantage</v>
          </cell>
          <cell r="AM1" t="str">
            <v>2023FC 9+3Reimbursement Rate - Medicaid</v>
          </cell>
          <cell r="AN1" t="str">
            <v>2023FC 9+3Reimbursement Rate - Insurance</v>
          </cell>
          <cell r="AO1" t="str">
            <v>2023FC 9+3Reimbursement Rate - Private Pay</v>
          </cell>
          <cell r="AP1" t="str">
            <v>2023FC 9+3Reimbursement Rate - Hospice</v>
          </cell>
          <cell r="AR1" t="str">
            <v>2024BudgetForecasted Census (Entry)</v>
          </cell>
          <cell r="AS1" t="str">
            <v>2024Budget# of Actual Available Units (Entry)</v>
          </cell>
          <cell r="AT1" t="str">
            <v>2024BudgetForecasted Resident Days</v>
          </cell>
          <cell r="AU1" t="str">
            <v>2024BudgetMaximum Resident Days</v>
          </cell>
          <cell r="AV1" t="str">
            <v>2024BudgetForecasted Occ. % - Actual Available Units</v>
          </cell>
          <cell r="AW1" t="str">
            <v>2024BudgetForecasted Occ. %  - Budget Available Units</v>
          </cell>
          <cell r="AX1" t="str">
            <v>2024BudgetResident Rate Increase %</v>
          </cell>
          <cell r="AY1" t="str">
            <v>2024BudgetOperating Ratio (New)</v>
          </cell>
          <cell r="AZ1" t="str">
            <v>2024BudgetSNF Census - Medicare A</v>
          </cell>
          <cell r="BA1" t="str">
            <v>2024BudgetSNF Census - Medicare Advantage</v>
          </cell>
          <cell r="BB1" t="str">
            <v>2024BudgetSNF Census - Medicaid</v>
          </cell>
          <cell r="BC1" t="str">
            <v>2024BudgetSNF Census - Insurance</v>
          </cell>
          <cell r="BD1" t="str">
            <v>2024BudgetSNF Census - Private Pay</v>
          </cell>
          <cell r="BE1" t="str">
            <v>2024BudgetSNF Census - Hospice</v>
          </cell>
          <cell r="BF1" t="str">
            <v>2024BudgetReimbursement Rate - Medicare A</v>
          </cell>
          <cell r="BG1" t="str">
            <v>2024BudgetReimbursement Rate - Medicare Advantage</v>
          </cell>
          <cell r="BH1" t="str">
            <v>2024BudgetReimbursement Rate - Medicaid</v>
          </cell>
          <cell r="BI1" t="str">
            <v>2024BudgetReimbursement Rate - Insurance</v>
          </cell>
          <cell r="BJ1" t="str">
            <v>2024BudgetReimbursement Rate - Private Pay</v>
          </cell>
          <cell r="BK1" t="str">
            <v>2024BudgetReimbursement Rate - Hospice</v>
          </cell>
          <cell r="DH1" t="str">
            <v>2023BudgetTotal AL/IL Second Persons</v>
          </cell>
          <cell r="FE1" t="str">
            <v>2023FC 9+3Total AL/IL Second Persons</v>
          </cell>
          <cell r="HB1" t="str">
            <v>2024BudgetTotal AL/IL Second Persons</v>
          </cell>
          <cell r="HQ1" t="str">
            <v>2023BudgetTotal AL/IL Rental Units</v>
          </cell>
          <cell r="IF1" t="str">
            <v>2023FC 9+3Total AL/IL Rental Units</v>
          </cell>
          <cell r="IU1" t="str">
            <v>2024BudgetTotal AL/IL Rental Units</v>
          </cell>
          <cell r="JG1" t="str">
            <v>2023Budget835/840-31 Alcove 2nd Person</v>
          </cell>
          <cell r="JH1" t="str">
            <v>2023Budget835/840-31 Apartment 2nd Person</v>
          </cell>
          <cell r="JI1" t="str">
            <v>2023Budget835/840-31 Alcove Units</v>
          </cell>
          <cell r="JJ1" t="str">
            <v>2023Budget835/840-31 Apartment Units</v>
          </cell>
          <cell r="JV1" t="str">
            <v>2023FC 9+3835/840-31 Alcove 2nd Person</v>
          </cell>
          <cell r="JW1" t="str">
            <v>2023FC 9+3835/840-31 Apartment 2nd Person</v>
          </cell>
          <cell r="JX1" t="str">
            <v>2023FC 9+3835/840-31 Alcove Units</v>
          </cell>
          <cell r="JY1" t="str">
            <v>2023FC 9+3835/840-31 Apartment Units</v>
          </cell>
          <cell r="KK1" t="str">
            <v>2024Budget835/840-31 Alcove 2nd Person</v>
          </cell>
          <cell r="KL1" t="str">
            <v>2024Budget835/840-31 Apartment 2nd Person</v>
          </cell>
          <cell r="KM1" t="str">
            <v>2024Budget835/840-31 Alcove Units</v>
          </cell>
          <cell r="KN1" t="str">
            <v>2024Budget835/840-31 Apartment Units</v>
          </cell>
          <cell r="KV1" t="str">
            <v>2023Budget650-21 Duplexes Units</v>
          </cell>
          <cell r="KW1" t="str">
            <v>2023Budget650-21 Original Units</v>
          </cell>
          <cell r="KX1" t="str">
            <v>2023Budget650-21 Townhomes Units</v>
          </cell>
          <cell r="LF1" t="str">
            <v>2023FC 9+3650-21 Duplexes Units</v>
          </cell>
          <cell r="LG1" t="str">
            <v>2023FC 9+3650-21 Original Units</v>
          </cell>
          <cell r="LH1" t="str">
            <v>2023FC 9+3650-21 Townhomes Units</v>
          </cell>
          <cell r="LP1" t="str">
            <v>2024Budget650-21 Duplexes Units</v>
          </cell>
          <cell r="LQ1" t="str">
            <v>2024Budget650-21 Original Units</v>
          </cell>
          <cell r="LR1" t="str">
            <v>2024Budget650-21 Townhomes Units</v>
          </cell>
        </row>
        <row r="9">
          <cell r="B9">
            <v>72.8</v>
          </cell>
          <cell r="C9">
            <v>74</v>
          </cell>
          <cell r="D9">
            <v>26571.999999999996</v>
          </cell>
          <cell r="E9">
            <v>27010</v>
          </cell>
          <cell r="F9">
            <v>0.98378378378378362</v>
          </cell>
          <cell r="G9">
            <v>0.98378378378378362</v>
          </cell>
          <cell r="H9">
            <v>0.05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71.939520023775913</v>
          </cell>
          <cell r="X9">
            <v>73.750501523144365</v>
          </cell>
          <cell r="Y9">
            <v>26258</v>
          </cell>
          <cell r="Z9">
            <v>26918</v>
          </cell>
          <cell r="AA9">
            <v>0.97548109071996436</v>
          </cell>
          <cell r="AB9">
            <v>0.97215845982969284</v>
          </cell>
          <cell r="AC9">
            <v>0.05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R9">
            <v>72</v>
          </cell>
          <cell r="AS9">
            <v>73</v>
          </cell>
          <cell r="AT9">
            <v>26352</v>
          </cell>
          <cell r="AU9">
            <v>26718</v>
          </cell>
          <cell r="AV9">
            <v>0.98630136986301364</v>
          </cell>
          <cell r="AW9">
            <v>0.98630136986301364</v>
          </cell>
          <cell r="AX9">
            <v>3.8999999999999993E-2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H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E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2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B9">
            <v>2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Q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F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U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K9">
            <v>0</v>
          </cell>
          <cell r="KL9">
            <v>0</v>
          </cell>
          <cell r="KM9">
            <v>0</v>
          </cell>
          <cell r="KN9">
            <v>0</v>
          </cell>
          <cell r="KP9">
            <v>0</v>
          </cell>
          <cell r="KQ9">
            <v>0</v>
          </cell>
          <cell r="KR9">
            <v>0</v>
          </cell>
          <cell r="KT9">
            <v>0</v>
          </cell>
          <cell r="KV9">
            <v>0</v>
          </cell>
          <cell r="KW9">
            <v>0</v>
          </cell>
          <cell r="KX9">
            <v>0</v>
          </cell>
          <cell r="KZ9">
            <v>0</v>
          </cell>
          <cell r="LA9">
            <v>0</v>
          </cell>
          <cell r="LB9">
            <v>0</v>
          </cell>
          <cell r="LD9">
            <v>0</v>
          </cell>
          <cell r="LF9">
            <v>0</v>
          </cell>
          <cell r="LG9">
            <v>0</v>
          </cell>
          <cell r="LH9">
            <v>0</v>
          </cell>
          <cell r="LJ9">
            <v>0</v>
          </cell>
          <cell r="LK9">
            <v>0</v>
          </cell>
          <cell r="LL9">
            <v>0</v>
          </cell>
          <cell r="LN9">
            <v>0</v>
          </cell>
          <cell r="LP9">
            <v>0</v>
          </cell>
          <cell r="LQ9">
            <v>0</v>
          </cell>
          <cell r="LR9">
            <v>0</v>
          </cell>
          <cell r="LT9" t="str">
            <v>100-21</v>
          </cell>
        </row>
        <row r="10">
          <cell r="B10">
            <v>42.139999999999993</v>
          </cell>
          <cell r="C10">
            <v>43</v>
          </cell>
          <cell r="D10">
            <v>15381.100000000002</v>
          </cell>
          <cell r="E10">
            <v>15695</v>
          </cell>
          <cell r="F10">
            <v>0.98</v>
          </cell>
          <cell r="G10">
            <v>0.98</v>
          </cell>
          <cell r="H10">
            <v>0.05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41.605479452054794</v>
          </cell>
          <cell r="X10">
            <v>43</v>
          </cell>
          <cell r="Y10">
            <v>15186</v>
          </cell>
          <cell r="Z10">
            <v>15695</v>
          </cell>
          <cell r="AA10">
            <v>0.96756928958266963</v>
          </cell>
          <cell r="AB10">
            <v>0.96756928958266963</v>
          </cell>
          <cell r="AC10">
            <v>0.05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42</v>
          </cell>
          <cell r="AS10">
            <v>43</v>
          </cell>
          <cell r="AT10">
            <v>15372</v>
          </cell>
          <cell r="AU10">
            <v>15738</v>
          </cell>
          <cell r="AV10">
            <v>0.97674418604651159</v>
          </cell>
          <cell r="AW10">
            <v>0.97674418604651159</v>
          </cell>
          <cell r="AX10">
            <v>3.8999999999999993E-2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H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E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1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B10">
            <v>1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Q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F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U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P10">
            <v>0</v>
          </cell>
          <cell r="KQ10">
            <v>0</v>
          </cell>
          <cell r="KR10">
            <v>0</v>
          </cell>
          <cell r="KT10">
            <v>0</v>
          </cell>
          <cell r="KV10">
            <v>0</v>
          </cell>
          <cell r="KW10">
            <v>0</v>
          </cell>
          <cell r="KX10">
            <v>0</v>
          </cell>
          <cell r="KZ10">
            <v>0</v>
          </cell>
          <cell r="LA10">
            <v>0</v>
          </cell>
          <cell r="LB10">
            <v>0</v>
          </cell>
          <cell r="LD10">
            <v>0</v>
          </cell>
          <cell r="LF10">
            <v>0</v>
          </cell>
          <cell r="LG10">
            <v>0</v>
          </cell>
          <cell r="LH10">
            <v>0</v>
          </cell>
          <cell r="LJ10">
            <v>0</v>
          </cell>
          <cell r="LK10">
            <v>0</v>
          </cell>
          <cell r="LL10">
            <v>0</v>
          </cell>
          <cell r="LN10">
            <v>0</v>
          </cell>
          <cell r="LP10">
            <v>0</v>
          </cell>
          <cell r="LQ10">
            <v>0</v>
          </cell>
          <cell r="LR10">
            <v>0</v>
          </cell>
          <cell r="LT10" t="str">
            <v>100-22</v>
          </cell>
        </row>
        <row r="11">
          <cell r="B11">
            <v>77.010958904109586</v>
          </cell>
          <cell r="C11">
            <v>109</v>
          </cell>
          <cell r="D11">
            <v>28109</v>
          </cell>
          <cell r="E11">
            <v>39785</v>
          </cell>
          <cell r="F11">
            <v>0.70652255875329895</v>
          </cell>
          <cell r="G11">
            <v>0.70652255875329895</v>
          </cell>
          <cell r="H11">
            <v>0.05</v>
          </cell>
          <cell r="I11">
            <v>5.3725422127731512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69.38082191780822</v>
          </cell>
          <cell r="X11">
            <v>109</v>
          </cell>
          <cell r="Y11">
            <v>25324</v>
          </cell>
          <cell r="Z11">
            <v>39785</v>
          </cell>
          <cell r="AA11">
            <v>0.63652130199824053</v>
          </cell>
          <cell r="AB11">
            <v>0.63652130199824053</v>
          </cell>
          <cell r="AC11">
            <v>0.05</v>
          </cell>
          <cell r="AD11">
            <v>5.7438970415089194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72.598360655737707</v>
          </cell>
          <cell r="AS11">
            <v>109</v>
          </cell>
          <cell r="AT11">
            <v>26571</v>
          </cell>
          <cell r="AU11">
            <v>39894</v>
          </cell>
          <cell r="AV11">
            <v>0.66604000601594227</v>
          </cell>
          <cell r="AW11">
            <v>0.66604000601594227</v>
          </cell>
          <cell r="AX11">
            <v>3.8999999999999993E-2</v>
          </cell>
          <cell r="AY11">
            <v>4.9707897784248551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9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H11">
            <v>9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9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E11">
            <v>9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9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B11">
            <v>9</v>
          </cell>
          <cell r="HD11">
            <v>2</v>
          </cell>
          <cell r="HE11">
            <v>4</v>
          </cell>
          <cell r="HF11">
            <v>3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Q11">
            <v>9</v>
          </cell>
          <cell r="HS11">
            <v>2</v>
          </cell>
          <cell r="HT11">
            <v>4</v>
          </cell>
          <cell r="HU11">
            <v>3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F11">
            <v>9</v>
          </cell>
          <cell r="IH11">
            <v>2</v>
          </cell>
          <cell r="II11">
            <v>4</v>
          </cell>
          <cell r="IJ11">
            <v>3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U11">
            <v>9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K11">
            <v>0</v>
          </cell>
          <cell r="KL11">
            <v>0</v>
          </cell>
          <cell r="KM11">
            <v>0</v>
          </cell>
          <cell r="KN11">
            <v>0</v>
          </cell>
          <cell r="KP11">
            <v>0</v>
          </cell>
          <cell r="KQ11">
            <v>0</v>
          </cell>
          <cell r="KR11">
            <v>0</v>
          </cell>
          <cell r="KT11">
            <v>0</v>
          </cell>
          <cell r="KV11">
            <v>0</v>
          </cell>
          <cell r="KW11">
            <v>0</v>
          </cell>
          <cell r="KX11">
            <v>0</v>
          </cell>
          <cell r="KZ11">
            <v>0</v>
          </cell>
          <cell r="LA11">
            <v>0</v>
          </cell>
          <cell r="LB11">
            <v>0</v>
          </cell>
          <cell r="LD11">
            <v>0</v>
          </cell>
          <cell r="LF11">
            <v>0</v>
          </cell>
          <cell r="LG11">
            <v>0</v>
          </cell>
          <cell r="LH11">
            <v>0</v>
          </cell>
          <cell r="LJ11">
            <v>0</v>
          </cell>
          <cell r="LK11">
            <v>0</v>
          </cell>
          <cell r="LL11">
            <v>0</v>
          </cell>
          <cell r="LN11">
            <v>0</v>
          </cell>
          <cell r="LP11">
            <v>0</v>
          </cell>
          <cell r="LQ11">
            <v>0</v>
          </cell>
          <cell r="LR11">
            <v>0</v>
          </cell>
          <cell r="LT11" t="str">
            <v>100-31</v>
          </cell>
        </row>
        <row r="12">
          <cell r="B12">
            <v>168.31095890410958</v>
          </cell>
          <cell r="C12">
            <v>184</v>
          </cell>
          <cell r="D12">
            <v>61433.5</v>
          </cell>
          <cell r="E12">
            <v>67160</v>
          </cell>
          <cell r="F12">
            <v>0.9147334723049434</v>
          </cell>
          <cell r="G12">
            <v>0.9147334723049434</v>
          </cell>
          <cell r="H12">
            <v>0.05</v>
          </cell>
          <cell r="I12">
            <v>0.32616643504356596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160.88356164383561</v>
          </cell>
          <cell r="X12">
            <v>184</v>
          </cell>
          <cell r="Y12">
            <v>58722.5</v>
          </cell>
          <cell r="Z12">
            <v>67160</v>
          </cell>
          <cell r="AA12">
            <v>0.87436718284693271</v>
          </cell>
          <cell r="AB12">
            <v>0.87436718284693271</v>
          </cell>
          <cell r="AC12">
            <v>0.05</v>
          </cell>
          <cell r="AD12">
            <v>0.32554165729243617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166</v>
          </cell>
          <cell r="AS12">
            <v>184</v>
          </cell>
          <cell r="AT12">
            <v>60756</v>
          </cell>
          <cell r="AU12">
            <v>67344</v>
          </cell>
          <cell r="AV12">
            <v>0.90217391304347838</v>
          </cell>
          <cell r="AW12">
            <v>0.90217391304347838</v>
          </cell>
          <cell r="AX12">
            <v>3.8999999999999993E-2</v>
          </cell>
          <cell r="AY12">
            <v>0.3275183176555187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32.000000000000007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H12">
            <v>32.000000000000007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32.000000000000007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E12">
            <v>32.000000000000007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32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B12">
            <v>32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Q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F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U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P12">
            <v>0</v>
          </cell>
          <cell r="KQ12">
            <v>0</v>
          </cell>
          <cell r="KR12">
            <v>0</v>
          </cell>
          <cell r="KT12">
            <v>0</v>
          </cell>
          <cell r="KV12">
            <v>0</v>
          </cell>
          <cell r="KW12">
            <v>0</v>
          </cell>
          <cell r="KX12">
            <v>0</v>
          </cell>
          <cell r="KZ12">
            <v>0</v>
          </cell>
          <cell r="LA12">
            <v>0</v>
          </cell>
          <cell r="LB12">
            <v>0</v>
          </cell>
          <cell r="LD12">
            <v>0</v>
          </cell>
          <cell r="LF12">
            <v>0</v>
          </cell>
          <cell r="LG12">
            <v>0</v>
          </cell>
          <cell r="LH12">
            <v>0</v>
          </cell>
          <cell r="LJ12">
            <v>0</v>
          </cell>
          <cell r="LK12">
            <v>0</v>
          </cell>
          <cell r="LL12">
            <v>0</v>
          </cell>
          <cell r="LN12">
            <v>0</v>
          </cell>
          <cell r="LP12">
            <v>0</v>
          </cell>
          <cell r="LQ12">
            <v>0</v>
          </cell>
          <cell r="LR12">
            <v>0</v>
          </cell>
          <cell r="LT12" t="str">
            <v>100-32</v>
          </cell>
        </row>
        <row r="13">
          <cell r="B13">
            <v>88.439726027397256</v>
          </cell>
          <cell r="C13">
            <v>99</v>
          </cell>
          <cell r="D13">
            <v>32280.5</v>
          </cell>
          <cell r="E13">
            <v>36135</v>
          </cell>
          <cell r="F13">
            <v>0.89333056593330562</v>
          </cell>
          <cell r="G13">
            <v>0.89333056593330562</v>
          </cell>
          <cell r="H13">
            <v>0.05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84.464383561643842</v>
          </cell>
          <cell r="X13">
            <v>99</v>
          </cell>
          <cell r="Y13">
            <v>30829.5</v>
          </cell>
          <cell r="Z13">
            <v>36135</v>
          </cell>
          <cell r="AA13">
            <v>0.85317559153175593</v>
          </cell>
          <cell r="AB13">
            <v>0.85317559153175593</v>
          </cell>
          <cell r="AC13">
            <v>0.05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87</v>
          </cell>
          <cell r="AS13">
            <v>99</v>
          </cell>
          <cell r="AT13">
            <v>31842</v>
          </cell>
          <cell r="AU13">
            <v>36234</v>
          </cell>
          <cell r="AV13">
            <v>0.87878787878787878</v>
          </cell>
          <cell r="AW13">
            <v>0.87878787878787878</v>
          </cell>
          <cell r="AX13">
            <v>3.8999999999999993E-2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33.999999999999993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H13">
            <v>33.999999999999993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33.999999999999993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E13">
            <v>33.999999999999993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36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B13">
            <v>36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Q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F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U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P13">
            <v>0</v>
          </cell>
          <cell r="KQ13">
            <v>0</v>
          </cell>
          <cell r="KR13">
            <v>0</v>
          </cell>
          <cell r="KT13">
            <v>0</v>
          </cell>
          <cell r="KV13">
            <v>0</v>
          </cell>
          <cell r="KW13">
            <v>0</v>
          </cell>
          <cell r="KX13">
            <v>0</v>
          </cell>
          <cell r="KZ13">
            <v>0</v>
          </cell>
          <cell r="LA13">
            <v>0</v>
          </cell>
          <cell r="LB13">
            <v>0</v>
          </cell>
          <cell r="LD13">
            <v>0</v>
          </cell>
          <cell r="LF13">
            <v>0</v>
          </cell>
          <cell r="LG13">
            <v>0</v>
          </cell>
          <cell r="LH13">
            <v>0</v>
          </cell>
          <cell r="LJ13">
            <v>0</v>
          </cell>
          <cell r="LK13">
            <v>0</v>
          </cell>
          <cell r="LL13">
            <v>0</v>
          </cell>
          <cell r="LN13">
            <v>0</v>
          </cell>
          <cell r="LP13">
            <v>0</v>
          </cell>
          <cell r="LQ13">
            <v>0</v>
          </cell>
          <cell r="LR13">
            <v>0</v>
          </cell>
          <cell r="LT13" t="str">
            <v>100-33</v>
          </cell>
        </row>
        <row r="14">
          <cell r="B14">
            <v>56.636986301369866</v>
          </cell>
          <cell r="C14">
            <v>65</v>
          </cell>
          <cell r="D14">
            <v>20672.5</v>
          </cell>
          <cell r="E14">
            <v>23725</v>
          </cell>
          <cell r="F14">
            <v>0.87133825079030558</v>
          </cell>
          <cell r="G14">
            <v>0.87133825079030558</v>
          </cell>
          <cell r="H14">
            <v>0.05</v>
          </cell>
          <cell r="I14">
            <v>0.12343432967447028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53.082191780821915</v>
          </cell>
          <cell r="X14">
            <v>65</v>
          </cell>
          <cell r="Y14">
            <v>19375</v>
          </cell>
          <cell r="Z14">
            <v>23725</v>
          </cell>
          <cell r="AA14">
            <v>0.81664910432033722</v>
          </cell>
          <cell r="AB14">
            <v>0.81664910432033722</v>
          </cell>
          <cell r="AC14">
            <v>0.05</v>
          </cell>
          <cell r="AD14">
            <v>0.13145618207597995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R14">
            <v>55</v>
          </cell>
          <cell r="AS14">
            <v>65</v>
          </cell>
          <cell r="AT14">
            <v>20130</v>
          </cell>
          <cell r="AU14">
            <v>23790</v>
          </cell>
          <cell r="AV14">
            <v>0.84615384615384615</v>
          </cell>
          <cell r="AW14">
            <v>0.84615384615384615</v>
          </cell>
          <cell r="AX14">
            <v>3.8999999999999993E-2</v>
          </cell>
          <cell r="AY14">
            <v>0.1212514940143341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20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H14">
            <v>20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20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E14">
            <v>20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23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B14">
            <v>23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Q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F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U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K14">
            <v>0</v>
          </cell>
          <cell r="KL14">
            <v>0</v>
          </cell>
          <cell r="KM14">
            <v>0</v>
          </cell>
          <cell r="KN14">
            <v>0</v>
          </cell>
          <cell r="KP14">
            <v>0</v>
          </cell>
          <cell r="KQ14">
            <v>0</v>
          </cell>
          <cell r="KR14">
            <v>0</v>
          </cell>
          <cell r="KT14">
            <v>0</v>
          </cell>
          <cell r="KV14">
            <v>0</v>
          </cell>
          <cell r="KW14">
            <v>0</v>
          </cell>
          <cell r="KX14">
            <v>0</v>
          </cell>
          <cell r="KZ14">
            <v>0</v>
          </cell>
          <cell r="LA14">
            <v>0</v>
          </cell>
          <cell r="LB14">
            <v>0</v>
          </cell>
          <cell r="LD14">
            <v>0</v>
          </cell>
          <cell r="LF14">
            <v>0</v>
          </cell>
          <cell r="LG14">
            <v>0</v>
          </cell>
          <cell r="LH14">
            <v>0</v>
          </cell>
          <cell r="LJ14">
            <v>0</v>
          </cell>
          <cell r="LK14">
            <v>0</v>
          </cell>
          <cell r="LL14">
            <v>0</v>
          </cell>
          <cell r="LN14">
            <v>0</v>
          </cell>
          <cell r="LP14">
            <v>0</v>
          </cell>
          <cell r="LQ14">
            <v>0</v>
          </cell>
          <cell r="LR14">
            <v>0</v>
          </cell>
          <cell r="LT14" t="str">
            <v>100-34</v>
          </cell>
        </row>
        <row r="15">
          <cell r="B15">
            <v>102.92876712328768</v>
          </cell>
          <cell r="C15">
            <v>126</v>
          </cell>
          <cell r="D15">
            <v>37569</v>
          </cell>
          <cell r="E15">
            <v>45990</v>
          </cell>
          <cell r="F15">
            <v>0.81689497716894977</v>
          </cell>
          <cell r="G15">
            <v>0.81689497716894977</v>
          </cell>
          <cell r="H15">
            <v>0.05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98.487671232876707</v>
          </cell>
          <cell r="X15">
            <v>126</v>
          </cell>
          <cell r="Y15">
            <v>35948</v>
          </cell>
          <cell r="Z15">
            <v>45990</v>
          </cell>
          <cell r="AA15">
            <v>0.78164818438791039</v>
          </cell>
          <cell r="AB15">
            <v>0.78164818438791039</v>
          </cell>
          <cell r="AC15">
            <v>0.05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104.22950819672133</v>
          </cell>
          <cell r="AS15">
            <v>126</v>
          </cell>
          <cell r="AT15">
            <v>38148</v>
          </cell>
          <cell r="AU15">
            <v>46116</v>
          </cell>
          <cell r="AV15">
            <v>0.8272183190215977</v>
          </cell>
          <cell r="AW15">
            <v>0.8272183190215977</v>
          </cell>
          <cell r="AX15">
            <v>3.8999999999999993E-2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H15">
            <v>19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19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E15">
            <v>19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24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B15">
            <v>24</v>
          </cell>
          <cell r="HD15">
            <v>0</v>
          </cell>
          <cell r="HE15">
            <v>0</v>
          </cell>
          <cell r="HF15">
            <v>0</v>
          </cell>
          <cell r="HG15">
            <v>2</v>
          </cell>
          <cell r="HH15">
            <v>1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Q15">
            <v>3</v>
          </cell>
          <cell r="HS15">
            <v>0</v>
          </cell>
          <cell r="HT15">
            <v>0</v>
          </cell>
          <cell r="HU15">
            <v>0</v>
          </cell>
          <cell r="HV15">
            <v>2</v>
          </cell>
          <cell r="HW15">
            <v>1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F15">
            <v>3</v>
          </cell>
          <cell r="IH15">
            <v>0</v>
          </cell>
          <cell r="II15">
            <v>0</v>
          </cell>
          <cell r="IJ15">
            <v>0</v>
          </cell>
          <cell r="IK15">
            <v>2</v>
          </cell>
          <cell r="IL15">
            <v>1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U15">
            <v>3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K15">
            <v>0</v>
          </cell>
          <cell r="KL15">
            <v>0</v>
          </cell>
          <cell r="KM15">
            <v>0</v>
          </cell>
          <cell r="KN15">
            <v>0</v>
          </cell>
          <cell r="KP15">
            <v>0</v>
          </cell>
          <cell r="KQ15">
            <v>0</v>
          </cell>
          <cell r="KR15">
            <v>0</v>
          </cell>
          <cell r="KT15">
            <v>0</v>
          </cell>
          <cell r="KV15">
            <v>0</v>
          </cell>
          <cell r="KW15">
            <v>0</v>
          </cell>
          <cell r="KX15">
            <v>0</v>
          </cell>
          <cell r="KZ15">
            <v>0</v>
          </cell>
          <cell r="LA15">
            <v>0</v>
          </cell>
          <cell r="LB15">
            <v>0</v>
          </cell>
          <cell r="LD15">
            <v>0</v>
          </cell>
          <cell r="LF15">
            <v>0</v>
          </cell>
          <cell r="LG15">
            <v>0</v>
          </cell>
          <cell r="LH15">
            <v>0</v>
          </cell>
          <cell r="LJ15">
            <v>0</v>
          </cell>
          <cell r="LK15">
            <v>0</v>
          </cell>
          <cell r="LL15">
            <v>0</v>
          </cell>
          <cell r="LN15">
            <v>0</v>
          </cell>
          <cell r="LP15">
            <v>0</v>
          </cell>
          <cell r="LQ15">
            <v>0</v>
          </cell>
          <cell r="LR15">
            <v>0</v>
          </cell>
          <cell r="LT15" t="str">
            <v>100-35</v>
          </cell>
        </row>
        <row r="16">
          <cell r="B16">
            <v>90.183561643835617</v>
          </cell>
          <cell r="C16">
            <v>126</v>
          </cell>
          <cell r="D16">
            <v>32917</v>
          </cell>
          <cell r="E16">
            <v>45990</v>
          </cell>
          <cell r="F16">
            <v>0.71574255272885412</v>
          </cell>
          <cell r="G16">
            <v>0.71574255272885412</v>
          </cell>
          <cell r="H16">
            <v>0.05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80.9972602739726</v>
          </cell>
          <cell r="X16">
            <v>126</v>
          </cell>
          <cell r="Y16">
            <v>29564</v>
          </cell>
          <cell r="Z16">
            <v>45990</v>
          </cell>
          <cell r="AA16">
            <v>0.64283539899978259</v>
          </cell>
          <cell r="AB16">
            <v>0.64283539899978259</v>
          </cell>
          <cell r="AC16">
            <v>0.05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81</v>
          </cell>
          <cell r="AS16">
            <v>126</v>
          </cell>
          <cell r="AT16">
            <v>29646</v>
          </cell>
          <cell r="AU16">
            <v>46116</v>
          </cell>
          <cell r="AV16">
            <v>0.6428571428571429</v>
          </cell>
          <cell r="AW16">
            <v>0.6428571428571429</v>
          </cell>
          <cell r="AX16">
            <v>3.8999999999999993E-2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9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H16">
            <v>9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9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E16">
            <v>9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10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B16">
            <v>10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2</v>
          </cell>
          <cell r="HJ16">
            <v>2</v>
          </cell>
          <cell r="HK16">
            <v>1</v>
          </cell>
          <cell r="HL16">
            <v>3</v>
          </cell>
          <cell r="HM16">
            <v>1</v>
          </cell>
          <cell r="HN16">
            <v>0</v>
          </cell>
          <cell r="HO16">
            <v>0</v>
          </cell>
          <cell r="HQ16">
            <v>9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2</v>
          </cell>
          <cell r="HY16">
            <v>2</v>
          </cell>
          <cell r="HZ16">
            <v>1</v>
          </cell>
          <cell r="IA16">
            <v>3</v>
          </cell>
          <cell r="IB16">
            <v>1</v>
          </cell>
          <cell r="IC16">
            <v>0</v>
          </cell>
          <cell r="ID16">
            <v>0</v>
          </cell>
          <cell r="IF16">
            <v>9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2</v>
          </cell>
          <cell r="IN16">
            <v>2</v>
          </cell>
          <cell r="IO16">
            <v>1</v>
          </cell>
          <cell r="IP16">
            <v>3</v>
          </cell>
          <cell r="IQ16">
            <v>1</v>
          </cell>
          <cell r="IR16">
            <v>0</v>
          </cell>
          <cell r="IS16">
            <v>0</v>
          </cell>
          <cell r="IU16">
            <v>9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P16">
            <v>0</v>
          </cell>
          <cell r="KQ16">
            <v>0</v>
          </cell>
          <cell r="KR16">
            <v>0</v>
          </cell>
          <cell r="KT16">
            <v>0</v>
          </cell>
          <cell r="KV16">
            <v>0</v>
          </cell>
          <cell r="KW16">
            <v>0</v>
          </cell>
          <cell r="KX16">
            <v>0</v>
          </cell>
          <cell r="KZ16">
            <v>0</v>
          </cell>
          <cell r="LA16">
            <v>0</v>
          </cell>
          <cell r="LB16">
            <v>0</v>
          </cell>
          <cell r="LD16">
            <v>0</v>
          </cell>
          <cell r="LF16">
            <v>0</v>
          </cell>
          <cell r="LG16">
            <v>0</v>
          </cell>
          <cell r="LH16">
            <v>0</v>
          </cell>
          <cell r="LJ16">
            <v>0</v>
          </cell>
          <cell r="LK16">
            <v>0</v>
          </cell>
          <cell r="LL16">
            <v>0</v>
          </cell>
          <cell r="LN16">
            <v>0</v>
          </cell>
          <cell r="LP16">
            <v>0</v>
          </cell>
          <cell r="LQ16">
            <v>0</v>
          </cell>
          <cell r="LR16">
            <v>0</v>
          </cell>
          <cell r="LT16" t="str">
            <v>100-36</v>
          </cell>
        </row>
        <row r="17">
          <cell r="B17">
            <v>124.95479452054796</v>
          </cell>
          <cell r="C17">
            <v>133</v>
          </cell>
          <cell r="D17">
            <v>45608.5</v>
          </cell>
          <cell r="E17">
            <v>48545</v>
          </cell>
          <cell r="F17">
            <v>0.93950973323720244</v>
          </cell>
          <cell r="G17">
            <v>0.93950973323720244</v>
          </cell>
          <cell r="H17">
            <v>3.9999999999999994E-2</v>
          </cell>
          <cell r="I17">
            <v>0.71308821925923027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110.95342465753424</v>
          </cell>
          <cell r="X17">
            <v>133</v>
          </cell>
          <cell r="Y17">
            <v>40498</v>
          </cell>
          <cell r="Z17">
            <v>48545</v>
          </cell>
          <cell r="AA17">
            <v>0.83423627562055824</v>
          </cell>
          <cell r="AB17">
            <v>0.83423627562055824</v>
          </cell>
          <cell r="AC17">
            <v>3.9999999999999994E-2</v>
          </cell>
          <cell r="AD17">
            <v>0.77673786939050926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121</v>
          </cell>
          <cell r="AS17">
            <v>133</v>
          </cell>
          <cell r="AT17">
            <v>44286</v>
          </cell>
          <cell r="AU17">
            <v>48678</v>
          </cell>
          <cell r="AV17">
            <v>0.90977443609022557</v>
          </cell>
          <cell r="AW17">
            <v>0.90977443609022557</v>
          </cell>
          <cell r="AX17">
            <v>3.0000000000000009E-2</v>
          </cell>
          <cell r="AY17">
            <v>0.81312951438174053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6.9999999999999991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H17">
            <v>6.9999999999999991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6.9999999999999991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E17">
            <v>6.9999999999999991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9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B17">
            <v>9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Q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F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U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P17">
            <v>0</v>
          </cell>
          <cell r="KQ17">
            <v>0</v>
          </cell>
          <cell r="KR17">
            <v>0</v>
          </cell>
          <cell r="KT17">
            <v>0</v>
          </cell>
          <cell r="KV17">
            <v>0</v>
          </cell>
          <cell r="KW17">
            <v>0</v>
          </cell>
          <cell r="KX17">
            <v>0</v>
          </cell>
          <cell r="KZ17">
            <v>0</v>
          </cell>
          <cell r="LA17">
            <v>0</v>
          </cell>
          <cell r="LB17">
            <v>0</v>
          </cell>
          <cell r="LD17">
            <v>0</v>
          </cell>
          <cell r="LF17">
            <v>0</v>
          </cell>
          <cell r="LG17">
            <v>0</v>
          </cell>
          <cell r="LH17">
            <v>0</v>
          </cell>
          <cell r="LJ17">
            <v>0</v>
          </cell>
          <cell r="LK17">
            <v>0</v>
          </cell>
          <cell r="LL17">
            <v>0</v>
          </cell>
          <cell r="LN17">
            <v>0</v>
          </cell>
          <cell r="LP17">
            <v>0</v>
          </cell>
          <cell r="LQ17">
            <v>0</v>
          </cell>
          <cell r="LR17">
            <v>0</v>
          </cell>
          <cell r="LT17" t="str">
            <v>100-51</v>
          </cell>
        </row>
        <row r="18">
          <cell r="B18">
            <v>143.71</v>
          </cell>
          <cell r="C18">
            <v>147</v>
          </cell>
          <cell r="D18">
            <v>52454.150000000009</v>
          </cell>
          <cell r="E18">
            <v>53655</v>
          </cell>
          <cell r="F18">
            <v>0.97761904761904783</v>
          </cell>
          <cell r="G18">
            <v>0.97761904761904783</v>
          </cell>
          <cell r="H18">
            <v>0.05</v>
          </cell>
          <cell r="I18">
            <v>1.5674072424363517</v>
          </cell>
          <cell r="J18">
            <v>9.8211414000000001</v>
          </cell>
          <cell r="K18">
            <v>0.40281913000000008</v>
          </cell>
          <cell r="L18">
            <v>91.191324210000005</v>
          </cell>
          <cell r="M18">
            <v>1.6161626600000003</v>
          </cell>
          <cell r="N18">
            <v>38.507238210000011</v>
          </cell>
          <cell r="O18">
            <v>2.1714580999999997</v>
          </cell>
          <cell r="P18">
            <v>618.24999999999989</v>
          </cell>
          <cell r="Q18">
            <v>538.04999999999995</v>
          </cell>
          <cell r="R18">
            <v>292.33999999999992</v>
          </cell>
          <cell r="S18">
            <v>464.29999999999984</v>
          </cell>
          <cell r="T18">
            <v>553.09</v>
          </cell>
          <cell r="U18">
            <v>268.50999999999988</v>
          </cell>
          <cell r="W18">
            <v>141.03232512972457</v>
          </cell>
          <cell r="X18">
            <v>146.93481823123082</v>
          </cell>
          <cell r="Y18">
            <v>51477.5</v>
          </cell>
          <cell r="Z18">
            <v>53631</v>
          </cell>
          <cell r="AA18">
            <v>0.95984598459845982</v>
          </cell>
          <cell r="AB18">
            <v>0.9594166433696768</v>
          </cell>
          <cell r="AC18">
            <v>0.05</v>
          </cell>
          <cell r="AD18">
            <v>1.4696241257650804</v>
          </cell>
          <cell r="AE18">
            <v>5.3863973867127557</v>
          </cell>
          <cell r="AF18">
            <v>0.93071734254990035</v>
          </cell>
          <cell r="AG18">
            <v>86.664098402457753</v>
          </cell>
          <cell r="AH18">
            <v>0.59333982526882101</v>
          </cell>
          <cell r="AI18">
            <v>43.79648233166926</v>
          </cell>
          <cell r="AJ18">
            <v>3.6511213216845833</v>
          </cell>
          <cell r="AK18">
            <v>595.77912553551732</v>
          </cell>
          <cell r="AL18">
            <v>495.63204809038734</v>
          </cell>
          <cell r="AM18">
            <v>310.25611746241896</v>
          </cell>
          <cell r="AN18">
            <v>341.52465824180808</v>
          </cell>
          <cell r="AO18">
            <v>535.82723948065859</v>
          </cell>
          <cell r="AP18">
            <v>296.45404875226825</v>
          </cell>
          <cell r="AR18">
            <v>145.5860655737705</v>
          </cell>
          <cell r="AS18">
            <v>147</v>
          </cell>
          <cell r="AT18">
            <v>53284.5</v>
          </cell>
          <cell r="AU18">
            <v>53802</v>
          </cell>
          <cell r="AV18">
            <v>0.9903813984610238</v>
          </cell>
          <cell r="AW18">
            <v>0.9903813984610238</v>
          </cell>
          <cell r="AX18">
            <v>3.8999999999999993E-2</v>
          </cell>
          <cell r="AY18">
            <v>1.4191070642400094</v>
          </cell>
          <cell r="AZ18">
            <v>2.9059725000000003</v>
          </cell>
          <cell r="BA18">
            <v>0.71977291666666676</v>
          </cell>
          <cell r="BB18">
            <v>91.808527916666662</v>
          </cell>
          <cell r="BC18">
            <v>1.841105</v>
          </cell>
          <cell r="BD18">
            <v>45.555399999999999</v>
          </cell>
          <cell r="BE18">
            <v>2.7536495833333334</v>
          </cell>
          <cell r="BF18">
            <v>611.85</v>
          </cell>
          <cell r="BG18">
            <v>529.5100000000001</v>
          </cell>
          <cell r="BH18">
            <v>303.14999999999998</v>
          </cell>
          <cell r="BI18">
            <v>372.18000000000012</v>
          </cell>
          <cell r="BJ18">
            <v>574.44000000000017</v>
          </cell>
          <cell r="BK18">
            <v>289.78000000000009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H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E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B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Q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F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U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P18">
            <v>0</v>
          </cell>
          <cell r="KQ18">
            <v>0</v>
          </cell>
          <cell r="KR18">
            <v>0</v>
          </cell>
          <cell r="KT18">
            <v>0</v>
          </cell>
          <cell r="KV18">
            <v>0</v>
          </cell>
          <cell r="KW18">
            <v>0</v>
          </cell>
          <cell r="KX18">
            <v>0</v>
          </cell>
          <cell r="KZ18">
            <v>0</v>
          </cell>
          <cell r="LA18">
            <v>0</v>
          </cell>
          <cell r="LB18">
            <v>0</v>
          </cell>
          <cell r="LD18">
            <v>0</v>
          </cell>
          <cell r="LF18">
            <v>0</v>
          </cell>
          <cell r="LG18">
            <v>0</v>
          </cell>
          <cell r="LH18">
            <v>0</v>
          </cell>
          <cell r="LJ18">
            <v>0</v>
          </cell>
          <cell r="LK18">
            <v>0</v>
          </cell>
          <cell r="LL18">
            <v>0</v>
          </cell>
          <cell r="LN18">
            <v>0</v>
          </cell>
          <cell r="LP18">
            <v>0</v>
          </cell>
          <cell r="LQ18">
            <v>0</v>
          </cell>
          <cell r="LR18">
            <v>0</v>
          </cell>
          <cell r="LT18" t="str">
            <v>100-61</v>
          </cell>
        </row>
        <row r="19">
          <cell r="B19">
            <v>34.58</v>
          </cell>
          <cell r="C19">
            <v>38</v>
          </cell>
          <cell r="D19">
            <v>12621.699999999995</v>
          </cell>
          <cell r="E19">
            <v>13870</v>
          </cell>
          <cell r="F19">
            <v>0.90999999999999981</v>
          </cell>
          <cell r="G19">
            <v>0.90999999999999981</v>
          </cell>
          <cell r="H19">
            <v>0.05</v>
          </cell>
          <cell r="I19">
            <v>0</v>
          </cell>
          <cell r="J19">
            <v>27.663999999999991</v>
          </cell>
          <cell r="K19">
            <v>6.9159999999999977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618.25</v>
          </cell>
          <cell r="Q19">
            <v>538.05000000000007</v>
          </cell>
          <cell r="R19">
            <v>0</v>
          </cell>
          <cell r="S19">
            <v>0</v>
          </cell>
          <cell r="T19">
            <v>799.33000000000015</v>
          </cell>
          <cell r="U19">
            <v>0</v>
          </cell>
          <cell r="W19">
            <v>35.25686234071987</v>
          </cell>
          <cell r="X19">
            <v>38.141550979297151</v>
          </cell>
          <cell r="Y19">
            <v>12868</v>
          </cell>
          <cell r="Z19">
            <v>13921</v>
          </cell>
          <cell r="AA19">
            <v>0.92435888226420515</v>
          </cell>
          <cell r="AB19">
            <v>0.92775775054073539</v>
          </cell>
          <cell r="AC19">
            <v>0.05</v>
          </cell>
          <cell r="AD19">
            <v>0</v>
          </cell>
          <cell r="AE19">
            <v>25.206924367716017</v>
          </cell>
          <cell r="AF19">
            <v>7.0115501119905188</v>
          </cell>
          <cell r="AG19">
            <v>0</v>
          </cell>
          <cell r="AH19">
            <v>2.6908731183477368</v>
          </cell>
          <cell r="AI19">
            <v>0.35033922171018744</v>
          </cell>
          <cell r="AJ19">
            <v>0</v>
          </cell>
          <cell r="AK19">
            <v>604.68289853144665</v>
          </cell>
          <cell r="AL19">
            <v>515.44906385973604</v>
          </cell>
          <cell r="AM19">
            <v>0</v>
          </cell>
          <cell r="AN19">
            <v>364.47217876546051</v>
          </cell>
          <cell r="AO19">
            <v>612.94761823172894</v>
          </cell>
          <cell r="AP19">
            <v>0</v>
          </cell>
          <cell r="AR19">
            <v>32.41393442622951</v>
          </cell>
          <cell r="AS19">
            <v>38</v>
          </cell>
          <cell r="AT19">
            <v>11863.5</v>
          </cell>
          <cell r="AU19">
            <v>13908</v>
          </cell>
          <cell r="AV19">
            <v>0.85299827437446074</v>
          </cell>
          <cell r="AW19">
            <v>0.85299827437446074</v>
          </cell>
          <cell r="AX19">
            <v>3.8999999999999993E-2</v>
          </cell>
          <cell r="AY19">
            <v>0</v>
          </cell>
          <cell r="AZ19">
            <v>25.933333333333337</v>
          </cell>
          <cell r="BA19">
            <v>6.4833333333333343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611.85</v>
          </cell>
          <cell r="BG19">
            <v>529.50999999999988</v>
          </cell>
          <cell r="BH19">
            <v>0</v>
          </cell>
          <cell r="BI19">
            <v>0</v>
          </cell>
          <cell r="BJ19">
            <v>830.53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H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E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B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Q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F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U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P19">
            <v>0</v>
          </cell>
          <cell r="KQ19">
            <v>0</v>
          </cell>
          <cell r="KR19">
            <v>0</v>
          </cell>
          <cell r="KT19">
            <v>0</v>
          </cell>
          <cell r="KV19">
            <v>0</v>
          </cell>
          <cell r="KW19">
            <v>0</v>
          </cell>
          <cell r="KX19">
            <v>0</v>
          </cell>
          <cell r="KZ19">
            <v>0</v>
          </cell>
          <cell r="LA19">
            <v>0</v>
          </cell>
          <cell r="LB19">
            <v>0</v>
          </cell>
          <cell r="LD19">
            <v>0</v>
          </cell>
          <cell r="LF19">
            <v>0</v>
          </cell>
          <cell r="LG19">
            <v>0</v>
          </cell>
          <cell r="LH19">
            <v>0</v>
          </cell>
          <cell r="LJ19">
            <v>0</v>
          </cell>
          <cell r="LK19">
            <v>0</v>
          </cell>
          <cell r="LL19">
            <v>0</v>
          </cell>
          <cell r="LN19">
            <v>0</v>
          </cell>
          <cell r="LP19">
            <v>0</v>
          </cell>
          <cell r="LQ19">
            <v>0</v>
          </cell>
          <cell r="LR19">
            <v>0</v>
          </cell>
          <cell r="LT19" t="str">
            <v>100-62</v>
          </cell>
        </row>
        <row r="20">
          <cell r="B20">
            <v>1001.6957534246576</v>
          </cell>
          <cell r="C20">
            <v>1144</v>
          </cell>
          <cell r="D20">
            <v>365618.95000000007</v>
          </cell>
          <cell r="E20">
            <v>417560</v>
          </cell>
          <cell r="F20">
            <v>0.87560817607050501</v>
          </cell>
          <cell r="G20">
            <v>0.87560817607050501</v>
          </cell>
          <cell r="H20">
            <v>4.9090909090909081E-2</v>
          </cell>
          <cell r="I20">
            <v>0.9832340435377056</v>
          </cell>
          <cell r="J20">
            <v>37.485141400000003</v>
          </cell>
          <cell r="K20">
            <v>7.3188191299999987</v>
          </cell>
          <cell r="L20">
            <v>91.191324210000005</v>
          </cell>
          <cell r="M20">
            <v>1.6161626600000003</v>
          </cell>
          <cell r="N20">
            <v>38.507238210000011</v>
          </cell>
          <cell r="O20">
            <v>2.1714580999999997</v>
          </cell>
          <cell r="P20">
            <v>1236.5</v>
          </cell>
          <cell r="Q20">
            <v>1076.0999999999999</v>
          </cell>
          <cell r="R20">
            <v>292.33999999999986</v>
          </cell>
          <cell r="S20">
            <v>464.3</v>
          </cell>
          <cell r="T20">
            <v>1352.4199999999998</v>
          </cell>
          <cell r="U20">
            <v>268.50999999999993</v>
          </cell>
          <cell r="W20">
            <v>948.08047715979342</v>
          </cell>
          <cell r="X20">
            <v>1143.822134175324</v>
          </cell>
          <cell r="Y20">
            <v>346050.5</v>
          </cell>
          <cell r="Z20">
            <v>417495</v>
          </cell>
          <cell r="AA20">
            <v>0.82887339968143336</v>
          </cell>
          <cell r="AB20">
            <v>0.82874437206628992</v>
          </cell>
          <cell r="AC20">
            <v>4.9090909090909081E-2</v>
          </cell>
          <cell r="AD20">
            <v>0.99527045866091057</v>
          </cell>
          <cell r="AE20">
            <v>30.593321754428771</v>
          </cell>
          <cell r="AF20">
            <v>7.9422674545404179</v>
          </cell>
          <cell r="AG20">
            <v>86.664098402457753</v>
          </cell>
          <cell r="AH20">
            <v>3.2842129436165575</v>
          </cell>
          <cell r="AI20">
            <v>44.146821553379446</v>
          </cell>
          <cell r="AJ20">
            <v>3.6511213216845833</v>
          </cell>
          <cell r="AK20">
            <v>1200.3368589431775</v>
          </cell>
          <cell r="AL20">
            <v>1011.5162101785108</v>
          </cell>
          <cell r="AM20">
            <v>310.25489148821714</v>
          </cell>
          <cell r="AN20">
            <v>705.86949857523632</v>
          </cell>
          <cell r="AO20">
            <v>1148.7576857549325</v>
          </cell>
          <cell r="AP20">
            <v>296.52343095724359</v>
          </cell>
          <cell r="AR20">
            <v>978.82786885245901</v>
          </cell>
          <cell r="AS20">
            <v>1143</v>
          </cell>
          <cell r="AT20">
            <v>358251</v>
          </cell>
          <cell r="AU20">
            <v>418338</v>
          </cell>
          <cell r="AV20">
            <v>0.85636733932848563</v>
          </cell>
          <cell r="AW20">
            <v>0.85636733932848563</v>
          </cell>
          <cell r="AX20">
            <v>3.8181818181818185E-2</v>
          </cell>
          <cell r="AY20">
            <v>0.95403332582718758</v>
          </cell>
          <cell r="AZ20">
            <v>28.839305833333341</v>
          </cell>
          <cell r="BA20">
            <v>7.2031062500000012</v>
          </cell>
          <cell r="BB20">
            <v>91.808527916666662</v>
          </cell>
          <cell r="BC20">
            <v>1.841105</v>
          </cell>
          <cell r="BD20">
            <v>45.555399999999999</v>
          </cell>
          <cell r="BE20">
            <v>2.7536495833333334</v>
          </cell>
          <cell r="BF20">
            <v>1223.6999999999998</v>
          </cell>
          <cell r="BG20">
            <v>1059.02</v>
          </cell>
          <cell r="BH20">
            <v>303.15000000000003</v>
          </cell>
          <cell r="BI20">
            <v>372.17999999999989</v>
          </cell>
          <cell r="BJ20">
            <v>1404.97</v>
          </cell>
          <cell r="BK20">
            <v>289.78000000000003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32.000000000000007</v>
          </cell>
          <cell r="CC20">
            <v>19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6.9999999999999991</v>
          </cell>
          <cell r="CI20">
            <v>9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20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9</v>
          </cell>
          <cell r="CV20">
            <v>33.999999999999993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H20">
            <v>130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32.000000000000007</v>
          </cell>
          <cell r="DZ20">
            <v>19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6.9999999999999991</v>
          </cell>
          <cell r="EF20">
            <v>9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20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9</v>
          </cell>
          <cell r="ES20">
            <v>33.999999999999993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E20">
            <v>130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32</v>
          </cell>
          <cell r="FW20">
            <v>24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9</v>
          </cell>
          <cell r="GC20">
            <v>10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23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9</v>
          </cell>
          <cell r="GP20">
            <v>36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1</v>
          </cell>
          <cell r="GV20">
            <v>2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B20">
            <v>146</v>
          </cell>
          <cell r="HD20">
            <v>2</v>
          </cell>
          <cell r="HE20">
            <v>4</v>
          </cell>
          <cell r="HF20">
            <v>3</v>
          </cell>
          <cell r="HG20">
            <v>2</v>
          </cell>
          <cell r="HH20">
            <v>1</v>
          </cell>
          <cell r="HI20">
            <v>2</v>
          </cell>
          <cell r="HJ20">
            <v>2</v>
          </cell>
          <cell r="HK20">
            <v>1</v>
          </cell>
          <cell r="HL20">
            <v>3</v>
          </cell>
          <cell r="HM20">
            <v>1</v>
          </cell>
          <cell r="HN20">
            <v>0</v>
          </cell>
          <cell r="HO20">
            <v>0</v>
          </cell>
          <cell r="HQ20">
            <v>21</v>
          </cell>
          <cell r="HS20">
            <v>2</v>
          </cell>
          <cell r="HT20">
            <v>4</v>
          </cell>
          <cell r="HU20">
            <v>3</v>
          </cell>
          <cell r="HV20">
            <v>2</v>
          </cell>
          <cell r="HW20">
            <v>1</v>
          </cell>
          <cell r="HX20">
            <v>2</v>
          </cell>
          <cell r="HY20">
            <v>2</v>
          </cell>
          <cell r="HZ20">
            <v>1</v>
          </cell>
          <cell r="IA20">
            <v>3</v>
          </cell>
          <cell r="IB20">
            <v>1</v>
          </cell>
          <cell r="IC20">
            <v>0</v>
          </cell>
          <cell r="ID20">
            <v>0</v>
          </cell>
          <cell r="IF20">
            <v>21</v>
          </cell>
          <cell r="IH20">
            <v>2</v>
          </cell>
          <cell r="II20">
            <v>4</v>
          </cell>
          <cell r="IJ20">
            <v>3</v>
          </cell>
          <cell r="IK20">
            <v>2</v>
          </cell>
          <cell r="IL20">
            <v>1</v>
          </cell>
          <cell r="IM20">
            <v>2</v>
          </cell>
          <cell r="IN20">
            <v>2</v>
          </cell>
          <cell r="IO20">
            <v>1</v>
          </cell>
          <cell r="IP20">
            <v>3</v>
          </cell>
          <cell r="IQ20">
            <v>1</v>
          </cell>
          <cell r="IR20">
            <v>0</v>
          </cell>
          <cell r="IS20">
            <v>0</v>
          </cell>
          <cell r="IU20">
            <v>21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P20">
            <v>0</v>
          </cell>
          <cell r="KQ20">
            <v>0</v>
          </cell>
          <cell r="KR20">
            <v>0</v>
          </cell>
          <cell r="KT20">
            <v>0</v>
          </cell>
          <cell r="KV20">
            <v>0</v>
          </cell>
          <cell r="KW20">
            <v>0</v>
          </cell>
          <cell r="KX20">
            <v>0</v>
          </cell>
          <cell r="KZ20">
            <v>0</v>
          </cell>
          <cell r="LA20">
            <v>0</v>
          </cell>
          <cell r="LB20">
            <v>0</v>
          </cell>
          <cell r="LD20">
            <v>0</v>
          </cell>
          <cell r="LF20">
            <v>0</v>
          </cell>
          <cell r="LG20">
            <v>0</v>
          </cell>
          <cell r="LH20">
            <v>0</v>
          </cell>
          <cell r="LJ20">
            <v>0</v>
          </cell>
          <cell r="LK20">
            <v>0</v>
          </cell>
          <cell r="LL20">
            <v>0</v>
          </cell>
          <cell r="LN20">
            <v>0</v>
          </cell>
          <cell r="LP20">
            <v>0</v>
          </cell>
          <cell r="LQ20">
            <v>0</v>
          </cell>
          <cell r="LR20">
            <v>0</v>
          </cell>
          <cell r="LT20" t="str">
            <v>100-Entity</v>
          </cell>
        </row>
        <row r="21">
          <cell r="B21">
            <v>69.839999999999989</v>
          </cell>
          <cell r="C21">
            <v>72</v>
          </cell>
          <cell r="D21">
            <v>25491.600000000009</v>
          </cell>
          <cell r="E21">
            <v>26280</v>
          </cell>
          <cell r="F21">
            <v>0.9700000000000002</v>
          </cell>
          <cell r="G21">
            <v>0.9700000000000002</v>
          </cell>
          <cell r="H21">
            <v>4.8999999999999995E-2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70.68493150684931</v>
          </cell>
          <cell r="X21">
            <v>72</v>
          </cell>
          <cell r="Y21">
            <v>25800</v>
          </cell>
          <cell r="Z21">
            <v>26280</v>
          </cell>
          <cell r="AA21">
            <v>0.9817351598173516</v>
          </cell>
          <cell r="AB21">
            <v>0.9817351598173516</v>
          </cell>
          <cell r="AC21">
            <v>4.8999999999999995E-2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70</v>
          </cell>
          <cell r="AS21">
            <v>72</v>
          </cell>
          <cell r="AT21">
            <v>25620</v>
          </cell>
          <cell r="AU21">
            <v>26352</v>
          </cell>
          <cell r="AV21">
            <v>0.97222222222222221</v>
          </cell>
          <cell r="AW21">
            <v>0.97222222222222221</v>
          </cell>
          <cell r="AX21">
            <v>3.9999999999999994E-2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36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H21">
            <v>36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36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E21">
            <v>36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37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B21">
            <v>37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Q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F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  <cell r="IS21">
            <v>0</v>
          </cell>
          <cell r="IU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P21">
            <v>0</v>
          </cell>
          <cell r="KQ21">
            <v>0</v>
          </cell>
          <cell r="KR21">
            <v>0</v>
          </cell>
          <cell r="KT21">
            <v>0</v>
          </cell>
          <cell r="KV21">
            <v>0</v>
          </cell>
          <cell r="KW21">
            <v>0</v>
          </cell>
          <cell r="KX21">
            <v>0</v>
          </cell>
          <cell r="KZ21">
            <v>0</v>
          </cell>
          <cell r="LA21">
            <v>0</v>
          </cell>
          <cell r="LB21">
            <v>0</v>
          </cell>
          <cell r="LD21">
            <v>0</v>
          </cell>
          <cell r="LF21">
            <v>0</v>
          </cell>
          <cell r="LG21">
            <v>0</v>
          </cell>
          <cell r="LH21">
            <v>0</v>
          </cell>
          <cell r="LJ21">
            <v>0</v>
          </cell>
          <cell r="LK21">
            <v>0</v>
          </cell>
          <cell r="LL21">
            <v>0</v>
          </cell>
          <cell r="LN21">
            <v>0</v>
          </cell>
          <cell r="LP21">
            <v>0</v>
          </cell>
          <cell r="LQ21">
            <v>0</v>
          </cell>
          <cell r="LR21">
            <v>0</v>
          </cell>
          <cell r="LT21" t="str">
            <v>200-21</v>
          </cell>
        </row>
        <row r="22">
          <cell r="B22">
            <v>131</v>
          </cell>
          <cell r="C22">
            <v>142</v>
          </cell>
          <cell r="D22">
            <v>47815</v>
          </cell>
          <cell r="E22">
            <v>51830</v>
          </cell>
          <cell r="F22">
            <v>0.92253521126760563</v>
          </cell>
          <cell r="G22">
            <v>0.92253521126760563</v>
          </cell>
          <cell r="H22">
            <v>4.8999999999999995E-2</v>
          </cell>
          <cell r="I22">
            <v>2.0065130281447936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127.60547945205479</v>
          </cell>
          <cell r="X22">
            <v>142</v>
          </cell>
          <cell r="Y22">
            <v>46576</v>
          </cell>
          <cell r="Z22">
            <v>51830</v>
          </cell>
          <cell r="AA22">
            <v>0.89863013698630134</v>
          </cell>
          <cell r="AB22">
            <v>0.89863013698630134</v>
          </cell>
          <cell r="AC22">
            <v>4.8999999999999995E-2</v>
          </cell>
          <cell r="AD22">
            <v>1.952395594854081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131</v>
          </cell>
          <cell r="AS22">
            <v>142</v>
          </cell>
          <cell r="AT22">
            <v>47946</v>
          </cell>
          <cell r="AU22">
            <v>51972</v>
          </cell>
          <cell r="AV22">
            <v>0.92253521126760563</v>
          </cell>
          <cell r="AW22">
            <v>0.92253521126760563</v>
          </cell>
          <cell r="AX22">
            <v>3.9999999999999994E-2</v>
          </cell>
          <cell r="AY22">
            <v>1.8388867871022381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24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H22">
            <v>24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24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E22">
            <v>24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23.000000000000004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B22">
            <v>23.000000000000004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Q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F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U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P22">
            <v>0</v>
          </cell>
          <cell r="KQ22">
            <v>0</v>
          </cell>
          <cell r="KR22">
            <v>0</v>
          </cell>
          <cell r="KT22">
            <v>0</v>
          </cell>
          <cell r="KV22">
            <v>0</v>
          </cell>
          <cell r="KW22">
            <v>0</v>
          </cell>
          <cell r="KX22">
            <v>0</v>
          </cell>
          <cell r="KZ22">
            <v>0</v>
          </cell>
          <cell r="LA22">
            <v>0</v>
          </cell>
          <cell r="LB22">
            <v>0</v>
          </cell>
          <cell r="LD22">
            <v>0</v>
          </cell>
          <cell r="LF22">
            <v>0</v>
          </cell>
          <cell r="LG22">
            <v>0</v>
          </cell>
          <cell r="LH22">
            <v>0</v>
          </cell>
          <cell r="LJ22">
            <v>0</v>
          </cell>
          <cell r="LK22">
            <v>0</v>
          </cell>
          <cell r="LL22">
            <v>0</v>
          </cell>
          <cell r="LN22">
            <v>0</v>
          </cell>
          <cell r="LP22">
            <v>0</v>
          </cell>
          <cell r="LQ22">
            <v>0</v>
          </cell>
          <cell r="LR22">
            <v>0</v>
          </cell>
          <cell r="LT22" t="str">
            <v>200-31</v>
          </cell>
        </row>
        <row r="23">
          <cell r="B23">
            <v>82.56</v>
          </cell>
          <cell r="C23">
            <v>86</v>
          </cell>
          <cell r="D23">
            <v>30134.400000000001</v>
          </cell>
          <cell r="E23">
            <v>31390</v>
          </cell>
          <cell r="F23">
            <v>0.96</v>
          </cell>
          <cell r="G23">
            <v>0.96</v>
          </cell>
          <cell r="H23">
            <v>4.8999999999999995E-2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81.61369863013698</v>
          </cell>
          <cell r="X23">
            <v>86</v>
          </cell>
          <cell r="Y23">
            <v>29789</v>
          </cell>
          <cell r="Z23">
            <v>31390</v>
          </cell>
          <cell r="AA23">
            <v>0.94899649569926725</v>
          </cell>
          <cell r="AB23">
            <v>0.94899649569926725</v>
          </cell>
          <cell r="AC23">
            <v>4.8999999999999995E-2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81.7</v>
          </cell>
          <cell r="AS23">
            <v>86</v>
          </cell>
          <cell r="AT23">
            <v>29902.200000000004</v>
          </cell>
          <cell r="AU23">
            <v>31476</v>
          </cell>
          <cell r="AV23">
            <v>0.95000000000000018</v>
          </cell>
          <cell r="AW23">
            <v>0.95000000000000018</v>
          </cell>
          <cell r="AX23">
            <v>3.9999999999999994E-2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30.999999999999996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H23">
            <v>30.999999999999996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30.999999999999996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E23">
            <v>30.999999999999996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30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B23">
            <v>30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Q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F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U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P23">
            <v>0</v>
          </cell>
          <cell r="KQ23">
            <v>0</v>
          </cell>
          <cell r="KR23">
            <v>0</v>
          </cell>
          <cell r="KT23">
            <v>0</v>
          </cell>
          <cell r="KV23">
            <v>0</v>
          </cell>
          <cell r="KW23">
            <v>0</v>
          </cell>
          <cell r="KX23">
            <v>0</v>
          </cell>
          <cell r="KZ23">
            <v>0</v>
          </cell>
          <cell r="LA23">
            <v>0</v>
          </cell>
          <cell r="LB23">
            <v>0</v>
          </cell>
          <cell r="LD23">
            <v>0</v>
          </cell>
          <cell r="LF23">
            <v>0</v>
          </cell>
          <cell r="LG23">
            <v>0</v>
          </cell>
          <cell r="LH23">
            <v>0</v>
          </cell>
          <cell r="LJ23">
            <v>0</v>
          </cell>
          <cell r="LK23">
            <v>0</v>
          </cell>
          <cell r="LL23">
            <v>0</v>
          </cell>
          <cell r="LN23">
            <v>0</v>
          </cell>
          <cell r="LP23">
            <v>0</v>
          </cell>
          <cell r="LQ23">
            <v>0</v>
          </cell>
          <cell r="LR23">
            <v>0</v>
          </cell>
          <cell r="LT23" t="str">
            <v>200-32</v>
          </cell>
        </row>
        <row r="24">
          <cell r="B24">
            <v>23.52</v>
          </cell>
          <cell r="C24">
            <v>24</v>
          </cell>
          <cell r="D24">
            <v>8584.8000000000011</v>
          </cell>
          <cell r="E24">
            <v>8760</v>
          </cell>
          <cell r="F24">
            <v>0.98</v>
          </cell>
          <cell r="G24">
            <v>0.98</v>
          </cell>
          <cell r="H24">
            <v>4.8999999999999995E-2</v>
          </cell>
          <cell r="I24">
            <v>0.86478964531717706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23.819506849315069</v>
          </cell>
          <cell r="X24">
            <v>24</v>
          </cell>
          <cell r="Y24">
            <v>8694.1200000000008</v>
          </cell>
          <cell r="Z24">
            <v>8760</v>
          </cell>
          <cell r="AA24">
            <v>0.9924794520547946</v>
          </cell>
          <cell r="AB24">
            <v>0.9924794520547946</v>
          </cell>
          <cell r="AC24">
            <v>4.8999999999999995E-2</v>
          </cell>
          <cell r="AD24">
            <v>0.78224241804717776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23.520000000000003</v>
          </cell>
          <cell r="AS24">
            <v>24</v>
          </cell>
          <cell r="AT24">
            <v>8608.3200000000015</v>
          </cell>
          <cell r="AU24">
            <v>8784</v>
          </cell>
          <cell r="AV24">
            <v>0.9800000000000002</v>
          </cell>
          <cell r="AW24">
            <v>0.9800000000000002</v>
          </cell>
          <cell r="AX24">
            <v>3.9999999999999994E-2</v>
          </cell>
          <cell r="AY24">
            <v>0.94057689902483399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H24">
            <v>1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1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E24">
            <v>1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1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B24">
            <v>1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Q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F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U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P24">
            <v>0</v>
          </cell>
          <cell r="KQ24">
            <v>0</v>
          </cell>
          <cell r="KR24">
            <v>0</v>
          </cell>
          <cell r="KT24">
            <v>0</v>
          </cell>
          <cell r="KV24">
            <v>0</v>
          </cell>
          <cell r="KW24">
            <v>0</v>
          </cell>
          <cell r="KX24">
            <v>0</v>
          </cell>
          <cell r="KZ24">
            <v>0</v>
          </cell>
          <cell r="LA24">
            <v>0</v>
          </cell>
          <cell r="LB24">
            <v>0</v>
          </cell>
          <cell r="LD24">
            <v>0</v>
          </cell>
          <cell r="LF24">
            <v>0</v>
          </cell>
          <cell r="LG24">
            <v>0</v>
          </cell>
          <cell r="LH24">
            <v>0</v>
          </cell>
          <cell r="LJ24">
            <v>0</v>
          </cell>
          <cell r="LK24">
            <v>0</v>
          </cell>
          <cell r="LL24">
            <v>0</v>
          </cell>
          <cell r="LN24">
            <v>0</v>
          </cell>
          <cell r="LP24">
            <v>0</v>
          </cell>
          <cell r="LQ24">
            <v>0</v>
          </cell>
          <cell r="LR24">
            <v>0</v>
          </cell>
          <cell r="LT24" t="str">
            <v>200-51</v>
          </cell>
        </row>
        <row r="25">
          <cell r="B25">
            <v>43.6</v>
          </cell>
          <cell r="C25">
            <v>48</v>
          </cell>
          <cell r="D25">
            <v>15914.000000000002</v>
          </cell>
          <cell r="E25">
            <v>17520</v>
          </cell>
          <cell r="F25">
            <v>0.90833333333333344</v>
          </cell>
          <cell r="G25">
            <v>0.90833333333333344</v>
          </cell>
          <cell r="H25">
            <v>4.8999999999999995E-2</v>
          </cell>
          <cell r="I25">
            <v>0.98932012927376922</v>
          </cell>
          <cell r="J25">
            <v>5.3999907999999985</v>
          </cell>
          <cell r="K25">
            <v>0</v>
          </cell>
          <cell r="L25">
            <v>12.999993999999999</v>
          </cell>
          <cell r="M25">
            <v>0</v>
          </cell>
          <cell r="N25">
            <v>25.200015199999999</v>
          </cell>
          <cell r="O25">
            <v>0</v>
          </cell>
          <cell r="P25">
            <v>600.03000000000009</v>
          </cell>
          <cell r="Q25">
            <v>0</v>
          </cell>
          <cell r="R25">
            <v>263.34999999999997</v>
          </cell>
          <cell r="S25">
            <v>0</v>
          </cell>
          <cell r="T25">
            <v>494.07999999999981</v>
          </cell>
          <cell r="U25">
            <v>0</v>
          </cell>
          <cell r="W25">
            <v>39.69315068493151</v>
          </cell>
          <cell r="X25">
            <v>48</v>
          </cell>
          <cell r="Y25">
            <v>14488</v>
          </cell>
          <cell r="Z25">
            <v>17520</v>
          </cell>
          <cell r="AA25">
            <v>0.82694063926940642</v>
          </cell>
          <cell r="AB25">
            <v>0.82694063926940642</v>
          </cell>
          <cell r="AC25">
            <v>4.8999999999999995E-2</v>
          </cell>
          <cell r="AD25">
            <v>1.0157565103126192</v>
          </cell>
          <cell r="AE25">
            <v>3.656358141321038</v>
          </cell>
          <cell r="AF25">
            <v>5.3392217101895179E-2</v>
          </cell>
          <cell r="AG25">
            <v>14.21299989759345</v>
          </cell>
          <cell r="AH25">
            <v>0</v>
          </cell>
          <cell r="AI25">
            <v>21.621802995391704</v>
          </cell>
          <cell r="AJ25">
            <v>0.15000000000000072</v>
          </cell>
          <cell r="AK25">
            <v>602.29964408081707</v>
          </cell>
          <cell r="AL25">
            <v>134.59897846493649</v>
          </cell>
          <cell r="AM25">
            <v>255.59024589638145</v>
          </cell>
          <cell r="AN25">
            <v>0</v>
          </cell>
          <cell r="AO25">
            <v>499.25925024496553</v>
          </cell>
          <cell r="AP25">
            <v>32.730973487637279</v>
          </cell>
          <cell r="AR25">
            <v>40</v>
          </cell>
          <cell r="AS25">
            <v>48</v>
          </cell>
          <cell r="AT25">
            <v>14640</v>
          </cell>
          <cell r="AU25">
            <v>17568</v>
          </cell>
          <cell r="AV25">
            <v>0.83333333333333337</v>
          </cell>
          <cell r="AW25">
            <v>0.83333333333333337</v>
          </cell>
          <cell r="AX25">
            <v>3.9999999999999994E-2</v>
          </cell>
          <cell r="AY25">
            <v>1.0203430201405443</v>
          </cell>
          <cell r="AZ25">
            <v>3.5</v>
          </cell>
          <cell r="BA25">
            <v>0</v>
          </cell>
          <cell r="BB25">
            <v>13.96</v>
          </cell>
          <cell r="BC25">
            <v>0</v>
          </cell>
          <cell r="BD25">
            <v>22.539999999999996</v>
          </cell>
          <cell r="BE25">
            <v>0</v>
          </cell>
          <cell r="BF25">
            <v>611.43000000000006</v>
          </cell>
          <cell r="BG25">
            <v>0</v>
          </cell>
          <cell r="BH25">
            <v>255.73000000000005</v>
          </cell>
          <cell r="BI25">
            <v>0</v>
          </cell>
          <cell r="BJ25">
            <v>513.75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H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E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B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Q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F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U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P25">
            <v>0</v>
          </cell>
          <cell r="KQ25">
            <v>0</v>
          </cell>
          <cell r="KR25">
            <v>0</v>
          </cell>
          <cell r="KT25">
            <v>0</v>
          </cell>
          <cell r="KV25">
            <v>0</v>
          </cell>
          <cell r="KW25">
            <v>0</v>
          </cell>
          <cell r="KX25">
            <v>0</v>
          </cell>
          <cell r="KZ25">
            <v>0</v>
          </cell>
          <cell r="LA25">
            <v>0</v>
          </cell>
          <cell r="LB25">
            <v>0</v>
          </cell>
          <cell r="LD25">
            <v>0</v>
          </cell>
          <cell r="LF25">
            <v>0</v>
          </cell>
          <cell r="LG25">
            <v>0</v>
          </cell>
          <cell r="LH25">
            <v>0</v>
          </cell>
          <cell r="LJ25">
            <v>0</v>
          </cell>
          <cell r="LK25">
            <v>0</v>
          </cell>
          <cell r="LL25">
            <v>0</v>
          </cell>
          <cell r="LN25">
            <v>0</v>
          </cell>
          <cell r="LP25">
            <v>0</v>
          </cell>
          <cell r="LQ25">
            <v>0</v>
          </cell>
          <cell r="LR25">
            <v>0</v>
          </cell>
          <cell r="LT25" t="str">
            <v>200-61</v>
          </cell>
        </row>
        <row r="26">
          <cell r="B26">
            <v>350.52000000000004</v>
          </cell>
          <cell r="C26">
            <v>372</v>
          </cell>
          <cell r="D26">
            <v>127939.8</v>
          </cell>
          <cell r="E26">
            <v>135780</v>
          </cell>
          <cell r="F26">
            <v>0.94225806451612903</v>
          </cell>
          <cell r="G26">
            <v>0.94225806451612903</v>
          </cell>
          <cell r="H26">
            <v>4.8999999999999995E-2</v>
          </cell>
          <cell r="I26">
            <v>0.94205864461200695</v>
          </cell>
          <cell r="J26">
            <v>5.3999907999999985</v>
          </cell>
          <cell r="K26">
            <v>0</v>
          </cell>
          <cell r="L26">
            <v>12.999993999999999</v>
          </cell>
          <cell r="M26">
            <v>0</v>
          </cell>
          <cell r="N26">
            <v>25.200015199999999</v>
          </cell>
          <cell r="O26">
            <v>0</v>
          </cell>
          <cell r="P26">
            <v>600.03000000000009</v>
          </cell>
          <cell r="Q26">
            <v>0</v>
          </cell>
          <cell r="R26">
            <v>263.34999999999997</v>
          </cell>
          <cell r="S26">
            <v>0</v>
          </cell>
          <cell r="T26">
            <v>494.07999999999981</v>
          </cell>
          <cell r="U26">
            <v>0</v>
          </cell>
          <cell r="W26">
            <v>343.41676712328768</v>
          </cell>
          <cell r="X26">
            <v>372</v>
          </cell>
          <cell r="Y26">
            <v>125347.12</v>
          </cell>
          <cell r="Z26">
            <v>135780</v>
          </cell>
          <cell r="AA26">
            <v>0.92316335248195602</v>
          </cell>
          <cell r="AB26">
            <v>0.92316335248195602</v>
          </cell>
          <cell r="AC26">
            <v>4.8999999999999995E-2</v>
          </cell>
          <cell r="AD26">
            <v>0.91223523285422525</v>
          </cell>
          <cell r="AE26">
            <v>3.656358141321038</v>
          </cell>
          <cell r="AF26">
            <v>5.3392217101895179E-2</v>
          </cell>
          <cell r="AG26">
            <v>14.21299989759345</v>
          </cell>
          <cell r="AH26">
            <v>0</v>
          </cell>
          <cell r="AI26">
            <v>21.621802995391704</v>
          </cell>
          <cell r="AJ26">
            <v>0.15000000000000072</v>
          </cell>
          <cell r="AK26">
            <v>602.29964408081707</v>
          </cell>
          <cell r="AL26">
            <v>134.59897846493649</v>
          </cell>
          <cell r="AM26">
            <v>255.59024589638145</v>
          </cell>
          <cell r="AN26">
            <v>0</v>
          </cell>
          <cell r="AO26">
            <v>499.25925024496553</v>
          </cell>
          <cell r="AP26">
            <v>32.730973487637279</v>
          </cell>
          <cell r="AR26">
            <v>346.21999999999997</v>
          </cell>
          <cell r="AS26">
            <v>372</v>
          </cell>
          <cell r="AT26">
            <v>126716.52000000002</v>
          </cell>
          <cell r="AU26">
            <v>136152</v>
          </cell>
          <cell r="AV26">
            <v>0.93069892473118299</v>
          </cell>
          <cell r="AW26">
            <v>0.93069892473118299</v>
          </cell>
          <cell r="AX26">
            <v>3.9999999999999994E-2</v>
          </cell>
          <cell r="AY26">
            <v>0.91711332618186081</v>
          </cell>
          <cell r="AZ26">
            <v>3.5</v>
          </cell>
          <cell r="BA26">
            <v>0</v>
          </cell>
          <cell r="BB26">
            <v>13.96</v>
          </cell>
          <cell r="BC26">
            <v>0</v>
          </cell>
          <cell r="BD26">
            <v>22.539999999999996</v>
          </cell>
          <cell r="BE26">
            <v>0</v>
          </cell>
          <cell r="BF26">
            <v>611.43000000000006</v>
          </cell>
          <cell r="BG26">
            <v>0</v>
          </cell>
          <cell r="BH26">
            <v>255.73000000000005</v>
          </cell>
          <cell r="BI26">
            <v>0</v>
          </cell>
          <cell r="BJ26">
            <v>513.75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55.000000000000021</v>
          </cell>
          <cell r="BX26">
            <v>36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H26">
            <v>92.000000000000028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1</v>
          </cell>
          <cell r="DT26">
            <v>55.000000000000021</v>
          </cell>
          <cell r="DU26">
            <v>36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E26">
            <v>92.000000000000028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1</v>
          </cell>
          <cell r="FQ26">
            <v>52.999999999999993</v>
          </cell>
          <cell r="FR26">
            <v>37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B26">
            <v>91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Q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F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U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P26">
            <v>0</v>
          </cell>
          <cell r="KQ26">
            <v>0</v>
          </cell>
          <cell r="KR26">
            <v>0</v>
          </cell>
          <cell r="KT26">
            <v>0</v>
          </cell>
          <cell r="KV26">
            <v>0</v>
          </cell>
          <cell r="KW26">
            <v>0</v>
          </cell>
          <cell r="KX26">
            <v>0</v>
          </cell>
          <cell r="KZ26">
            <v>0</v>
          </cell>
          <cell r="LA26">
            <v>0</v>
          </cell>
          <cell r="LB26">
            <v>0</v>
          </cell>
          <cell r="LD26">
            <v>0</v>
          </cell>
          <cell r="LF26">
            <v>0</v>
          </cell>
          <cell r="LG26">
            <v>0</v>
          </cell>
          <cell r="LH26">
            <v>0</v>
          </cell>
          <cell r="LJ26">
            <v>0</v>
          </cell>
          <cell r="LK26">
            <v>0</v>
          </cell>
          <cell r="LL26">
            <v>0</v>
          </cell>
          <cell r="LN26">
            <v>0</v>
          </cell>
          <cell r="LP26">
            <v>0</v>
          </cell>
          <cell r="LQ26">
            <v>0</v>
          </cell>
          <cell r="LR26">
            <v>0</v>
          </cell>
          <cell r="LT26" t="str">
            <v>200-Entity</v>
          </cell>
        </row>
        <row r="27">
          <cell r="B27">
            <v>35</v>
          </cell>
          <cell r="C27">
            <v>36</v>
          </cell>
          <cell r="D27">
            <v>12775</v>
          </cell>
          <cell r="E27">
            <v>13140</v>
          </cell>
          <cell r="F27">
            <v>0.97222222222222221</v>
          </cell>
          <cell r="G27">
            <v>0.97222222222222221</v>
          </cell>
          <cell r="H27">
            <v>0.05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35.460273972602742</v>
          </cell>
          <cell r="X27">
            <v>36</v>
          </cell>
          <cell r="Y27">
            <v>12943</v>
          </cell>
          <cell r="Z27">
            <v>13140</v>
          </cell>
          <cell r="AA27">
            <v>0.985007610350076</v>
          </cell>
          <cell r="AB27">
            <v>0.985007610350076</v>
          </cell>
          <cell r="AC27">
            <v>0.05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R27">
            <v>35</v>
          </cell>
          <cell r="AS27">
            <v>36</v>
          </cell>
          <cell r="AT27">
            <v>12810</v>
          </cell>
          <cell r="AU27">
            <v>13176</v>
          </cell>
          <cell r="AV27">
            <v>0.97222222222222221</v>
          </cell>
          <cell r="AW27">
            <v>0.97222222222222221</v>
          </cell>
          <cell r="AX27">
            <v>3.0000000000000009E-2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H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E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2</v>
          </cell>
          <cell r="GZ27">
            <v>0</v>
          </cell>
          <cell r="HB27">
            <v>2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Q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F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U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P27">
            <v>0</v>
          </cell>
          <cell r="KQ27">
            <v>0</v>
          </cell>
          <cell r="KR27">
            <v>0</v>
          </cell>
          <cell r="KT27">
            <v>0</v>
          </cell>
          <cell r="KV27">
            <v>0</v>
          </cell>
          <cell r="KW27">
            <v>0</v>
          </cell>
          <cell r="KX27">
            <v>0</v>
          </cell>
          <cell r="KZ27">
            <v>0</v>
          </cell>
          <cell r="LA27">
            <v>0</v>
          </cell>
          <cell r="LB27">
            <v>0</v>
          </cell>
          <cell r="LD27">
            <v>0</v>
          </cell>
          <cell r="LF27">
            <v>0</v>
          </cell>
          <cell r="LG27">
            <v>0</v>
          </cell>
          <cell r="LH27">
            <v>0</v>
          </cell>
          <cell r="LJ27">
            <v>0</v>
          </cell>
          <cell r="LK27">
            <v>0</v>
          </cell>
          <cell r="LL27">
            <v>0</v>
          </cell>
          <cell r="LN27">
            <v>0</v>
          </cell>
          <cell r="LP27">
            <v>0</v>
          </cell>
          <cell r="LQ27">
            <v>0</v>
          </cell>
          <cell r="LR27">
            <v>0</v>
          </cell>
          <cell r="LT27" t="str">
            <v>324-21</v>
          </cell>
        </row>
        <row r="28">
          <cell r="B28">
            <v>117.5</v>
          </cell>
          <cell r="C28">
            <v>123</v>
          </cell>
          <cell r="D28">
            <v>42887.5</v>
          </cell>
          <cell r="E28">
            <v>44895</v>
          </cell>
          <cell r="F28">
            <v>0.95528455284552838</v>
          </cell>
          <cell r="G28">
            <v>0.95528455284552838</v>
          </cell>
          <cell r="H28">
            <v>0.05</v>
          </cell>
          <cell r="I28">
            <v>1.1073828996987918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110.17534246575345</v>
          </cell>
          <cell r="X28">
            <v>123</v>
          </cell>
          <cell r="Y28">
            <v>40214</v>
          </cell>
          <cell r="Z28">
            <v>44895</v>
          </cell>
          <cell r="AA28">
            <v>0.89573449159149121</v>
          </cell>
          <cell r="AB28">
            <v>0.89573449159149121</v>
          </cell>
          <cell r="AC28">
            <v>0.05</v>
          </cell>
          <cell r="AD28">
            <v>1.1245255111498751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R28">
            <v>114.5</v>
          </cell>
          <cell r="AS28">
            <v>123</v>
          </cell>
          <cell r="AT28">
            <v>41907</v>
          </cell>
          <cell r="AU28">
            <v>45018</v>
          </cell>
          <cell r="AV28">
            <v>0.93089430894308944</v>
          </cell>
          <cell r="AW28">
            <v>0.93089430894308944</v>
          </cell>
          <cell r="AX28">
            <v>4.2499999999999989E-2</v>
          </cell>
          <cell r="AY28">
            <v>1.1640152856315209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13.999999999999998</v>
          </cell>
          <cell r="DH28">
            <v>14.999999999999998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1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13.999999999999998</v>
          </cell>
          <cell r="FE28">
            <v>14.999999999999998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9</v>
          </cell>
          <cell r="HB28">
            <v>9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Q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F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U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P28">
            <v>0</v>
          </cell>
          <cell r="KQ28">
            <v>0</v>
          </cell>
          <cell r="KR28">
            <v>0</v>
          </cell>
          <cell r="KT28">
            <v>0</v>
          </cell>
          <cell r="KV28">
            <v>0</v>
          </cell>
          <cell r="KW28">
            <v>0</v>
          </cell>
          <cell r="KX28">
            <v>0</v>
          </cell>
          <cell r="KZ28">
            <v>0</v>
          </cell>
          <cell r="LA28">
            <v>0</v>
          </cell>
          <cell r="LB28">
            <v>0</v>
          </cell>
          <cell r="LD28">
            <v>0</v>
          </cell>
          <cell r="LF28">
            <v>0</v>
          </cell>
          <cell r="LG28">
            <v>0</v>
          </cell>
          <cell r="LH28">
            <v>0</v>
          </cell>
          <cell r="LJ28">
            <v>0</v>
          </cell>
          <cell r="LK28">
            <v>0</v>
          </cell>
          <cell r="LL28">
            <v>0</v>
          </cell>
          <cell r="LN28">
            <v>0</v>
          </cell>
          <cell r="LP28">
            <v>0</v>
          </cell>
          <cell r="LQ28">
            <v>0</v>
          </cell>
          <cell r="LR28">
            <v>0</v>
          </cell>
          <cell r="LT28" t="str">
            <v>324-31</v>
          </cell>
        </row>
        <row r="29">
          <cell r="B29">
            <v>32.549999999999997</v>
          </cell>
          <cell r="C29">
            <v>35</v>
          </cell>
          <cell r="D29">
            <v>11880.749999999998</v>
          </cell>
          <cell r="E29">
            <v>12775</v>
          </cell>
          <cell r="F29">
            <v>0.92999999999999983</v>
          </cell>
          <cell r="G29">
            <v>0.92999999999999983</v>
          </cell>
          <cell r="H29">
            <v>0.05</v>
          </cell>
          <cell r="I29">
            <v>1.2325119953115329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34.128767123287673</v>
          </cell>
          <cell r="X29">
            <v>35</v>
          </cell>
          <cell r="Y29">
            <v>12457</v>
          </cell>
          <cell r="Z29">
            <v>12775</v>
          </cell>
          <cell r="AA29">
            <v>0.97510763209393359</v>
          </cell>
          <cell r="AB29">
            <v>0.97510763209393359</v>
          </cell>
          <cell r="AC29">
            <v>0.05</v>
          </cell>
          <cell r="AD29">
            <v>1.1138582463073952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R29">
            <v>33.75</v>
          </cell>
          <cell r="AS29">
            <v>35</v>
          </cell>
          <cell r="AT29">
            <v>12352.5</v>
          </cell>
          <cell r="AU29">
            <v>12810</v>
          </cell>
          <cell r="AV29">
            <v>0.96428571428571441</v>
          </cell>
          <cell r="AW29">
            <v>0.96428571428571441</v>
          </cell>
          <cell r="AX29">
            <v>4.2499999999999989E-2</v>
          </cell>
          <cell r="AY29">
            <v>1.0896822593076323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H29">
            <v>1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1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E29">
            <v>1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B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Q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F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U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P29">
            <v>0</v>
          </cell>
          <cell r="KQ29">
            <v>0</v>
          </cell>
          <cell r="KR29">
            <v>0</v>
          </cell>
          <cell r="KT29">
            <v>0</v>
          </cell>
          <cell r="KV29">
            <v>0</v>
          </cell>
          <cell r="KW29">
            <v>0</v>
          </cell>
          <cell r="KX29">
            <v>0</v>
          </cell>
          <cell r="KZ29">
            <v>0</v>
          </cell>
          <cell r="LA29">
            <v>0</v>
          </cell>
          <cell r="LB29">
            <v>0</v>
          </cell>
          <cell r="LD29">
            <v>0</v>
          </cell>
          <cell r="LF29">
            <v>0</v>
          </cell>
          <cell r="LG29">
            <v>0</v>
          </cell>
          <cell r="LH29">
            <v>0</v>
          </cell>
          <cell r="LJ29">
            <v>0</v>
          </cell>
          <cell r="LK29">
            <v>0</v>
          </cell>
          <cell r="LL29">
            <v>0</v>
          </cell>
          <cell r="LN29">
            <v>0</v>
          </cell>
          <cell r="LP29">
            <v>0</v>
          </cell>
          <cell r="LQ29">
            <v>0</v>
          </cell>
          <cell r="LR29">
            <v>0</v>
          </cell>
          <cell r="LT29" t="str">
            <v>324-51</v>
          </cell>
        </row>
        <row r="30">
          <cell r="B30">
            <v>70.5</v>
          </cell>
          <cell r="C30">
            <v>76</v>
          </cell>
          <cell r="D30">
            <v>25732.5</v>
          </cell>
          <cell r="E30">
            <v>27740</v>
          </cell>
          <cell r="F30">
            <v>0.92763157894736836</v>
          </cell>
          <cell r="G30">
            <v>0.92763157894736836</v>
          </cell>
          <cell r="H30">
            <v>0.05</v>
          </cell>
          <cell r="I30">
            <v>1.0141507438089989</v>
          </cell>
          <cell r="J30">
            <v>4.0000289999999987</v>
          </cell>
          <cell r="K30">
            <v>2.0000144999999994</v>
          </cell>
          <cell r="L30">
            <v>24.000032999999998</v>
          </cell>
          <cell r="M30">
            <v>0</v>
          </cell>
          <cell r="N30">
            <v>40.499994000000008</v>
          </cell>
          <cell r="O30">
            <v>0</v>
          </cell>
          <cell r="P30">
            <v>509.62999999999988</v>
          </cell>
          <cell r="Q30">
            <v>419.99999999999994</v>
          </cell>
          <cell r="R30">
            <v>249.99999999999997</v>
          </cell>
          <cell r="S30">
            <v>0</v>
          </cell>
          <cell r="T30">
            <v>403.00999999999988</v>
          </cell>
          <cell r="U30">
            <v>0</v>
          </cell>
          <cell r="W30">
            <v>72.616120976692571</v>
          </cell>
          <cell r="X30">
            <v>79.029966703662595</v>
          </cell>
          <cell r="Y30">
            <v>26499</v>
          </cell>
          <cell r="Z30">
            <v>28832</v>
          </cell>
          <cell r="AA30">
            <v>0.91908296337402884</v>
          </cell>
          <cell r="AB30">
            <v>0.95526315789473681</v>
          </cell>
          <cell r="AC30">
            <v>0.05</v>
          </cell>
          <cell r="AD30">
            <v>0.97068605813478259</v>
          </cell>
          <cell r="AE30">
            <v>1.6011347926267228</v>
          </cell>
          <cell r="AF30">
            <v>1.2214944956477152</v>
          </cell>
          <cell r="AG30">
            <v>31.360649641577059</v>
          </cell>
          <cell r="AH30">
            <v>0.10253456221198344</v>
          </cell>
          <cell r="AI30">
            <v>38.319946876600113</v>
          </cell>
          <cell r="AJ30">
            <v>0</v>
          </cell>
          <cell r="AK30">
            <v>495.98905323396053</v>
          </cell>
          <cell r="AL30">
            <v>439.1609110408948</v>
          </cell>
          <cell r="AM30">
            <v>271.48202622919439</v>
          </cell>
          <cell r="AN30">
            <v>159.81497574908488</v>
          </cell>
          <cell r="AO30">
            <v>411.0718947787031</v>
          </cell>
          <cell r="AP30">
            <v>0</v>
          </cell>
          <cell r="AR30">
            <v>71.093989071038251</v>
          </cell>
          <cell r="AS30">
            <v>76</v>
          </cell>
          <cell r="AT30">
            <v>26020.400000000001</v>
          </cell>
          <cell r="AU30">
            <v>27816</v>
          </cell>
          <cell r="AV30">
            <v>0.93544722461892438</v>
          </cell>
          <cell r="AW30">
            <v>0.93544722461892438</v>
          </cell>
          <cell r="AX30">
            <v>4.2499999999999989E-2</v>
          </cell>
          <cell r="AY30">
            <v>1.0238150995098096</v>
          </cell>
          <cell r="AZ30">
            <v>2.4773900000000002</v>
          </cell>
          <cell r="BA30">
            <v>1.98909</v>
          </cell>
          <cell r="BB30">
            <v>28.001384999999999</v>
          </cell>
          <cell r="BC30">
            <v>0</v>
          </cell>
          <cell r="BD30">
            <v>38.631575000000005</v>
          </cell>
          <cell r="BE30">
            <v>0</v>
          </cell>
          <cell r="BF30">
            <v>506.4199999999999</v>
          </cell>
          <cell r="BG30">
            <v>486.4899999999999</v>
          </cell>
          <cell r="BH30">
            <v>262.89999999999992</v>
          </cell>
          <cell r="BI30">
            <v>290.88891255451483</v>
          </cell>
          <cell r="BJ30">
            <v>420.0499999999999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H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E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B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Q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F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U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P30">
            <v>0</v>
          </cell>
          <cell r="KQ30">
            <v>0</v>
          </cell>
          <cell r="KR30">
            <v>0</v>
          </cell>
          <cell r="KT30">
            <v>0</v>
          </cell>
          <cell r="KV30">
            <v>0</v>
          </cell>
          <cell r="KW30">
            <v>0</v>
          </cell>
          <cell r="KX30">
            <v>0</v>
          </cell>
          <cell r="KZ30">
            <v>0</v>
          </cell>
          <cell r="LA30">
            <v>0</v>
          </cell>
          <cell r="LB30">
            <v>0</v>
          </cell>
          <cell r="LD30">
            <v>0</v>
          </cell>
          <cell r="LF30">
            <v>0</v>
          </cell>
          <cell r="LG30">
            <v>0</v>
          </cell>
          <cell r="LH30">
            <v>0</v>
          </cell>
          <cell r="LJ30">
            <v>0</v>
          </cell>
          <cell r="LK30">
            <v>0</v>
          </cell>
          <cell r="LL30">
            <v>0</v>
          </cell>
          <cell r="LN30">
            <v>0</v>
          </cell>
          <cell r="LP30">
            <v>0</v>
          </cell>
          <cell r="LQ30">
            <v>0</v>
          </cell>
          <cell r="LR30">
            <v>0</v>
          </cell>
          <cell r="LT30" t="str">
            <v>324-61</v>
          </cell>
        </row>
        <row r="31">
          <cell r="B31">
            <v>255.55</v>
          </cell>
          <cell r="C31">
            <v>270</v>
          </cell>
          <cell r="D31">
            <v>93275.75</v>
          </cell>
          <cell r="E31">
            <v>98550</v>
          </cell>
          <cell r="F31">
            <v>0.94648148148148159</v>
          </cell>
          <cell r="G31">
            <v>0.94648148148148159</v>
          </cell>
          <cell r="H31">
            <v>0.05</v>
          </cell>
          <cell r="I31">
            <v>1.0074429367544899</v>
          </cell>
          <cell r="J31">
            <v>4.0000289999999987</v>
          </cell>
          <cell r="K31">
            <v>2.0000144999999994</v>
          </cell>
          <cell r="L31">
            <v>24.000032999999998</v>
          </cell>
          <cell r="M31">
            <v>0</v>
          </cell>
          <cell r="N31">
            <v>40.499994000000008</v>
          </cell>
          <cell r="O31">
            <v>0</v>
          </cell>
          <cell r="P31">
            <v>509.62999999999988</v>
          </cell>
          <cell r="Q31">
            <v>419.99999999999994</v>
          </cell>
          <cell r="R31">
            <v>249.99999999999997</v>
          </cell>
          <cell r="S31">
            <v>0</v>
          </cell>
          <cell r="T31">
            <v>403.00999999999988</v>
          </cell>
          <cell r="U31">
            <v>0</v>
          </cell>
          <cell r="W31">
            <v>252.36018947833244</v>
          </cell>
          <cell r="X31">
            <v>273.00283013187209</v>
          </cell>
          <cell r="Y31">
            <v>92113</v>
          </cell>
          <cell r="Z31">
            <v>99642</v>
          </cell>
          <cell r="AA31">
            <v>0.92443949338632303</v>
          </cell>
          <cell r="AB31">
            <v>0.93468290208016236</v>
          </cell>
          <cell r="AC31">
            <v>0.05</v>
          </cell>
          <cell r="AD31">
            <v>0.98181284402196822</v>
          </cell>
          <cell r="AE31">
            <v>1.6011347926267228</v>
          </cell>
          <cell r="AF31">
            <v>1.2214944956477152</v>
          </cell>
          <cell r="AG31">
            <v>31.360649641577059</v>
          </cell>
          <cell r="AH31">
            <v>0.10253456221198344</v>
          </cell>
          <cell r="AI31">
            <v>38.319946876600113</v>
          </cell>
          <cell r="AJ31">
            <v>0</v>
          </cell>
          <cell r="AK31">
            <v>495.98905323396053</v>
          </cell>
          <cell r="AL31">
            <v>439.1609110408948</v>
          </cell>
          <cell r="AM31">
            <v>271.48202622919439</v>
          </cell>
          <cell r="AN31">
            <v>159.81497574908488</v>
          </cell>
          <cell r="AO31">
            <v>411.0718947787031</v>
          </cell>
          <cell r="AP31">
            <v>0</v>
          </cell>
          <cell r="AR31">
            <v>254.34398907103824</v>
          </cell>
          <cell r="AS31">
            <v>270</v>
          </cell>
          <cell r="AT31">
            <v>93089.9</v>
          </cell>
          <cell r="AU31">
            <v>98820</v>
          </cell>
          <cell r="AV31">
            <v>0.94201477433717862</v>
          </cell>
          <cell r="AW31">
            <v>0.94201477433717862</v>
          </cell>
          <cell r="AX31">
            <v>3.9375E-2</v>
          </cell>
          <cell r="AY31">
            <v>1.0108762773856017</v>
          </cell>
          <cell r="AZ31">
            <v>2.4773900000000002</v>
          </cell>
          <cell r="BA31">
            <v>1.98909</v>
          </cell>
          <cell r="BB31">
            <v>28.001384999999999</v>
          </cell>
          <cell r="BC31">
            <v>0</v>
          </cell>
          <cell r="BD31">
            <v>38.631575000000005</v>
          </cell>
          <cell r="BE31">
            <v>0</v>
          </cell>
          <cell r="BF31">
            <v>506.4199999999999</v>
          </cell>
          <cell r="BG31">
            <v>486.4899999999999</v>
          </cell>
          <cell r="BH31">
            <v>262.89999999999992</v>
          </cell>
          <cell r="BI31">
            <v>290.88891255451483</v>
          </cell>
          <cell r="BJ31">
            <v>420.0499999999999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1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13.999999999999998</v>
          </cell>
          <cell r="DH31">
            <v>15.999999999999998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1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1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13.999999999999998</v>
          </cell>
          <cell r="FE31">
            <v>15.999999999999998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2</v>
          </cell>
          <cell r="GZ31">
            <v>9</v>
          </cell>
          <cell r="HB31">
            <v>11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Q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F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U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P31">
            <v>0</v>
          </cell>
          <cell r="KQ31">
            <v>0</v>
          </cell>
          <cell r="KR31">
            <v>0</v>
          </cell>
          <cell r="KT31">
            <v>0</v>
          </cell>
          <cell r="KV31">
            <v>0</v>
          </cell>
          <cell r="KW31">
            <v>0</v>
          </cell>
          <cell r="KX31">
            <v>0</v>
          </cell>
          <cell r="KZ31">
            <v>0</v>
          </cell>
          <cell r="LA31">
            <v>0</v>
          </cell>
          <cell r="LB31">
            <v>0</v>
          </cell>
          <cell r="LD31">
            <v>0</v>
          </cell>
          <cell r="LF31">
            <v>0</v>
          </cell>
          <cell r="LG31">
            <v>0</v>
          </cell>
          <cell r="LH31">
            <v>0</v>
          </cell>
          <cell r="LJ31">
            <v>0</v>
          </cell>
          <cell r="LK31">
            <v>0</v>
          </cell>
          <cell r="LL31">
            <v>0</v>
          </cell>
          <cell r="LN31">
            <v>0</v>
          </cell>
          <cell r="LP31">
            <v>0</v>
          </cell>
          <cell r="LQ31">
            <v>0</v>
          </cell>
          <cell r="LR31">
            <v>0</v>
          </cell>
          <cell r="LT31" t="str">
            <v>324-Entity</v>
          </cell>
        </row>
        <row r="32">
          <cell r="B32">
            <v>35.520000000000003</v>
          </cell>
          <cell r="C32">
            <v>37</v>
          </cell>
          <cell r="D32">
            <v>12964.800000000005</v>
          </cell>
          <cell r="E32">
            <v>13505</v>
          </cell>
          <cell r="F32">
            <v>0.96000000000000019</v>
          </cell>
          <cell r="G32">
            <v>0.96000000000000019</v>
          </cell>
          <cell r="H32">
            <v>7.9999999999999988E-2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35.62191780821918</v>
          </cell>
          <cell r="X32">
            <v>37</v>
          </cell>
          <cell r="Y32">
            <v>13002</v>
          </cell>
          <cell r="Z32">
            <v>13505</v>
          </cell>
          <cell r="AA32">
            <v>0.96275453535727518</v>
          </cell>
          <cell r="AB32">
            <v>0.96275453535727518</v>
          </cell>
          <cell r="AC32">
            <v>7.9999999999999988E-2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37</v>
          </cell>
          <cell r="AT32">
            <v>0</v>
          </cell>
          <cell r="AU32">
            <v>13542</v>
          </cell>
          <cell r="AV32">
            <v>0</v>
          </cell>
          <cell r="AW32">
            <v>0</v>
          </cell>
          <cell r="AX32">
            <v>3.0000000000000009E-2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19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H32">
            <v>19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19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E32">
            <v>19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19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B32">
            <v>19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Q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F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U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P32">
            <v>10.999999999999998</v>
          </cell>
          <cell r="KQ32">
            <v>39.000000000000007</v>
          </cell>
          <cell r="KR32">
            <v>6</v>
          </cell>
          <cell r="KT32">
            <v>19</v>
          </cell>
          <cell r="KV32">
            <v>10.999999999999998</v>
          </cell>
          <cell r="KW32">
            <v>20.000000000000007</v>
          </cell>
          <cell r="KX32">
            <v>6</v>
          </cell>
          <cell r="KZ32">
            <v>10.999999999999998</v>
          </cell>
          <cell r="LA32">
            <v>39.000000000000007</v>
          </cell>
          <cell r="LB32">
            <v>6</v>
          </cell>
          <cell r="LD32">
            <v>19</v>
          </cell>
          <cell r="LF32">
            <v>10.999999999999998</v>
          </cell>
          <cell r="LG32">
            <v>20.000000000000007</v>
          </cell>
          <cell r="LH32">
            <v>6</v>
          </cell>
          <cell r="LJ32">
            <v>11</v>
          </cell>
          <cell r="LK32">
            <v>39.000000000000007</v>
          </cell>
          <cell r="LL32">
            <v>6</v>
          </cell>
          <cell r="LN32">
            <v>19</v>
          </cell>
          <cell r="LP32">
            <v>11</v>
          </cell>
          <cell r="LQ32">
            <v>20.000000000000007</v>
          </cell>
          <cell r="LR32">
            <v>6</v>
          </cell>
          <cell r="LT32" t="str">
            <v>650-21</v>
          </cell>
        </row>
        <row r="33">
          <cell r="B33">
            <v>34.560000000000009</v>
          </cell>
          <cell r="C33">
            <v>36</v>
          </cell>
          <cell r="D33">
            <v>12614.4</v>
          </cell>
          <cell r="E33">
            <v>13140</v>
          </cell>
          <cell r="F33">
            <v>0.96</v>
          </cell>
          <cell r="G33">
            <v>0.96</v>
          </cell>
          <cell r="H33">
            <v>7.9999999999999988E-2</v>
          </cell>
          <cell r="I33">
            <v>3.538471467610699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34.68767123287671</v>
          </cell>
          <cell r="X33">
            <v>36</v>
          </cell>
          <cell r="Y33">
            <v>12661</v>
          </cell>
          <cell r="Z33">
            <v>13140</v>
          </cell>
          <cell r="AA33">
            <v>0.96354642313546424</v>
          </cell>
          <cell r="AB33">
            <v>0.96354642313546424</v>
          </cell>
          <cell r="AC33">
            <v>7.9999999999999988E-2</v>
          </cell>
          <cell r="AD33">
            <v>3.4904078678904207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36</v>
          </cell>
          <cell r="AT33">
            <v>0</v>
          </cell>
          <cell r="AU33">
            <v>13176</v>
          </cell>
          <cell r="AV33">
            <v>0</v>
          </cell>
          <cell r="AW33">
            <v>0</v>
          </cell>
          <cell r="AX33">
            <v>3.0000000000000009E-2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H33">
            <v>8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8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E33">
            <v>8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6.9999999999999991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B33">
            <v>6.9999999999999991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Q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F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U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P33">
            <v>0</v>
          </cell>
          <cell r="KQ33">
            <v>0</v>
          </cell>
          <cell r="KR33">
            <v>0</v>
          </cell>
          <cell r="KT33">
            <v>0</v>
          </cell>
          <cell r="KV33">
            <v>0</v>
          </cell>
          <cell r="KW33">
            <v>0</v>
          </cell>
          <cell r="KX33">
            <v>0</v>
          </cell>
          <cell r="KZ33">
            <v>0</v>
          </cell>
          <cell r="LA33">
            <v>0</v>
          </cell>
          <cell r="LB33">
            <v>0</v>
          </cell>
          <cell r="LD33">
            <v>0</v>
          </cell>
          <cell r="LF33">
            <v>0</v>
          </cell>
          <cell r="LG33">
            <v>0</v>
          </cell>
          <cell r="LH33">
            <v>0</v>
          </cell>
          <cell r="LJ33">
            <v>0</v>
          </cell>
          <cell r="LK33">
            <v>0</v>
          </cell>
          <cell r="LL33">
            <v>0</v>
          </cell>
          <cell r="LN33">
            <v>0</v>
          </cell>
          <cell r="LP33">
            <v>0</v>
          </cell>
          <cell r="LQ33">
            <v>0</v>
          </cell>
          <cell r="LR33">
            <v>0</v>
          </cell>
          <cell r="LT33" t="str">
            <v>650-31</v>
          </cell>
        </row>
        <row r="34">
          <cell r="B34">
            <v>64.240000000000009</v>
          </cell>
          <cell r="C34">
            <v>73</v>
          </cell>
          <cell r="D34">
            <v>23447.599999999999</v>
          </cell>
          <cell r="E34">
            <v>26645</v>
          </cell>
          <cell r="F34">
            <v>0.87999999999999989</v>
          </cell>
          <cell r="G34">
            <v>0.87999999999999989</v>
          </cell>
          <cell r="H34">
            <v>7.9999999999999988E-2</v>
          </cell>
          <cell r="I34">
            <v>1.4567744529699995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51.665753424657531</v>
          </cell>
          <cell r="X34">
            <v>73</v>
          </cell>
          <cell r="Y34">
            <v>18858</v>
          </cell>
          <cell r="Z34">
            <v>26645</v>
          </cell>
          <cell r="AA34">
            <v>0.70775004691311694</v>
          </cell>
          <cell r="AB34">
            <v>0.70775004691311694</v>
          </cell>
          <cell r="AC34">
            <v>7.9999999999999988E-2</v>
          </cell>
          <cell r="AD34">
            <v>1.4978192167830358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73</v>
          </cell>
          <cell r="AT34">
            <v>0</v>
          </cell>
          <cell r="AU34">
            <v>26718</v>
          </cell>
          <cell r="AV34">
            <v>0</v>
          </cell>
          <cell r="AW34">
            <v>0</v>
          </cell>
          <cell r="AX34">
            <v>3.0000000000000009E-2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1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H34">
            <v>1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1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E34">
            <v>1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1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B34">
            <v>1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Q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F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U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P34">
            <v>0</v>
          </cell>
          <cell r="KQ34">
            <v>0</v>
          </cell>
          <cell r="KR34">
            <v>0</v>
          </cell>
          <cell r="KT34">
            <v>0</v>
          </cell>
          <cell r="KV34">
            <v>0</v>
          </cell>
          <cell r="KW34">
            <v>0</v>
          </cell>
          <cell r="KX34">
            <v>0</v>
          </cell>
          <cell r="KZ34">
            <v>0</v>
          </cell>
          <cell r="LA34">
            <v>0</v>
          </cell>
          <cell r="LB34">
            <v>0</v>
          </cell>
          <cell r="LD34">
            <v>0</v>
          </cell>
          <cell r="LF34">
            <v>0</v>
          </cell>
          <cell r="LG34">
            <v>0</v>
          </cell>
          <cell r="LH34">
            <v>0</v>
          </cell>
          <cell r="LJ34">
            <v>0</v>
          </cell>
          <cell r="LK34">
            <v>0</v>
          </cell>
          <cell r="LL34">
            <v>0</v>
          </cell>
          <cell r="LN34">
            <v>0</v>
          </cell>
          <cell r="LP34">
            <v>0</v>
          </cell>
          <cell r="LQ34">
            <v>0</v>
          </cell>
          <cell r="LR34">
            <v>0</v>
          </cell>
          <cell r="LT34" t="str">
            <v>650-51</v>
          </cell>
        </row>
        <row r="35">
          <cell r="B35">
            <v>36.780821917808218</v>
          </cell>
          <cell r="C35">
            <v>44</v>
          </cell>
          <cell r="D35">
            <v>13425</v>
          </cell>
          <cell r="E35">
            <v>16060</v>
          </cell>
          <cell r="F35">
            <v>0.83592777085927772</v>
          </cell>
          <cell r="G35">
            <v>0.83592777085927772</v>
          </cell>
          <cell r="H35">
            <v>7.9999999999999988E-2</v>
          </cell>
          <cell r="I35">
            <v>0.5765973113922882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21.336986301369866</v>
          </cell>
          <cell r="X35">
            <v>44</v>
          </cell>
          <cell r="Y35">
            <v>7788</v>
          </cell>
          <cell r="Z35">
            <v>16060</v>
          </cell>
          <cell r="AA35">
            <v>0.48493150684931507</v>
          </cell>
          <cell r="AB35">
            <v>0.48493150684931507</v>
          </cell>
          <cell r="AC35">
            <v>7.9999999999999988E-2</v>
          </cell>
          <cell r="AD35">
            <v>0.89419885556949397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44</v>
          </cell>
          <cell r="AT35">
            <v>0</v>
          </cell>
          <cell r="AU35">
            <v>16104</v>
          </cell>
          <cell r="AV35">
            <v>0</v>
          </cell>
          <cell r="AW35">
            <v>0</v>
          </cell>
          <cell r="AX35">
            <v>3.0000000000000009E-2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H35">
            <v>1</v>
          </cell>
          <cell r="DJ35">
            <v>0</v>
          </cell>
          <cell r="DK35">
            <v>1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E35">
            <v>1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B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Q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F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U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P35">
            <v>0</v>
          </cell>
          <cell r="KQ35">
            <v>0</v>
          </cell>
          <cell r="KR35">
            <v>0</v>
          </cell>
          <cell r="KT35">
            <v>0</v>
          </cell>
          <cell r="KV35">
            <v>0</v>
          </cell>
          <cell r="KW35">
            <v>0</v>
          </cell>
          <cell r="KX35">
            <v>0</v>
          </cell>
          <cell r="KZ35">
            <v>0</v>
          </cell>
          <cell r="LA35">
            <v>0</v>
          </cell>
          <cell r="LB35">
            <v>0</v>
          </cell>
          <cell r="LD35">
            <v>0</v>
          </cell>
          <cell r="LF35">
            <v>0</v>
          </cell>
          <cell r="LG35">
            <v>0</v>
          </cell>
          <cell r="LH35">
            <v>0</v>
          </cell>
          <cell r="LJ35">
            <v>0</v>
          </cell>
          <cell r="LK35">
            <v>0</v>
          </cell>
          <cell r="LL35">
            <v>0</v>
          </cell>
          <cell r="LN35">
            <v>0</v>
          </cell>
          <cell r="LP35">
            <v>0</v>
          </cell>
          <cell r="LQ35">
            <v>0</v>
          </cell>
          <cell r="LR35">
            <v>0</v>
          </cell>
          <cell r="LT35" t="str">
            <v>650-52</v>
          </cell>
        </row>
        <row r="36">
          <cell r="B36">
            <v>87.300000000000011</v>
          </cell>
          <cell r="C36">
            <v>97</v>
          </cell>
          <cell r="D36">
            <v>31864.499999999996</v>
          </cell>
          <cell r="E36">
            <v>35405</v>
          </cell>
          <cell r="F36">
            <v>0.89999999999999991</v>
          </cell>
          <cell r="G36">
            <v>0.89999999999999991</v>
          </cell>
          <cell r="H36">
            <v>7.9999999999999988E-2</v>
          </cell>
          <cell r="I36">
            <v>1.616439831896753</v>
          </cell>
          <cell r="J36">
            <v>9.0000189000000006</v>
          </cell>
          <cell r="K36">
            <v>10.0000404</v>
          </cell>
          <cell r="L36">
            <v>61.000002000000002</v>
          </cell>
          <cell r="M36">
            <v>0</v>
          </cell>
          <cell r="N36">
            <v>5.2999829999999992</v>
          </cell>
          <cell r="O36">
            <v>1.9991699999999997</v>
          </cell>
          <cell r="P36">
            <v>482.57</v>
          </cell>
          <cell r="Q36">
            <v>334.43000000000012</v>
          </cell>
          <cell r="R36">
            <v>219.58000000000004</v>
          </cell>
          <cell r="S36">
            <v>330</v>
          </cell>
          <cell r="T36">
            <v>312.53000000000003</v>
          </cell>
          <cell r="U36">
            <v>220.55000000000007</v>
          </cell>
          <cell r="W36">
            <v>71.991780821917814</v>
          </cell>
          <cell r="X36">
            <v>97</v>
          </cell>
          <cell r="Y36">
            <v>26277</v>
          </cell>
          <cell r="Z36">
            <v>35405</v>
          </cell>
          <cell r="AA36">
            <v>0.74218330744245165</v>
          </cell>
          <cell r="AB36">
            <v>0.74218330744245165</v>
          </cell>
          <cell r="AC36">
            <v>7.9999999999999988E-2</v>
          </cell>
          <cell r="AD36">
            <v>1.9049553928142151</v>
          </cell>
          <cell r="AE36">
            <v>2.46269858769841</v>
          </cell>
          <cell r="AF36">
            <v>3.8548962216973854</v>
          </cell>
          <cell r="AG36">
            <v>47.252952567101886</v>
          </cell>
          <cell r="AH36">
            <v>0.21577060931900252</v>
          </cell>
          <cell r="AI36">
            <v>10.243036054326671</v>
          </cell>
          <cell r="AJ36">
            <v>7.9528149936379862</v>
          </cell>
          <cell r="AK36">
            <v>499.9981286122877</v>
          </cell>
          <cell r="AL36">
            <v>384.77874524103902</v>
          </cell>
          <cell r="AM36">
            <v>235.62407848383756</v>
          </cell>
          <cell r="AN36">
            <v>247.95660129330639</v>
          </cell>
          <cell r="AO36">
            <v>306.74479029313073</v>
          </cell>
          <cell r="AP36">
            <v>235.43099679226981</v>
          </cell>
          <cell r="AR36">
            <v>0</v>
          </cell>
          <cell r="AS36">
            <v>97</v>
          </cell>
          <cell r="AT36">
            <v>0</v>
          </cell>
          <cell r="AU36">
            <v>35502</v>
          </cell>
          <cell r="AV36">
            <v>0</v>
          </cell>
          <cell r="AW36">
            <v>0</v>
          </cell>
          <cell r="AX36">
            <v>3.0000000000000009E-2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H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E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B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Q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F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U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P36">
            <v>0</v>
          </cell>
          <cell r="KQ36">
            <v>0</v>
          </cell>
          <cell r="KR36">
            <v>0</v>
          </cell>
          <cell r="KT36">
            <v>0</v>
          </cell>
          <cell r="KV36">
            <v>0</v>
          </cell>
          <cell r="KW36">
            <v>0</v>
          </cell>
          <cell r="KX36">
            <v>0</v>
          </cell>
          <cell r="KZ36">
            <v>0</v>
          </cell>
          <cell r="LA36">
            <v>0</v>
          </cell>
          <cell r="LB36">
            <v>0</v>
          </cell>
          <cell r="LD36">
            <v>0</v>
          </cell>
          <cell r="LF36">
            <v>0</v>
          </cell>
          <cell r="LG36">
            <v>0</v>
          </cell>
          <cell r="LH36">
            <v>0</v>
          </cell>
          <cell r="LJ36">
            <v>0</v>
          </cell>
          <cell r="LK36">
            <v>0</v>
          </cell>
          <cell r="LL36">
            <v>0</v>
          </cell>
          <cell r="LN36">
            <v>0</v>
          </cell>
          <cell r="LP36">
            <v>0</v>
          </cell>
          <cell r="LQ36">
            <v>0</v>
          </cell>
          <cell r="LR36">
            <v>0</v>
          </cell>
          <cell r="LT36" t="str">
            <v>650-61</v>
          </cell>
        </row>
        <row r="37">
          <cell r="B37">
            <v>17.600000000000001</v>
          </cell>
          <cell r="C37">
            <v>22</v>
          </cell>
          <cell r="D37">
            <v>6424.0000000000009</v>
          </cell>
          <cell r="E37">
            <v>8030</v>
          </cell>
          <cell r="F37">
            <v>0.80000000000000016</v>
          </cell>
          <cell r="G37">
            <v>0.80000000000000016</v>
          </cell>
          <cell r="H37">
            <v>7.9999999999999988E-2</v>
          </cell>
          <cell r="I37">
            <v>0.27427025218287843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17.599999999999998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367.2</v>
          </cell>
          <cell r="U37">
            <v>0</v>
          </cell>
          <cell r="W37">
            <v>11.158904109589042</v>
          </cell>
          <cell r="X37">
            <v>22</v>
          </cell>
          <cell r="Y37">
            <v>4073</v>
          </cell>
          <cell r="Z37">
            <v>8030</v>
          </cell>
          <cell r="AA37">
            <v>0.50722291407222919</v>
          </cell>
          <cell r="AB37">
            <v>0.50722291407222919</v>
          </cell>
          <cell r="AC37">
            <v>7.9999999999999988E-2</v>
          </cell>
          <cell r="AD37">
            <v>0.10993981259843806</v>
          </cell>
          <cell r="AE37">
            <v>1.4626216077828973</v>
          </cell>
          <cell r="AF37">
            <v>0.6043650793650801</v>
          </cell>
          <cell r="AG37">
            <v>0</v>
          </cell>
          <cell r="AH37">
            <v>9.7318228366615855E-2</v>
          </cell>
          <cell r="AI37">
            <v>8.9871799795186895</v>
          </cell>
          <cell r="AJ37">
            <v>0</v>
          </cell>
          <cell r="AK37">
            <v>434.67537096078189</v>
          </cell>
          <cell r="AL37">
            <v>423.05538895873468</v>
          </cell>
          <cell r="AM37">
            <v>0</v>
          </cell>
          <cell r="AN37">
            <v>101.66288715158883</v>
          </cell>
          <cell r="AO37">
            <v>355.33052678666689</v>
          </cell>
          <cell r="AP37">
            <v>0</v>
          </cell>
          <cell r="AR37">
            <v>0</v>
          </cell>
          <cell r="AS37">
            <v>22</v>
          </cell>
          <cell r="AT37">
            <v>0</v>
          </cell>
          <cell r="AU37">
            <v>8052</v>
          </cell>
          <cell r="AV37">
            <v>0</v>
          </cell>
          <cell r="AW37">
            <v>0</v>
          </cell>
          <cell r="AX37">
            <v>3.0000000000000009E-2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H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E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B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Q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F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U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P37">
            <v>0</v>
          </cell>
          <cell r="KQ37">
            <v>0</v>
          </cell>
          <cell r="KR37">
            <v>0</v>
          </cell>
          <cell r="KT37">
            <v>0</v>
          </cell>
          <cell r="KV37">
            <v>0</v>
          </cell>
          <cell r="KW37">
            <v>0</v>
          </cell>
          <cell r="KX37">
            <v>0</v>
          </cell>
          <cell r="KZ37">
            <v>0</v>
          </cell>
          <cell r="LA37">
            <v>0</v>
          </cell>
          <cell r="LB37">
            <v>0</v>
          </cell>
          <cell r="LD37">
            <v>0</v>
          </cell>
          <cell r="LF37">
            <v>0</v>
          </cell>
          <cell r="LG37">
            <v>0</v>
          </cell>
          <cell r="LH37">
            <v>0</v>
          </cell>
          <cell r="LJ37">
            <v>0</v>
          </cell>
          <cell r="LK37">
            <v>0</v>
          </cell>
          <cell r="LL37">
            <v>0</v>
          </cell>
          <cell r="LN37">
            <v>0</v>
          </cell>
          <cell r="LP37">
            <v>0</v>
          </cell>
          <cell r="LQ37">
            <v>0</v>
          </cell>
          <cell r="LR37">
            <v>0</v>
          </cell>
          <cell r="LT37" t="str">
            <v>650-62</v>
          </cell>
        </row>
        <row r="38">
          <cell r="B38">
            <v>276.0008219178082</v>
          </cell>
          <cell r="C38">
            <v>309</v>
          </cell>
          <cell r="D38">
            <v>100740.30000000002</v>
          </cell>
          <cell r="E38">
            <v>112785</v>
          </cell>
          <cell r="F38">
            <v>0.89320654342332773</v>
          </cell>
          <cell r="G38">
            <v>0.89320654342332773</v>
          </cell>
          <cell r="H38">
            <v>7.9999999999999988E-2</v>
          </cell>
          <cell r="I38">
            <v>1.3106923585869272</v>
          </cell>
          <cell r="J38">
            <v>9.0000189000000006</v>
          </cell>
          <cell r="K38">
            <v>10.0000404</v>
          </cell>
          <cell r="L38">
            <v>61.000002000000002</v>
          </cell>
          <cell r="M38">
            <v>0</v>
          </cell>
          <cell r="N38">
            <v>22.899982999999995</v>
          </cell>
          <cell r="O38">
            <v>1.9991699999999997</v>
          </cell>
          <cell r="P38">
            <v>482.56999999999994</v>
          </cell>
          <cell r="Q38">
            <v>334.42999999999995</v>
          </cell>
          <cell r="R38">
            <v>219.58</v>
          </cell>
          <cell r="S38">
            <v>329.99999999999994</v>
          </cell>
          <cell r="T38">
            <v>679.73</v>
          </cell>
          <cell r="U38">
            <v>220.55</v>
          </cell>
          <cell r="W38">
            <v>226.46301369863016</v>
          </cell>
          <cell r="X38">
            <v>309</v>
          </cell>
          <cell r="Y38">
            <v>82659</v>
          </cell>
          <cell r="Z38">
            <v>112785</v>
          </cell>
          <cell r="AA38">
            <v>0.73289001196967685</v>
          </cell>
          <cell r="AB38">
            <v>0.73289001196967685</v>
          </cell>
          <cell r="AC38">
            <v>7.9999999999999988E-2</v>
          </cell>
          <cell r="AD38">
            <v>1.5919856185581731</v>
          </cell>
          <cell r="AE38">
            <v>3.9253201954813082</v>
          </cell>
          <cell r="AF38">
            <v>4.4592613010624644</v>
          </cell>
          <cell r="AG38">
            <v>47.252952567101886</v>
          </cell>
          <cell r="AH38">
            <v>0.3130888376856184</v>
          </cell>
          <cell r="AI38">
            <v>19.230216033845359</v>
          </cell>
          <cell r="AJ38">
            <v>7.9528149936379862</v>
          </cell>
          <cell r="AK38">
            <v>933.29193736841637</v>
          </cell>
          <cell r="AL38">
            <v>803.79437316172164</v>
          </cell>
          <cell r="AM38">
            <v>235.75002202589721</v>
          </cell>
          <cell r="AN38">
            <v>352.61122841021506</v>
          </cell>
          <cell r="AO38">
            <v>661.9979991579479</v>
          </cell>
          <cell r="AP38">
            <v>235.52676931577616</v>
          </cell>
          <cell r="AR38">
            <v>0</v>
          </cell>
          <cell r="AS38">
            <v>309</v>
          </cell>
          <cell r="AT38">
            <v>0</v>
          </cell>
          <cell r="AU38">
            <v>113094</v>
          </cell>
          <cell r="AV38">
            <v>0</v>
          </cell>
          <cell r="AW38">
            <v>0</v>
          </cell>
          <cell r="AX38">
            <v>3.0000000000000009E-2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M38">
            <v>0</v>
          </cell>
          <cell r="BN38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</v>
          </cell>
          <cell r="BU38">
            <v>19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8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H38">
            <v>29</v>
          </cell>
          <cell r="DJ38">
            <v>0</v>
          </cell>
          <cell r="DK38">
            <v>1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1</v>
          </cell>
          <cell r="DR38">
            <v>19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8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E38">
            <v>29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1</v>
          </cell>
          <cell r="FO38">
            <v>19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6.9999999999999991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B38">
            <v>27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Q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F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U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P38">
            <v>10.999999999999998</v>
          </cell>
          <cell r="KQ38">
            <v>39.000000000000007</v>
          </cell>
          <cell r="KR38">
            <v>6</v>
          </cell>
          <cell r="KT38">
            <v>19</v>
          </cell>
          <cell r="KV38">
            <v>10.999999999999998</v>
          </cell>
          <cell r="KW38">
            <v>20.000000000000007</v>
          </cell>
          <cell r="KX38">
            <v>6</v>
          </cell>
          <cell r="KZ38">
            <v>10.999999999999998</v>
          </cell>
          <cell r="LA38">
            <v>39.000000000000007</v>
          </cell>
          <cell r="LB38">
            <v>6</v>
          </cell>
          <cell r="LD38">
            <v>19</v>
          </cell>
          <cell r="LF38">
            <v>10.999999999999998</v>
          </cell>
          <cell r="LG38">
            <v>20.000000000000007</v>
          </cell>
          <cell r="LH38">
            <v>6</v>
          </cell>
          <cell r="LJ38">
            <v>11</v>
          </cell>
          <cell r="LK38">
            <v>39.000000000000007</v>
          </cell>
          <cell r="LL38">
            <v>6</v>
          </cell>
          <cell r="LN38">
            <v>19</v>
          </cell>
          <cell r="LP38">
            <v>11</v>
          </cell>
          <cell r="LQ38">
            <v>20.000000000000007</v>
          </cell>
          <cell r="LR38">
            <v>6</v>
          </cell>
          <cell r="LT38" t="str">
            <v>650-Entity</v>
          </cell>
        </row>
        <row r="39">
          <cell r="B39">
            <v>24.25</v>
          </cell>
          <cell r="C39">
            <v>25</v>
          </cell>
          <cell r="D39">
            <v>8851.25</v>
          </cell>
          <cell r="E39">
            <v>9125</v>
          </cell>
          <cell r="F39">
            <v>0.97</v>
          </cell>
          <cell r="G39">
            <v>0.97</v>
          </cell>
          <cell r="H39">
            <v>7.9999999999999988E-2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24.257534246575343</v>
          </cell>
          <cell r="X39">
            <v>25</v>
          </cell>
          <cell r="Y39">
            <v>8854</v>
          </cell>
          <cell r="Z39">
            <v>9125</v>
          </cell>
          <cell r="AA39">
            <v>0.97030136986301363</v>
          </cell>
          <cell r="AB39">
            <v>0.97030136986301363</v>
          </cell>
          <cell r="AC39">
            <v>7.9999999999999988E-2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25</v>
          </cell>
          <cell r="AT39">
            <v>0</v>
          </cell>
          <cell r="AU39">
            <v>9150</v>
          </cell>
          <cell r="AV39">
            <v>0</v>
          </cell>
          <cell r="AW39">
            <v>0</v>
          </cell>
          <cell r="AX39">
            <v>3.0000000000000009E-2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16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H39">
            <v>16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16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E39">
            <v>16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15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B39">
            <v>15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Q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F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U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P39">
            <v>0</v>
          </cell>
          <cell r="KQ39">
            <v>0</v>
          </cell>
          <cell r="KR39">
            <v>0</v>
          </cell>
          <cell r="KT39">
            <v>0</v>
          </cell>
          <cell r="KV39">
            <v>0</v>
          </cell>
          <cell r="KW39">
            <v>0</v>
          </cell>
          <cell r="KX39">
            <v>0</v>
          </cell>
          <cell r="KZ39">
            <v>0</v>
          </cell>
          <cell r="LA39">
            <v>0</v>
          </cell>
          <cell r="LB39">
            <v>0</v>
          </cell>
          <cell r="LD39">
            <v>0</v>
          </cell>
          <cell r="LF39">
            <v>0</v>
          </cell>
          <cell r="LG39">
            <v>0</v>
          </cell>
          <cell r="LH39">
            <v>0</v>
          </cell>
          <cell r="LJ39">
            <v>0</v>
          </cell>
          <cell r="LK39">
            <v>0</v>
          </cell>
          <cell r="LL39">
            <v>0</v>
          </cell>
          <cell r="LN39">
            <v>0</v>
          </cell>
          <cell r="LP39">
            <v>0</v>
          </cell>
          <cell r="LQ39">
            <v>0</v>
          </cell>
          <cell r="LR39">
            <v>0</v>
          </cell>
          <cell r="LT39" t="str">
            <v>660-21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7.9999999999999988E-2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7.9999999999999988E-2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3.0000000000000009E-2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H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E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B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Q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F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U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P40">
            <v>0</v>
          </cell>
          <cell r="KQ40">
            <v>0</v>
          </cell>
          <cell r="KR40">
            <v>0</v>
          </cell>
          <cell r="KT40">
            <v>0</v>
          </cell>
          <cell r="KV40">
            <v>0</v>
          </cell>
          <cell r="KW40">
            <v>0</v>
          </cell>
          <cell r="KX40">
            <v>0</v>
          </cell>
          <cell r="KZ40">
            <v>0</v>
          </cell>
          <cell r="LA40">
            <v>0</v>
          </cell>
          <cell r="LB40">
            <v>0</v>
          </cell>
          <cell r="LD40">
            <v>0</v>
          </cell>
          <cell r="LF40">
            <v>0</v>
          </cell>
          <cell r="LG40">
            <v>0</v>
          </cell>
          <cell r="LH40">
            <v>0</v>
          </cell>
          <cell r="LJ40">
            <v>0</v>
          </cell>
          <cell r="LK40">
            <v>0</v>
          </cell>
          <cell r="LL40">
            <v>0</v>
          </cell>
          <cell r="LN40">
            <v>0</v>
          </cell>
          <cell r="LP40">
            <v>0</v>
          </cell>
          <cell r="LQ40">
            <v>0</v>
          </cell>
          <cell r="LR40">
            <v>0</v>
          </cell>
          <cell r="LT40" t="str">
            <v>660-22</v>
          </cell>
        </row>
        <row r="41">
          <cell r="B41">
            <v>73.268493150684932</v>
          </cell>
          <cell r="C41">
            <v>87</v>
          </cell>
          <cell r="D41">
            <v>26743</v>
          </cell>
          <cell r="E41">
            <v>31755</v>
          </cell>
          <cell r="F41">
            <v>0.84216658793890731</v>
          </cell>
          <cell r="G41">
            <v>0.84216658793890731</v>
          </cell>
          <cell r="H41">
            <v>7.9999999999999988E-2</v>
          </cell>
          <cell r="I41">
            <v>1.4721485044712663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63.060273972602737</v>
          </cell>
          <cell r="X41">
            <v>87</v>
          </cell>
          <cell r="Y41">
            <v>23017</v>
          </cell>
          <cell r="Z41">
            <v>31755</v>
          </cell>
          <cell r="AA41">
            <v>0.72483073531727282</v>
          </cell>
          <cell r="AB41">
            <v>0.72483073531727282</v>
          </cell>
          <cell r="AC41">
            <v>7.9999999999999988E-2</v>
          </cell>
          <cell r="AD41">
            <v>1.5671583523692545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87</v>
          </cell>
          <cell r="AT41">
            <v>0</v>
          </cell>
          <cell r="AU41">
            <v>31842</v>
          </cell>
          <cell r="AV41">
            <v>0</v>
          </cell>
          <cell r="AW41">
            <v>0</v>
          </cell>
          <cell r="AX41">
            <v>3.0000000000000009E-2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H41">
            <v>9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9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E41">
            <v>9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12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B41">
            <v>12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Q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F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U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P41">
            <v>0</v>
          </cell>
          <cell r="KQ41">
            <v>0</v>
          </cell>
          <cell r="KR41">
            <v>0</v>
          </cell>
          <cell r="KT41">
            <v>0</v>
          </cell>
          <cell r="KV41">
            <v>0</v>
          </cell>
          <cell r="KW41">
            <v>0</v>
          </cell>
          <cell r="KX41">
            <v>0</v>
          </cell>
          <cell r="KZ41">
            <v>0</v>
          </cell>
          <cell r="LA41">
            <v>0</v>
          </cell>
          <cell r="LB41">
            <v>0</v>
          </cell>
          <cell r="LD41">
            <v>0</v>
          </cell>
          <cell r="LF41">
            <v>0</v>
          </cell>
          <cell r="LG41">
            <v>0</v>
          </cell>
          <cell r="LH41">
            <v>0</v>
          </cell>
          <cell r="LJ41">
            <v>0</v>
          </cell>
          <cell r="LK41">
            <v>0</v>
          </cell>
          <cell r="LL41">
            <v>0</v>
          </cell>
          <cell r="LN41">
            <v>0</v>
          </cell>
          <cell r="LP41">
            <v>0</v>
          </cell>
          <cell r="LQ41">
            <v>0</v>
          </cell>
          <cell r="LR41">
            <v>0</v>
          </cell>
          <cell r="LT41" t="str">
            <v>660-31</v>
          </cell>
        </row>
        <row r="42">
          <cell r="B42">
            <v>44.100000000000009</v>
          </cell>
          <cell r="C42">
            <v>49</v>
          </cell>
          <cell r="D42">
            <v>16096.500000000002</v>
          </cell>
          <cell r="E42">
            <v>17885</v>
          </cell>
          <cell r="F42">
            <v>0.90000000000000013</v>
          </cell>
          <cell r="G42">
            <v>0.90000000000000013</v>
          </cell>
          <cell r="H42">
            <v>7.9999999999999988E-2</v>
          </cell>
          <cell r="I42">
            <v>1.3405653407299545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41.901369863013699</v>
          </cell>
          <cell r="X42">
            <v>49</v>
          </cell>
          <cell r="Y42">
            <v>15294</v>
          </cell>
          <cell r="Z42">
            <v>17885</v>
          </cell>
          <cell r="AA42">
            <v>0.85512999720436123</v>
          </cell>
          <cell r="AB42">
            <v>0.85512999720436123</v>
          </cell>
          <cell r="AC42">
            <v>7.9999999999999988E-2</v>
          </cell>
          <cell r="AD42">
            <v>1.2628019246909099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49</v>
          </cell>
          <cell r="AT42">
            <v>0</v>
          </cell>
          <cell r="AU42">
            <v>17934</v>
          </cell>
          <cell r="AV42">
            <v>0</v>
          </cell>
          <cell r="AW42">
            <v>0</v>
          </cell>
          <cell r="AX42">
            <v>3.0000000000000009E-2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H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E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B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Q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F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U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P42">
            <v>0</v>
          </cell>
          <cell r="KQ42">
            <v>0</v>
          </cell>
          <cell r="KR42">
            <v>0</v>
          </cell>
          <cell r="KT42">
            <v>0</v>
          </cell>
          <cell r="KV42">
            <v>0</v>
          </cell>
          <cell r="KW42">
            <v>0</v>
          </cell>
          <cell r="KX42">
            <v>0</v>
          </cell>
          <cell r="KZ42">
            <v>0</v>
          </cell>
          <cell r="LA42">
            <v>0</v>
          </cell>
          <cell r="LB42">
            <v>0</v>
          </cell>
          <cell r="LD42">
            <v>0</v>
          </cell>
          <cell r="LF42">
            <v>0</v>
          </cell>
          <cell r="LG42">
            <v>0</v>
          </cell>
          <cell r="LH42">
            <v>0</v>
          </cell>
          <cell r="LJ42">
            <v>0</v>
          </cell>
          <cell r="LK42">
            <v>0</v>
          </cell>
          <cell r="LL42">
            <v>0</v>
          </cell>
          <cell r="LN42">
            <v>0</v>
          </cell>
          <cell r="LP42">
            <v>0</v>
          </cell>
          <cell r="LQ42">
            <v>0</v>
          </cell>
          <cell r="LR42">
            <v>0</v>
          </cell>
          <cell r="LT42" t="str">
            <v>660-52</v>
          </cell>
        </row>
        <row r="43">
          <cell r="B43">
            <v>34.174520547945207</v>
          </cell>
          <cell r="C43">
            <v>45</v>
          </cell>
          <cell r="D43">
            <v>12473.7</v>
          </cell>
          <cell r="E43">
            <v>16425</v>
          </cell>
          <cell r="F43">
            <v>0.75943378995433775</v>
          </cell>
          <cell r="G43">
            <v>0.75943378995433775</v>
          </cell>
          <cell r="H43">
            <v>7.9999999999999988E-2</v>
          </cell>
          <cell r="I43">
            <v>1.3257466011252088</v>
          </cell>
          <cell r="J43">
            <v>5.2088349733333335</v>
          </cell>
          <cell r="K43">
            <v>18.752051759999997</v>
          </cell>
          <cell r="L43">
            <v>0</v>
          </cell>
          <cell r="M43">
            <v>0</v>
          </cell>
          <cell r="N43">
            <v>10.18581408</v>
          </cell>
          <cell r="O43">
            <v>0</v>
          </cell>
          <cell r="P43">
            <v>457.92</v>
          </cell>
          <cell r="Q43">
            <v>414.18999999999994</v>
          </cell>
          <cell r="R43">
            <v>0</v>
          </cell>
          <cell r="S43">
            <v>393</v>
          </cell>
          <cell r="T43">
            <v>343.84999999999997</v>
          </cell>
          <cell r="U43">
            <v>0</v>
          </cell>
          <cell r="W43">
            <v>22.194520547945206</v>
          </cell>
          <cell r="X43">
            <v>45</v>
          </cell>
          <cell r="Y43">
            <v>8101</v>
          </cell>
          <cell r="Z43">
            <v>16425</v>
          </cell>
          <cell r="AA43">
            <v>0.49321156773211566</v>
          </cell>
          <cell r="AB43">
            <v>0.49321156773211566</v>
          </cell>
          <cell r="AC43">
            <v>7.9999999999999988E-2</v>
          </cell>
          <cell r="AD43">
            <v>1.6555672015708032</v>
          </cell>
          <cell r="AE43">
            <v>3.9130581157194069</v>
          </cell>
          <cell r="AF43">
            <v>7.935124167946749</v>
          </cell>
          <cell r="AG43">
            <v>0</v>
          </cell>
          <cell r="AH43">
            <v>8.1989247311827398E-2</v>
          </cell>
          <cell r="AI43">
            <v>10.26373527905786</v>
          </cell>
          <cell r="AJ43">
            <v>0</v>
          </cell>
          <cell r="AK43">
            <v>478.75378220862103</v>
          </cell>
          <cell r="AL43">
            <v>445.32649800293433</v>
          </cell>
          <cell r="AM43">
            <v>0</v>
          </cell>
          <cell r="AN43">
            <v>68.316673003332951</v>
          </cell>
          <cell r="AO43">
            <v>345.93619986350035</v>
          </cell>
          <cell r="AP43">
            <v>0</v>
          </cell>
          <cell r="AR43">
            <v>0</v>
          </cell>
          <cell r="AS43">
            <v>45</v>
          </cell>
          <cell r="AT43">
            <v>0</v>
          </cell>
          <cell r="AU43">
            <v>16470</v>
          </cell>
          <cell r="AV43">
            <v>0</v>
          </cell>
          <cell r="AW43">
            <v>0</v>
          </cell>
          <cell r="AX43">
            <v>3.0000000000000009E-2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H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E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B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Q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F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U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P43">
            <v>0</v>
          </cell>
          <cell r="KQ43">
            <v>0</v>
          </cell>
          <cell r="KR43">
            <v>0</v>
          </cell>
          <cell r="KT43">
            <v>0</v>
          </cell>
          <cell r="KV43">
            <v>0</v>
          </cell>
          <cell r="KW43">
            <v>0</v>
          </cell>
          <cell r="KX43">
            <v>0</v>
          </cell>
          <cell r="KZ43">
            <v>0</v>
          </cell>
          <cell r="LA43">
            <v>0</v>
          </cell>
          <cell r="LB43">
            <v>0</v>
          </cell>
          <cell r="LD43">
            <v>0</v>
          </cell>
          <cell r="LF43">
            <v>0</v>
          </cell>
          <cell r="LG43">
            <v>0</v>
          </cell>
          <cell r="LH43">
            <v>0</v>
          </cell>
          <cell r="LJ43">
            <v>0</v>
          </cell>
          <cell r="LK43">
            <v>0</v>
          </cell>
          <cell r="LL43">
            <v>0</v>
          </cell>
          <cell r="LN43">
            <v>0</v>
          </cell>
          <cell r="LP43">
            <v>0</v>
          </cell>
          <cell r="LQ43">
            <v>0</v>
          </cell>
          <cell r="LR43">
            <v>0</v>
          </cell>
          <cell r="LT43" t="str">
            <v>660-61</v>
          </cell>
        </row>
        <row r="44">
          <cell r="B44">
            <v>20.020000000000003</v>
          </cell>
          <cell r="C44">
            <v>22</v>
          </cell>
          <cell r="D44">
            <v>7307.3</v>
          </cell>
          <cell r="E44">
            <v>8030</v>
          </cell>
          <cell r="F44">
            <v>0.91</v>
          </cell>
          <cell r="G44">
            <v>0.91</v>
          </cell>
          <cell r="H44">
            <v>7.9999999999999988E-2</v>
          </cell>
          <cell r="I44">
            <v>0.3493970156625209</v>
          </cell>
          <cell r="J44">
            <v>1.9999980000000004</v>
          </cell>
          <cell r="K44">
            <v>3.9999960000000008</v>
          </cell>
          <cell r="L44">
            <v>0</v>
          </cell>
          <cell r="M44">
            <v>0</v>
          </cell>
          <cell r="N44">
            <v>14.020005999999997</v>
          </cell>
          <cell r="O44">
            <v>0</v>
          </cell>
          <cell r="P44">
            <v>457.92</v>
          </cell>
          <cell r="Q44">
            <v>414.19000000000005</v>
          </cell>
          <cell r="R44">
            <v>0</v>
          </cell>
          <cell r="S44">
            <v>0</v>
          </cell>
          <cell r="T44">
            <v>361.80000000000007</v>
          </cell>
          <cell r="U44">
            <v>0</v>
          </cell>
          <cell r="W44">
            <v>9.087671232876712</v>
          </cell>
          <cell r="X44">
            <v>22</v>
          </cell>
          <cell r="Y44">
            <v>3317</v>
          </cell>
          <cell r="Z44">
            <v>8030</v>
          </cell>
          <cell r="AA44">
            <v>0.41307596513075967</v>
          </cell>
          <cell r="AB44">
            <v>0.41307596513075967</v>
          </cell>
          <cell r="AC44">
            <v>7.9999999999999988E-2</v>
          </cell>
          <cell r="AD44">
            <v>0.2764140454057738</v>
          </cell>
          <cell r="AE44">
            <v>0.99626216077829077</v>
          </cell>
          <cell r="AF44">
            <v>2.1671594982078854</v>
          </cell>
          <cell r="AG44">
            <v>0</v>
          </cell>
          <cell r="AH44">
            <v>0</v>
          </cell>
          <cell r="AI44">
            <v>5.9573284690220172</v>
          </cell>
          <cell r="AJ44">
            <v>0</v>
          </cell>
          <cell r="AK44">
            <v>366.34216626637271</v>
          </cell>
          <cell r="AL44">
            <v>426.66137273113389</v>
          </cell>
          <cell r="AM44">
            <v>0</v>
          </cell>
          <cell r="AN44">
            <v>0</v>
          </cell>
          <cell r="AO44">
            <v>351.0367217555995</v>
          </cell>
          <cell r="AP44">
            <v>0</v>
          </cell>
          <cell r="AR44">
            <v>0</v>
          </cell>
          <cell r="AS44">
            <v>22</v>
          </cell>
          <cell r="AT44">
            <v>0</v>
          </cell>
          <cell r="AU44">
            <v>8052</v>
          </cell>
          <cell r="AV44">
            <v>0</v>
          </cell>
          <cell r="AW44">
            <v>0</v>
          </cell>
          <cell r="AX44">
            <v>3.0000000000000009E-2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H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E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B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Q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F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U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P44">
            <v>0</v>
          </cell>
          <cell r="KQ44">
            <v>0</v>
          </cell>
          <cell r="KR44">
            <v>0</v>
          </cell>
          <cell r="KT44">
            <v>0</v>
          </cell>
          <cell r="KV44">
            <v>0</v>
          </cell>
          <cell r="KW44">
            <v>0</v>
          </cell>
          <cell r="KX44">
            <v>0</v>
          </cell>
          <cell r="KZ44">
            <v>0</v>
          </cell>
          <cell r="LA44">
            <v>0</v>
          </cell>
          <cell r="LB44">
            <v>0</v>
          </cell>
          <cell r="LD44">
            <v>0</v>
          </cell>
          <cell r="LF44">
            <v>0</v>
          </cell>
          <cell r="LG44">
            <v>0</v>
          </cell>
          <cell r="LH44">
            <v>0</v>
          </cell>
          <cell r="LJ44">
            <v>0</v>
          </cell>
          <cell r="LK44">
            <v>0</v>
          </cell>
          <cell r="LL44">
            <v>0</v>
          </cell>
          <cell r="LN44">
            <v>0</v>
          </cell>
          <cell r="LP44">
            <v>0</v>
          </cell>
          <cell r="LQ44">
            <v>0</v>
          </cell>
          <cell r="LR44">
            <v>0</v>
          </cell>
          <cell r="LT44" t="str">
            <v>660-62</v>
          </cell>
        </row>
        <row r="45">
          <cell r="B45">
            <v>195.81301369863016</v>
          </cell>
          <cell r="C45">
            <v>228</v>
          </cell>
          <cell r="D45">
            <v>71471.75</v>
          </cell>
          <cell r="E45">
            <v>83220</v>
          </cell>
          <cell r="F45">
            <v>0.85882900745013213</v>
          </cell>
          <cell r="G45">
            <v>0.85882900745013213</v>
          </cell>
          <cell r="H45">
            <v>7.9999999999999988E-2</v>
          </cell>
          <cell r="I45">
            <v>1.0736627271878629</v>
          </cell>
          <cell r="J45">
            <v>7.2088329733333323</v>
          </cell>
          <cell r="K45">
            <v>22.752047759999996</v>
          </cell>
          <cell r="L45">
            <v>0</v>
          </cell>
          <cell r="M45">
            <v>0</v>
          </cell>
          <cell r="N45">
            <v>24.205820079999999</v>
          </cell>
          <cell r="O45">
            <v>0</v>
          </cell>
          <cell r="P45">
            <v>915.84</v>
          </cell>
          <cell r="Q45">
            <v>828.38000000000011</v>
          </cell>
          <cell r="R45">
            <v>0</v>
          </cell>
          <cell r="S45">
            <v>392.99999999999994</v>
          </cell>
          <cell r="T45">
            <v>705.65000000000009</v>
          </cell>
          <cell r="U45">
            <v>0</v>
          </cell>
          <cell r="W45">
            <v>160.50136986301371</v>
          </cell>
          <cell r="X45">
            <v>228</v>
          </cell>
          <cell r="Y45">
            <v>58583</v>
          </cell>
          <cell r="Z45">
            <v>83220</v>
          </cell>
          <cell r="AA45">
            <v>0.70395337659216539</v>
          </cell>
          <cell r="AB45">
            <v>0.70395337659216539</v>
          </cell>
          <cell r="AC45">
            <v>7.9999999999999988E-2</v>
          </cell>
          <cell r="AD45">
            <v>1.2333647810894803</v>
          </cell>
          <cell r="AE45">
            <v>4.9093202764976978</v>
          </cell>
          <cell r="AF45">
            <v>10.102283666154632</v>
          </cell>
          <cell r="AG45">
            <v>0</v>
          </cell>
          <cell r="AH45">
            <v>8.1989247311827398E-2</v>
          </cell>
          <cell r="AI45">
            <v>16.221063748079875</v>
          </cell>
          <cell r="AJ45">
            <v>0</v>
          </cell>
          <cell r="AK45">
            <v>876.62608600071701</v>
          </cell>
          <cell r="AL45">
            <v>873.11238973347065</v>
          </cell>
          <cell r="AM45">
            <v>0</v>
          </cell>
          <cell r="AN45">
            <v>86.451183044316011</v>
          </cell>
          <cell r="AO45">
            <v>697.07501081256783</v>
          </cell>
          <cell r="AP45">
            <v>0</v>
          </cell>
          <cell r="AR45">
            <v>0</v>
          </cell>
          <cell r="AS45">
            <v>228</v>
          </cell>
          <cell r="AT45">
            <v>0</v>
          </cell>
          <cell r="AU45">
            <v>83448</v>
          </cell>
          <cell r="AV45">
            <v>0</v>
          </cell>
          <cell r="AW45">
            <v>0</v>
          </cell>
          <cell r="AX45">
            <v>3.0000000000000009E-2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9</v>
          </cell>
          <cell r="BR45">
            <v>16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H45">
            <v>25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9</v>
          </cell>
          <cell r="DO45">
            <v>16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E45">
            <v>25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12</v>
          </cell>
          <cell r="FL45">
            <v>15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B45">
            <v>27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Q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F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U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P45">
            <v>0</v>
          </cell>
          <cell r="KQ45">
            <v>0</v>
          </cell>
          <cell r="KR45">
            <v>0</v>
          </cell>
          <cell r="KT45">
            <v>0</v>
          </cell>
          <cell r="KV45">
            <v>0</v>
          </cell>
          <cell r="KW45">
            <v>0</v>
          </cell>
          <cell r="KX45">
            <v>0</v>
          </cell>
          <cell r="KZ45">
            <v>0</v>
          </cell>
          <cell r="LA45">
            <v>0</v>
          </cell>
          <cell r="LB45">
            <v>0</v>
          </cell>
          <cell r="LD45">
            <v>0</v>
          </cell>
          <cell r="LF45">
            <v>0</v>
          </cell>
          <cell r="LG45">
            <v>0</v>
          </cell>
          <cell r="LH45">
            <v>0</v>
          </cell>
          <cell r="LJ45">
            <v>0</v>
          </cell>
          <cell r="LK45">
            <v>0</v>
          </cell>
          <cell r="LL45">
            <v>0</v>
          </cell>
          <cell r="LN45">
            <v>0</v>
          </cell>
          <cell r="LP45">
            <v>0</v>
          </cell>
          <cell r="LQ45">
            <v>0</v>
          </cell>
          <cell r="LR45">
            <v>0</v>
          </cell>
          <cell r="LT45" t="str">
            <v>660-Entity</v>
          </cell>
        </row>
        <row r="46">
          <cell r="B46">
            <v>92.15</v>
          </cell>
          <cell r="C46">
            <v>95</v>
          </cell>
          <cell r="D46">
            <v>33634.750000000007</v>
          </cell>
          <cell r="E46">
            <v>34675</v>
          </cell>
          <cell r="F46">
            <v>0.9700000000000002</v>
          </cell>
          <cell r="G46">
            <v>0.9700000000000002</v>
          </cell>
          <cell r="H46">
            <v>0.05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93.208219178082203</v>
          </cell>
          <cell r="X46">
            <v>95</v>
          </cell>
          <cell r="Y46">
            <v>34021</v>
          </cell>
          <cell r="Z46">
            <v>34675</v>
          </cell>
          <cell r="AA46">
            <v>0.98113914924297041</v>
          </cell>
          <cell r="AB46">
            <v>0.98113914924297041</v>
          </cell>
          <cell r="AC46">
            <v>0.05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92.15</v>
          </cell>
          <cell r="AS46">
            <v>95</v>
          </cell>
          <cell r="AT46">
            <v>33726.9</v>
          </cell>
          <cell r="AU46">
            <v>34770</v>
          </cell>
          <cell r="AV46">
            <v>0.97</v>
          </cell>
          <cell r="AW46">
            <v>0.97</v>
          </cell>
          <cell r="AX46">
            <v>3.500000000000001E-2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H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E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2</v>
          </cell>
          <cell r="GX46">
            <v>0</v>
          </cell>
          <cell r="GY46">
            <v>0</v>
          </cell>
          <cell r="GZ46">
            <v>0</v>
          </cell>
          <cell r="HB46">
            <v>2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Q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F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U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P46">
            <v>0</v>
          </cell>
          <cell r="KQ46">
            <v>0</v>
          </cell>
          <cell r="KR46">
            <v>0</v>
          </cell>
          <cell r="KT46">
            <v>0</v>
          </cell>
          <cell r="KV46">
            <v>0</v>
          </cell>
          <cell r="KW46">
            <v>0</v>
          </cell>
          <cell r="KX46">
            <v>0</v>
          </cell>
          <cell r="KZ46">
            <v>0</v>
          </cell>
          <cell r="LA46">
            <v>0</v>
          </cell>
          <cell r="LB46">
            <v>0</v>
          </cell>
          <cell r="LD46">
            <v>0</v>
          </cell>
          <cell r="LF46">
            <v>0</v>
          </cell>
          <cell r="LG46">
            <v>0</v>
          </cell>
          <cell r="LH46">
            <v>0</v>
          </cell>
          <cell r="LJ46">
            <v>0</v>
          </cell>
          <cell r="LK46">
            <v>0</v>
          </cell>
          <cell r="LL46">
            <v>0</v>
          </cell>
          <cell r="LN46">
            <v>0</v>
          </cell>
          <cell r="LP46">
            <v>0</v>
          </cell>
          <cell r="LQ46">
            <v>0</v>
          </cell>
          <cell r="LR46">
            <v>0</v>
          </cell>
          <cell r="LT46" t="str">
            <v>810-21</v>
          </cell>
        </row>
        <row r="47">
          <cell r="B47">
            <v>46.06</v>
          </cell>
          <cell r="C47">
            <v>47</v>
          </cell>
          <cell r="D47">
            <v>16811.900000000001</v>
          </cell>
          <cell r="E47">
            <v>17155</v>
          </cell>
          <cell r="F47">
            <v>0.98</v>
          </cell>
          <cell r="G47">
            <v>0.98</v>
          </cell>
          <cell r="H47">
            <v>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46.246575342465754</v>
          </cell>
          <cell r="X47">
            <v>47</v>
          </cell>
          <cell r="Y47">
            <v>16880</v>
          </cell>
          <cell r="Z47">
            <v>17155</v>
          </cell>
          <cell r="AA47">
            <v>0.98396968813756924</v>
          </cell>
          <cell r="AB47">
            <v>0.98396968813756924</v>
          </cell>
          <cell r="AC47">
            <v>0.05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46.06</v>
          </cell>
          <cell r="AS47">
            <v>47</v>
          </cell>
          <cell r="AT47">
            <v>16857.960000000003</v>
          </cell>
          <cell r="AU47">
            <v>17202</v>
          </cell>
          <cell r="AV47">
            <v>0.9800000000000002</v>
          </cell>
          <cell r="AW47">
            <v>0.9800000000000002</v>
          </cell>
          <cell r="AX47">
            <v>3.500000000000001E-2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H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E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1</v>
          </cell>
          <cell r="GY47">
            <v>0</v>
          </cell>
          <cell r="GZ47">
            <v>0</v>
          </cell>
          <cell r="HB47">
            <v>1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Q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F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U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P47">
            <v>0</v>
          </cell>
          <cell r="KQ47">
            <v>0</v>
          </cell>
          <cell r="KR47">
            <v>0</v>
          </cell>
          <cell r="KT47">
            <v>0</v>
          </cell>
          <cell r="KV47">
            <v>0</v>
          </cell>
          <cell r="KW47">
            <v>0</v>
          </cell>
          <cell r="KX47">
            <v>0</v>
          </cell>
          <cell r="KZ47">
            <v>0</v>
          </cell>
          <cell r="LA47">
            <v>0</v>
          </cell>
          <cell r="LB47">
            <v>0</v>
          </cell>
          <cell r="LD47">
            <v>0</v>
          </cell>
          <cell r="LF47">
            <v>0</v>
          </cell>
          <cell r="LG47">
            <v>0</v>
          </cell>
          <cell r="LH47">
            <v>0</v>
          </cell>
          <cell r="LJ47">
            <v>0</v>
          </cell>
          <cell r="LK47">
            <v>0</v>
          </cell>
          <cell r="LL47">
            <v>0</v>
          </cell>
          <cell r="LN47">
            <v>0</v>
          </cell>
          <cell r="LP47">
            <v>0</v>
          </cell>
          <cell r="LQ47">
            <v>0</v>
          </cell>
          <cell r="LR47">
            <v>0</v>
          </cell>
          <cell r="LT47" t="str">
            <v>810-22</v>
          </cell>
        </row>
        <row r="48">
          <cell r="B48">
            <v>16.489999999999998</v>
          </cell>
          <cell r="C48">
            <v>17</v>
          </cell>
          <cell r="D48">
            <v>6018.8499999999985</v>
          </cell>
          <cell r="E48">
            <v>6205</v>
          </cell>
          <cell r="F48">
            <v>0.96999999999999975</v>
          </cell>
          <cell r="G48">
            <v>0.96999999999999975</v>
          </cell>
          <cell r="H48">
            <v>0.05</v>
          </cell>
          <cell r="I48">
            <v>9.8637361146459099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16.446575342465753</v>
          </cell>
          <cell r="X48">
            <v>17</v>
          </cell>
          <cell r="Y48">
            <v>6003</v>
          </cell>
          <cell r="Z48">
            <v>6205</v>
          </cell>
          <cell r="AA48">
            <v>0.96744560838033844</v>
          </cell>
          <cell r="AB48">
            <v>0.96744560838033844</v>
          </cell>
          <cell r="AC48">
            <v>0.05</v>
          </cell>
          <cell r="AD48">
            <v>5.7200376321060364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16.32</v>
          </cell>
          <cell r="AS48">
            <v>17</v>
          </cell>
          <cell r="AT48">
            <v>5973.1200000000008</v>
          </cell>
          <cell r="AU48">
            <v>6222</v>
          </cell>
          <cell r="AV48">
            <v>0.96</v>
          </cell>
          <cell r="AW48">
            <v>0.96</v>
          </cell>
          <cell r="AX48">
            <v>3.500000000000001E-2</v>
          </cell>
          <cell r="AY48">
            <v>7.8351664900260447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H48">
            <v>1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1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E48">
            <v>1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B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13.999999999999998</v>
          </cell>
          <cell r="HO48">
            <v>3</v>
          </cell>
          <cell r="HQ48">
            <v>17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13.999999999999998</v>
          </cell>
          <cell r="ID48">
            <v>3</v>
          </cell>
          <cell r="IF48">
            <v>17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13.999999999999998</v>
          </cell>
          <cell r="IS48">
            <v>3</v>
          </cell>
          <cell r="IU48">
            <v>17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P48">
            <v>0</v>
          </cell>
          <cell r="KQ48">
            <v>0</v>
          </cell>
          <cell r="KR48">
            <v>0</v>
          </cell>
          <cell r="KT48">
            <v>0</v>
          </cell>
          <cell r="KV48">
            <v>0</v>
          </cell>
          <cell r="KW48">
            <v>0</v>
          </cell>
          <cell r="KX48">
            <v>0</v>
          </cell>
          <cell r="KZ48">
            <v>0</v>
          </cell>
          <cell r="LA48">
            <v>0</v>
          </cell>
          <cell r="LB48">
            <v>0</v>
          </cell>
          <cell r="LD48">
            <v>0</v>
          </cell>
          <cell r="LF48">
            <v>0</v>
          </cell>
          <cell r="LG48">
            <v>0</v>
          </cell>
          <cell r="LH48">
            <v>0</v>
          </cell>
          <cell r="LJ48">
            <v>0</v>
          </cell>
          <cell r="LK48">
            <v>0</v>
          </cell>
          <cell r="LL48">
            <v>0</v>
          </cell>
          <cell r="LN48">
            <v>0</v>
          </cell>
          <cell r="LP48">
            <v>0</v>
          </cell>
          <cell r="LQ48">
            <v>0</v>
          </cell>
          <cell r="LR48">
            <v>0</v>
          </cell>
          <cell r="LT48" t="str">
            <v>810-31</v>
          </cell>
        </row>
        <row r="49">
          <cell r="B49">
            <v>87.419999999999973</v>
          </cell>
          <cell r="C49">
            <v>94</v>
          </cell>
          <cell r="D49">
            <v>31908.3</v>
          </cell>
          <cell r="E49">
            <v>34310</v>
          </cell>
          <cell r="F49">
            <v>0.93</v>
          </cell>
          <cell r="G49">
            <v>0.93</v>
          </cell>
          <cell r="H49">
            <v>0.05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90.032876712328772</v>
          </cell>
          <cell r="X49">
            <v>94</v>
          </cell>
          <cell r="Y49">
            <v>32862</v>
          </cell>
          <cell r="Z49">
            <v>34310</v>
          </cell>
          <cell r="AA49">
            <v>0.95779656076945496</v>
          </cell>
          <cell r="AB49">
            <v>0.95779656076945496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90</v>
          </cell>
          <cell r="AS49">
            <v>94</v>
          </cell>
          <cell r="AT49">
            <v>32940</v>
          </cell>
          <cell r="AU49">
            <v>34404</v>
          </cell>
          <cell r="AV49">
            <v>0.95744680851063835</v>
          </cell>
          <cell r="AW49">
            <v>0.95744680851063835</v>
          </cell>
          <cell r="AX49">
            <v>3.500000000000001E-2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13.000000000000002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H49">
            <v>13.000000000000002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13.000000000000002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E49">
            <v>13.000000000000002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10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B49">
            <v>10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Q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F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U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P49">
            <v>0</v>
          </cell>
          <cell r="KQ49">
            <v>0</v>
          </cell>
          <cell r="KR49">
            <v>0</v>
          </cell>
          <cell r="KT49">
            <v>0</v>
          </cell>
          <cell r="KV49">
            <v>0</v>
          </cell>
          <cell r="KW49">
            <v>0</v>
          </cell>
          <cell r="KX49">
            <v>0</v>
          </cell>
          <cell r="KZ49">
            <v>0</v>
          </cell>
          <cell r="LA49">
            <v>0</v>
          </cell>
          <cell r="LB49">
            <v>0</v>
          </cell>
          <cell r="LD49">
            <v>0</v>
          </cell>
          <cell r="LF49">
            <v>0</v>
          </cell>
          <cell r="LG49">
            <v>0</v>
          </cell>
          <cell r="LH49">
            <v>0</v>
          </cell>
          <cell r="LJ49">
            <v>0</v>
          </cell>
          <cell r="LK49">
            <v>0</v>
          </cell>
          <cell r="LL49">
            <v>0</v>
          </cell>
          <cell r="LN49">
            <v>0</v>
          </cell>
          <cell r="LP49">
            <v>0</v>
          </cell>
          <cell r="LQ49">
            <v>0</v>
          </cell>
          <cell r="LR49">
            <v>0</v>
          </cell>
          <cell r="LT49" t="str">
            <v>810-32</v>
          </cell>
        </row>
        <row r="50">
          <cell r="B50">
            <v>125.58000000000004</v>
          </cell>
          <cell r="C50">
            <v>138</v>
          </cell>
          <cell r="D50">
            <v>45836.7</v>
          </cell>
          <cell r="E50">
            <v>50370</v>
          </cell>
          <cell r="F50">
            <v>0.91</v>
          </cell>
          <cell r="G50">
            <v>0.91</v>
          </cell>
          <cell r="H50">
            <v>0.05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127.8082191780822</v>
          </cell>
          <cell r="X50">
            <v>138</v>
          </cell>
          <cell r="Y50">
            <v>46650</v>
          </cell>
          <cell r="Z50">
            <v>50370</v>
          </cell>
          <cell r="AA50">
            <v>0.92614651578320439</v>
          </cell>
          <cell r="AB50">
            <v>0.92614651578320439</v>
          </cell>
          <cell r="AC50">
            <v>0.05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127</v>
          </cell>
          <cell r="AS50">
            <v>138</v>
          </cell>
          <cell r="AT50">
            <v>46482</v>
          </cell>
          <cell r="AU50">
            <v>50508</v>
          </cell>
          <cell r="AV50">
            <v>0.92028985507246364</v>
          </cell>
          <cell r="AW50">
            <v>0.92028985507246364</v>
          </cell>
          <cell r="AX50">
            <v>3.500000000000001E-2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H50">
            <v>38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38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E50">
            <v>38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46.999999999999993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B50">
            <v>46.999999999999993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Q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F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U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P50">
            <v>0</v>
          </cell>
          <cell r="KQ50">
            <v>0</v>
          </cell>
          <cell r="KR50">
            <v>0</v>
          </cell>
          <cell r="KT50">
            <v>0</v>
          </cell>
          <cell r="KV50">
            <v>0</v>
          </cell>
          <cell r="KW50">
            <v>0</v>
          </cell>
          <cell r="KX50">
            <v>0</v>
          </cell>
          <cell r="KZ50">
            <v>0</v>
          </cell>
          <cell r="LA50">
            <v>0</v>
          </cell>
          <cell r="LB50">
            <v>0</v>
          </cell>
          <cell r="LD50">
            <v>0</v>
          </cell>
          <cell r="LF50">
            <v>0</v>
          </cell>
          <cell r="LG50">
            <v>0</v>
          </cell>
          <cell r="LH50">
            <v>0</v>
          </cell>
          <cell r="LJ50">
            <v>0</v>
          </cell>
          <cell r="LK50">
            <v>0</v>
          </cell>
          <cell r="LL50">
            <v>0</v>
          </cell>
          <cell r="LN50">
            <v>0</v>
          </cell>
          <cell r="LP50">
            <v>0</v>
          </cell>
          <cell r="LQ50">
            <v>0</v>
          </cell>
          <cell r="LR50">
            <v>0</v>
          </cell>
          <cell r="LT50" t="str">
            <v>810-33</v>
          </cell>
        </row>
        <row r="51">
          <cell r="B51">
            <v>97</v>
          </cell>
          <cell r="C51">
            <v>100</v>
          </cell>
          <cell r="D51">
            <v>35405</v>
          </cell>
          <cell r="E51">
            <v>36500</v>
          </cell>
          <cell r="F51">
            <v>0.97</v>
          </cell>
          <cell r="G51">
            <v>0.97</v>
          </cell>
          <cell r="H51">
            <v>6.0000000000000019E-2</v>
          </cell>
          <cell r="I51">
            <v>0.82997422156279954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95.180821917808217</v>
          </cell>
          <cell r="X51">
            <v>100</v>
          </cell>
          <cell r="Y51">
            <v>34741</v>
          </cell>
          <cell r="Z51">
            <v>36500</v>
          </cell>
          <cell r="AA51">
            <v>0.95180821917808223</v>
          </cell>
          <cell r="AB51">
            <v>0.95180821917808223</v>
          </cell>
          <cell r="AC51">
            <v>6.0000000000000019E-2</v>
          </cell>
          <cell r="AD51">
            <v>0.81651916941535729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96</v>
          </cell>
          <cell r="AS51">
            <v>100</v>
          </cell>
          <cell r="AT51">
            <v>35136</v>
          </cell>
          <cell r="AU51">
            <v>36600</v>
          </cell>
          <cell r="AV51">
            <v>0.96</v>
          </cell>
          <cell r="AW51">
            <v>0.96</v>
          </cell>
          <cell r="AX51">
            <v>3.0000000000000009E-2</v>
          </cell>
          <cell r="AY51">
            <v>0.91044834402006136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2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H51">
            <v>2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2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E51">
            <v>2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1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B51">
            <v>1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Q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F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U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P51">
            <v>0</v>
          </cell>
          <cell r="KQ51">
            <v>0</v>
          </cell>
          <cell r="KR51">
            <v>0</v>
          </cell>
          <cell r="KT51">
            <v>0</v>
          </cell>
          <cell r="KV51">
            <v>0</v>
          </cell>
          <cell r="KW51">
            <v>0</v>
          </cell>
          <cell r="KX51">
            <v>0</v>
          </cell>
          <cell r="KZ51">
            <v>0</v>
          </cell>
          <cell r="LA51">
            <v>0</v>
          </cell>
          <cell r="LB51">
            <v>0</v>
          </cell>
          <cell r="LD51">
            <v>0</v>
          </cell>
          <cell r="LF51">
            <v>0</v>
          </cell>
          <cell r="LG51">
            <v>0</v>
          </cell>
          <cell r="LH51">
            <v>0</v>
          </cell>
          <cell r="LJ51">
            <v>0</v>
          </cell>
          <cell r="LK51">
            <v>0</v>
          </cell>
          <cell r="LL51">
            <v>0</v>
          </cell>
          <cell r="LN51">
            <v>0</v>
          </cell>
          <cell r="LP51">
            <v>0</v>
          </cell>
          <cell r="LQ51">
            <v>0</v>
          </cell>
          <cell r="LR51">
            <v>0</v>
          </cell>
          <cell r="LT51" t="str">
            <v>810-51</v>
          </cell>
        </row>
        <row r="52">
          <cell r="B52">
            <v>66.03</v>
          </cell>
          <cell r="C52">
            <v>69</v>
          </cell>
          <cell r="D52">
            <v>24100.950000000004</v>
          </cell>
          <cell r="E52">
            <v>25185</v>
          </cell>
          <cell r="F52">
            <v>0.95695652173913059</v>
          </cell>
          <cell r="G52">
            <v>0.95695652173913059</v>
          </cell>
          <cell r="H52">
            <v>6.0000000000000019E-2</v>
          </cell>
          <cell r="I52">
            <v>0.96328232042174278</v>
          </cell>
          <cell r="J52">
            <v>4.9999896899999996</v>
          </cell>
          <cell r="K52">
            <v>2.5000278599999999</v>
          </cell>
          <cell r="L52">
            <v>18.500021279999999</v>
          </cell>
          <cell r="M52">
            <v>0</v>
          </cell>
          <cell r="N52">
            <v>40.030027199999999</v>
          </cell>
          <cell r="O52">
            <v>0</v>
          </cell>
          <cell r="P52">
            <v>585.92999999999984</v>
          </cell>
          <cell r="Q52">
            <v>397.63000000000005</v>
          </cell>
          <cell r="R52">
            <v>260.00000000000006</v>
          </cell>
          <cell r="S52">
            <v>0</v>
          </cell>
          <cell r="T52">
            <v>511.24000000000012</v>
          </cell>
          <cell r="U52">
            <v>0</v>
          </cell>
          <cell r="W52">
            <v>66.219178082191775</v>
          </cell>
          <cell r="X52">
            <v>69</v>
          </cell>
          <cell r="Y52">
            <v>24170</v>
          </cell>
          <cell r="Z52">
            <v>25185</v>
          </cell>
          <cell r="AA52">
            <v>0.95969823307524316</v>
          </cell>
          <cell r="AB52">
            <v>0.95969823307524316</v>
          </cell>
          <cell r="AC52">
            <v>6.0000000000000019E-2</v>
          </cell>
          <cell r="AD52">
            <v>0.92811557352183283</v>
          </cell>
          <cell r="AE52">
            <v>3.1163433179723441</v>
          </cell>
          <cell r="AF52">
            <v>1.8400416479774675</v>
          </cell>
          <cell r="AG52">
            <v>19.53143722478239</v>
          </cell>
          <cell r="AH52">
            <v>0</v>
          </cell>
          <cell r="AI52">
            <v>41.724465642601132</v>
          </cell>
          <cell r="AJ52">
            <v>0</v>
          </cell>
          <cell r="AK52">
            <v>599.60997840179573</v>
          </cell>
          <cell r="AL52">
            <v>439.09318234283091</v>
          </cell>
          <cell r="AM52">
            <v>323.97904859505195</v>
          </cell>
          <cell r="AN52">
            <v>0</v>
          </cell>
          <cell r="AO52">
            <v>504.64013726785311</v>
          </cell>
          <cell r="AP52">
            <v>0</v>
          </cell>
          <cell r="AR52">
            <v>65.549999999999983</v>
          </cell>
          <cell r="AS52">
            <v>69</v>
          </cell>
          <cell r="AT52">
            <v>23991.299999999996</v>
          </cell>
          <cell r="AU52">
            <v>25254</v>
          </cell>
          <cell r="AV52">
            <v>0.94999999999999984</v>
          </cell>
          <cell r="AW52">
            <v>0.94999999999999984</v>
          </cell>
          <cell r="AX52">
            <v>3.9999999999999994E-2</v>
          </cell>
          <cell r="AY52">
            <v>0.97555507031453659</v>
          </cell>
          <cell r="AZ52">
            <v>4.1558699999999993</v>
          </cell>
          <cell r="BA52">
            <v>2.3925750000000003</v>
          </cell>
          <cell r="BB52">
            <v>19.527345</v>
          </cell>
          <cell r="BC52">
            <v>0</v>
          </cell>
          <cell r="BD52">
            <v>39.474209999999985</v>
          </cell>
          <cell r="BE52">
            <v>0</v>
          </cell>
          <cell r="BF52">
            <v>609.26</v>
          </cell>
          <cell r="BG52">
            <v>451.83</v>
          </cell>
          <cell r="BH52">
            <v>314.44999999999993</v>
          </cell>
          <cell r="BI52">
            <v>0</v>
          </cell>
          <cell r="BJ52">
            <v>531.9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H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E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B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Q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F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U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P52">
            <v>0</v>
          </cell>
          <cell r="KQ52">
            <v>0</v>
          </cell>
          <cell r="KR52">
            <v>0</v>
          </cell>
          <cell r="KT52">
            <v>0</v>
          </cell>
          <cell r="KV52">
            <v>0</v>
          </cell>
          <cell r="KW52">
            <v>0</v>
          </cell>
          <cell r="KX52">
            <v>0</v>
          </cell>
          <cell r="KZ52">
            <v>0</v>
          </cell>
          <cell r="LA52">
            <v>0</v>
          </cell>
          <cell r="LB52">
            <v>0</v>
          </cell>
          <cell r="LD52">
            <v>0</v>
          </cell>
          <cell r="LF52">
            <v>0</v>
          </cell>
          <cell r="LG52">
            <v>0</v>
          </cell>
          <cell r="LH52">
            <v>0</v>
          </cell>
          <cell r="LJ52">
            <v>0</v>
          </cell>
          <cell r="LK52">
            <v>0</v>
          </cell>
          <cell r="LL52">
            <v>0</v>
          </cell>
          <cell r="LN52">
            <v>0</v>
          </cell>
          <cell r="LP52">
            <v>0</v>
          </cell>
          <cell r="LQ52">
            <v>0</v>
          </cell>
          <cell r="LR52">
            <v>0</v>
          </cell>
          <cell r="LT52" t="str">
            <v>810-61</v>
          </cell>
        </row>
        <row r="53">
          <cell r="B53">
            <v>530.7299999999999</v>
          </cell>
          <cell r="C53">
            <v>560</v>
          </cell>
          <cell r="D53">
            <v>193716.45</v>
          </cell>
          <cell r="E53">
            <v>204400</v>
          </cell>
          <cell r="F53">
            <v>0.9477321428571428</v>
          </cell>
          <cell r="G53">
            <v>0.9477321428571428</v>
          </cell>
          <cell r="H53">
            <v>5.2857142857142859E-2</v>
          </cell>
          <cell r="I53">
            <v>0.9281992573179636</v>
          </cell>
          <cell r="J53">
            <v>4.9999896899999996</v>
          </cell>
          <cell r="K53">
            <v>2.5000278599999999</v>
          </cell>
          <cell r="L53">
            <v>18.500021279999999</v>
          </cell>
          <cell r="M53">
            <v>0</v>
          </cell>
          <cell r="N53">
            <v>40.030027199999999</v>
          </cell>
          <cell r="O53">
            <v>0</v>
          </cell>
          <cell r="P53">
            <v>585.92999999999984</v>
          </cell>
          <cell r="Q53">
            <v>397.63000000000005</v>
          </cell>
          <cell r="R53">
            <v>260.00000000000006</v>
          </cell>
          <cell r="S53">
            <v>0</v>
          </cell>
          <cell r="T53">
            <v>511.24000000000012</v>
          </cell>
          <cell r="U53">
            <v>0</v>
          </cell>
          <cell r="W53">
            <v>535.14246575342463</v>
          </cell>
          <cell r="X53">
            <v>560</v>
          </cell>
          <cell r="Y53">
            <v>195327</v>
          </cell>
          <cell r="Z53">
            <v>204400</v>
          </cell>
          <cell r="AA53">
            <v>0.95561154598825837</v>
          </cell>
          <cell r="AB53">
            <v>0.95561154598825837</v>
          </cell>
          <cell r="AC53">
            <v>5.2857142857142859E-2</v>
          </cell>
          <cell r="AD53">
            <v>0.89119811452578712</v>
          </cell>
          <cell r="AE53">
            <v>3.1163433179723441</v>
          </cell>
          <cell r="AF53">
            <v>1.8400416479774675</v>
          </cell>
          <cell r="AG53">
            <v>19.53143722478239</v>
          </cell>
          <cell r="AH53">
            <v>0</v>
          </cell>
          <cell r="AI53">
            <v>41.724465642601132</v>
          </cell>
          <cell r="AJ53">
            <v>0</v>
          </cell>
          <cell r="AK53">
            <v>599.60997840179573</v>
          </cell>
          <cell r="AL53">
            <v>439.09318234283091</v>
          </cell>
          <cell r="AM53">
            <v>323.97904859505195</v>
          </cell>
          <cell r="AN53">
            <v>0</v>
          </cell>
          <cell r="AO53">
            <v>504.64013726785311</v>
          </cell>
          <cell r="AP53">
            <v>0</v>
          </cell>
          <cell r="AR53">
            <v>533.07999999999993</v>
          </cell>
          <cell r="AS53">
            <v>560</v>
          </cell>
          <cell r="AT53">
            <v>195107.28</v>
          </cell>
          <cell r="AU53">
            <v>204960</v>
          </cell>
          <cell r="AV53">
            <v>0.95192857142857157</v>
          </cell>
          <cell r="AW53">
            <v>0.95192857142857157</v>
          </cell>
          <cell r="AX53">
            <v>3.500000000000001E-2</v>
          </cell>
          <cell r="AY53">
            <v>0.92697831226845717</v>
          </cell>
          <cell r="AZ53">
            <v>4.1558699999999993</v>
          </cell>
          <cell r="BA53">
            <v>2.3925750000000003</v>
          </cell>
          <cell r="BB53">
            <v>19.527345</v>
          </cell>
          <cell r="BC53">
            <v>0</v>
          </cell>
          <cell r="BD53">
            <v>39.474209999999985</v>
          </cell>
          <cell r="BE53">
            <v>0</v>
          </cell>
          <cell r="BF53">
            <v>609.26</v>
          </cell>
          <cell r="BG53">
            <v>451.83</v>
          </cell>
          <cell r="BH53">
            <v>314.44999999999993</v>
          </cell>
          <cell r="BI53">
            <v>0</v>
          </cell>
          <cell r="BJ53">
            <v>531.9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2</v>
          </cell>
          <cell r="BZ53">
            <v>1</v>
          </cell>
          <cell r="CA53">
            <v>13.000000000000002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38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H53">
            <v>54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2</v>
          </cell>
          <cell r="DW53">
            <v>1</v>
          </cell>
          <cell r="DX53">
            <v>13.000000000000002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38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E53">
            <v>54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1</v>
          </cell>
          <cell r="FT53">
            <v>0</v>
          </cell>
          <cell r="FU53">
            <v>10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46.999999999999993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2</v>
          </cell>
          <cell r="GX53">
            <v>1</v>
          </cell>
          <cell r="GY53">
            <v>0</v>
          </cell>
          <cell r="GZ53">
            <v>0</v>
          </cell>
          <cell r="HB53">
            <v>60.999999999999993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13.999999999999998</v>
          </cell>
          <cell r="HO53">
            <v>3</v>
          </cell>
          <cell r="HQ53">
            <v>17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13.999999999999998</v>
          </cell>
          <cell r="ID53">
            <v>3</v>
          </cell>
          <cell r="IF53">
            <v>17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13.999999999999998</v>
          </cell>
          <cell r="IS53">
            <v>3</v>
          </cell>
          <cell r="IU53">
            <v>17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P53">
            <v>0</v>
          </cell>
          <cell r="KQ53">
            <v>0</v>
          </cell>
          <cell r="KR53">
            <v>0</v>
          </cell>
          <cell r="KT53">
            <v>0</v>
          </cell>
          <cell r="KV53">
            <v>0</v>
          </cell>
          <cell r="KW53">
            <v>0</v>
          </cell>
          <cell r="KX53">
            <v>0</v>
          </cell>
          <cell r="KZ53">
            <v>0</v>
          </cell>
          <cell r="LA53">
            <v>0</v>
          </cell>
          <cell r="LB53">
            <v>0</v>
          </cell>
          <cell r="LD53">
            <v>0</v>
          </cell>
          <cell r="LF53">
            <v>0</v>
          </cell>
          <cell r="LG53">
            <v>0</v>
          </cell>
          <cell r="LH53">
            <v>0</v>
          </cell>
          <cell r="LJ53">
            <v>0</v>
          </cell>
          <cell r="LK53">
            <v>0</v>
          </cell>
          <cell r="LL53">
            <v>0</v>
          </cell>
          <cell r="LN53">
            <v>0</v>
          </cell>
          <cell r="LP53">
            <v>0</v>
          </cell>
          <cell r="LQ53">
            <v>0</v>
          </cell>
          <cell r="LR53">
            <v>0</v>
          </cell>
          <cell r="LT53" t="str">
            <v>810-Entity</v>
          </cell>
        </row>
        <row r="54">
          <cell r="B54">
            <v>30</v>
          </cell>
          <cell r="C54">
            <v>31</v>
          </cell>
          <cell r="D54">
            <v>10950</v>
          </cell>
          <cell r="E54">
            <v>11315</v>
          </cell>
          <cell r="F54">
            <v>0.967741935483871</v>
          </cell>
          <cell r="G54">
            <v>0.967741935483871</v>
          </cell>
          <cell r="H54">
            <v>3.9999999999999994E-2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30.36986301369863</v>
          </cell>
          <cell r="X54">
            <v>31</v>
          </cell>
          <cell r="Y54">
            <v>11085</v>
          </cell>
          <cell r="Z54">
            <v>11315</v>
          </cell>
          <cell r="AA54">
            <v>0.97967300044189121</v>
          </cell>
          <cell r="AB54">
            <v>0.97967300044189121</v>
          </cell>
          <cell r="AC54">
            <v>3.9999999999999994E-2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30</v>
          </cell>
          <cell r="AS54">
            <v>31</v>
          </cell>
          <cell r="AT54">
            <v>10980</v>
          </cell>
          <cell r="AU54">
            <v>11346</v>
          </cell>
          <cell r="AV54">
            <v>0.967741935483871</v>
          </cell>
          <cell r="AW54">
            <v>0.967741935483871</v>
          </cell>
          <cell r="AX54">
            <v>3.9999999999999994E-2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H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E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B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Q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F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U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P54">
            <v>0</v>
          </cell>
          <cell r="KQ54">
            <v>0</v>
          </cell>
          <cell r="KR54">
            <v>0</v>
          </cell>
          <cell r="KT54">
            <v>0</v>
          </cell>
          <cell r="KV54">
            <v>0</v>
          </cell>
          <cell r="KW54">
            <v>0</v>
          </cell>
          <cell r="KX54">
            <v>0</v>
          </cell>
          <cell r="KZ54">
            <v>0</v>
          </cell>
          <cell r="LA54">
            <v>0</v>
          </cell>
          <cell r="LB54">
            <v>0</v>
          </cell>
          <cell r="LD54">
            <v>0</v>
          </cell>
          <cell r="LF54">
            <v>0</v>
          </cell>
          <cell r="LG54">
            <v>0</v>
          </cell>
          <cell r="LH54">
            <v>0</v>
          </cell>
          <cell r="LJ54">
            <v>0</v>
          </cell>
          <cell r="LK54">
            <v>0</v>
          </cell>
          <cell r="LL54">
            <v>0</v>
          </cell>
          <cell r="LN54">
            <v>0</v>
          </cell>
          <cell r="LP54">
            <v>0</v>
          </cell>
          <cell r="LQ54">
            <v>0</v>
          </cell>
          <cell r="LR54">
            <v>0</v>
          </cell>
          <cell r="LT54" t="str">
            <v>925-21</v>
          </cell>
        </row>
        <row r="55">
          <cell r="B55">
            <v>35</v>
          </cell>
          <cell r="C55">
            <v>36</v>
          </cell>
          <cell r="D55">
            <v>12775</v>
          </cell>
          <cell r="E55">
            <v>13140</v>
          </cell>
          <cell r="F55">
            <v>0.97222222222222221</v>
          </cell>
          <cell r="G55">
            <v>0.97222222222222221</v>
          </cell>
          <cell r="H55">
            <v>3.9999999999999994E-2</v>
          </cell>
          <cell r="I55">
            <v>1.3288950784761482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35.706849315068496</v>
          </cell>
          <cell r="X55">
            <v>36</v>
          </cell>
          <cell r="Y55">
            <v>13033</v>
          </cell>
          <cell r="Z55">
            <v>13140</v>
          </cell>
          <cell r="AA55">
            <v>0.99185692541856918</v>
          </cell>
          <cell r="AB55">
            <v>0.99185692541856918</v>
          </cell>
          <cell r="AC55">
            <v>3.9999999999999994E-2</v>
          </cell>
          <cell r="AD55">
            <v>1.1851405672163509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35</v>
          </cell>
          <cell r="AS55">
            <v>36</v>
          </cell>
          <cell r="AT55">
            <v>12810</v>
          </cell>
          <cell r="AU55">
            <v>13176</v>
          </cell>
          <cell r="AV55">
            <v>0.97222222222222221</v>
          </cell>
          <cell r="AW55">
            <v>0.97222222222222221</v>
          </cell>
          <cell r="AX55">
            <v>0.05</v>
          </cell>
          <cell r="AY55">
            <v>1.072585208723408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H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E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B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Q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F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U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P55">
            <v>0</v>
          </cell>
          <cell r="KQ55">
            <v>0</v>
          </cell>
          <cell r="KR55">
            <v>0</v>
          </cell>
          <cell r="KT55">
            <v>0</v>
          </cell>
          <cell r="KV55">
            <v>0</v>
          </cell>
          <cell r="KW55">
            <v>0</v>
          </cell>
          <cell r="KX55">
            <v>0</v>
          </cell>
          <cell r="KZ55">
            <v>0</v>
          </cell>
          <cell r="LA55">
            <v>0</v>
          </cell>
          <cell r="LB55">
            <v>0</v>
          </cell>
          <cell r="LD55">
            <v>0</v>
          </cell>
          <cell r="LF55">
            <v>0</v>
          </cell>
          <cell r="LG55">
            <v>0</v>
          </cell>
          <cell r="LH55">
            <v>0</v>
          </cell>
          <cell r="LJ55">
            <v>0</v>
          </cell>
          <cell r="LK55">
            <v>0</v>
          </cell>
          <cell r="LL55">
            <v>0</v>
          </cell>
          <cell r="LN55">
            <v>0</v>
          </cell>
          <cell r="LP55">
            <v>0</v>
          </cell>
          <cell r="LQ55">
            <v>0</v>
          </cell>
          <cell r="LR55">
            <v>0</v>
          </cell>
          <cell r="LT55" t="str">
            <v>925-31</v>
          </cell>
        </row>
        <row r="56">
          <cell r="B56">
            <v>38</v>
          </cell>
          <cell r="C56">
            <v>39</v>
          </cell>
          <cell r="D56">
            <v>13870</v>
          </cell>
          <cell r="E56">
            <v>14235</v>
          </cell>
          <cell r="F56">
            <v>0.97435897435897445</v>
          </cell>
          <cell r="G56">
            <v>0.97435897435897445</v>
          </cell>
          <cell r="H56">
            <v>3.9999999999999994E-2</v>
          </cell>
          <cell r="I56">
            <v>0.94481658730529305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37.919178082191777</v>
          </cell>
          <cell r="X56">
            <v>39</v>
          </cell>
          <cell r="Y56">
            <v>13840.5</v>
          </cell>
          <cell r="Z56">
            <v>14235</v>
          </cell>
          <cell r="AA56">
            <v>0.97228661749209699</v>
          </cell>
          <cell r="AB56">
            <v>0.97228661749209699</v>
          </cell>
          <cell r="AC56">
            <v>3.9999999999999994E-2</v>
          </cell>
          <cell r="AD56">
            <v>0.89912621836707329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38</v>
          </cell>
          <cell r="AS56">
            <v>39</v>
          </cell>
          <cell r="AT56">
            <v>13908</v>
          </cell>
          <cell r="AU56">
            <v>14274</v>
          </cell>
          <cell r="AV56">
            <v>0.97435897435897445</v>
          </cell>
          <cell r="AW56">
            <v>0.97435897435897445</v>
          </cell>
          <cell r="AX56">
            <v>3.9999999999999994E-2</v>
          </cell>
          <cell r="AY56">
            <v>1.0099325814715066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H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E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B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Q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F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U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P56">
            <v>0</v>
          </cell>
          <cell r="KQ56">
            <v>0</v>
          </cell>
          <cell r="KR56">
            <v>0</v>
          </cell>
          <cell r="KT56">
            <v>0</v>
          </cell>
          <cell r="KV56">
            <v>0</v>
          </cell>
          <cell r="KW56">
            <v>0</v>
          </cell>
          <cell r="KX56">
            <v>0</v>
          </cell>
          <cell r="KZ56">
            <v>0</v>
          </cell>
          <cell r="LA56">
            <v>0</v>
          </cell>
          <cell r="LB56">
            <v>0</v>
          </cell>
          <cell r="LD56">
            <v>0</v>
          </cell>
          <cell r="LF56">
            <v>0</v>
          </cell>
          <cell r="LG56">
            <v>0</v>
          </cell>
          <cell r="LH56">
            <v>0</v>
          </cell>
          <cell r="LJ56">
            <v>0</v>
          </cell>
          <cell r="LK56">
            <v>0</v>
          </cell>
          <cell r="LL56">
            <v>0</v>
          </cell>
          <cell r="LN56">
            <v>0</v>
          </cell>
          <cell r="LP56">
            <v>0</v>
          </cell>
          <cell r="LQ56">
            <v>0</v>
          </cell>
          <cell r="LR56">
            <v>0</v>
          </cell>
          <cell r="LT56" t="str">
            <v>925-51</v>
          </cell>
        </row>
        <row r="57">
          <cell r="B57">
            <v>103</v>
          </cell>
          <cell r="C57">
            <v>106</v>
          </cell>
          <cell r="D57">
            <v>37595</v>
          </cell>
          <cell r="E57">
            <v>38690</v>
          </cell>
          <cell r="F57">
            <v>0.97169811320754718</v>
          </cell>
          <cell r="G57">
            <v>0.97169811320754718</v>
          </cell>
          <cell r="H57">
            <v>3.9999999999999994E-2</v>
          </cell>
          <cell r="I57">
            <v>0.84281156608517804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103.99589041095891</v>
          </cell>
          <cell r="X57">
            <v>106</v>
          </cell>
          <cell r="Y57">
            <v>37958.5</v>
          </cell>
          <cell r="Z57">
            <v>38690</v>
          </cell>
          <cell r="AA57">
            <v>0.98109330576376319</v>
          </cell>
          <cell r="AB57">
            <v>0.98109330576376319</v>
          </cell>
          <cell r="AC57">
            <v>3.9999999999999994E-2</v>
          </cell>
          <cell r="AD57">
            <v>0.73811793400367565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103</v>
          </cell>
          <cell r="AS57">
            <v>106</v>
          </cell>
          <cell r="AT57">
            <v>37698</v>
          </cell>
          <cell r="AU57">
            <v>38796</v>
          </cell>
          <cell r="AV57">
            <v>0.97169811320754718</v>
          </cell>
          <cell r="AW57">
            <v>0.97169811320754718</v>
          </cell>
          <cell r="AX57">
            <v>4.3333333333333335E-2</v>
          </cell>
          <cell r="AY57">
            <v>0.83065700010863364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H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E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B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Q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F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U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P57">
            <v>0</v>
          </cell>
          <cell r="KQ57">
            <v>0</v>
          </cell>
          <cell r="KR57">
            <v>0</v>
          </cell>
          <cell r="KT57">
            <v>0</v>
          </cell>
          <cell r="KV57">
            <v>0</v>
          </cell>
          <cell r="KW57">
            <v>0</v>
          </cell>
          <cell r="KX57">
            <v>0</v>
          </cell>
          <cell r="KZ57">
            <v>0</v>
          </cell>
          <cell r="LA57">
            <v>0</v>
          </cell>
          <cell r="LB57">
            <v>0</v>
          </cell>
          <cell r="LD57">
            <v>0</v>
          </cell>
          <cell r="LF57">
            <v>0</v>
          </cell>
          <cell r="LG57">
            <v>0</v>
          </cell>
          <cell r="LH57">
            <v>0</v>
          </cell>
          <cell r="LJ57">
            <v>0</v>
          </cell>
          <cell r="LK57">
            <v>0</v>
          </cell>
          <cell r="LL57">
            <v>0</v>
          </cell>
          <cell r="LN57">
            <v>0</v>
          </cell>
          <cell r="LP57">
            <v>0</v>
          </cell>
          <cell r="LQ57">
            <v>0</v>
          </cell>
          <cell r="LR57">
            <v>0</v>
          </cell>
          <cell r="LT57" t="str">
            <v>925-Entity</v>
          </cell>
        </row>
        <row r="58">
          <cell r="B58">
            <v>2713.3095890410964</v>
          </cell>
          <cell r="C58">
            <v>2989</v>
          </cell>
          <cell r="D58">
            <v>990358</v>
          </cell>
          <cell r="E58">
            <v>1090985</v>
          </cell>
          <cell r="F58">
            <v>0.90776500135198923</v>
          </cell>
          <cell r="G58">
            <v>0.90776500135198923</v>
          </cell>
          <cell r="H58">
            <v>5.7976190476190487E-2</v>
          </cell>
          <cell r="I58">
            <v>0.9926275830643756</v>
          </cell>
          <cell r="J58">
            <v>68.094002763333336</v>
          </cell>
          <cell r="K58">
            <v>44.57094965000001</v>
          </cell>
          <cell r="L58">
            <v>207.69137448999996</v>
          </cell>
          <cell r="M58">
            <v>1.6161626600000003</v>
          </cell>
          <cell r="N58">
            <v>191.34307769</v>
          </cell>
          <cell r="O58">
            <v>4.1706281000000009</v>
          </cell>
          <cell r="P58">
            <v>4330.5000000000009</v>
          </cell>
          <cell r="Q58">
            <v>3056.5400000000004</v>
          </cell>
          <cell r="R58">
            <v>1285.27</v>
          </cell>
          <cell r="S58">
            <v>1187.3000000000002</v>
          </cell>
          <cell r="T58">
            <v>4146.130000000001</v>
          </cell>
          <cell r="U58">
            <v>489.06000000000012</v>
          </cell>
          <cell r="W58">
            <v>2569.9602672458718</v>
          </cell>
          <cell r="X58">
            <v>2991.8153435196018</v>
          </cell>
          <cell r="Y58">
            <v>938038.12</v>
          </cell>
          <cell r="Z58">
            <v>1092012</v>
          </cell>
          <cell r="AA58">
            <v>0.85899982784071971</v>
          </cell>
          <cell r="AB58">
            <v>0.85980844832880376</v>
          </cell>
          <cell r="AC58">
            <v>5.7976190476190487E-2</v>
          </cell>
          <cell r="AD58">
            <v>0.99842950246526796</v>
          </cell>
          <cell r="AE58">
            <v>47.801798478327889</v>
          </cell>
          <cell r="AF58">
            <v>25.618740782484597</v>
          </cell>
          <cell r="AG58">
            <v>199.02213773351252</v>
          </cell>
          <cell r="AH58">
            <v>3.7818255908259868</v>
          </cell>
          <cell r="AI58">
            <v>181.26431684989765</v>
          </cell>
          <cell r="AJ58">
            <v>11.753936315322573</v>
          </cell>
          <cell r="AK58">
            <v>4706.9171268420359</v>
          </cell>
          <cell r="AL58">
            <v>3698.3632413320961</v>
          </cell>
          <cell r="AM58">
            <v>1397.2565141439325</v>
          </cell>
          <cell r="AN58">
            <v>1303.6473089209526</v>
          </cell>
          <cell r="AO58">
            <v>3922.048912491899</v>
          </cell>
          <cell r="AP58">
            <v>564.7464874139182</v>
          </cell>
          <cell r="AR58">
            <v>2215.4718579234973</v>
          </cell>
          <cell r="AS58">
            <v>2988</v>
          </cell>
          <cell r="AT58">
            <v>810862.7</v>
          </cell>
          <cell r="AU58">
            <v>1093608</v>
          </cell>
          <cell r="AV58">
            <v>0.74145644508818509</v>
          </cell>
          <cell r="AW58">
            <v>0.74145644508818509</v>
          </cell>
          <cell r="AX58">
            <v>3.6011904761904759E-2</v>
          </cell>
          <cell r="AY58">
            <v>0.96189107250136563</v>
          </cell>
          <cell r="AZ58">
            <v>38.972565833333334</v>
          </cell>
          <cell r="BA58">
            <v>11.584771249999998</v>
          </cell>
          <cell r="BB58">
            <v>153.29725791666667</v>
          </cell>
          <cell r="BC58">
            <v>1.841105</v>
          </cell>
          <cell r="BD58">
            <v>146.20118499999998</v>
          </cell>
          <cell r="BE58">
            <v>2.7536495833333334</v>
          </cell>
          <cell r="BF58">
            <v>5010.3899999999985</v>
          </cell>
          <cell r="BG58">
            <v>3731.9299999999989</v>
          </cell>
          <cell r="BH58">
            <v>1356.2299999999998</v>
          </cell>
          <cell r="BI58">
            <v>664.27355776782508</v>
          </cell>
          <cell r="BJ58">
            <v>4255.57</v>
          </cell>
          <cell r="BK58">
            <v>509.77999999999975</v>
          </cell>
          <cell r="BM58">
            <v>0</v>
          </cell>
          <cell r="BN58">
            <v>1</v>
          </cell>
          <cell r="BO58">
            <v>0</v>
          </cell>
          <cell r="BP58">
            <v>0</v>
          </cell>
          <cell r="BQ58">
            <v>9</v>
          </cell>
          <cell r="BR58">
            <v>16</v>
          </cell>
          <cell r="BS58">
            <v>0</v>
          </cell>
          <cell r="BT58">
            <v>1</v>
          </cell>
          <cell r="BU58">
            <v>19</v>
          </cell>
          <cell r="BV58">
            <v>1</v>
          </cell>
          <cell r="BW58">
            <v>55.000000000000021</v>
          </cell>
          <cell r="BX58">
            <v>36</v>
          </cell>
          <cell r="BY58">
            <v>2</v>
          </cell>
          <cell r="BZ58">
            <v>1</v>
          </cell>
          <cell r="CA58">
            <v>13.000000000000002</v>
          </cell>
          <cell r="CB58">
            <v>32.000000000000007</v>
          </cell>
          <cell r="CC58">
            <v>19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6.9999999999999991</v>
          </cell>
          <cell r="CI58">
            <v>9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1</v>
          </cell>
          <cell r="CO58">
            <v>0</v>
          </cell>
          <cell r="CP58">
            <v>20</v>
          </cell>
          <cell r="CQ58">
            <v>0</v>
          </cell>
          <cell r="CR58">
            <v>0</v>
          </cell>
          <cell r="CS58">
            <v>0</v>
          </cell>
          <cell r="CT58">
            <v>8</v>
          </cell>
          <cell r="CU58">
            <v>9</v>
          </cell>
          <cell r="CV58">
            <v>33.999999999999993</v>
          </cell>
          <cell r="CW58">
            <v>38</v>
          </cell>
          <cell r="CX58">
            <v>1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13.999999999999998</v>
          </cell>
          <cell r="DH58">
            <v>346</v>
          </cell>
          <cell r="DJ58">
            <v>0</v>
          </cell>
          <cell r="DK58">
            <v>1</v>
          </cell>
          <cell r="DL58">
            <v>0</v>
          </cell>
          <cell r="DM58">
            <v>0</v>
          </cell>
          <cell r="DN58">
            <v>9</v>
          </cell>
          <cell r="DO58">
            <v>16</v>
          </cell>
          <cell r="DP58">
            <v>0</v>
          </cell>
          <cell r="DQ58">
            <v>1</v>
          </cell>
          <cell r="DR58">
            <v>19</v>
          </cell>
          <cell r="DS58">
            <v>1</v>
          </cell>
          <cell r="DT58">
            <v>55.000000000000021</v>
          </cell>
          <cell r="DU58">
            <v>36</v>
          </cell>
          <cell r="DV58">
            <v>2</v>
          </cell>
          <cell r="DW58">
            <v>1</v>
          </cell>
          <cell r="DX58">
            <v>13.000000000000002</v>
          </cell>
          <cell r="DY58">
            <v>32.000000000000007</v>
          </cell>
          <cell r="DZ58">
            <v>19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6.9999999999999991</v>
          </cell>
          <cell r="EF58">
            <v>9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1</v>
          </cell>
          <cell r="EL58">
            <v>0</v>
          </cell>
          <cell r="EM58">
            <v>20</v>
          </cell>
          <cell r="EN58">
            <v>0</v>
          </cell>
          <cell r="EO58">
            <v>0</v>
          </cell>
          <cell r="EP58">
            <v>0</v>
          </cell>
          <cell r="EQ58">
            <v>8</v>
          </cell>
          <cell r="ER58">
            <v>9</v>
          </cell>
          <cell r="ES58">
            <v>33.999999999999993</v>
          </cell>
          <cell r="ET58">
            <v>38</v>
          </cell>
          <cell r="EU58">
            <v>1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13.999999999999998</v>
          </cell>
          <cell r="FE58">
            <v>346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12</v>
          </cell>
          <cell r="FL58">
            <v>15</v>
          </cell>
          <cell r="FM58">
            <v>0</v>
          </cell>
          <cell r="FN58">
            <v>1</v>
          </cell>
          <cell r="FO58">
            <v>19</v>
          </cell>
          <cell r="FP58">
            <v>1</v>
          </cell>
          <cell r="FQ58">
            <v>52.999999999999993</v>
          </cell>
          <cell r="FR58">
            <v>37</v>
          </cell>
          <cell r="FS58">
            <v>1</v>
          </cell>
          <cell r="FT58">
            <v>0</v>
          </cell>
          <cell r="FU58">
            <v>10</v>
          </cell>
          <cell r="FV58">
            <v>32</v>
          </cell>
          <cell r="FW58">
            <v>24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9</v>
          </cell>
          <cell r="GC58">
            <v>10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23</v>
          </cell>
          <cell r="GK58">
            <v>0</v>
          </cell>
          <cell r="GL58">
            <v>0</v>
          </cell>
          <cell r="GM58">
            <v>0</v>
          </cell>
          <cell r="GN58">
            <v>6.9999999999999991</v>
          </cell>
          <cell r="GO58">
            <v>9</v>
          </cell>
          <cell r="GP58">
            <v>36</v>
          </cell>
          <cell r="GQ58">
            <v>46.999999999999993</v>
          </cell>
          <cell r="GR58">
            <v>0</v>
          </cell>
          <cell r="GS58">
            <v>0</v>
          </cell>
          <cell r="GT58">
            <v>0</v>
          </cell>
          <cell r="GU58">
            <v>1</v>
          </cell>
          <cell r="GV58">
            <v>2</v>
          </cell>
          <cell r="GW58">
            <v>2</v>
          </cell>
          <cell r="GX58">
            <v>1</v>
          </cell>
          <cell r="GY58">
            <v>2</v>
          </cell>
          <cell r="GZ58">
            <v>9</v>
          </cell>
          <cell r="HB58">
            <v>363</v>
          </cell>
          <cell r="HD58">
            <v>2</v>
          </cell>
          <cell r="HE58">
            <v>4</v>
          </cell>
          <cell r="HF58">
            <v>3</v>
          </cell>
          <cell r="HG58">
            <v>2</v>
          </cell>
          <cell r="HH58">
            <v>1</v>
          </cell>
          <cell r="HI58">
            <v>2</v>
          </cell>
          <cell r="HJ58">
            <v>2</v>
          </cell>
          <cell r="HK58">
            <v>1</v>
          </cell>
          <cell r="HL58">
            <v>3</v>
          </cell>
          <cell r="HM58">
            <v>1</v>
          </cell>
          <cell r="HN58">
            <v>13.999999999999998</v>
          </cell>
          <cell r="HO58">
            <v>3</v>
          </cell>
          <cell r="HQ58">
            <v>38</v>
          </cell>
          <cell r="HS58">
            <v>2</v>
          </cell>
          <cell r="HT58">
            <v>4</v>
          </cell>
          <cell r="HU58">
            <v>3</v>
          </cell>
          <cell r="HV58">
            <v>2</v>
          </cell>
          <cell r="HW58">
            <v>1</v>
          </cell>
          <cell r="HX58">
            <v>2</v>
          </cell>
          <cell r="HY58">
            <v>2</v>
          </cell>
          <cell r="HZ58">
            <v>1</v>
          </cell>
          <cell r="IA58">
            <v>3</v>
          </cell>
          <cell r="IB58">
            <v>1</v>
          </cell>
          <cell r="IC58">
            <v>13.999999999999998</v>
          </cell>
          <cell r="ID58">
            <v>3</v>
          </cell>
          <cell r="IF58">
            <v>38</v>
          </cell>
          <cell r="IH58">
            <v>2</v>
          </cell>
          <cell r="II58">
            <v>4</v>
          </cell>
          <cell r="IJ58">
            <v>3</v>
          </cell>
          <cell r="IK58">
            <v>2</v>
          </cell>
          <cell r="IL58">
            <v>1</v>
          </cell>
          <cell r="IM58">
            <v>2</v>
          </cell>
          <cell r="IN58">
            <v>2</v>
          </cell>
          <cell r="IO58">
            <v>1</v>
          </cell>
          <cell r="IP58">
            <v>3</v>
          </cell>
          <cell r="IQ58">
            <v>1</v>
          </cell>
          <cell r="IR58">
            <v>13.999999999999998</v>
          </cell>
          <cell r="IS58">
            <v>3</v>
          </cell>
          <cell r="IU58">
            <v>38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P58">
            <v>10.999999999999998</v>
          </cell>
          <cell r="KQ58">
            <v>39.000000000000007</v>
          </cell>
          <cell r="KR58">
            <v>6</v>
          </cell>
          <cell r="KT58">
            <v>19</v>
          </cell>
          <cell r="KV58">
            <v>10.999999999999998</v>
          </cell>
          <cell r="KW58">
            <v>20.000000000000007</v>
          </cell>
          <cell r="KX58">
            <v>6</v>
          </cell>
          <cell r="KZ58">
            <v>10.999999999999998</v>
          </cell>
          <cell r="LA58">
            <v>39.000000000000007</v>
          </cell>
          <cell r="LB58">
            <v>6</v>
          </cell>
          <cell r="LD58">
            <v>19</v>
          </cell>
          <cell r="LF58">
            <v>10.999999999999998</v>
          </cell>
          <cell r="LG58">
            <v>20.000000000000007</v>
          </cell>
          <cell r="LH58">
            <v>6</v>
          </cell>
          <cell r="LJ58">
            <v>11</v>
          </cell>
          <cell r="LK58">
            <v>39.000000000000007</v>
          </cell>
          <cell r="LL58">
            <v>6</v>
          </cell>
          <cell r="LN58">
            <v>19</v>
          </cell>
          <cell r="LP58">
            <v>11</v>
          </cell>
          <cell r="LQ58">
            <v>20.000000000000007</v>
          </cell>
          <cell r="LR58">
            <v>6</v>
          </cell>
          <cell r="LT58" t="str">
            <v>Asbury-Asbury</v>
          </cell>
        </row>
        <row r="59">
          <cell r="B59">
            <v>2713.3095890410964</v>
          </cell>
          <cell r="C59">
            <v>2989</v>
          </cell>
          <cell r="D59">
            <v>990358</v>
          </cell>
          <cell r="E59">
            <v>1090985</v>
          </cell>
          <cell r="F59">
            <v>0.90776500135198923</v>
          </cell>
          <cell r="G59">
            <v>0.90776500135198923</v>
          </cell>
          <cell r="H59">
            <v>5.7976190476190487E-2</v>
          </cell>
          <cell r="I59">
            <v>0.99112872043527001</v>
          </cell>
          <cell r="J59">
            <v>68.094002763333336</v>
          </cell>
          <cell r="K59">
            <v>44.57094965000001</v>
          </cell>
          <cell r="L59">
            <v>207.69137448999996</v>
          </cell>
          <cell r="M59">
            <v>1.6161626600000003</v>
          </cell>
          <cell r="N59">
            <v>191.34307769</v>
          </cell>
          <cell r="O59">
            <v>4.1706281000000009</v>
          </cell>
          <cell r="P59">
            <v>4330.5000000000009</v>
          </cell>
          <cell r="Q59">
            <v>3056.5400000000004</v>
          </cell>
          <cell r="R59">
            <v>1285.27</v>
          </cell>
          <cell r="S59">
            <v>1187.3000000000002</v>
          </cell>
          <cell r="T59">
            <v>4146.130000000001</v>
          </cell>
          <cell r="U59">
            <v>489.06000000000012</v>
          </cell>
          <cell r="W59">
            <v>2569.9602672458718</v>
          </cell>
          <cell r="X59">
            <v>2991.8153435196018</v>
          </cell>
          <cell r="Y59">
            <v>938038.12</v>
          </cell>
          <cell r="Z59">
            <v>1092012</v>
          </cell>
          <cell r="AA59">
            <v>0.85899982784071971</v>
          </cell>
          <cell r="AB59">
            <v>0.85980844832880376</v>
          </cell>
          <cell r="AC59">
            <v>5.7976190476190487E-2</v>
          </cell>
          <cell r="AD59">
            <v>0.99849876975570118</v>
          </cell>
          <cell r="AE59">
            <v>47.801798478327889</v>
          </cell>
          <cell r="AF59">
            <v>25.618740782484597</v>
          </cell>
          <cell r="AG59">
            <v>199.02213773351252</v>
          </cell>
          <cell r="AH59">
            <v>3.7818255908259868</v>
          </cell>
          <cell r="AI59">
            <v>181.26431684989765</v>
          </cell>
          <cell r="AJ59">
            <v>11.753936315322573</v>
          </cell>
          <cell r="AK59">
            <v>4706.9171268420359</v>
          </cell>
          <cell r="AL59">
            <v>3698.3632413320961</v>
          </cell>
          <cell r="AM59">
            <v>1397.2565141439325</v>
          </cell>
          <cell r="AN59">
            <v>1303.6473089209526</v>
          </cell>
          <cell r="AO59">
            <v>3922.048912491899</v>
          </cell>
          <cell r="AP59">
            <v>564.7464874139182</v>
          </cell>
          <cell r="AR59">
            <v>2215.4718579234973</v>
          </cell>
          <cell r="AS59">
            <v>2988</v>
          </cell>
          <cell r="AT59">
            <v>810862.7</v>
          </cell>
          <cell r="AU59">
            <v>1093608</v>
          </cell>
          <cell r="AV59">
            <v>0.74145644508818509</v>
          </cell>
          <cell r="AW59">
            <v>0.74145644508818509</v>
          </cell>
          <cell r="AX59">
            <v>3.6011904761904759E-2</v>
          </cell>
          <cell r="AY59">
            <v>0.95288210516528038</v>
          </cell>
          <cell r="AZ59">
            <v>38.972565833333334</v>
          </cell>
          <cell r="BA59">
            <v>11.584771249999998</v>
          </cell>
          <cell r="BB59">
            <v>153.29725791666667</v>
          </cell>
          <cell r="BC59">
            <v>1.841105</v>
          </cell>
          <cell r="BD59">
            <v>146.20118499999998</v>
          </cell>
          <cell r="BE59">
            <v>2.7536495833333334</v>
          </cell>
          <cell r="BF59">
            <v>5010.3899999999985</v>
          </cell>
          <cell r="BG59">
            <v>3731.9299999999989</v>
          </cell>
          <cell r="BH59">
            <v>1356.2299999999998</v>
          </cell>
          <cell r="BI59">
            <v>664.27355776782508</v>
          </cell>
          <cell r="BJ59">
            <v>4255.57</v>
          </cell>
          <cell r="BK59">
            <v>509.77999999999975</v>
          </cell>
          <cell r="BM59">
            <v>0</v>
          </cell>
          <cell r="BN59">
            <v>1</v>
          </cell>
          <cell r="BO59">
            <v>0</v>
          </cell>
          <cell r="BP59">
            <v>0</v>
          </cell>
          <cell r="BQ59">
            <v>9</v>
          </cell>
          <cell r="BR59">
            <v>16</v>
          </cell>
          <cell r="BS59">
            <v>0</v>
          </cell>
          <cell r="BT59">
            <v>1</v>
          </cell>
          <cell r="BU59">
            <v>19</v>
          </cell>
          <cell r="BV59">
            <v>1</v>
          </cell>
          <cell r="BW59">
            <v>55.000000000000021</v>
          </cell>
          <cell r="BX59">
            <v>36</v>
          </cell>
          <cell r="BY59">
            <v>2</v>
          </cell>
          <cell r="BZ59">
            <v>1</v>
          </cell>
          <cell r="CA59">
            <v>13.000000000000002</v>
          </cell>
          <cell r="CB59">
            <v>32.000000000000007</v>
          </cell>
          <cell r="CC59">
            <v>19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6.9999999999999991</v>
          </cell>
          <cell r="CI59">
            <v>9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1</v>
          </cell>
          <cell r="CO59">
            <v>0</v>
          </cell>
          <cell r="CP59">
            <v>20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9</v>
          </cell>
          <cell r="CV59">
            <v>33.999999999999993</v>
          </cell>
          <cell r="CW59">
            <v>38</v>
          </cell>
          <cell r="CX59">
            <v>1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13.999999999999998</v>
          </cell>
          <cell r="DH59">
            <v>346</v>
          </cell>
          <cell r="DJ59">
            <v>0</v>
          </cell>
          <cell r="DK59">
            <v>1</v>
          </cell>
          <cell r="DL59">
            <v>0</v>
          </cell>
          <cell r="DM59">
            <v>0</v>
          </cell>
          <cell r="DN59">
            <v>9</v>
          </cell>
          <cell r="DO59">
            <v>16</v>
          </cell>
          <cell r="DP59">
            <v>0</v>
          </cell>
          <cell r="DQ59">
            <v>1</v>
          </cell>
          <cell r="DR59">
            <v>19</v>
          </cell>
          <cell r="DS59">
            <v>1</v>
          </cell>
          <cell r="DT59">
            <v>55.000000000000021</v>
          </cell>
          <cell r="DU59">
            <v>36</v>
          </cell>
          <cell r="DV59">
            <v>2</v>
          </cell>
          <cell r="DW59">
            <v>1</v>
          </cell>
          <cell r="DX59">
            <v>13.000000000000002</v>
          </cell>
          <cell r="DY59">
            <v>32.000000000000007</v>
          </cell>
          <cell r="DZ59">
            <v>19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6.9999999999999991</v>
          </cell>
          <cell r="EF59">
            <v>9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1</v>
          </cell>
          <cell r="EL59">
            <v>0</v>
          </cell>
          <cell r="EM59">
            <v>20</v>
          </cell>
          <cell r="EN59">
            <v>0</v>
          </cell>
          <cell r="EO59">
            <v>0</v>
          </cell>
          <cell r="EP59">
            <v>0</v>
          </cell>
          <cell r="EQ59">
            <v>8</v>
          </cell>
          <cell r="ER59">
            <v>9</v>
          </cell>
          <cell r="ES59">
            <v>33.999999999999993</v>
          </cell>
          <cell r="ET59">
            <v>38</v>
          </cell>
          <cell r="EU59">
            <v>1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13.999999999999998</v>
          </cell>
          <cell r="FE59">
            <v>346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12</v>
          </cell>
          <cell r="FL59">
            <v>15</v>
          </cell>
          <cell r="FM59">
            <v>0</v>
          </cell>
          <cell r="FN59">
            <v>1</v>
          </cell>
          <cell r="FO59">
            <v>19</v>
          </cell>
          <cell r="FP59">
            <v>1</v>
          </cell>
          <cell r="FQ59">
            <v>52.999999999999993</v>
          </cell>
          <cell r="FR59">
            <v>37</v>
          </cell>
          <cell r="FS59">
            <v>1</v>
          </cell>
          <cell r="FT59">
            <v>0</v>
          </cell>
          <cell r="FU59">
            <v>10</v>
          </cell>
          <cell r="FV59">
            <v>32</v>
          </cell>
          <cell r="FW59">
            <v>24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9</v>
          </cell>
          <cell r="GC59">
            <v>10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23</v>
          </cell>
          <cell r="GK59">
            <v>0</v>
          </cell>
          <cell r="GL59">
            <v>0</v>
          </cell>
          <cell r="GM59">
            <v>0</v>
          </cell>
          <cell r="GN59">
            <v>6.9999999999999991</v>
          </cell>
          <cell r="GO59">
            <v>9</v>
          </cell>
          <cell r="GP59">
            <v>36</v>
          </cell>
          <cell r="GQ59">
            <v>46.999999999999993</v>
          </cell>
          <cell r="GR59">
            <v>0</v>
          </cell>
          <cell r="GS59">
            <v>0</v>
          </cell>
          <cell r="GT59">
            <v>0</v>
          </cell>
          <cell r="GU59">
            <v>1</v>
          </cell>
          <cell r="GV59">
            <v>2</v>
          </cell>
          <cell r="GW59">
            <v>2</v>
          </cell>
          <cell r="GX59">
            <v>1</v>
          </cell>
          <cell r="GY59">
            <v>2</v>
          </cell>
          <cell r="GZ59">
            <v>9</v>
          </cell>
          <cell r="HB59">
            <v>363</v>
          </cell>
          <cell r="HD59">
            <v>2</v>
          </cell>
          <cell r="HE59">
            <v>4</v>
          </cell>
          <cell r="HF59">
            <v>3</v>
          </cell>
          <cell r="HG59">
            <v>2</v>
          </cell>
          <cell r="HH59">
            <v>1</v>
          </cell>
          <cell r="HI59">
            <v>2</v>
          </cell>
          <cell r="HJ59">
            <v>2</v>
          </cell>
          <cell r="HK59">
            <v>1</v>
          </cell>
          <cell r="HL59">
            <v>3</v>
          </cell>
          <cell r="HM59">
            <v>1</v>
          </cell>
          <cell r="HN59">
            <v>13.999999999999998</v>
          </cell>
          <cell r="HO59">
            <v>3</v>
          </cell>
          <cell r="HQ59">
            <v>38</v>
          </cell>
          <cell r="HS59">
            <v>2</v>
          </cell>
          <cell r="HT59">
            <v>4</v>
          </cell>
          <cell r="HU59">
            <v>3</v>
          </cell>
          <cell r="HV59">
            <v>2</v>
          </cell>
          <cell r="HW59">
            <v>1</v>
          </cell>
          <cell r="HX59">
            <v>2</v>
          </cell>
          <cell r="HY59">
            <v>2</v>
          </cell>
          <cell r="HZ59">
            <v>1</v>
          </cell>
          <cell r="IA59">
            <v>3</v>
          </cell>
          <cell r="IB59">
            <v>1</v>
          </cell>
          <cell r="IC59">
            <v>13.999999999999998</v>
          </cell>
          <cell r="ID59">
            <v>3</v>
          </cell>
          <cell r="IF59">
            <v>38</v>
          </cell>
          <cell r="IH59">
            <v>2</v>
          </cell>
          <cell r="II59">
            <v>4</v>
          </cell>
          <cell r="IJ59">
            <v>3</v>
          </cell>
          <cell r="IK59">
            <v>2</v>
          </cell>
          <cell r="IL59">
            <v>1</v>
          </cell>
          <cell r="IM59">
            <v>2</v>
          </cell>
          <cell r="IN59">
            <v>2</v>
          </cell>
          <cell r="IO59">
            <v>1</v>
          </cell>
          <cell r="IP59">
            <v>3</v>
          </cell>
          <cell r="IQ59">
            <v>1</v>
          </cell>
          <cell r="IR59">
            <v>13.999999999999998</v>
          </cell>
          <cell r="IS59">
            <v>3</v>
          </cell>
          <cell r="IU59">
            <v>38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P59">
            <v>10.999999999999998</v>
          </cell>
          <cell r="KQ59">
            <v>39.000000000000007</v>
          </cell>
          <cell r="KR59">
            <v>6</v>
          </cell>
          <cell r="KT59">
            <v>19</v>
          </cell>
          <cell r="KV59">
            <v>10.999999999999998</v>
          </cell>
          <cell r="KW59">
            <v>20.000000000000007</v>
          </cell>
          <cell r="KX59">
            <v>6</v>
          </cell>
          <cell r="KZ59">
            <v>10.999999999999998</v>
          </cell>
          <cell r="LA59">
            <v>39.000000000000007</v>
          </cell>
          <cell r="LB59">
            <v>6</v>
          </cell>
          <cell r="LD59">
            <v>19</v>
          </cell>
          <cell r="LF59">
            <v>10.999999999999998</v>
          </cell>
          <cell r="LG59">
            <v>20.000000000000007</v>
          </cell>
          <cell r="LH59">
            <v>6</v>
          </cell>
          <cell r="LJ59">
            <v>11</v>
          </cell>
          <cell r="LK59">
            <v>39.000000000000007</v>
          </cell>
          <cell r="LL59">
            <v>6</v>
          </cell>
          <cell r="LN59">
            <v>19</v>
          </cell>
          <cell r="LP59">
            <v>11</v>
          </cell>
          <cell r="LQ59">
            <v>20.000000000000007</v>
          </cell>
          <cell r="LR59">
            <v>6</v>
          </cell>
          <cell r="LT59" t="str">
            <v>Asbury (Consolidated)-Asbury (Consolidated)</v>
          </cell>
        </row>
        <row r="60">
          <cell r="B60">
            <v>48</v>
          </cell>
          <cell r="C60">
            <v>52</v>
          </cell>
          <cell r="D60">
            <v>17520</v>
          </cell>
          <cell r="E60">
            <v>18980</v>
          </cell>
          <cell r="F60">
            <v>0.92307692307692324</v>
          </cell>
          <cell r="G60">
            <v>0.92307692307692324</v>
          </cell>
          <cell r="H60">
            <v>7.9999999999999988E-2</v>
          </cell>
          <cell r="I60">
            <v>0.63737150903302131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50.42739726027397</v>
          </cell>
          <cell r="X60">
            <v>52</v>
          </cell>
          <cell r="Y60">
            <v>18406</v>
          </cell>
          <cell r="Z60">
            <v>18980</v>
          </cell>
          <cell r="AA60">
            <v>0.9697576396206532</v>
          </cell>
          <cell r="AB60">
            <v>0.9697576396206532</v>
          </cell>
          <cell r="AC60">
            <v>7.9999999999999988E-2</v>
          </cell>
          <cell r="AD60">
            <v>0.40267899887416686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50</v>
          </cell>
          <cell r="AS60">
            <v>52</v>
          </cell>
          <cell r="AT60">
            <v>18300</v>
          </cell>
          <cell r="AU60">
            <v>19032</v>
          </cell>
          <cell r="AV60">
            <v>0.96153846153846156</v>
          </cell>
          <cell r="AW60">
            <v>0.96153846153846156</v>
          </cell>
          <cell r="AX60">
            <v>0.05</v>
          </cell>
          <cell r="AY60">
            <v>0.1231965526598774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H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E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1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B60">
            <v>1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Q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F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U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P60">
            <v>0</v>
          </cell>
          <cell r="KQ60">
            <v>0</v>
          </cell>
          <cell r="KR60">
            <v>0</v>
          </cell>
          <cell r="KT60">
            <v>0</v>
          </cell>
          <cell r="KV60">
            <v>0</v>
          </cell>
          <cell r="KW60">
            <v>0</v>
          </cell>
          <cell r="KX60">
            <v>0</v>
          </cell>
          <cell r="KZ60">
            <v>0</v>
          </cell>
          <cell r="LA60">
            <v>0</v>
          </cell>
          <cell r="LB60">
            <v>0</v>
          </cell>
          <cell r="LD60">
            <v>0</v>
          </cell>
          <cell r="LF60">
            <v>0</v>
          </cell>
          <cell r="LG60">
            <v>0</v>
          </cell>
          <cell r="LH60">
            <v>0</v>
          </cell>
          <cell r="LJ60">
            <v>0</v>
          </cell>
          <cell r="LK60">
            <v>0</v>
          </cell>
          <cell r="LL60">
            <v>0</v>
          </cell>
          <cell r="LN60">
            <v>0</v>
          </cell>
          <cell r="LP60">
            <v>0</v>
          </cell>
          <cell r="LQ60">
            <v>0</v>
          </cell>
          <cell r="LR60">
            <v>0</v>
          </cell>
          <cell r="LT60" t="str">
            <v>835-21</v>
          </cell>
        </row>
        <row r="61">
          <cell r="B61">
            <v>72.929999999999993</v>
          </cell>
          <cell r="C61">
            <v>78</v>
          </cell>
          <cell r="D61">
            <v>26619.450000000008</v>
          </cell>
          <cell r="E61">
            <v>28470</v>
          </cell>
          <cell r="F61">
            <v>0.93500000000000039</v>
          </cell>
          <cell r="G61">
            <v>0.93500000000000039</v>
          </cell>
          <cell r="H61">
            <v>7.9999999999999988E-2</v>
          </cell>
          <cell r="I61">
            <v>2.4166115936996184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70.704109589041096</v>
          </cell>
          <cell r="X61">
            <v>78</v>
          </cell>
          <cell r="Y61">
            <v>25807</v>
          </cell>
          <cell r="Z61">
            <v>28470</v>
          </cell>
          <cell r="AA61">
            <v>0.90646294344924483</v>
          </cell>
          <cell r="AB61">
            <v>0.90646294344924483</v>
          </cell>
          <cell r="AC61">
            <v>7.9999999999999988E-2</v>
          </cell>
          <cell r="AD61">
            <v>2.3973584541207633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72</v>
          </cell>
          <cell r="AS61">
            <v>78</v>
          </cell>
          <cell r="AT61">
            <v>26352</v>
          </cell>
          <cell r="AU61">
            <v>28548</v>
          </cell>
          <cell r="AV61">
            <v>0.92307692307692324</v>
          </cell>
          <cell r="AW61">
            <v>0.92307692307692324</v>
          </cell>
          <cell r="AX61">
            <v>0.05</v>
          </cell>
          <cell r="AY61">
            <v>1.6639768130359609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5</v>
          </cell>
          <cell r="CR61">
            <v>0</v>
          </cell>
          <cell r="CS61">
            <v>13.999999999999998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H61">
            <v>19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5</v>
          </cell>
          <cell r="EO61">
            <v>0</v>
          </cell>
          <cell r="EP61">
            <v>13.999999999999998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E61">
            <v>19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4</v>
          </cell>
          <cell r="GL61">
            <v>0</v>
          </cell>
          <cell r="GM61">
            <v>13.000000000000002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B61">
            <v>17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Q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F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U61">
            <v>0</v>
          </cell>
          <cell r="IW61">
            <v>19</v>
          </cell>
          <cell r="IX61">
            <v>78.000000000000014</v>
          </cell>
          <cell r="IY61">
            <v>0</v>
          </cell>
          <cell r="IZ61">
            <v>0</v>
          </cell>
          <cell r="JB61">
            <v>5</v>
          </cell>
          <cell r="JC61">
            <v>13.999999999999998</v>
          </cell>
          <cell r="JD61">
            <v>0</v>
          </cell>
          <cell r="JE61">
            <v>0</v>
          </cell>
          <cell r="JG61">
            <v>5</v>
          </cell>
          <cell r="JH61">
            <v>13.999999999999998</v>
          </cell>
          <cell r="JI61">
            <v>14</v>
          </cell>
          <cell r="JJ61">
            <v>64.000000000000014</v>
          </cell>
          <cell r="JL61">
            <v>19</v>
          </cell>
          <cell r="JM61">
            <v>78.000000000000014</v>
          </cell>
          <cell r="JN61">
            <v>0</v>
          </cell>
          <cell r="JO61">
            <v>0</v>
          </cell>
          <cell r="JQ61">
            <v>5</v>
          </cell>
          <cell r="JR61">
            <v>13.999999999999998</v>
          </cell>
          <cell r="JS61">
            <v>0</v>
          </cell>
          <cell r="JT61">
            <v>0</v>
          </cell>
          <cell r="JV61">
            <v>5</v>
          </cell>
          <cell r="JW61">
            <v>13.999999999999998</v>
          </cell>
          <cell r="JX61">
            <v>14</v>
          </cell>
          <cell r="JY61">
            <v>64.000000000000014</v>
          </cell>
          <cell r="KA61">
            <v>17.999999999999996</v>
          </cell>
          <cell r="KB61">
            <v>77</v>
          </cell>
          <cell r="KC61">
            <v>0</v>
          </cell>
          <cell r="KD61">
            <v>0</v>
          </cell>
          <cell r="KF61">
            <v>4</v>
          </cell>
          <cell r="KG61">
            <v>13.000000000000002</v>
          </cell>
          <cell r="KH61">
            <v>0</v>
          </cell>
          <cell r="KI61">
            <v>0</v>
          </cell>
          <cell r="KK61">
            <v>4</v>
          </cell>
          <cell r="KL61">
            <v>13.000000000000002</v>
          </cell>
          <cell r="KM61">
            <v>13.999999999999996</v>
          </cell>
          <cell r="KN61">
            <v>64</v>
          </cell>
          <cell r="KP61">
            <v>0</v>
          </cell>
          <cell r="KQ61">
            <v>0</v>
          </cell>
          <cell r="KR61">
            <v>0</v>
          </cell>
          <cell r="KT61">
            <v>0</v>
          </cell>
          <cell r="KV61">
            <v>0</v>
          </cell>
          <cell r="KW61">
            <v>0</v>
          </cell>
          <cell r="KX61">
            <v>0</v>
          </cell>
          <cell r="KZ61">
            <v>0</v>
          </cell>
          <cell r="LA61">
            <v>0</v>
          </cell>
          <cell r="LB61">
            <v>0</v>
          </cell>
          <cell r="LD61">
            <v>0</v>
          </cell>
          <cell r="LF61">
            <v>0</v>
          </cell>
          <cell r="LG61">
            <v>0</v>
          </cell>
          <cell r="LH61">
            <v>0</v>
          </cell>
          <cell r="LJ61">
            <v>0</v>
          </cell>
          <cell r="LK61">
            <v>0</v>
          </cell>
          <cell r="LL61">
            <v>0</v>
          </cell>
          <cell r="LN61">
            <v>0</v>
          </cell>
          <cell r="LP61">
            <v>0</v>
          </cell>
          <cell r="LQ61">
            <v>0</v>
          </cell>
          <cell r="LR61">
            <v>0</v>
          </cell>
          <cell r="LT61" t="str">
            <v>835-31</v>
          </cell>
        </row>
        <row r="62">
          <cell r="B62">
            <v>36</v>
          </cell>
          <cell r="C62">
            <v>38</v>
          </cell>
          <cell r="D62">
            <v>13140</v>
          </cell>
          <cell r="E62">
            <v>13870</v>
          </cell>
          <cell r="F62">
            <v>0.94736842105263164</v>
          </cell>
          <cell r="G62">
            <v>0.94736842105263164</v>
          </cell>
          <cell r="H62">
            <v>7.9999999999999988E-2</v>
          </cell>
          <cell r="I62">
            <v>0.93744776147366404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34.104109589041094</v>
          </cell>
          <cell r="X62">
            <v>38</v>
          </cell>
          <cell r="Y62">
            <v>12448</v>
          </cell>
          <cell r="Z62">
            <v>13870</v>
          </cell>
          <cell r="AA62">
            <v>0.89747656813266041</v>
          </cell>
          <cell r="AB62">
            <v>0.89747656813266041</v>
          </cell>
          <cell r="AC62">
            <v>7.9999999999999988E-2</v>
          </cell>
          <cell r="AD62">
            <v>0.8773250960961444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35.340000000000003</v>
          </cell>
          <cell r="AS62">
            <v>38</v>
          </cell>
          <cell r="AT62">
            <v>12934.440000000004</v>
          </cell>
          <cell r="AU62">
            <v>13908</v>
          </cell>
          <cell r="AV62">
            <v>0.93000000000000038</v>
          </cell>
          <cell r="AW62">
            <v>0.93000000000000038</v>
          </cell>
          <cell r="AX62">
            <v>3.0000000000000009E-2</v>
          </cell>
          <cell r="AY62">
            <v>1.2433546229479606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3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H62">
            <v>3</v>
          </cell>
          <cell r="DJ62">
            <v>0</v>
          </cell>
          <cell r="DK62">
            <v>0</v>
          </cell>
          <cell r="DL62">
            <v>3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E62">
            <v>3</v>
          </cell>
          <cell r="FG62">
            <v>0</v>
          </cell>
          <cell r="FH62">
            <v>0</v>
          </cell>
          <cell r="FI62">
            <v>1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B62">
            <v>1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Q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F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U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P62">
            <v>0</v>
          </cell>
          <cell r="KQ62">
            <v>0</v>
          </cell>
          <cell r="KR62">
            <v>0</v>
          </cell>
          <cell r="KT62">
            <v>0</v>
          </cell>
          <cell r="KV62">
            <v>0</v>
          </cell>
          <cell r="KW62">
            <v>0</v>
          </cell>
          <cell r="KX62">
            <v>0</v>
          </cell>
          <cell r="KZ62">
            <v>0</v>
          </cell>
          <cell r="LA62">
            <v>0</v>
          </cell>
          <cell r="LB62">
            <v>0</v>
          </cell>
          <cell r="LD62">
            <v>0</v>
          </cell>
          <cell r="LF62">
            <v>0</v>
          </cell>
          <cell r="LG62">
            <v>0</v>
          </cell>
          <cell r="LH62">
            <v>0</v>
          </cell>
          <cell r="LJ62">
            <v>0</v>
          </cell>
          <cell r="LK62">
            <v>0</v>
          </cell>
          <cell r="LL62">
            <v>0</v>
          </cell>
          <cell r="LN62">
            <v>0</v>
          </cell>
          <cell r="LP62">
            <v>0</v>
          </cell>
          <cell r="LQ62">
            <v>0</v>
          </cell>
          <cell r="LR62">
            <v>0</v>
          </cell>
          <cell r="LT62" t="str">
            <v>835-51</v>
          </cell>
        </row>
        <row r="63">
          <cell r="B63">
            <v>90</v>
          </cell>
          <cell r="C63">
            <v>119</v>
          </cell>
          <cell r="D63">
            <v>32850</v>
          </cell>
          <cell r="E63">
            <v>43435</v>
          </cell>
          <cell r="F63">
            <v>0.75630252100840334</v>
          </cell>
          <cell r="G63">
            <v>0.75630252100840334</v>
          </cell>
          <cell r="H63">
            <v>8.8999999999999982E-2</v>
          </cell>
          <cell r="I63">
            <v>1.2305812111559395</v>
          </cell>
          <cell r="J63">
            <v>8.0999999999999979</v>
          </cell>
          <cell r="K63">
            <v>4.5</v>
          </cell>
          <cell r="L63">
            <v>57.203999999999986</v>
          </cell>
          <cell r="M63">
            <v>0.999</v>
          </cell>
          <cell r="N63">
            <v>19.196999999999999</v>
          </cell>
          <cell r="O63">
            <v>0</v>
          </cell>
          <cell r="P63">
            <v>539.08000000000015</v>
          </cell>
          <cell r="Q63">
            <v>384.00000000000006</v>
          </cell>
          <cell r="R63">
            <v>206</v>
          </cell>
          <cell r="S63">
            <v>212.08000000000007</v>
          </cell>
          <cell r="T63">
            <v>456.7600000000001</v>
          </cell>
          <cell r="U63">
            <v>0</v>
          </cell>
          <cell r="W63">
            <v>92.468493150684935</v>
          </cell>
          <cell r="X63">
            <v>119</v>
          </cell>
          <cell r="Y63">
            <v>33751</v>
          </cell>
          <cell r="Z63">
            <v>43435</v>
          </cell>
          <cell r="AA63">
            <v>0.77704616093012546</v>
          </cell>
          <cell r="AB63">
            <v>0.77704616093012546</v>
          </cell>
          <cell r="AC63">
            <v>8.8999999999999982E-2</v>
          </cell>
          <cell r="AD63">
            <v>1.0372969519123294</v>
          </cell>
          <cell r="AE63">
            <v>7.7705084752417974</v>
          </cell>
          <cell r="AF63">
            <v>7.658656131985083</v>
          </cell>
          <cell r="AG63">
            <v>57.208951597039622</v>
          </cell>
          <cell r="AH63">
            <v>2.9439045880335075</v>
          </cell>
          <cell r="AI63">
            <v>16.904717558954456</v>
          </cell>
          <cell r="AJ63">
            <v>0</v>
          </cell>
          <cell r="AK63">
            <v>539.80045999744266</v>
          </cell>
          <cell r="AL63">
            <v>373.89462997431701</v>
          </cell>
          <cell r="AM63">
            <v>214.58134700761681</v>
          </cell>
          <cell r="AN63">
            <v>238.46670011602976</v>
          </cell>
          <cell r="AO63">
            <v>431.80298100371016</v>
          </cell>
          <cell r="AP63">
            <v>0</v>
          </cell>
          <cell r="AR63">
            <v>92</v>
          </cell>
          <cell r="AS63">
            <v>119</v>
          </cell>
          <cell r="AT63">
            <v>33672</v>
          </cell>
          <cell r="AU63">
            <v>43554</v>
          </cell>
          <cell r="AV63">
            <v>0.77310924369747902</v>
          </cell>
          <cell r="AW63">
            <v>0.77310924369747902</v>
          </cell>
          <cell r="AX63">
            <v>3.0000000000000009E-2</v>
          </cell>
          <cell r="AY63">
            <v>1.4009447429982449</v>
          </cell>
          <cell r="AZ63">
            <v>8.2799999999999994</v>
          </cell>
          <cell r="BA63">
            <v>8.0003200000000003</v>
          </cell>
          <cell r="BB63">
            <v>58.015200000000014</v>
          </cell>
          <cell r="BC63">
            <v>3.70024</v>
          </cell>
          <cell r="BD63">
            <v>14.000560000000004</v>
          </cell>
          <cell r="BE63">
            <v>0</v>
          </cell>
          <cell r="BF63">
            <v>545.42999999999995</v>
          </cell>
          <cell r="BG63">
            <v>387.09999999999991</v>
          </cell>
          <cell r="BH63">
            <v>222.72999999999993</v>
          </cell>
          <cell r="BI63">
            <v>229.99999999999991</v>
          </cell>
          <cell r="BJ63">
            <v>435.68000000000006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H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E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B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Q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F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U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K63">
            <v>0</v>
          </cell>
          <cell r="KL63">
            <v>0</v>
          </cell>
          <cell r="KM63">
            <v>0</v>
          </cell>
          <cell r="KN63">
            <v>0</v>
          </cell>
          <cell r="KP63">
            <v>0</v>
          </cell>
          <cell r="KQ63">
            <v>0</v>
          </cell>
          <cell r="KR63">
            <v>0</v>
          </cell>
          <cell r="KT63">
            <v>0</v>
          </cell>
          <cell r="KV63">
            <v>0</v>
          </cell>
          <cell r="KW63">
            <v>0</v>
          </cell>
          <cell r="KX63">
            <v>0</v>
          </cell>
          <cell r="KZ63">
            <v>0</v>
          </cell>
          <cell r="LA63">
            <v>0</v>
          </cell>
          <cell r="LB63">
            <v>0</v>
          </cell>
          <cell r="LD63">
            <v>0</v>
          </cell>
          <cell r="LF63">
            <v>0</v>
          </cell>
          <cell r="LG63">
            <v>0</v>
          </cell>
          <cell r="LH63">
            <v>0</v>
          </cell>
          <cell r="LJ63">
            <v>0</v>
          </cell>
          <cell r="LK63">
            <v>0</v>
          </cell>
          <cell r="LL63">
            <v>0</v>
          </cell>
          <cell r="LN63">
            <v>0</v>
          </cell>
          <cell r="LP63">
            <v>0</v>
          </cell>
          <cell r="LQ63">
            <v>0</v>
          </cell>
          <cell r="LR63">
            <v>0</v>
          </cell>
          <cell r="LT63" t="str">
            <v>835-61</v>
          </cell>
        </row>
        <row r="64">
          <cell r="B64">
            <v>246.93000000000009</v>
          </cell>
          <cell r="C64">
            <v>287</v>
          </cell>
          <cell r="D64">
            <v>90129.45</v>
          </cell>
          <cell r="E64">
            <v>104755</v>
          </cell>
          <cell r="F64">
            <v>0.86038327526132397</v>
          </cell>
          <cell r="G64">
            <v>0.86038327526132397</v>
          </cell>
          <cell r="H64">
            <v>8.2250000000000018E-2</v>
          </cell>
          <cell r="I64">
            <v>1.2712114879258003</v>
          </cell>
          <cell r="J64">
            <v>8.0999999999999979</v>
          </cell>
          <cell r="K64">
            <v>4.5</v>
          </cell>
          <cell r="L64">
            <v>57.203999999999986</v>
          </cell>
          <cell r="M64">
            <v>0.999</v>
          </cell>
          <cell r="N64">
            <v>19.196999999999999</v>
          </cell>
          <cell r="O64">
            <v>0</v>
          </cell>
          <cell r="P64">
            <v>539.08000000000015</v>
          </cell>
          <cell r="Q64">
            <v>384.00000000000006</v>
          </cell>
          <cell r="R64">
            <v>206</v>
          </cell>
          <cell r="S64">
            <v>212.08000000000007</v>
          </cell>
          <cell r="T64">
            <v>456.7600000000001</v>
          </cell>
          <cell r="U64">
            <v>0</v>
          </cell>
          <cell r="W64">
            <v>247.70410958904111</v>
          </cell>
          <cell r="X64">
            <v>287</v>
          </cell>
          <cell r="Y64">
            <v>90412</v>
          </cell>
          <cell r="Z64">
            <v>104755</v>
          </cell>
          <cell r="AA64">
            <v>0.86308052121617107</v>
          </cell>
          <cell r="AB64">
            <v>0.86308052121617107</v>
          </cell>
          <cell r="AC64">
            <v>8.2250000000000018E-2</v>
          </cell>
          <cell r="AD64">
            <v>1.1194907429886141</v>
          </cell>
          <cell r="AE64">
            <v>7.7705084752417974</v>
          </cell>
          <cell r="AF64">
            <v>7.658656131985083</v>
          </cell>
          <cell r="AG64">
            <v>57.208951597039622</v>
          </cell>
          <cell r="AH64">
            <v>2.9439045880335075</v>
          </cell>
          <cell r="AI64">
            <v>16.904717558954456</v>
          </cell>
          <cell r="AJ64">
            <v>0</v>
          </cell>
          <cell r="AK64">
            <v>539.80045999744266</v>
          </cell>
          <cell r="AL64">
            <v>373.89462997431701</v>
          </cell>
          <cell r="AM64">
            <v>214.58134700761681</v>
          </cell>
          <cell r="AN64">
            <v>238.46670011602976</v>
          </cell>
          <cell r="AO64">
            <v>431.80298100371016</v>
          </cell>
          <cell r="AP64">
            <v>0</v>
          </cell>
          <cell r="AR64">
            <v>249.33999999999995</v>
          </cell>
          <cell r="AS64">
            <v>287</v>
          </cell>
          <cell r="AT64">
            <v>91258.44</v>
          </cell>
          <cell r="AU64">
            <v>105042</v>
          </cell>
          <cell r="AV64">
            <v>0.86878048780487793</v>
          </cell>
          <cell r="AW64">
            <v>0.86878048780487793</v>
          </cell>
          <cell r="AX64">
            <v>3.9999999999999994E-2</v>
          </cell>
          <cell r="AY64">
            <v>1.3169275105291949</v>
          </cell>
          <cell r="AZ64">
            <v>8.2799999999999994</v>
          </cell>
          <cell r="BA64">
            <v>8.0003200000000003</v>
          </cell>
          <cell r="BB64">
            <v>58.015200000000014</v>
          </cell>
          <cell r="BC64">
            <v>3.70024</v>
          </cell>
          <cell r="BD64">
            <v>14.000560000000004</v>
          </cell>
          <cell r="BE64">
            <v>0</v>
          </cell>
          <cell r="BF64">
            <v>545.42999999999995</v>
          </cell>
          <cell r="BG64">
            <v>387.09999999999991</v>
          </cell>
          <cell r="BH64">
            <v>222.72999999999993</v>
          </cell>
          <cell r="BI64">
            <v>229.99999999999991</v>
          </cell>
          <cell r="BJ64">
            <v>435.68000000000006</v>
          </cell>
          <cell r="BK64">
            <v>0</v>
          </cell>
          <cell r="BM64">
            <v>0</v>
          </cell>
          <cell r="BN64">
            <v>0</v>
          </cell>
          <cell r="BO64">
            <v>3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5</v>
          </cell>
          <cell r="CR64">
            <v>0</v>
          </cell>
          <cell r="CS64">
            <v>13.999999999999998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H64">
            <v>22</v>
          </cell>
          <cell r="DJ64">
            <v>0</v>
          </cell>
          <cell r="DK64">
            <v>0</v>
          </cell>
          <cell r="DL64">
            <v>3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5</v>
          </cell>
          <cell r="EO64">
            <v>0</v>
          </cell>
          <cell r="EP64">
            <v>13.999999999999998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E64">
            <v>22</v>
          </cell>
          <cell r="FG64">
            <v>0</v>
          </cell>
          <cell r="FH64">
            <v>0</v>
          </cell>
          <cell r="FI64">
            <v>1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4</v>
          </cell>
          <cell r="GL64">
            <v>1</v>
          </cell>
          <cell r="GM64">
            <v>13.000000000000002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B64">
            <v>19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Q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F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U64">
            <v>0</v>
          </cell>
          <cell r="IW64">
            <v>19</v>
          </cell>
          <cell r="IX64">
            <v>78.000000000000014</v>
          </cell>
          <cell r="IY64">
            <v>0</v>
          </cell>
          <cell r="IZ64">
            <v>0</v>
          </cell>
          <cell r="JB64">
            <v>5</v>
          </cell>
          <cell r="JC64">
            <v>13.999999999999998</v>
          </cell>
          <cell r="JD64">
            <v>0</v>
          </cell>
          <cell r="JE64">
            <v>0</v>
          </cell>
          <cell r="JG64">
            <v>5</v>
          </cell>
          <cell r="JH64">
            <v>13.999999999999998</v>
          </cell>
          <cell r="JI64">
            <v>14</v>
          </cell>
          <cell r="JJ64">
            <v>64.000000000000014</v>
          </cell>
          <cell r="JL64">
            <v>19</v>
          </cell>
          <cell r="JM64">
            <v>78.000000000000014</v>
          </cell>
          <cell r="JN64">
            <v>0</v>
          </cell>
          <cell r="JO64">
            <v>0</v>
          </cell>
          <cell r="JQ64">
            <v>5</v>
          </cell>
          <cell r="JR64">
            <v>13.999999999999998</v>
          </cell>
          <cell r="JS64">
            <v>0</v>
          </cell>
          <cell r="JT64">
            <v>0</v>
          </cell>
          <cell r="JV64">
            <v>5</v>
          </cell>
          <cell r="JW64">
            <v>13.999999999999998</v>
          </cell>
          <cell r="JX64">
            <v>14</v>
          </cell>
          <cell r="JY64">
            <v>64.000000000000014</v>
          </cell>
          <cell r="KA64">
            <v>17.999999999999996</v>
          </cell>
          <cell r="KB64">
            <v>77</v>
          </cell>
          <cell r="KC64">
            <v>0</v>
          </cell>
          <cell r="KD64">
            <v>0</v>
          </cell>
          <cell r="KF64">
            <v>4</v>
          </cell>
          <cell r="KG64">
            <v>13.000000000000002</v>
          </cell>
          <cell r="KH64">
            <v>0</v>
          </cell>
          <cell r="KI64">
            <v>0</v>
          </cell>
          <cell r="KK64">
            <v>4</v>
          </cell>
          <cell r="KL64">
            <v>13.000000000000002</v>
          </cell>
          <cell r="KM64">
            <v>13.999999999999996</v>
          </cell>
          <cell r="KN64">
            <v>64</v>
          </cell>
          <cell r="KP64">
            <v>0</v>
          </cell>
          <cell r="KQ64">
            <v>0</v>
          </cell>
          <cell r="KR64">
            <v>0</v>
          </cell>
          <cell r="KT64">
            <v>0</v>
          </cell>
          <cell r="KV64">
            <v>0</v>
          </cell>
          <cell r="KW64">
            <v>0</v>
          </cell>
          <cell r="KX64">
            <v>0</v>
          </cell>
          <cell r="KZ64">
            <v>0</v>
          </cell>
          <cell r="LA64">
            <v>0</v>
          </cell>
          <cell r="LB64">
            <v>0</v>
          </cell>
          <cell r="LD64">
            <v>0</v>
          </cell>
          <cell r="LF64">
            <v>0</v>
          </cell>
          <cell r="LG64">
            <v>0</v>
          </cell>
          <cell r="LH64">
            <v>0</v>
          </cell>
          <cell r="LJ64">
            <v>0</v>
          </cell>
          <cell r="LK64">
            <v>0</v>
          </cell>
          <cell r="LL64">
            <v>0</v>
          </cell>
          <cell r="LN64">
            <v>0</v>
          </cell>
          <cell r="LP64">
            <v>0</v>
          </cell>
          <cell r="LQ64">
            <v>0</v>
          </cell>
          <cell r="LR64">
            <v>0</v>
          </cell>
          <cell r="LT64" t="str">
            <v>835-Entity</v>
          </cell>
        </row>
        <row r="65">
          <cell r="B65">
            <v>62</v>
          </cell>
          <cell r="C65">
            <v>66</v>
          </cell>
          <cell r="D65">
            <v>22630</v>
          </cell>
          <cell r="E65">
            <v>24090</v>
          </cell>
          <cell r="F65">
            <v>0.93939393939393945</v>
          </cell>
          <cell r="G65">
            <v>0.93939393939393945</v>
          </cell>
          <cell r="H65">
            <v>7.9999999999999988E-2</v>
          </cell>
          <cell r="I65">
            <v>0.22985095953412235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62.798630136986304</v>
          </cell>
          <cell r="X65">
            <v>66</v>
          </cell>
          <cell r="Y65">
            <v>22921.5</v>
          </cell>
          <cell r="Z65">
            <v>24090</v>
          </cell>
          <cell r="AA65">
            <v>0.95149439601494401</v>
          </cell>
          <cell r="AB65">
            <v>0.95149439601494401</v>
          </cell>
          <cell r="AC65">
            <v>7.9999999999999988E-2</v>
          </cell>
          <cell r="AD65">
            <v>0.16572896801416381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62</v>
          </cell>
          <cell r="AS65">
            <v>66</v>
          </cell>
          <cell r="AT65">
            <v>22692</v>
          </cell>
          <cell r="AU65">
            <v>24156</v>
          </cell>
          <cell r="AV65">
            <v>0.93939393939393945</v>
          </cell>
          <cell r="AW65">
            <v>0.93939393939393945</v>
          </cell>
          <cell r="AX65">
            <v>3.9999999999999994E-2</v>
          </cell>
          <cell r="AY65">
            <v>0.10734899014614284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24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H65">
            <v>24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24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E65">
            <v>24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24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B65">
            <v>24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Q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F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  <cell r="IS65">
            <v>0</v>
          </cell>
          <cell r="IU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K65">
            <v>0</v>
          </cell>
          <cell r="KL65">
            <v>0</v>
          </cell>
          <cell r="KM65">
            <v>0</v>
          </cell>
          <cell r="KN65">
            <v>0</v>
          </cell>
          <cell r="KP65">
            <v>0</v>
          </cell>
          <cell r="KQ65">
            <v>0</v>
          </cell>
          <cell r="KR65">
            <v>0</v>
          </cell>
          <cell r="KT65">
            <v>0</v>
          </cell>
          <cell r="KV65">
            <v>0</v>
          </cell>
          <cell r="KW65">
            <v>0</v>
          </cell>
          <cell r="KX65">
            <v>0</v>
          </cell>
          <cell r="KZ65">
            <v>0</v>
          </cell>
          <cell r="LA65">
            <v>0</v>
          </cell>
          <cell r="LB65">
            <v>0</v>
          </cell>
          <cell r="LD65">
            <v>0</v>
          </cell>
          <cell r="LF65">
            <v>0</v>
          </cell>
          <cell r="LG65">
            <v>0</v>
          </cell>
          <cell r="LH65">
            <v>0</v>
          </cell>
          <cell r="LJ65">
            <v>0</v>
          </cell>
          <cell r="LK65">
            <v>0</v>
          </cell>
          <cell r="LL65">
            <v>0</v>
          </cell>
          <cell r="LN65">
            <v>0</v>
          </cell>
          <cell r="LP65">
            <v>0</v>
          </cell>
          <cell r="LQ65">
            <v>0</v>
          </cell>
          <cell r="LR65">
            <v>0</v>
          </cell>
          <cell r="LT65" t="str">
            <v>840-21</v>
          </cell>
        </row>
        <row r="66">
          <cell r="B66">
            <v>86.24</v>
          </cell>
          <cell r="C66">
            <v>88</v>
          </cell>
          <cell r="D66">
            <v>31477.599999999995</v>
          </cell>
          <cell r="E66">
            <v>32120</v>
          </cell>
          <cell r="F66">
            <v>0.98</v>
          </cell>
          <cell r="G66">
            <v>0.98</v>
          </cell>
          <cell r="H66">
            <v>7.9999999999999988E-2</v>
          </cell>
          <cell r="I66">
            <v>2.016101291839969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84.126027397260273</v>
          </cell>
          <cell r="X66">
            <v>88</v>
          </cell>
          <cell r="Y66">
            <v>30706</v>
          </cell>
          <cell r="Z66">
            <v>32120</v>
          </cell>
          <cell r="AA66">
            <v>0.95597758405977584</v>
          </cell>
          <cell r="AB66">
            <v>0.95597758405977584</v>
          </cell>
          <cell r="AC66">
            <v>7.9999999999999988E-2</v>
          </cell>
          <cell r="AD66">
            <v>2.2789279368354389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84.47999999999999</v>
          </cell>
          <cell r="AS66">
            <v>88</v>
          </cell>
          <cell r="AT66">
            <v>30919.680000000004</v>
          </cell>
          <cell r="AU66">
            <v>32208</v>
          </cell>
          <cell r="AV66">
            <v>0.96</v>
          </cell>
          <cell r="AW66">
            <v>0.96</v>
          </cell>
          <cell r="AX66">
            <v>3.9999999999999994E-2</v>
          </cell>
          <cell r="AY66">
            <v>2.2716865729999238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2</v>
          </cell>
          <cell r="CK66">
            <v>0</v>
          </cell>
          <cell r="CL66">
            <v>18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H66">
            <v>20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2</v>
          </cell>
          <cell r="EH66">
            <v>0</v>
          </cell>
          <cell r="EI66">
            <v>18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E66">
            <v>20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18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B66">
            <v>18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Q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F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0</v>
          </cell>
          <cell r="IP66">
            <v>0</v>
          </cell>
          <cell r="IQ66">
            <v>0</v>
          </cell>
          <cell r="IR66">
            <v>0</v>
          </cell>
          <cell r="IS66">
            <v>0</v>
          </cell>
          <cell r="IU66">
            <v>0</v>
          </cell>
          <cell r="IW66">
            <v>0</v>
          </cell>
          <cell r="IX66">
            <v>0</v>
          </cell>
          <cell r="IY66">
            <v>15</v>
          </cell>
          <cell r="IZ66">
            <v>93</v>
          </cell>
          <cell r="JB66">
            <v>0</v>
          </cell>
          <cell r="JC66">
            <v>0</v>
          </cell>
          <cell r="JD66">
            <v>2</v>
          </cell>
          <cell r="JE66">
            <v>18</v>
          </cell>
          <cell r="JG66">
            <v>2</v>
          </cell>
          <cell r="JH66">
            <v>18</v>
          </cell>
          <cell r="JI66">
            <v>13</v>
          </cell>
          <cell r="JJ66">
            <v>75</v>
          </cell>
          <cell r="JL66">
            <v>0</v>
          </cell>
          <cell r="JM66">
            <v>0</v>
          </cell>
          <cell r="JN66">
            <v>15</v>
          </cell>
          <cell r="JO66">
            <v>93</v>
          </cell>
          <cell r="JQ66">
            <v>0</v>
          </cell>
          <cell r="JR66">
            <v>0</v>
          </cell>
          <cell r="JS66">
            <v>2</v>
          </cell>
          <cell r="JT66">
            <v>18</v>
          </cell>
          <cell r="JV66">
            <v>2</v>
          </cell>
          <cell r="JW66">
            <v>18</v>
          </cell>
          <cell r="JX66">
            <v>13</v>
          </cell>
          <cell r="JY66">
            <v>75</v>
          </cell>
          <cell r="KA66">
            <v>0</v>
          </cell>
          <cell r="KB66">
            <v>0</v>
          </cell>
          <cell r="KC66">
            <v>13.000000000000002</v>
          </cell>
          <cell r="KD66">
            <v>93</v>
          </cell>
          <cell r="KF66">
            <v>0</v>
          </cell>
          <cell r="KG66">
            <v>0</v>
          </cell>
          <cell r="KH66">
            <v>0</v>
          </cell>
          <cell r="KI66">
            <v>18</v>
          </cell>
          <cell r="KK66">
            <v>0</v>
          </cell>
          <cell r="KL66">
            <v>18</v>
          </cell>
          <cell r="KM66">
            <v>13.000000000000002</v>
          </cell>
          <cell r="KN66">
            <v>75</v>
          </cell>
          <cell r="KP66">
            <v>0</v>
          </cell>
          <cell r="KQ66">
            <v>0</v>
          </cell>
          <cell r="KR66">
            <v>0</v>
          </cell>
          <cell r="KT66">
            <v>0</v>
          </cell>
          <cell r="KV66">
            <v>0</v>
          </cell>
          <cell r="KW66">
            <v>0</v>
          </cell>
          <cell r="KX66">
            <v>0</v>
          </cell>
          <cell r="KZ66">
            <v>0</v>
          </cell>
          <cell r="LA66">
            <v>0</v>
          </cell>
          <cell r="LB66">
            <v>0</v>
          </cell>
          <cell r="LD66">
            <v>0</v>
          </cell>
          <cell r="LF66">
            <v>0</v>
          </cell>
          <cell r="LG66">
            <v>0</v>
          </cell>
          <cell r="LH66">
            <v>0</v>
          </cell>
          <cell r="LJ66">
            <v>0</v>
          </cell>
          <cell r="LK66">
            <v>0</v>
          </cell>
          <cell r="LL66">
            <v>0</v>
          </cell>
          <cell r="LN66">
            <v>0</v>
          </cell>
          <cell r="LP66">
            <v>0</v>
          </cell>
          <cell r="LQ66">
            <v>0</v>
          </cell>
          <cell r="LR66">
            <v>0</v>
          </cell>
          <cell r="LT66" t="str">
            <v>840-31</v>
          </cell>
        </row>
        <row r="67">
          <cell r="B67">
            <v>7</v>
          </cell>
          <cell r="C67">
            <v>9</v>
          </cell>
          <cell r="D67">
            <v>2555</v>
          </cell>
          <cell r="E67">
            <v>3285</v>
          </cell>
          <cell r="F67">
            <v>0.77777777777777779</v>
          </cell>
          <cell r="G67">
            <v>0.77777777777777779</v>
          </cell>
          <cell r="H67">
            <v>7.9999999999999988E-2</v>
          </cell>
          <cell r="I67">
            <v>1.6052680845371972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8.5835616438356173</v>
          </cell>
          <cell r="X67">
            <v>9</v>
          </cell>
          <cell r="Y67">
            <v>3133</v>
          </cell>
          <cell r="Z67">
            <v>3285</v>
          </cell>
          <cell r="AA67">
            <v>0.95372907153729081</v>
          </cell>
          <cell r="AB67">
            <v>0.95372907153729081</v>
          </cell>
          <cell r="AC67">
            <v>7.9999999999999988E-2</v>
          </cell>
          <cell r="AD67">
            <v>1.3741061320266197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8</v>
          </cell>
          <cell r="AS67">
            <v>9</v>
          </cell>
          <cell r="AT67">
            <v>2928</v>
          </cell>
          <cell r="AU67">
            <v>3294</v>
          </cell>
          <cell r="AV67">
            <v>0.88888888888888884</v>
          </cell>
          <cell r="AW67">
            <v>0.88888888888888884</v>
          </cell>
          <cell r="AX67">
            <v>3.0000000000000009E-2</v>
          </cell>
          <cell r="AY67">
            <v>1.9780132957080427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1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H67">
            <v>1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1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E67">
            <v>1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B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Q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F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U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P67">
            <v>0</v>
          </cell>
          <cell r="KQ67">
            <v>0</v>
          </cell>
          <cell r="KR67">
            <v>0</v>
          </cell>
          <cell r="KT67">
            <v>0</v>
          </cell>
          <cell r="KV67">
            <v>0</v>
          </cell>
          <cell r="KW67">
            <v>0</v>
          </cell>
          <cell r="KX67">
            <v>0</v>
          </cell>
          <cell r="KZ67">
            <v>0</v>
          </cell>
          <cell r="LA67">
            <v>0</v>
          </cell>
          <cell r="LB67">
            <v>0</v>
          </cell>
          <cell r="LD67">
            <v>0</v>
          </cell>
          <cell r="LF67">
            <v>0</v>
          </cell>
          <cell r="LG67">
            <v>0</v>
          </cell>
          <cell r="LH67">
            <v>0</v>
          </cell>
          <cell r="LJ67">
            <v>0</v>
          </cell>
          <cell r="LK67">
            <v>0</v>
          </cell>
          <cell r="LL67">
            <v>0</v>
          </cell>
          <cell r="LN67">
            <v>0</v>
          </cell>
          <cell r="LP67">
            <v>0</v>
          </cell>
          <cell r="LQ67">
            <v>0</v>
          </cell>
          <cell r="LR67">
            <v>0</v>
          </cell>
          <cell r="LT67" t="str">
            <v>840-51</v>
          </cell>
        </row>
        <row r="68">
          <cell r="B68">
            <v>15.52</v>
          </cell>
          <cell r="C68">
            <v>16</v>
          </cell>
          <cell r="D68">
            <v>5664.8</v>
          </cell>
          <cell r="E68">
            <v>5840</v>
          </cell>
          <cell r="F68">
            <v>0.97</v>
          </cell>
          <cell r="G68">
            <v>0.97</v>
          </cell>
          <cell r="H68">
            <v>7.9999999999999988E-2</v>
          </cell>
          <cell r="I68">
            <v>0.45721733775451057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15.70958904109589</v>
          </cell>
          <cell r="X68">
            <v>16</v>
          </cell>
          <cell r="Y68">
            <v>5734</v>
          </cell>
          <cell r="Z68">
            <v>5840</v>
          </cell>
          <cell r="AA68">
            <v>0.98184931506849316</v>
          </cell>
          <cell r="AB68">
            <v>0.98184931506849316</v>
          </cell>
          <cell r="AC68">
            <v>7.9999999999999988E-2</v>
          </cell>
          <cell r="AD68">
            <v>0.57547024982640926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15</v>
          </cell>
          <cell r="AS68">
            <v>16</v>
          </cell>
          <cell r="AT68">
            <v>5490</v>
          </cell>
          <cell r="AU68">
            <v>5856</v>
          </cell>
          <cell r="AV68">
            <v>0.9375</v>
          </cell>
          <cell r="AW68">
            <v>0.9375</v>
          </cell>
          <cell r="AX68">
            <v>3.0000000000000009E-2</v>
          </cell>
          <cell r="AY68">
            <v>0.48881641633807182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H68">
            <v>1</v>
          </cell>
          <cell r="DJ68">
            <v>1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E68">
            <v>1</v>
          </cell>
          <cell r="FG68">
            <v>2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B68">
            <v>2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Q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F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Q68">
            <v>0</v>
          </cell>
          <cell r="IR68">
            <v>0</v>
          </cell>
          <cell r="IS68">
            <v>0</v>
          </cell>
          <cell r="IU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K68">
            <v>0</v>
          </cell>
          <cell r="KL68">
            <v>0</v>
          </cell>
          <cell r="KM68">
            <v>0</v>
          </cell>
          <cell r="KN68">
            <v>0</v>
          </cell>
          <cell r="KP68">
            <v>0</v>
          </cell>
          <cell r="KQ68">
            <v>0</v>
          </cell>
          <cell r="KR68">
            <v>0</v>
          </cell>
          <cell r="KT68">
            <v>0</v>
          </cell>
          <cell r="KV68">
            <v>0</v>
          </cell>
          <cell r="KW68">
            <v>0</v>
          </cell>
          <cell r="KX68">
            <v>0</v>
          </cell>
          <cell r="KZ68">
            <v>0</v>
          </cell>
          <cell r="LA68">
            <v>0</v>
          </cell>
          <cell r="LB68">
            <v>0</v>
          </cell>
          <cell r="LD68">
            <v>0</v>
          </cell>
          <cell r="LF68">
            <v>0</v>
          </cell>
          <cell r="LG68">
            <v>0</v>
          </cell>
          <cell r="LH68">
            <v>0</v>
          </cell>
          <cell r="LJ68">
            <v>0</v>
          </cell>
          <cell r="LK68">
            <v>0</v>
          </cell>
          <cell r="LL68">
            <v>0</v>
          </cell>
          <cell r="LN68">
            <v>0</v>
          </cell>
          <cell r="LP68">
            <v>0</v>
          </cell>
          <cell r="LQ68">
            <v>0</v>
          </cell>
          <cell r="LR68">
            <v>0</v>
          </cell>
          <cell r="LT68" t="str">
            <v>840-52</v>
          </cell>
        </row>
        <row r="69">
          <cell r="B69">
            <v>59</v>
          </cell>
          <cell r="C69">
            <v>64</v>
          </cell>
          <cell r="D69">
            <v>21535</v>
          </cell>
          <cell r="E69">
            <v>23360</v>
          </cell>
          <cell r="F69">
            <v>0.921875</v>
          </cell>
          <cell r="G69">
            <v>0.921875</v>
          </cell>
          <cell r="H69">
            <v>7.9999999999999988E-2</v>
          </cell>
          <cell r="I69">
            <v>1.0392815174149943</v>
          </cell>
          <cell r="J69">
            <v>12.400029999999999</v>
          </cell>
          <cell r="K69">
            <v>5.9997100000000003</v>
          </cell>
          <cell r="L69">
            <v>22.99996999999999</v>
          </cell>
          <cell r="M69">
            <v>0</v>
          </cell>
          <cell r="N69">
            <v>17.600290000000001</v>
          </cell>
          <cell r="O69">
            <v>0</v>
          </cell>
          <cell r="P69">
            <v>575.47000000000014</v>
          </cell>
          <cell r="Q69">
            <v>403.83</v>
          </cell>
          <cell r="R69">
            <v>248</v>
          </cell>
          <cell r="S69">
            <v>0</v>
          </cell>
          <cell r="T69">
            <v>427.21</v>
          </cell>
          <cell r="U69">
            <v>0</v>
          </cell>
          <cell r="W69">
            <v>59.583561643835615</v>
          </cell>
          <cell r="X69">
            <v>64</v>
          </cell>
          <cell r="Y69">
            <v>21748</v>
          </cell>
          <cell r="Z69">
            <v>23360</v>
          </cell>
          <cell r="AA69">
            <v>0.9309931506849316</v>
          </cell>
          <cell r="AB69">
            <v>0.9309931506849316</v>
          </cell>
          <cell r="AC69">
            <v>7.9999999999999988E-2</v>
          </cell>
          <cell r="AD69">
            <v>0.93392951161331361</v>
          </cell>
          <cell r="AE69">
            <v>10.658270609318995</v>
          </cell>
          <cell r="AF69">
            <v>5.0166637096774211</v>
          </cell>
          <cell r="AG69">
            <v>28.669565232974907</v>
          </cell>
          <cell r="AH69">
            <v>0.16639784946236821</v>
          </cell>
          <cell r="AI69">
            <v>15.074868087557604</v>
          </cell>
          <cell r="AJ69">
            <v>0</v>
          </cell>
          <cell r="AK69">
            <v>592.90703399964673</v>
          </cell>
          <cell r="AL69">
            <v>397.1097636011981</v>
          </cell>
          <cell r="AM69">
            <v>269.81477904578077</v>
          </cell>
          <cell r="AN69">
            <v>140.29735033106491</v>
          </cell>
          <cell r="AO69">
            <v>399.68159595974106</v>
          </cell>
          <cell r="AP69">
            <v>0</v>
          </cell>
          <cell r="AR69">
            <v>60.5</v>
          </cell>
          <cell r="AS69">
            <v>64</v>
          </cell>
          <cell r="AT69">
            <v>22143</v>
          </cell>
          <cell r="AU69">
            <v>23424</v>
          </cell>
          <cell r="AV69">
            <v>0.9453125</v>
          </cell>
          <cell r="AW69">
            <v>0.9453125</v>
          </cell>
          <cell r="AX69">
            <v>3.9999999999999994E-2</v>
          </cell>
          <cell r="AY69">
            <v>0.98072479604300655</v>
          </cell>
          <cell r="AZ69">
            <v>11.62205</v>
          </cell>
          <cell r="BA69">
            <v>5.1122500000000013</v>
          </cell>
          <cell r="BB69">
            <v>27.750139999999991</v>
          </cell>
          <cell r="BC69">
            <v>0</v>
          </cell>
          <cell r="BD69">
            <v>16.015559999999997</v>
          </cell>
          <cell r="BE69">
            <v>0</v>
          </cell>
          <cell r="BF69">
            <v>596.11</v>
          </cell>
          <cell r="BG69">
            <v>409.96000000000015</v>
          </cell>
          <cell r="BH69">
            <v>272.39</v>
          </cell>
          <cell r="BI69">
            <v>0</v>
          </cell>
          <cell r="BJ69">
            <v>444.62999999999988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H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E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B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Q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F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  <cell r="IS69">
            <v>0</v>
          </cell>
          <cell r="IU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F69">
            <v>0</v>
          </cell>
          <cell r="KG69">
            <v>0</v>
          </cell>
          <cell r="KH69">
            <v>0</v>
          </cell>
          <cell r="KI69">
            <v>0</v>
          </cell>
          <cell r="KK69">
            <v>0</v>
          </cell>
          <cell r="KL69">
            <v>0</v>
          </cell>
          <cell r="KM69">
            <v>0</v>
          </cell>
          <cell r="KN69">
            <v>0</v>
          </cell>
          <cell r="KP69">
            <v>0</v>
          </cell>
          <cell r="KQ69">
            <v>0</v>
          </cell>
          <cell r="KR69">
            <v>0</v>
          </cell>
          <cell r="KT69">
            <v>0</v>
          </cell>
          <cell r="KV69">
            <v>0</v>
          </cell>
          <cell r="KW69">
            <v>0</v>
          </cell>
          <cell r="KX69">
            <v>0</v>
          </cell>
          <cell r="KZ69">
            <v>0</v>
          </cell>
          <cell r="LA69">
            <v>0</v>
          </cell>
          <cell r="LB69">
            <v>0</v>
          </cell>
          <cell r="LD69">
            <v>0</v>
          </cell>
          <cell r="LF69">
            <v>0</v>
          </cell>
          <cell r="LG69">
            <v>0</v>
          </cell>
          <cell r="LH69">
            <v>0</v>
          </cell>
          <cell r="LJ69">
            <v>0</v>
          </cell>
          <cell r="LK69">
            <v>0</v>
          </cell>
          <cell r="LL69">
            <v>0</v>
          </cell>
          <cell r="LN69">
            <v>0</v>
          </cell>
          <cell r="LP69">
            <v>0</v>
          </cell>
          <cell r="LQ69">
            <v>0</v>
          </cell>
          <cell r="LR69">
            <v>0</v>
          </cell>
          <cell r="LT69" t="str">
            <v>840-61</v>
          </cell>
        </row>
        <row r="70">
          <cell r="B70">
            <v>229.75999999999996</v>
          </cell>
          <cell r="C70">
            <v>243</v>
          </cell>
          <cell r="D70">
            <v>83862.399999999994</v>
          </cell>
          <cell r="E70">
            <v>88695</v>
          </cell>
          <cell r="F70">
            <v>0.94551440329218095</v>
          </cell>
          <cell r="G70">
            <v>0.94551440329218095</v>
          </cell>
          <cell r="H70">
            <v>7.9999999999999988E-2</v>
          </cell>
          <cell r="I70">
            <v>1.0797951684472016</v>
          </cell>
          <cell r="J70">
            <v>12.400029999999999</v>
          </cell>
          <cell r="K70">
            <v>5.9997100000000003</v>
          </cell>
          <cell r="L70">
            <v>22.99996999999999</v>
          </cell>
          <cell r="M70">
            <v>0</v>
          </cell>
          <cell r="N70">
            <v>17.600290000000001</v>
          </cell>
          <cell r="O70">
            <v>0</v>
          </cell>
          <cell r="P70">
            <v>575.47000000000014</v>
          </cell>
          <cell r="Q70">
            <v>403.83</v>
          </cell>
          <cell r="R70">
            <v>248</v>
          </cell>
          <cell r="S70">
            <v>0</v>
          </cell>
          <cell r="T70">
            <v>427.21</v>
          </cell>
          <cell r="U70">
            <v>0</v>
          </cell>
          <cell r="W70">
            <v>230.80136986301369</v>
          </cell>
          <cell r="X70">
            <v>243</v>
          </cell>
          <cell r="Y70">
            <v>84242.5</v>
          </cell>
          <cell r="Z70">
            <v>88695</v>
          </cell>
          <cell r="AA70">
            <v>0.94979987597948023</v>
          </cell>
          <cell r="AB70">
            <v>0.94979987597948023</v>
          </cell>
          <cell r="AC70">
            <v>7.9999999999999988E-2</v>
          </cell>
          <cell r="AD70">
            <v>1.0382891188340682</v>
          </cell>
          <cell r="AE70">
            <v>10.658270609318995</v>
          </cell>
          <cell r="AF70">
            <v>5.0166637096774211</v>
          </cell>
          <cell r="AG70">
            <v>28.669565232974907</v>
          </cell>
          <cell r="AH70">
            <v>0.16639784946236821</v>
          </cell>
          <cell r="AI70">
            <v>15.074868087557604</v>
          </cell>
          <cell r="AJ70">
            <v>0</v>
          </cell>
          <cell r="AK70">
            <v>592.90703399964673</v>
          </cell>
          <cell r="AL70">
            <v>397.1097636011981</v>
          </cell>
          <cell r="AM70">
            <v>269.81477904578077</v>
          </cell>
          <cell r="AN70">
            <v>140.29735033106491</v>
          </cell>
          <cell r="AO70">
            <v>399.68159595974106</v>
          </cell>
          <cell r="AP70">
            <v>0</v>
          </cell>
          <cell r="AR70">
            <v>229.98</v>
          </cell>
          <cell r="AS70">
            <v>243</v>
          </cell>
          <cell r="AT70">
            <v>84172.68</v>
          </cell>
          <cell r="AU70">
            <v>88938</v>
          </cell>
          <cell r="AV70">
            <v>0.94641975308641957</v>
          </cell>
          <cell r="AW70">
            <v>0.94641975308641957</v>
          </cell>
          <cell r="AX70">
            <v>3.599999999999999E-2</v>
          </cell>
          <cell r="AY70">
            <v>1.0779869648695015</v>
          </cell>
          <cell r="AZ70">
            <v>11.62205</v>
          </cell>
          <cell r="BA70">
            <v>5.1122500000000013</v>
          </cell>
          <cell r="BB70">
            <v>27.750139999999991</v>
          </cell>
          <cell r="BC70">
            <v>0</v>
          </cell>
          <cell r="BD70">
            <v>16.015559999999997</v>
          </cell>
          <cell r="BE70">
            <v>0</v>
          </cell>
          <cell r="BF70">
            <v>596.11</v>
          </cell>
          <cell r="BG70">
            <v>409.96000000000015</v>
          </cell>
          <cell r="BH70">
            <v>272.39</v>
          </cell>
          <cell r="BI70">
            <v>0</v>
          </cell>
          <cell r="BJ70">
            <v>444.62999999999988</v>
          </cell>
          <cell r="BK70">
            <v>0</v>
          </cell>
          <cell r="BM70">
            <v>1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2</v>
          </cell>
          <cell r="CK70">
            <v>24</v>
          </cell>
          <cell r="CL70">
            <v>18</v>
          </cell>
          <cell r="CM70">
            <v>1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H70">
            <v>46</v>
          </cell>
          <cell r="DJ70">
            <v>1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2</v>
          </cell>
          <cell r="EH70">
            <v>24</v>
          </cell>
          <cell r="EI70">
            <v>18</v>
          </cell>
          <cell r="EJ70">
            <v>1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E70">
            <v>46</v>
          </cell>
          <cell r="FG70">
            <v>2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24</v>
          </cell>
          <cell r="GF70">
            <v>18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B70">
            <v>44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Q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F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U70">
            <v>0</v>
          </cell>
          <cell r="IW70">
            <v>0</v>
          </cell>
          <cell r="IX70">
            <v>0</v>
          </cell>
          <cell r="IY70">
            <v>15</v>
          </cell>
          <cell r="IZ70">
            <v>93</v>
          </cell>
          <cell r="JB70">
            <v>0</v>
          </cell>
          <cell r="JC70">
            <v>0</v>
          </cell>
          <cell r="JD70">
            <v>2</v>
          </cell>
          <cell r="JE70">
            <v>18</v>
          </cell>
          <cell r="JG70">
            <v>2</v>
          </cell>
          <cell r="JH70">
            <v>18</v>
          </cell>
          <cell r="JI70">
            <v>13</v>
          </cell>
          <cell r="JJ70">
            <v>75</v>
          </cell>
          <cell r="JL70">
            <v>0</v>
          </cell>
          <cell r="JM70">
            <v>0</v>
          </cell>
          <cell r="JN70">
            <v>15</v>
          </cell>
          <cell r="JO70">
            <v>93</v>
          </cell>
          <cell r="JQ70">
            <v>0</v>
          </cell>
          <cell r="JR70">
            <v>0</v>
          </cell>
          <cell r="JS70">
            <v>2</v>
          </cell>
          <cell r="JT70">
            <v>18</v>
          </cell>
          <cell r="JV70">
            <v>2</v>
          </cell>
          <cell r="JW70">
            <v>18</v>
          </cell>
          <cell r="JX70">
            <v>13</v>
          </cell>
          <cell r="JY70">
            <v>75</v>
          </cell>
          <cell r="KA70">
            <v>0</v>
          </cell>
          <cell r="KB70">
            <v>0</v>
          </cell>
          <cell r="KC70">
            <v>13.000000000000002</v>
          </cell>
          <cell r="KD70">
            <v>93</v>
          </cell>
          <cell r="KF70">
            <v>0</v>
          </cell>
          <cell r="KG70">
            <v>0</v>
          </cell>
          <cell r="KH70">
            <v>0</v>
          </cell>
          <cell r="KI70">
            <v>18</v>
          </cell>
          <cell r="KK70">
            <v>0</v>
          </cell>
          <cell r="KL70">
            <v>18</v>
          </cell>
          <cell r="KM70">
            <v>13.000000000000002</v>
          </cell>
          <cell r="KN70">
            <v>75</v>
          </cell>
          <cell r="KP70">
            <v>0</v>
          </cell>
          <cell r="KQ70">
            <v>0</v>
          </cell>
          <cell r="KR70">
            <v>0</v>
          </cell>
          <cell r="KT70">
            <v>0</v>
          </cell>
          <cell r="KV70">
            <v>0</v>
          </cell>
          <cell r="KW70">
            <v>0</v>
          </cell>
          <cell r="KX70">
            <v>0</v>
          </cell>
          <cell r="KZ70">
            <v>0</v>
          </cell>
          <cell r="LA70">
            <v>0</v>
          </cell>
          <cell r="LB70">
            <v>0</v>
          </cell>
          <cell r="LD70">
            <v>0</v>
          </cell>
          <cell r="LF70">
            <v>0</v>
          </cell>
          <cell r="LG70">
            <v>0</v>
          </cell>
          <cell r="LH70">
            <v>0</v>
          </cell>
          <cell r="LJ70">
            <v>0</v>
          </cell>
          <cell r="LK70">
            <v>0</v>
          </cell>
          <cell r="LL70">
            <v>0</v>
          </cell>
          <cell r="LN70">
            <v>0</v>
          </cell>
          <cell r="LP70">
            <v>0</v>
          </cell>
          <cell r="LQ70">
            <v>0</v>
          </cell>
          <cell r="LR70">
            <v>0</v>
          </cell>
          <cell r="LT70" t="str">
            <v>840-Entity</v>
          </cell>
        </row>
        <row r="71">
          <cell r="B71">
            <v>476.69000000000005</v>
          </cell>
          <cell r="C71">
            <v>530</v>
          </cell>
          <cell r="D71">
            <v>173991.85000000003</v>
          </cell>
          <cell r="E71">
            <v>193450</v>
          </cell>
          <cell r="F71">
            <v>0.89941509433962286</v>
          </cell>
          <cell r="G71">
            <v>0.89941509433962286</v>
          </cell>
          <cell r="H71">
            <v>8.0999999999999989E-2</v>
          </cell>
          <cell r="I71">
            <v>1.0682714896814312</v>
          </cell>
          <cell r="J71">
            <v>20.500029999999999</v>
          </cell>
          <cell r="K71">
            <v>10.49971</v>
          </cell>
          <cell r="L71">
            <v>80.203970000000012</v>
          </cell>
          <cell r="M71">
            <v>0.999</v>
          </cell>
          <cell r="N71">
            <v>36.797289999999997</v>
          </cell>
          <cell r="O71">
            <v>0</v>
          </cell>
          <cell r="P71">
            <v>1114.5500000000002</v>
          </cell>
          <cell r="Q71">
            <v>787.82999999999993</v>
          </cell>
          <cell r="R71">
            <v>454</v>
          </cell>
          <cell r="S71">
            <v>212.07999999999996</v>
          </cell>
          <cell r="T71">
            <v>883.96999999999991</v>
          </cell>
          <cell r="U71">
            <v>0</v>
          </cell>
          <cell r="W71">
            <v>478.50547945205477</v>
          </cell>
          <cell r="X71">
            <v>530</v>
          </cell>
          <cell r="Y71">
            <v>174654.5</v>
          </cell>
          <cell r="Z71">
            <v>193450</v>
          </cell>
          <cell r="AA71">
            <v>0.90284052726802799</v>
          </cell>
          <cell r="AB71">
            <v>0.90284052726802799</v>
          </cell>
          <cell r="AC71">
            <v>8.0999999999999989E-2</v>
          </cell>
          <cell r="AD71">
            <v>1.1009027122843371</v>
          </cell>
          <cell r="AE71">
            <v>18.428779084560801</v>
          </cell>
          <cell r="AF71">
            <v>12.675319841662503</v>
          </cell>
          <cell r="AG71">
            <v>85.878516830014533</v>
          </cell>
          <cell r="AH71">
            <v>3.110302437495875</v>
          </cell>
          <cell r="AI71">
            <v>31.97958564651206</v>
          </cell>
          <cell r="AJ71">
            <v>0</v>
          </cell>
          <cell r="AK71">
            <v>1132.4629447882444</v>
          </cell>
          <cell r="AL71">
            <v>770.76063675933472</v>
          </cell>
          <cell r="AM71">
            <v>484.65778891234601</v>
          </cell>
          <cell r="AN71">
            <v>378.01415367682603</v>
          </cell>
          <cell r="AO71">
            <v>831.05153689966812</v>
          </cell>
          <cell r="AP71">
            <v>0</v>
          </cell>
          <cell r="AR71">
            <v>479.32</v>
          </cell>
          <cell r="AS71">
            <v>530</v>
          </cell>
          <cell r="AT71">
            <v>175431.12000000002</v>
          </cell>
          <cell r="AU71">
            <v>193980</v>
          </cell>
          <cell r="AV71">
            <v>0.90437735849056622</v>
          </cell>
          <cell r="AW71">
            <v>0.90437735849056622</v>
          </cell>
          <cell r="AX71">
            <v>3.7777777777777785E-2</v>
          </cell>
          <cell r="AY71">
            <v>1.1255931235583945</v>
          </cell>
          <cell r="AZ71">
            <v>19.902049999999999</v>
          </cell>
          <cell r="BA71">
            <v>13.112570000000003</v>
          </cell>
          <cell r="BB71">
            <v>85.765340000000023</v>
          </cell>
          <cell r="BC71">
            <v>3.70024</v>
          </cell>
          <cell r="BD71">
            <v>30.016120000000001</v>
          </cell>
          <cell r="BE71">
            <v>0</v>
          </cell>
          <cell r="BF71">
            <v>1141.54</v>
          </cell>
          <cell r="BG71">
            <v>797.06</v>
          </cell>
          <cell r="BH71">
            <v>495.12000000000006</v>
          </cell>
          <cell r="BI71">
            <v>229.99999999999997</v>
          </cell>
          <cell r="BJ71">
            <v>880.31</v>
          </cell>
          <cell r="BK71">
            <v>0</v>
          </cell>
          <cell r="BM71">
            <v>1</v>
          </cell>
          <cell r="BN71">
            <v>0</v>
          </cell>
          <cell r="BO71">
            <v>3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</v>
          </cell>
          <cell r="CK71">
            <v>24</v>
          </cell>
          <cell r="CL71">
            <v>18</v>
          </cell>
          <cell r="CM71">
            <v>1</v>
          </cell>
          <cell r="CN71">
            <v>0</v>
          </cell>
          <cell r="CO71">
            <v>0</v>
          </cell>
          <cell r="CP71">
            <v>0</v>
          </cell>
          <cell r="CQ71">
            <v>5</v>
          </cell>
          <cell r="CR71">
            <v>0</v>
          </cell>
          <cell r="CS71">
            <v>13.999999999999998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H71">
            <v>68</v>
          </cell>
          <cell r="DJ71">
            <v>1</v>
          </cell>
          <cell r="DK71">
            <v>0</v>
          </cell>
          <cell r="DL71">
            <v>3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2</v>
          </cell>
          <cell r="EH71">
            <v>24</v>
          </cell>
          <cell r="EI71">
            <v>18</v>
          </cell>
          <cell r="EJ71">
            <v>1</v>
          </cell>
          <cell r="EK71">
            <v>0</v>
          </cell>
          <cell r="EL71">
            <v>0</v>
          </cell>
          <cell r="EM71">
            <v>0</v>
          </cell>
          <cell r="EN71">
            <v>5</v>
          </cell>
          <cell r="EO71">
            <v>0</v>
          </cell>
          <cell r="EP71">
            <v>13.999999999999998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E71">
            <v>68</v>
          </cell>
          <cell r="FG71">
            <v>2</v>
          </cell>
          <cell r="FH71">
            <v>0</v>
          </cell>
          <cell r="FI71">
            <v>1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24</v>
          </cell>
          <cell r="GF71">
            <v>18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4</v>
          </cell>
          <cell r="GL71">
            <v>1</v>
          </cell>
          <cell r="GM71">
            <v>13.000000000000002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B71">
            <v>63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Q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F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0</v>
          </cell>
          <cell r="IP71">
            <v>0</v>
          </cell>
          <cell r="IQ71">
            <v>0</v>
          </cell>
          <cell r="IR71">
            <v>0</v>
          </cell>
          <cell r="IS71">
            <v>0</v>
          </cell>
          <cell r="IU71">
            <v>0</v>
          </cell>
          <cell r="IW71">
            <v>19</v>
          </cell>
          <cell r="IX71">
            <v>78.000000000000014</v>
          </cell>
          <cell r="IY71">
            <v>15</v>
          </cell>
          <cell r="IZ71">
            <v>93</v>
          </cell>
          <cell r="JB71">
            <v>5</v>
          </cell>
          <cell r="JC71">
            <v>13.999999999999998</v>
          </cell>
          <cell r="JD71">
            <v>2</v>
          </cell>
          <cell r="JE71">
            <v>18</v>
          </cell>
          <cell r="JG71">
            <v>7</v>
          </cell>
          <cell r="JH71">
            <v>32</v>
          </cell>
          <cell r="JI71">
            <v>27</v>
          </cell>
          <cell r="JJ71">
            <v>139</v>
          </cell>
          <cell r="JL71">
            <v>19</v>
          </cell>
          <cell r="JM71">
            <v>78.000000000000014</v>
          </cell>
          <cell r="JN71">
            <v>15</v>
          </cell>
          <cell r="JO71">
            <v>93</v>
          </cell>
          <cell r="JQ71">
            <v>5</v>
          </cell>
          <cell r="JR71">
            <v>13.999999999999998</v>
          </cell>
          <cell r="JS71">
            <v>2</v>
          </cell>
          <cell r="JT71">
            <v>18</v>
          </cell>
          <cell r="JV71">
            <v>7</v>
          </cell>
          <cell r="JW71">
            <v>32</v>
          </cell>
          <cell r="JX71">
            <v>27</v>
          </cell>
          <cell r="JY71">
            <v>139</v>
          </cell>
          <cell r="KA71">
            <v>17.999999999999996</v>
          </cell>
          <cell r="KB71">
            <v>77</v>
          </cell>
          <cell r="KC71">
            <v>13.000000000000002</v>
          </cell>
          <cell r="KD71">
            <v>93</v>
          </cell>
          <cell r="KF71">
            <v>4</v>
          </cell>
          <cell r="KG71">
            <v>13.000000000000002</v>
          </cell>
          <cell r="KH71">
            <v>0</v>
          </cell>
          <cell r="KI71">
            <v>18</v>
          </cell>
          <cell r="KK71">
            <v>4</v>
          </cell>
          <cell r="KL71">
            <v>31</v>
          </cell>
          <cell r="KM71">
            <v>27</v>
          </cell>
          <cell r="KN71">
            <v>139</v>
          </cell>
          <cell r="KP71">
            <v>0</v>
          </cell>
          <cell r="KQ71">
            <v>0</v>
          </cell>
          <cell r="KR71">
            <v>0</v>
          </cell>
          <cell r="KT71">
            <v>0</v>
          </cell>
          <cell r="KV71">
            <v>0</v>
          </cell>
          <cell r="KW71">
            <v>0</v>
          </cell>
          <cell r="KX71">
            <v>0</v>
          </cell>
          <cell r="KZ71">
            <v>0</v>
          </cell>
          <cell r="LA71">
            <v>0</v>
          </cell>
          <cell r="LB71">
            <v>0</v>
          </cell>
          <cell r="LD71">
            <v>0</v>
          </cell>
          <cell r="LF71">
            <v>0</v>
          </cell>
          <cell r="LG71">
            <v>0</v>
          </cell>
          <cell r="LH71">
            <v>0</v>
          </cell>
          <cell r="LJ71">
            <v>0</v>
          </cell>
          <cell r="LK71">
            <v>0</v>
          </cell>
          <cell r="LL71">
            <v>0</v>
          </cell>
          <cell r="LN71">
            <v>0</v>
          </cell>
          <cell r="LP71">
            <v>0</v>
          </cell>
          <cell r="LQ71">
            <v>0</v>
          </cell>
          <cell r="LR71">
            <v>0</v>
          </cell>
          <cell r="LT71" t="str">
            <v>Albright-Albright</v>
          </cell>
        </row>
        <row r="72">
          <cell r="B72">
            <v>476.69000000000005</v>
          </cell>
          <cell r="C72">
            <v>530</v>
          </cell>
          <cell r="D72">
            <v>173991.85000000003</v>
          </cell>
          <cell r="E72">
            <v>193450</v>
          </cell>
          <cell r="F72">
            <v>0.89941509433962286</v>
          </cell>
          <cell r="G72">
            <v>0.89941509433962286</v>
          </cell>
          <cell r="H72">
            <v>8.0999999999999989E-2</v>
          </cell>
          <cell r="I72">
            <v>1.0682714896814312</v>
          </cell>
          <cell r="J72">
            <v>20.500029999999999</v>
          </cell>
          <cell r="K72">
            <v>10.49971</v>
          </cell>
          <cell r="L72">
            <v>80.203970000000012</v>
          </cell>
          <cell r="M72">
            <v>0.999</v>
          </cell>
          <cell r="N72">
            <v>36.797289999999997</v>
          </cell>
          <cell r="O72">
            <v>0</v>
          </cell>
          <cell r="P72">
            <v>1114.5500000000002</v>
          </cell>
          <cell r="Q72">
            <v>787.82999999999993</v>
          </cell>
          <cell r="R72">
            <v>454</v>
          </cell>
          <cell r="S72">
            <v>212.07999999999996</v>
          </cell>
          <cell r="T72">
            <v>883.96999999999991</v>
          </cell>
          <cell r="U72">
            <v>0</v>
          </cell>
          <cell r="W72">
            <v>478.50547945205477</v>
          </cell>
          <cell r="X72">
            <v>530</v>
          </cell>
          <cell r="Y72">
            <v>174654.5</v>
          </cell>
          <cell r="Z72">
            <v>193450</v>
          </cell>
          <cell r="AA72">
            <v>0.90284052726802799</v>
          </cell>
          <cell r="AB72">
            <v>0.90284052726802799</v>
          </cell>
          <cell r="AC72">
            <v>8.0999999999999989E-2</v>
          </cell>
          <cell r="AD72">
            <v>1.1009027122843371</v>
          </cell>
          <cell r="AE72">
            <v>18.428779084560801</v>
          </cell>
          <cell r="AF72">
            <v>12.675319841662503</v>
          </cell>
          <cell r="AG72">
            <v>85.878516830014533</v>
          </cell>
          <cell r="AH72">
            <v>3.110302437495875</v>
          </cell>
          <cell r="AI72">
            <v>31.97958564651206</v>
          </cell>
          <cell r="AJ72">
            <v>0</v>
          </cell>
          <cell r="AK72">
            <v>1132.4629447882444</v>
          </cell>
          <cell r="AL72">
            <v>770.76063675933472</v>
          </cell>
          <cell r="AM72">
            <v>484.65778891234601</v>
          </cell>
          <cell r="AN72">
            <v>378.01415367682603</v>
          </cell>
          <cell r="AO72">
            <v>831.05153689966812</v>
          </cell>
          <cell r="AP72">
            <v>0</v>
          </cell>
          <cell r="AR72">
            <v>479.32</v>
          </cell>
          <cell r="AS72">
            <v>530</v>
          </cell>
          <cell r="AT72">
            <v>175431.12000000002</v>
          </cell>
          <cell r="AU72">
            <v>193980</v>
          </cell>
          <cell r="AV72">
            <v>0.90437735849056622</v>
          </cell>
          <cell r="AW72">
            <v>0.90437735849056622</v>
          </cell>
          <cell r="AX72">
            <v>3.7777777777777785E-2</v>
          </cell>
          <cell r="AY72">
            <v>1.1255931235583945</v>
          </cell>
          <cell r="AZ72">
            <v>19.902049999999999</v>
          </cell>
          <cell r="BA72">
            <v>13.112570000000003</v>
          </cell>
          <cell r="BB72">
            <v>85.765340000000023</v>
          </cell>
          <cell r="BC72">
            <v>3.70024</v>
          </cell>
          <cell r="BD72">
            <v>30.016120000000001</v>
          </cell>
          <cell r="BE72">
            <v>0</v>
          </cell>
          <cell r="BF72">
            <v>1141.54</v>
          </cell>
          <cell r="BG72">
            <v>797.06</v>
          </cell>
          <cell r="BH72">
            <v>495.12000000000006</v>
          </cell>
          <cell r="BI72">
            <v>229.99999999999997</v>
          </cell>
          <cell r="BJ72">
            <v>880.31</v>
          </cell>
          <cell r="BK72">
            <v>0</v>
          </cell>
          <cell r="BM72">
            <v>1</v>
          </cell>
          <cell r="BN72">
            <v>0</v>
          </cell>
          <cell r="BO72">
            <v>3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2</v>
          </cell>
          <cell r="CK72">
            <v>24</v>
          </cell>
          <cell r="CL72">
            <v>18</v>
          </cell>
          <cell r="CM72">
            <v>1</v>
          </cell>
          <cell r="CN72">
            <v>0</v>
          </cell>
          <cell r="CO72">
            <v>0</v>
          </cell>
          <cell r="CP72">
            <v>0</v>
          </cell>
          <cell r="CQ72">
            <v>5</v>
          </cell>
          <cell r="CR72">
            <v>0</v>
          </cell>
          <cell r="CS72">
            <v>13.999999999999998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H72">
            <v>68</v>
          </cell>
          <cell r="DJ72">
            <v>1</v>
          </cell>
          <cell r="DK72">
            <v>0</v>
          </cell>
          <cell r="DL72">
            <v>3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2</v>
          </cell>
          <cell r="EH72">
            <v>24</v>
          </cell>
          <cell r="EI72">
            <v>18</v>
          </cell>
          <cell r="EJ72">
            <v>1</v>
          </cell>
          <cell r="EK72">
            <v>0</v>
          </cell>
          <cell r="EL72">
            <v>0</v>
          </cell>
          <cell r="EM72">
            <v>0</v>
          </cell>
          <cell r="EN72">
            <v>5</v>
          </cell>
          <cell r="EO72">
            <v>0</v>
          </cell>
          <cell r="EP72">
            <v>13.999999999999998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E72">
            <v>68</v>
          </cell>
          <cell r="FG72">
            <v>2</v>
          </cell>
          <cell r="FH72">
            <v>0</v>
          </cell>
          <cell r="FI72">
            <v>1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24</v>
          </cell>
          <cell r="GF72">
            <v>18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4</v>
          </cell>
          <cell r="GL72">
            <v>1</v>
          </cell>
          <cell r="GM72">
            <v>13.000000000000002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B72">
            <v>63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Q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F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U72">
            <v>0</v>
          </cell>
          <cell r="IW72">
            <v>19</v>
          </cell>
          <cell r="IX72">
            <v>78.000000000000014</v>
          </cell>
          <cell r="IY72">
            <v>15</v>
          </cell>
          <cell r="IZ72">
            <v>93</v>
          </cell>
          <cell r="JB72">
            <v>5</v>
          </cell>
          <cell r="JC72">
            <v>13.999999999999998</v>
          </cell>
          <cell r="JD72">
            <v>2</v>
          </cell>
          <cell r="JE72">
            <v>18</v>
          </cell>
          <cell r="JG72">
            <v>7</v>
          </cell>
          <cell r="JH72">
            <v>32</v>
          </cell>
          <cell r="JI72">
            <v>27</v>
          </cell>
          <cell r="JJ72">
            <v>139</v>
          </cell>
          <cell r="JL72">
            <v>19</v>
          </cell>
          <cell r="JM72">
            <v>78.000000000000014</v>
          </cell>
          <cell r="JN72">
            <v>15</v>
          </cell>
          <cell r="JO72">
            <v>93</v>
          </cell>
          <cell r="JQ72">
            <v>5</v>
          </cell>
          <cell r="JR72">
            <v>13.999999999999998</v>
          </cell>
          <cell r="JS72">
            <v>2</v>
          </cell>
          <cell r="JT72">
            <v>18</v>
          </cell>
          <cell r="JV72">
            <v>7</v>
          </cell>
          <cell r="JW72">
            <v>32</v>
          </cell>
          <cell r="JX72">
            <v>27</v>
          </cell>
          <cell r="JY72">
            <v>139</v>
          </cell>
          <cell r="KA72">
            <v>17.999999999999996</v>
          </cell>
          <cell r="KB72">
            <v>77</v>
          </cell>
          <cell r="KC72">
            <v>13.000000000000002</v>
          </cell>
          <cell r="KD72">
            <v>93</v>
          </cell>
          <cell r="KF72">
            <v>4</v>
          </cell>
          <cell r="KG72">
            <v>13.000000000000002</v>
          </cell>
          <cell r="KH72">
            <v>0</v>
          </cell>
          <cell r="KI72">
            <v>18</v>
          </cell>
          <cell r="KK72">
            <v>4</v>
          </cell>
          <cell r="KL72">
            <v>31</v>
          </cell>
          <cell r="KM72">
            <v>27</v>
          </cell>
          <cell r="KN72">
            <v>139</v>
          </cell>
          <cell r="KP72">
            <v>0</v>
          </cell>
          <cell r="KQ72">
            <v>0</v>
          </cell>
          <cell r="KR72">
            <v>0</v>
          </cell>
          <cell r="KT72">
            <v>0</v>
          </cell>
          <cell r="KV72">
            <v>0</v>
          </cell>
          <cell r="KW72">
            <v>0</v>
          </cell>
          <cell r="KX72">
            <v>0</v>
          </cell>
          <cell r="KZ72">
            <v>0</v>
          </cell>
          <cell r="LA72">
            <v>0</v>
          </cell>
          <cell r="LB72">
            <v>0</v>
          </cell>
          <cell r="LD72">
            <v>0</v>
          </cell>
          <cell r="LF72">
            <v>0</v>
          </cell>
          <cell r="LG72">
            <v>0</v>
          </cell>
          <cell r="LH72">
            <v>0</v>
          </cell>
          <cell r="LJ72">
            <v>0</v>
          </cell>
          <cell r="LK72">
            <v>0</v>
          </cell>
          <cell r="LL72">
            <v>0</v>
          </cell>
          <cell r="LN72">
            <v>0</v>
          </cell>
          <cell r="LP72">
            <v>0</v>
          </cell>
          <cell r="LQ72">
            <v>0</v>
          </cell>
          <cell r="LR72">
            <v>0</v>
          </cell>
          <cell r="LT72" t="str">
            <v>Albright (Consolidated)-Albright (Consolidated)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H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E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B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Q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F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  <cell r="IS73">
            <v>0</v>
          </cell>
          <cell r="IU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K73">
            <v>0</v>
          </cell>
          <cell r="KL73">
            <v>0</v>
          </cell>
          <cell r="KM73">
            <v>0</v>
          </cell>
          <cell r="KN73">
            <v>0</v>
          </cell>
          <cell r="KP73">
            <v>0</v>
          </cell>
          <cell r="KQ73">
            <v>0</v>
          </cell>
          <cell r="KR73">
            <v>0</v>
          </cell>
          <cell r="KT73">
            <v>0</v>
          </cell>
          <cell r="KV73">
            <v>0</v>
          </cell>
          <cell r="KW73">
            <v>0</v>
          </cell>
          <cell r="KX73">
            <v>0</v>
          </cell>
          <cell r="KZ73">
            <v>0</v>
          </cell>
          <cell r="LA73">
            <v>0</v>
          </cell>
          <cell r="LB73">
            <v>0</v>
          </cell>
          <cell r="LD73">
            <v>0</v>
          </cell>
          <cell r="LF73">
            <v>0</v>
          </cell>
          <cell r="LG73">
            <v>0</v>
          </cell>
          <cell r="LH73">
            <v>0</v>
          </cell>
          <cell r="LJ73">
            <v>0</v>
          </cell>
          <cell r="LK73">
            <v>0</v>
          </cell>
          <cell r="LL73">
            <v>0</v>
          </cell>
          <cell r="LN73">
            <v>0</v>
          </cell>
          <cell r="LP73">
            <v>0</v>
          </cell>
          <cell r="LQ73">
            <v>0</v>
          </cell>
          <cell r="LR73">
            <v>0</v>
          </cell>
          <cell r="LT73" t="str">
            <v>Top Level (Consolidated) (Only)-Top Level (Consolidated) (Only)</v>
          </cell>
        </row>
        <row r="74">
          <cell r="B74">
            <v>3189.9995890410951</v>
          </cell>
          <cell r="C74">
            <v>3519</v>
          </cell>
          <cell r="D74">
            <v>1164349.8500000001</v>
          </cell>
          <cell r="E74">
            <v>1284435</v>
          </cell>
          <cell r="F74">
            <v>0.90650741376558563</v>
          </cell>
          <cell r="G74">
            <v>0.90650741376558563</v>
          </cell>
          <cell r="H74">
            <v>6.2039215686274497E-2</v>
          </cell>
          <cell r="I74">
            <v>1.0122163213795343</v>
          </cell>
          <cell r="J74">
            <v>88.594032763333345</v>
          </cell>
          <cell r="K74">
            <v>55.070659650000003</v>
          </cell>
          <cell r="L74">
            <v>287.89534448999996</v>
          </cell>
          <cell r="M74">
            <v>2.6151626600000002</v>
          </cell>
          <cell r="N74">
            <v>228.14036769000003</v>
          </cell>
          <cell r="O74">
            <v>4.1706281000000009</v>
          </cell>
          <cell r="P74">
            <v>5445.05</v>
          </cell>
          <cell r="Q74">
            <v>3844.37</v>
          </cell>
          <cell r="R74">
            <v>1739.27</v>
          </cell>
          <cell r="S74">
            <v>1399.38</v>
          </cell>
          <cell r="T74">
            <v>5030.1000000000004</v>
          </cell>
          <cell r="U74">
            <v>489.06000000000006</v>
          </cell>
          <cell r="W74">
            <v>3048.4663109707781</v>
          </cell>
          <cell r="X74">
            <v>3521.8150959791319</v>
          </cell>
          <cell r="Y74">
            <v>1112692.6200000001</v>
          </cell>
          <cell r="Z74">
            <v>1285462</v>
          </cell>
          <cell r="AA74">
            <v>0.86559744278710693</v>
          </cell>
          <cell r="AB74">
            <v>0.86628955143701325</v>
          </cell>
          <cell r="AC74">
            <v>6.2039215686274497E-2</v>
          </cell>
          <cell r="AD74">
            <v>1.0256843939086768</v>
          </cell>
          <cell r="AE74">
            <v>66.230577562888683</v>
          </cell>
          <cell r="AF74">
            <v>38.2940606241471</v>
          </cell>
          <cell r="AG74">
            <v>284.9006545635271</v>
          </cell>
          <cell r="AH74">
            <v>6.8921280283218627</v>
          </cell>
          <cell r="AI74">
            <v>213.24390249640967</v>
          </cell>
          <cell r="AJ74">
            <v>11.753936315322573</v>
          </cell>
          <cell r="AK74">
            <v>5840.0420869404707</v>
          </cell>
          <cell r="AL74">
            <v>4467.9910554183061</v>
          </cell>
          <cell r="AM74">
            <v>1881.790070263643</v>
          </cell>
          <cell r="AN74">
            <v>1683.8955886006245</v>
          </cell>
          <cell r="AO74">
            <v>4752.5836529090511</v>
          </cell>
          <cell r="AP74">
            <v>564.46896895681391</v>
          </cell>
          <cell r="AR74">
            <v>2694.7918579234974</v>
          </cell>
          <cell r="AS74">
            <v>3518</v>
          </cell>
          <cell r="AT74">
            <v>986293.82</v>
          </cell>
          <cell r="AU74">
            <v>1287588</v>
          </cell>
          <cell r="AV74">
            <v>0.76600109662407534</v>
          </cell>
          <cell r="AW74">
            <v>0.76600109662407534</v>
          </cell>
          <cell r="AX74">
            <v>3.6323529411764706E-2</v>
          </cell>
          <cell r="AY74">
            <v>1.0062894017163655</v>
          </cell>
          <cell r="AZ74">
            <v>58.87461583333333</v>
          </cell>
          <cell r="BA74">
            <v>24.69734124999999</v>
          </cell>
          <cell r="BB74">
            <v>239.06259791666665</v>
          </cell>
          <cell r="BC74">
            <v>5.5413449999999997</v>
          </cell>
          <cell r="BD74">
            <v>176.21730500000001</v>
          </cell>
          <cell r="BE74">
            <v>2.7536495833333334</v>
          </cell>
          <cell r="BF74">
            <v>6151.93</v>
          </cell>
          <cell r="BG74">
            <v>4528.9900000000007</v>
          </cell>
          <cell r="BH74">
            <v>1851.35</v>
          </cell>
          <cell r="BI74">
            <v>894.36426661981352</v>
          </cell>
          <cell r="BJ74">
            <v>5135.88</v>
          </cell>
          <cell r="BK74">
            <v>509.78</v>
          </cell>
          <cell r="BM74">
            <v>1</v>
          </cell>
          <cell r="BN74">
            <v>1</v>
          </cell>
          <cell r="BO74">
            <v>3</v>
          </cell>
          <cell r="BP74">
            <v>0</v>
          </cell>
          <cell r="BQ74">
            <v>9</v>
          </cell>
          <cell r="BR74">
            <v>16</v>
          </cell>
          <cell r="BS74">
            <v>0</v>
          </cell>
          <cell r="BT74">
            <v>1</v>
          </cell>
          <cell r="BU74">
            <v>19</v>
          </cell>
          <cell r="BV74">
            <v>1</v>
          </cell>
          <cell r="BW74">
            <v>55.000000000000021</v>
          </cell>
          <cell r="BX74">
            <v>36</v>
          </cell>
          <cell r="BY74">
            <v>2</v>
          </cell>
          <cell r="BZ74">
            <v>1</v>
          </cell>
          <cell r="CA74">
            <v>13.000000000000002</v>
          </cell>
          <cell r="CB74">
            <v>32.000000000000007</v>
          </cell>
          <cell r="CC74">
            <v>19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6.9999999999999991</v>
          </cell>
          <cell r="CI74">
            <v>9</v>
          </cell>
          <cell r="CJ74">
            <v>2</v>
          </cell>
          <cell r="CK74">
            <v>24</v>
          </cell>
          <cell r="CL74">
            <v>18</v>
          </cell>
          <cell r="CM74">
            <v>1</v>
          </cell>
          <cell r="CN74">
            <v>1</v>
          </cell>
          <cell r="CO74">
            <v>0</v>
          </cell>
          <cell r="CP74">
            <v>20</v>
          </cell>
          <cell r="CQ74">
            <v>5</v>
          </cell>
          <cell r="CR74">
            <v>0</v>
          </cell>
          <cell r="CS74">
            <v>13.999999999999998</v>
          </cell>
          <cell r="CT74">
            <v>8</v>
          </cell>
          <cell r="CU74">
            <v>9</v>
          </cell>
          <cell r="CV74">
            <v>33.999999999999993</v>
          </cell>
          <cell r="CW74">
            <v>38</v>
          </cell>
          <cell r="CX74">
            <v>1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13.999999999999998</v>
          </cell>
          <cell r="DH74">
            <v>414</v>
          </cell>
          <cell r="DJ74">
            <v>1</v>
          </cell>
          <cell r="DK74">
            <v>1</v>
          </cell>
          <cell r="DL74">
            <v>3</v>
          </cell>
          <cell r="DM74">
            <v>0</v>
          </cell>
          <cell r="DN74">
            <v>9</v>
          </cell>
          <cell r="DO74">
            <v>16</v>
          </cell>
          <cell r="DP74">
            <v>0</v>
          </cell>
          <cell r="DQ74">
            <v>1</v>
          </cell>
          <cell r="DR74">
            <v>19</v>
          </cell>
          <cell r="DS74">
            <v>1</v>
          </cell>
          <cell r="DT74">
            <v>55.000000000000021</v>
          </cell>
          <cell r="DU74">
            <v>36</v>
          </cell>
          <cell r="DV74">
            <v>2</v>
          </cell>
          <cell r="DW74">
            <v>1</v>
          </cell>
          <cell r="DX74">
            <v>13.000000000000002</v>
          </cell>
          <cell r="DY74">
            <v>32.000000000000007</v>
          </cell>
          <cell r="DZ74">
            <v>19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6.9999999999999991</v>
          </cell>
          <cell r="EF74">
            <v>9</v>
          </cell>
          <cell r="EG74">
            <v>2</v>
          </cell>
          <cell r="EH74">
            <v>24</v>
          </cell>
          <cell r="EI74">
            <v>18</v>
          </cell>
          <cell r="EJ74">
            <v>1</v>
          </cell>
          <cell r="EK74">
            <v>1</v>
          </cell>
          <cell r="EL74">
            <v>0</v>
          </cell>
          <cell r="EM74">
            <v>20</v>
          </cell>
          <cell r="EN74">
            <v>5</v>
          </cell>
          <cell r="EO74">
            <v>0</v>
          </cell>
          <cell r="EP74">
            <v>13.999999999999998</v>
          </cell>
          <cell r="EQ74">
            <v>8</v>
          </cell>
          <cell r="ER74">
            <v>9</v>
          </cell>
          <cell r="ES74">
            <v>33.999999999999993</v>
          </cell>
          <cell r="ET74">
            <v>38</v>
          </cell>
          <cell r="EU74">
            <v>1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13.999999999999998</v>
          </cell>
          <cell r="FE74">
            <v>414</v>
          </cell>
          <cell r="FG74">
            <v>2</v>
          </cell>
          <cell r="FH74">
            <v>0</v>
          </cell>
          <cell r="FI74">
            <v>1</v>
          </cell>
          <cell r="FJ74">
            <v>0</v>
          </cell>
          <cell r="FK74">
            <v>12</v>
          </cell>
          <cell r="FL74">
            <v>15</v>
          </cell>
          <cell r="FM74">
            <v>0</v>
          </cell>
          <cell r="FN74">
            <v>1</v>
          </cell>
          <cell r="FO74">
            <v>19</v>
          </cell>
          <cell r="FP74">
            <v>1</v>
          </cell>
          <cell r="FQ74">
            <v>52.999999999999993</v>
          </cell>
          <cell r="FR74">
            <v>37</v>
          </cell>
          <cell r="FS74">
            <v>1</v>
          </cell>
          <cell r="FT74">
            <v>0</v>
          </cell>
          <cell r="FU74">
            <v>10</v>
          </cell>
          <cell r="FV74">
            <v>32</v>
          </cell>
          <cell r="FW74">
            <v>24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9</v>
          </cell>
          <cell r="GC74">
            <v>10</v>
          </cell>
          <cell r="GD74">
            <v>0</v>
          </cell>
          <cell r="GE74">
            <v>24</v>
          </cell>
          <cell r="GF74">
            <v>18</v>
          </cell>
          <cell r="GG74">
            <v>0</v>
          </cell>
          <cell r="GH74">
            <v>0</v>
          </cell>
          <cell r="GI74">
            <v>0</v>
          </cell>
          <cell r="GJ74">
            <v>23</v>
          </cell>
          <cell r="GK74">
            <v>4</v>
          </cell>
          <cell r="GL74">
            <v>1</v>
          </cell>
          <cell r="GM74">
            <v>13.000000000000002</v>
          </cell>
          <cell r="GN74">
            <v>6.9999999999999991</v>
          </cell>
          <cell r="GO74">
            <v>9</v>
          </cell>
          <cell r="GP74">
            <v>36</v>
          </cell>
          <cell r="GQ74">
            <v>46.999999999999993</v>
          </cell>
          <cell r="GR74">
            <v>0</v>
          </cell>
          <cell r="GS74">
            <v>0</v>
          </cell>
          <cell r="GT74">
            <v>0</v>
          </cell>
          <cell r="GU74">
            <v>1</v>
          </cell>
          <cell r="GV74">
            <v>2</v>
          </cell>
          <cell r="GW74">
            <v>2</v>
          </cell>
          <cell r="GX74">
            <v>1</v>
          </cell>
          <cell r="GY74">
            <v>2</v>
          </cell>
          <cell r="GZ74">
            <v>9</v>
          </cell>
          <cell r="HB74">
            <v>426</v>
          </cell>
          <cell r="HD74">
            <v>2</v>
          </cell>
          <cell r="HE74">
            <v>4</v>
          </cell>
          <cell r="HF74">
            <v>3</v>
          </cell>
          <cell r="HG74">
            <v>2</v>
          </cell>
          <cell r="HH74">
            <v>1</v>
          </cell>
          <cell r="HI74">
            <v>2</v>
          </cell>
          <cell r="HJ74">
            <v>2</v>
          </cell>
          <cell r="HK74">
            <v>1</v>
          </cell>
          <cell r="HL74">
            <v>3</v>
          </cell>
          <cell r="HM74">
            <v>1</v>
          </cell>
          <cell r="HN74">
            <v>13.999999999999998</v>
          </cell>
          <cell r="HO74">
            <v>3</v>
          </cell>
          <cell r="HQ74">
            <v>38</v>
          </cell>
          <cell r="HS74">
            <v>2</v>
          </cell>
          <cell r="HT74">
            <v>4</v>
          </cell>
          <cell r="HU74">
            <v>3</v>
          </cell>
          <cell r="HV74">
            <v>2</v>
          </cell>
          <cell r="HW74">
            <v>1</v>
          </cell>
          <cell r="HX74">
            <v>2</v>
          </cell>
          <cell r="HY74">
            <v>2</v>
          </cell>
          <cell r="HZ74">
            <v>1</v>
          </cell>
          <cell r="IA74">
            <v>3</v>
          </cell>
          <cell r="IB74">
            <v>1</v>
          </cell>
          <cell r="IC74">
            <v>13.999999999999998</v>
          </cell>
          <cell r="ID74">
            <v>3</v>
          </cell>
          <cell r="IF74">
            <v>38</v>
          </cell>
          <cell r="IH74">
            <v>2</v>
          </cell>
          <cell r="II74">
            <v>4</v>
          </cell>
          <cell r="IJ74">
            <v>3</v>
          </cell>
          <cell r="IK74">
            <v>2</v>
          </cell>
          <cell r="IL74">
            <v>1</v>
          </cell>
          <cell r="IM74">
            <v>2</v>
          </cell>
          <cell r="IN74">
            <v>2</v>
          </cell>
          <cell r="IO74">
            <v>1</v>
          </cell>
          <cell r="IP74">
            <v>3</v>
          </cell>
          <cell r="IQ74">
            <v>1</v>
          </cell>
          <cell r="IR74">
            <v>13.999999999999998</v>
          </cell>
          <cell r="IS74">
            <v>3</v>
          </cell>
          <cell r="IU74">
            <v>38</v>
          </cell>
          <cell r="IW74">
            <v>19</v>
          </cell>
          <cell r="IX74">
            <v>78.000000000000014</v>
          </cell>
          <cell r="IY74">
            <v>15</v>
          </cell>
          <cell r="IZ74">
            <v>93</v>
          </cell>
          <cell r="JB74">
            <v>5</v>
          </cell>
          <cell r="JC74">
            <v>13.999999999999998</v>
          </cell>
          <cell r="JD74">
            <v>2</v>
          </cell>
          <cell r="JE74">
            <v>18</v>
          </cell>
          <cell r="JG74">
            <v>7</v>
          </cell>
          <cell r="JH74">
            <v>32</v>
          </cell>
          <cell r="JI74">
            <v>27</v>
          </cell>
          <cell r="JJ74">
            <v>139</v>
          </cell>
          <cell r="JL74">
            <v>19</v>
          </cell>
          <cell r="JM74">
            <v>78.000000000000014</v>
          </cell>
          <cell r="JN74">
            <v>15</v>
          </cell>
          <cell r="JO74">
            <v>93</v>
          </cell>
          <cell r="JQ74">
            <v>5</v>
          </cell>
          <cell r="JR74">
            <v>13.999999999999998</v>
          </cell>
          <cell r="JS74">
            <v>2</v>
          </cell>
          <cell r="JT74">
            <v>18</v>
          </cell>
          <cell r="JV74">
            <v>7</v>
          </cell>
          <cell r="JW74">
            <v>32</v>
          </cell>
          <cell r="JX74">
            <v>27</v>
          </cell>
          <cell r="JY74">
            <v>139</v>
          </cell>
          <cell r="KA74">
            <v>17.999999999999996</v>
          </cell>
          <cell r="KB74">
            <v>77</v>
          </cell>
          <cell r="KC74">
            <v>13.000000000000002</v>
          </cell>
          <cell r="KD74">
            <v>93</v>
          </cell>
          <cell r="KF74">
            <v>4</v>
          </cell>
          <cell r="KG74">
            <v>13.000000000000002</v>
          </cell>
          <cell r="KH74">
            <v>0</v>
          </cell>
          <cell r="KI74">
            <v>18</v>
          </cell>
          <cell r="KK74">
            <v>4</v>
          </cell>
          <cell r="KL74">
            <v>31</v>
          </cell>
          <cell r="KM74">
            <v>27</v>
          </cell>
          <cell r="KN74">
            <v>139</v>
          </cell>
          <cell r="KP74">
            <v>10.999999999999998</v>
          </cell>
          <cell r="KQ74">
            <v>39.000000000000007</v>
          </cell>
          <cell r="KR74">
            <v>6</v>
          </cell>
          <cell r="KT74">
            <v>19</v>
          </cell>
          <cell r="KV74">
            <v>10.999999999999998</v>
          </cell>
          <cell r="KW74">
            <v>20.000000000000007</v>
          </cell>
          <cell r="KX74">
            <v>6</v>
          </cell>
          <cell r="KZ74">
            <v>10.999999999999998</v>
          </cell>
          <cell r="LA74">
            <v>39.000000000000007</v>
          </cell>
          <cell r="LB74">
            <v>6</v>
          </cell>
          <cell r="LD74">
            <v>19</v>
          </cell>
          <cell r="LF74">
            <v>10.999999999999998</v>
          </cell>
          <cell r="LG74">
            <v>20.000000000000007</v>
          </cell>
          <cell r="LH74">
            <v>6</v>
          </cell>
          <cell r="LJ74">
            <v>11</v>
          </cell>
          <cell r="LK74">
            <v>39.000000000000007</v>
          </cell>
          <cell r="LL74">
            <v>6</v>
          </cell>
          <cell r="LN74">
            <v>19</v>
          </cell>
          <cell r="LP74">
            <v>11</v>
          </cell>
          <cell r="LQ74">
            <v>20.000000000000007</v>
          </cell>
          <cell r="LR74">
            <v>6</v>
          </cell>
          <cell r="LT74" t="str">
            <v>Top Level (Consolidated)-Top Level (Consolidated)</v>
          </cell>
        </row>
      </sheetData>
      <sheetData sheetId="33"/>
      <sheetData sheetId="34"/>
      <sheetData sheetId="35">
        <row r="1">
          <cell r="B1" t="str">
            <v>2023Budget</v>
          </cell>
          <cell r="C1" t="str">
            <v>2023FC 9+3</v>
          </cell>
          <cell r="D1" t="str">
            <v>2024Budget</v>
          </cell>
        </row>
        <row r="2">
          <cell r="I2" t="str">
            <v>x'OC-Raise'!$B$7:$D$54</v>
          </cell>
        </row>
        <row r="3">
          <cell r="I3" t="str">
            <v>x'OC-Raise'!$F$7:$F$54</v>
          </cell>
        </row>
      </sheetData>
      <sheetData sheetId="36" refreshError="1"/>
      <sheetData sheetId="37">
        <row r="1">
          <cell r="B1" t="str">
            <v>44927FC 9+3SNF Census - Medicare A</v>
          </cell>
          <cell r="C1" t="str">
            <v>44958FC 9+3SNF Census - Medicare A</v>
          </cell>
          <cell r="D1" t="str">
            <v>44986FC 9+3SNF Census - Medicare A</v>
          </cell>
          <cell r="E1" t="str">
            <v>45017FC 9+3SNF Census - Medicare A</v>
          </cell>
          <cell r="F1" t="str">
            <v>45047FC 9+3SNF Census - Medicare A</v>
          </cell>
          <cell r="G1" t="str">
            <v>45078FC 9+3SNF Census - Medicare A</v>
          </cell>
          <cell r="H1" t="str">
            <v>45108FC 9+3SNF Census - Medicare A</v>
          </cell>
          <cell r="I1" t="str">
            <v>45139FC 9+3SNF Census - Medicare A</v>
          </cell>
          <cell r="J1" t="str">
            <v>45170FC 9+3SNF Census - Medicare A</v>
          </cell>
          <cell r="K1" t="str">
            <v>45200FC 9+3SNF Census - Medicare A</v>
          </cell>
          <cell r="L1" t="str">
            <v>45231FC 9+3SNF Census - Medicare A</v>
          </cell>
          <cell r="M1" t="str">
            <v>45261FC 9+3SNF Census - Medicare A</v>
          </cell>
          <cell r="N1" t="str">
            <v>45292BudgetSNF Census - Medicare A</v>
          </cell>
          <cell r="O1" t="str">
            <v>45323BudgetSNF Census - Medicare A</v>
          </cell>
          <cell r="P1" t="str">
            <v>45352BudgetSNF Census - Medicare A</v>
          </cell>
          <cell r="Q1" t="str">
            <v>45383BudgetSNF Census - Medicare A</v>
          </cell>
          <cell r="R1" t="str">
            <v>45413BudgetSNF Census - Medicare A</v>
          </cell>
          <cell r="S1" t="str">
            <v>45444BudgetSNF Census - Medicare A</v>
          </cell>
          <cell r="T1" t="str">
            <v>45474BudgetSNF Census - Medicare A</v>
          </cell>
          <cell r="U1" t="str">
            <v>45505BudgetSNF Census - Medicare A</v>
          </cell>
          <cell r="V1" t="str">
            <v>45536BudgetSNF Census - Medicare A</v>
          </cell>
          <cell r="W1" t="str">
            <v>45566BudgetSNF Census - Medicare A</v>
          </cell>
          <cell r="X1" t="str">
            <v>45597BudgetSNF Census - Medicare A</v>
          </cell>
          <cell r="Y1" t="str">
            <v>45627BudgetSNF Census - Medicare A</v>
          </cell>
          <cell r="AA1" t="str">
            <v>44927FC 9+3SNF Census - Medicare Advantage</v>
          </cell>
          <cell r="AB1" t="str">
            <v>44958FC 9+3SNF Census - Medicare Advantage</v>
          </cell>
          <cell r="AC1" t="str">
            <v>44986FC 9+3SNF Census - Medicare Advantage</v>
          </cell>
          <cell r="AD1" t="str">
            <v>45017FC 9+3SNF Census - Medicare Advantage</v>
          </cell>
          <cell r="AE1" t="str">
            <v>45047FC 9+3SNF Census - Medicare Advantage</v>
          </cell>
          <cell r="AF1" t="str">
            <v>45078FC 9+3SNF Census - Medicare Advantage</v>
          </cell>
          <cell r="AG1" t="str">
            <v>45108FC 9+3SNF Census - Medicare Advantage</v>
          </cell>
          <cell r="AH1" t="str">
            <v>45139FC 9+3SNF Census - Medicare Advantage</v>
          </cell>
          <cell r="AI1" t="str">
            <v>45170FC 9+3SNF Census - Medicare Advantage</v>
          </cell>
          <cell r="AJ1" t="str">
            <v>45200FC 9+3SNF Census - Medicare Advantage</v>
          </cell>
          <cell r="AK1" t="str">
            <v>45231FC 9+3SNF Census - Medicare Advantage</v>
          </cell>
          <cell r="AL1" t="str">
            <v>45261FC 9+3SNF Census - Medicare Advantage</v>
          </cell>
          <cell r="AM1" t="str">
            <v>45292BudgetSNF Census - Medicare Advantage</v>
          </cell>
          <cell r="AN1" t="str">
            <v>45323BudgetSNF Census - Medicare Advantage</v>
          </cell>
          <cell r="AO1" t="str">
            <v>45352BudgetSNF Census - Medicare Advantage</v>
          </cell>
          <cell r="AP1" t="str">
            <v>45383BudgetSNF Census - Medicare Advantage</v>
          </cell>
          <cell r="AQ1" t="str">
            <v>45413BudgetSNF Census - Medicare Advantage</v>
          </cell>
          <cell r="AR1" t="str">
            <v>45444BudgetSNF Census - Medicare Advantage</v>
          </cell>
          <cell r="AS1" t="str">
            <v>45474BudgetSNF Census - Medicare Advantage</v>
          </cell>
          <cell r="AT1" t="str">
            <v>45505BudgetSNF Census - Medicare Advantage</v>
          </cell>
          <cell r="AU1" t="str">
            <v>45536BudgetSNF Census - Medicare Advantage</v>
          </cell>
          <cell r="AV1" t="str">
            <v>45566BudgetSNF Census - Medicare Advantage</v>
          </cell>
          <cell r="AW1" t="str">
            <v>45597BudgetSNF Census - Medicare Advantage</v>
          </cell>
          <cell r="AX1" t="str">
            <v>45627BudgetSNF Census - Medicare Advantage</v>
          </cell>
          <cell r="AZ1" t="str">
            <v>44927FC 9+3SNF Census - Medicaid</v>
          </cell>
          <cell r="BA1" t="str">
            <v>44958FC 9+3SNF Census - Medicaid</v>
          </cell>
          <cell r="BB1" t="str">
            <v>44986FC 9+3SNF Census - Medicaid</v>
          </cell>
          <cell r="BC1" t="str">
            <v>45017FC 9+3SNF Census - Medicaid</v>
          </cell>
          <cell r="BD1" t="str">
            <v>45047FC 9+3SNF Census - Medicaid</v>
          </cell>
          <cell r="BE1" t="str">
            <v>45078FC 9+3SNF Census - Medicaid</v>
          </cell>
          <cell r="BF1" t="str">
            <v>45108FC 9+3SNF Census - Medicaid</v>
          </cell>
          <cell r="BG1" t="str">
            <v>45139FC 9+3SNF Census - Medicaid</v>
          </cell>
          <cell r="BH1" t="str">
            <v>45170FC 9+3SNF Census - Medicaid</v>
          </cell>
          <cell r="BI1" t="str">
            <v>45200FC 9+3SNF Census - Medicaid</v>
          </cell>
          <cell r="BJ1" t="str">
            <v>45231FC 9+3SNF Census - Medicaid</v>
          </cell>
          <cell r="BK1" t="str">
            <v>45261FC 9+3SNF Census - Medicaid</v>
          </cell>
          <cell r="BL1" t="str">
            <v>45292BudgetSNF Census - Medicaid</v>
          </cell>
          <cell r="BM1" t="str">
            <v>45323BudgetSNF Census - Medicaid</v>
          </cell>
          <cell r="BN1" t="str">
            <v>45352BudgetSNF Census - Medicaid</v>
          </cell>
          <cell r="BO1" t="str">
            <v>45383BudgetSNF Census - Medicaid</v>
          </cell>
          <cell r="BP1" t="str">
            <v>45413BudgetSNF Census - Medicaid</v>
          </cell>
          <cell r="BQ1" t="str">
            <v>45444BudgetSNF Census - Medicaid</v>
          </cell>
          <cell r="BR1" t="str">
            <v>45474BudgetSNF Census - Medicaid</v>
          </cell>
          <cell r="BS1" t="str">
            <v>45505BudgetSNF Census - Medicaid</v>
          </cell>
          <cell r="BT1" t="str">
            <v>45536BudgetSNF Census - Medicaid</v>
          </cell>
          <cell r="BU1" t="str">
            <v>45566BudgetSNF Census - Medicaid</v>
          </cell>
          <cell r="BV1" t="str">
            <v>45597BudgetSNF Census - Medicaid</v>
          </cell>
          <cell r="BW1" t="str">
            <v>45627BudgetSNF Census - Medicaid</v>
          </cell>
          <cell r="BY1" t="str">
            <v>44927FC 9+3SNF Census - Insurance</v>
          </cell>
          <cell r="BZ1" t="str">
            <v>44958FC 9+3SNF Census - Insurance</v>
          </cell>
          <cell r="CA1" t="str">
            <v>44986FC 9+3SNF Census - Insurance</v>
          </cell>
          <cell r="CB1" t="str">
            <v>45017FC 9+3SNF Census - Insurance</v>
          </cell>
          <cell r="CC1" t="str">
            <v>45047FC 9+3SNF Census - Insurance</v>
          </cell>
          <cell r="CD1" t="str">
            <v>45078FC 9+3SNF Census - Insurance</v>
          </cell>
          <cell r="CE1" t="str">
            <v>45108FC 9+3SNF Census - Insurance</v>
          </cell>
          <cell r="CF1" t="str">
            <v>45139FC 9+3SNF Census - Insurance</v>
          </cell>
          <cell r="CG1" t="str">
            <v>45170FC 9+3SNF Census - Insurance</v>
          </cell>
          <cell r="CH1" t="str">
            <v>45200FC 9+3SNF Census - Insurance</v>
          </cell>
          <cell r="CI1" t="str">
            <v>45231FC 9+3SNF Census - Insurance</v>
          </cell>
          <cell r="CJ1" t="str">
            <v>45261FC 9+3SNF Census - Insurance</v>
          </cell>
          <cell r="CK1" t="str">
            <v>45292BudgetSNF Census - Insurance</v>
          </cell>
          <cell r="CL1" t="str">
            <v>45323BudgetSNF Census - Insurance</v>
          </cell>
          <cell r="CM1" t="str">
            <v>45352BudgetSNF Census - Insurance</v>
          </cell>
          <cell r="CN1" t="str">
            <v>45383BudgetSNF Census - Insurance</v>
          </cell>
          <cell r="CO1" t="str">
            <v>45413BudgetSNF Census - Insurance</v>
          </cell>
          <cell r="CP1" t="str">
            <v>45444BudgetSNF Census - Insurance</v>
          </cell>
          <cell r="CQ1" t="str">
            <v>45474BudgetSNF Census - Insurance</v>
          </cell>
          <cell r="CR1" t="str">
            <v>45505BudgetSNF Census - Insurance</v>
          </cell>
          <cell r="CS1" t="str">
            <v>45536BudgetSNF Census - Insurance</v>
          </cell>
          <cell r="CT1" t="str">
            <v>45566BudgetSNF Census - Insurance</v>
          </cell>
          <cell r="CU1" t="str">
            <v>45597BudgetSNF Census - Insurance</v>
          </cell>
          <cell r="CV1" t="str">
            <v>45627BudgetSNF Census - Insurance</v>
          </cell>
          <cell r="CX1" t="str">
            <v>44927FC 9+3SNF Census - Private Pay</v>
          </cell>
          <cell r="CY1" t="str">
            <v>44958FC 9+3SNF Census - Private Pay</v>
          </cell>
          <cell r="CZ1" t="str">
            <v>44986FC 9+3SNF Census - Private Pay</v>
          </cell>
          <cell r="DA1" t="str">
            <v>45017FC 9+3SNF Census - Private Pay</v>
          </cell>
          <cell r="DB1" t="str">
            <v>45047FC 9+3SNF Census - Private Pay</v>
          </cell>
          <cell r="DC1" t="str">
            <v>45078FC 9+3SNF Census - Private Pay</v>
          </cell>
          <cell r="DD1" t="str">
            <v>45108FC 9+3SNF Census - Private Pay</v>
          </cell>
          <cell r="DE1" t="str">
            <v>45139FC 9+3SNF Census - Private Pay</v>
          </cell>
          <cell r="DF1" t="str">
            <v>45170FC 9+3SNF Census - Private Pay</v>
          </cell>
          <cell r="DG1" t="str">
            <v>45200FC 9+3SNF Census - Private Pay</v>
          </cell>
          <cell r="DH1" t="str">
            <v>45231FC 9+3SNF Census - Private Pay</v>
          </cell>
          <cell r="DI1" t="str">
            <v>45261FC 9+3SNF Census - Private Pay</v>
          </cell>
          <cell r="DJ1" t="str">
            <v>45292BudgetSNF Census - Private Pay</v>
          </cell>
          <cell r="DK1" t="str">
            <v>45323BudgetSNF Census - Private Pay</v>
          </cell>
          <cell r="DL1" t="str">
            <v>45352BudgetSNF Census - Private Pay</v>
          </cell>
          <cell r="DM1" t="str">
            <v>45383BudgetSNF Census - Private Pay</v>
          </cell>
          <cell r="DN1" t="str">
            <v>45413BudgetSNF Census - Private Pay</v>
          </cell>
          <cell r="DO1" t="str">
            <v>45444BudgetSNF Census - Private Pay</v>
          </cell>
          <cell r="DP1" t="str">
            <v>45474BudgetSNF Census - Private Pay</v>
          </cell>
          <cell r="DQ1" t="str">
            <v>45505BudgetSNF Census - Private Pay</v>
          </cell>
          <cell r="DR1" t="str">
            <v>45536BudgetSNF Census - Private Pay</v>
          </cell>
          <cell r="DS1" t="str">
            <v>45566BudgetSNF Census - Private Pay</v>
          </cell>
          <cell r="DT1" t="str">
            <v>45597BudgetSNF Census - Private Pay</v>
          </cell>
          <cell r="DU1" t="str">
            <v>45627BudgetSNF Census - Private Pay</v>
          </cell>
          <cell r="DW1" t="str">
            <v>44927FC 9+3SNF Census - Hospice</v>
          </cell>
          <cell r="DX1" t="str">
            <v>44958FC 9+3SNF Census - Hospice</v>
          </cell>
          <cell r="DY1" t="str">
            <v>44986FC 9+3SNF Census - Hospice</v>
          </cell>
          <cell r="DZ1" t="str">
            <v>45017FC 9+3SNF Census - Hospice</v>
          </cell>
          <cell r="EA1" t="str">
            <v>45047FC 9+3SNF Census - Hospice</v>
          </cell>
          <cell r="EB1" t="str">
            <v>45078FC 9+3SNF Census - Hospice</v>
          </cell>
          <cell r="EC1" t="str">
            <v>45108FC 9+3SNF Census - Hospice</v>
          </cell>
          <cell r="ED1" t="str">
            <v>45139FC 9+3SNF Census - Hospice</v>
          </cell>
          <cell r="EE1" t="str">
            <v>45170FC 9+3SNF Census - Hospice</v>
          </cell>
          <cell r="EF1" t="str">
            <v>45200FC 9+3SNF Census - Hospice</v>
          </cell>
          <cell r="EG1" t="str">
            <v>45231FC 9+3SNF Census - Hospice</v>
          </cell>
          <cell r="EH1" t="str">
            <v>45261FC 9+3SNF Census - Hospice</v>
          </cell>
          <cell r="EI1" t="str">
            <v>45292BudgetSNF Census - Hospice</v>
          </cell>
          <cell r="EJ1" t="str">
            <v>45323BudgetSNF Census - Hospice</v>
          </cell>
          <cell r="EK1" t="str">
            <v>45352BudgetSNF Census - Hospice</v>
          </cell>
          <cell r="EL1" t="str">
            <v>45383BudgetSNF Census - Hospice</v>
          </cell>
          <cell r="EM1" t="str">
            <v>45413BudgetSNF Census - Hospice</v>
          </cell>
          <cell r="EN1" t="str">
            <v>45444BudgetSNF Census - Hospice</v>
          </cell>
          <cell r="EO1" t="str">
            <v>45474BudgetSNF Census - Hospice</v>
          </cell>
          <cell r="EP1" t="str">
            <v>45505BudgetSNF Census - Hospice</v>
          </cell>
          <cell r="EQ1" t="str">
            <v>45536BudgetSNF Census - Hospice</v>
          </cell>
          <cell r="ER1" t="str">
            <v>45566BudgetSNF Census - Hospice</v>
          </cell>
          <cell r="ES1" t="str">
            <v>45597BudgetSNF Census - Hospice</v>
          </cell>
          <cell r="ET1" t="str">
            <v>45627BudgetSNF Census - Hospice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V9" t="str">
            <v>660-21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V10" t="str">
            <v>660-22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V11" t="str">
            <v>660-31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V12" t="str">
            <v>660-52</v>
          </cell>
        </row>
        <row r="13">
          <cell r="B13">
            <v>2.5161290322580578</v>
          </cell>
          <cell r="C13">
            <v>2.3214285714285801</v>
          </cell>
          <cell r="D13">
            <v>2.2903225806451575</v>
          </cell>
          <cell r="E13">
            <v>3.2999999999999972</v>
          </cell>
          <cell r="F13">
            <v>2.5806451612903212</v>
          </cell>
          <cell r="G13">
            <v>7.2333333333333254</v>
          </cell>
          <cell r="H13">
            <v>2.3225806451612976</v>
          </cell>
          <cell r="I13">
            <v>2.0322580645161357</v>
          </cell>
          <cell r="J13">
            <v>6.0000000000000098</v>
          </cell>
          <cell r="K13">
            <v>5.2</v>
          </cell>
          <cell r="L13">
            <v>5.3999999999999995</v>
          </cell>
          <cell r="M13">
            <v>5.76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A13">
            <v>6.8709677419354893</v>
          </cell>
          <cell r="AB13">
            <v>8.9642857142857242</v>
          </cell>
          <cell r="AC13">
            <v>9.8709677419354769</v>
          </cell>
          <cell r="AD13">
            <v>8.7333333333333361</v>
          </cell>
          <cell r="AE13">
            <v>5.5806451612903256</v>
          </cell>
          <cell r="AF13">
            <v>5.8666666666666671</v>
          </cell>
          <cell r="AG13">
            <v>8.870967741935484</v>
          </cell>
          <cell r="AH13">
            <v>5.2903225806451548</v>
          </cell>
          <cell r="AI13">
            <v>7.5333333333333403</v>
          </cell>
          <cell r="AJ13">
            <v>7.8</v>
          </cell>
          <cell r="AK13">
            <v>9.6</v>
          </cell>
          <cell r="AL13">
            <v>10.24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Y13">
            <v>0.48387096774193278</v>
          </cell>
          <cell r="BZ13">
            <v>0.499999999999996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X13">
            <v>7.9032258064516157</v>
          </cell>
          <cell r="CY13">
            <v>7.2142857142857189</v>
          </cell>
          <cell r="CZ13">
            <v>7.322580645161282</v>
          </cell>
          <cell r="DA13">
            <v>8.9666666666666668</v>
          </cell>
          <cell r="DB13">
            <v>10.87096774193548</v>
          </cell>
          <cell r="DC13">
            <v>7.5000000000000089</v>
          </cell>
          <cell r="DD13">
            <v>7.9032258064516059</v>
          </cell>
          <cell r="DE13">
            <v>8.4838709677419359</v>
          </cell>
          <cell r="DF13">
            <v>13.000000000000011</v>
          </cell>
          <cell r="DG13">
            <v>13</v>
          </cell>
          <cell r="DH13">
            <v>15</v>
          </cell>
          <cell r="DI13">
            <v>16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V13" t="str">
            <v>660-61</v>
          </cell>
        </row>
        <row r="14">
          <cell r="B14">
            <v>0</v>
          </cell>
          <cell r="C14">
            <v>1.21428571428571</v>
          </cell>
          <cell r="D14">
            <v>3.5806451612903269</v>
          </cell>
          <cell r="E14">
            <v>2.9333333333333416</v>
          </cell>
          <cell r="F14">
            <v>1.709677419354841</v>
          </cell>
          <cell r="G14">
            <v>0.43333333333333768</v>
          </cell>
          <cell r="H14">
            <v>0.38709677419354699</v>
          </cell>
          <cell r="I14">
            <v>1.0967741935483883</v>
          </cell>
          <cell r="J14">
            <v>0.60000000000000053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5.7419354838709671</v>
          </cell>
          <cell r="AB14">
            <v>5.7500000000000071</v>
          </cell>
          <cell r="AC14">
            <v>4.6451612903225765</v>
          </cell>
          <cell r="AD14">
            <v>3.7333333333333263</v>
          </cell>
          <cell r="AE14">
            <v>1.1290322580645145</v>
          </cell>
          <cell r="AF14">
            <v>1.5333333333333301</v>
          </cell>
          <cell r="AG14">
            <v>2.6774193548387117</v>
          </cell>
          <cell r="AH14">
            <v>0.12903225806452079</v>
          </cell>
          <cell r="AI14">
            <v>0.66666666666666785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X14">
            <v>8.129032258064516</v>
          </cell>
          <cell r="CY14">
            <v>7.9642857142857117</v>
          </cell>
          <cell r="CZ14">
            <v>8.5806451612903203</v>
          </cell>
          <cell r="DA14">
            <v>10.9</v>
          </cell>
          <cell r="DB14">
            <v>9.32258064516129</v>
          </cell>
          <cell r="DC14">
            <v>7.4</v>
          </cell>
          <cell r="DD14">
            <v>7.9354838709677411</v>
          </cell>
          <cell r="DE14">
            <v>8.3225806451612954</v>
          </cell>
          <cell r="DF14">
            <v>2.9333333333333318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V14" t="str">
            <v>660-62</v>
          </cell>
        </row>
        <row r="15">
          <cell r="B15">
            <v>2.5161290322580578</v>
          </cell>
          <cell r="C15">
            <v>3.53571428571429</v>
          </cell>
          <cell r="D15">
            <v>5.870967741935484</v>
          </cell>
          <cell r="E15">
            <v>6.2333333333333387</v>
          </cell>
          <cell r="F15">
            <v>4.2903225806451619</v>
          </cell>
          <cell r="G15">
            <v>7.6666666666666634</v>
          </cell>
          <cell r="H15">
            <v>2.7096774193548447</v>
          </cell>
          <cell r="I15">
            <v>3.129032258064524</v>
          </cell>
          <cell r="J15">
            <v>6.6000000000000103</v>
          </cell>
          <cell r="K15">
            <v>5.2</v>
          </cell>
          <cell r="L15">
            <v>5.3999999999999995</v>
          </cell>
          <cell r="M15">
            <v>5.76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12.612903225806456</v>
          </cell>
          <cell r="AB15">
            <v>14.714285714285731</v>
          </cell>
          <cell r="AC15">
            <v>14.516129032258052</v>
          </cell>
          <cell r="AD15">
            <v>12.46666666666666</v>
          </cell>
          <cell r="AE15">
            <v>6.7096774193548399</v>
          </cell>
          <cell r="AF15">
            <v>7.3999999999999968</v>
          </cell>
          <cell r="AG15">
            <v>11.548387096774196</v>
          </cell>
          <cell r="AH15">
            <v>5.4193548387096753</v>
          </cell>
          <cell r="AI15">
            <v>8.2000000000000082</v>
          </cell>
          <cell r="AJ15">
            <v>7.8</v>
          </cell>
          <cell r="AK15">
            <v>9.6</v>
          </cell>
          <cell r="AL15">
            <v>10.24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Y15">
            <v>0.48387096774193278</v>
          </cell>
          <cell r="BZ15">
            <v>0.499999999999996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X15">
            <v>16.032258064516132</v>
          </cell>
          <cell r="CY15">
            <v>15.178571428571431</v>
          </cell>
          <cell r="CZ15">
            <v>15.9032258064516</v>
          </cell>
          <cell r="DA15">
            <v>19.866666666666667</v>
          </cell>
          <cell r="DB15">
            <v>20.193548387096769</v>
          </cell>
          <cell r="DC15">
            <v>14.900000000000009</v>
          </cell>
          <cell r="DD15">
            <v>15.838709677419349</v>
          </cell>
          <cell r="DE15">
            <v>16.806451612903231</v>
          </cell>
          <cell r="DF15">
            <v>15.933333333333342</v>
          </cell>
          <cell r="DG15">
            <v>13</v>
          </cell>
          <cell r="DH15">
            <v>15</v>
          </cell>
          <cell r="DI15">
            <v>16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V15" t="str">
            <v>660-Entity</v>
          </cell>
        </row>
        <row r="16">
          <cell r="B16">
            <v>1.1290322580645189</v>
          </cell>
          <cell r="C16">
            <v>1.7857142857142569</v>
          </cell>
          <cell r="D16">
            <v>2.6451612903225539</v>
          </cell>
          <cell r="E16">
            <v>0.53333333333332456</v>
          </cell>
          <cell r="F16">
            <v>3.5806451612903034</v>
          </cell>
          <cell r="G16">
            <v>1.4666666666666708</v>
          </cell>
          <cell r="H16">
            <v>9.677419354840644E-2</v>
          </cell>
          <cell r="I16">
            <v>0.16129032258065551</v>
          </cell>
          <cell r="J16">
            <v>1.3999999999999859</v>
          </cell>
          <cell r="K16">
            <v>1.8</v>
          </cell>
          <cell r="L16">
            <v>2.13</v>
          </cell>
          <cell r="M16">
            <v>2.4850000000000003</v>
          </cell>
          <cell r="N16">
            <v>2.4548000000000001</v>
          </cell>
          <cell r="O16">
            <v>2.4548000000000001</v>
          </cell>
          <cell r="P16">
            <v>2.4548000000000001</v>
          </cell>
          <cell r="Q16">
            <v>2.4548000000000001</v>
          </cell>
          <cell r="R16">
            <v>2.4548000000000001</v>
          </cell>
          <cell r="S16">
            <v>2.4548000000000001</v>
          </cell>
          <cell r="T16">
            <v>2.4999800000000003</v>
          </cell>
          <cell r="U16">
            <v>2.4999800000000003</v>
          </cell>
          <cell r="V16">
            <v>2.4999800000000003</v>
          </cell>
          <cell r="W16">
            <v>2.4999800000000003</v>
          </cell>
          <cell r="X16">
            <v>2.4999800000000003</v>
          </cell>
          <cell r="Y16">
            <v>2.4999800000000003</v>
          </cell>
          <cell r="AA16">
            <v>1.290322580645185</v>
          </cell>
          <cell r="AB16">
            <v>1.3214285714285501</v>
          </cell>
          <cell r="AC16">
            <v>0</v>
          </cell>
          <cell r="AD16">
            <v>1.8000000000000065</v>
          </cell>
          <cell r="AE16">
            <v>3.0322580645160979</v>
          </cell>
          <cell r="AF16">
            <v>2.2666666666666462</v>
          </cell>
          <cell r="AG16">
            <v>0.67741935483869764</v>
          </cell>
          <cell r="AH16">
            <v>0.35483870967739878</v>
          </cell>
          <cell r="AI16">
            <v>0</v>
          </cell>
          <cell r="AJ16">
            <v>0.72</v>
          </cell>
          <cell r="AK16">
            <v>1.42</v>
          </cell>
          <cell r="AL16">
            <v>1.7749999999999999</v>
          </cell>
          <cell r="AM16">
            <v>1.97828</v>
          </cell>
          <cell r="AN16">
            <v>1.97828</v>
          </cell>
          <cell r="AO16">
            <v>1.97828</v>
          </cell>
          <cell r="AP16">
            <v>1.97828</v>
          </cell>
          <cell r="AQ16">
            <v>1.97828</v>
          </cell>
          <cell r="AR16">
            <v>1.97828</v>
          </cell>
          <cell r="AS16">
            <v>1.9999</v>
          </cell>
          <cell r="AT16">
            <v>1.9999</v>
          </cell>
          <cell r="AU16">
            <v>1.9999</v>
          </cell>
          <cell r="AV16">
            <v>1.9999</v>
          </cell>
          <cell r="AW16">
            <v>1.9999</v>
          </cell>
          <cell r="AX16">
            <v>1.9999</v>
          </cell>
          <cell r="AZ16">
            <v>28.870967741935495</v>
          </cell>
          <cell r="BA16">
            <v>30.500000000000028</v>
          </cell>
          <cell r="BB16">
            <v>31.225806451612911</v>
          </cell>
          <cell r="BC16">
            <v>31.999999999999975</v>
          </cell>
          <cell r="BD16">
            <v>31.999999999999982</v>
          </cell>
          <cell r="BE16">
            <v>32.066666666666649</v>
          </cell>
          <cell r="BF16">
            <v>34.000000000000014</v>
          </cell>
          <cell r="BG16">
            <v>33.41935483870968</v>
          </cell>
          <cell r="BH16">
            <v>32.700000000000031</v>
          </cell>
          <cell r="BI16">
            <v>31.68</v>
          </cell>
          <cell r="BJ16">
            <v>29.465</v>
          </cell>
          <cell r="BK16">
            <v>28.4</v>
          </cell>
          <cell r="BL16">
            <v>28.002770000000002</v>
          </cell>
          <cell r="BM16">
            <v>28.002770000000002</v>
          </cell>
          <cell r="BN16">
            <v>28.002770000000002</v>
          </cell>
          <cell r="BO16">
            <v>28.002770000000002</v>
          </cell>
          <cell r="BP16">
            <v>28.002770000000002</v>
          </cell>
          <cell r="BQ16">
            <v>28.002770000000002</v>
          </cell>
          <cell r="BR16">
            <v>28</v>
          </cell>
          <cell r="BS16">
            <v>28</v>
          </cell>
          <cell r="BT16">
            <v>28</v>
          </cell>
          <cell r="BU16">
            <v>28</v>
          </cell>
          <cell r="BV16">
            <v>28</v>
          </cell>
          <cell r="BW16">
            <v>28</v>
          </cell>
          <cell r="BY16">
            <v>0</v>
          </cell>
          <cell r="BZ16">
            <v>0.71428571428570287</v>
          </cell>
          <cell r="CA16">
            <v>0.51612903225809836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X16">
            <v>40.612903225806477</v>
          </cell>
          <cell r="CY16">
            <v>39.392857142857167</v>
          </cell>
          <cell r="CZ16">
            <v>38.354838709677395</v>
          </cell>
          <cell r="DA16">
            <v>37.733333333333363</v>
          </cell>
          <cell r="DB16">
            <v>36.064516129032242</v>
          </cell>
          <cell r="DC16">
            <v>38.633333333333368</v>
          </cell>
          <cell r="DD16">
            <v>38.999999999999986</v>
          </cell>
          <cell r="DE16">
            <v>38.322580645161302</v>
          </cell>
          <cell r="DF16">
            <v>37.59999999999998</v>
          </cell>
          <cell r="DG16">
            <v>37.799999999999997</v>
          </cell>
          <cell r="DH16">
            <v>37.984999999999999</v>
          </cell>
          <cell r="DI16">
            <v>38.340000000000003</v>
          </cell>
          <cell r="DJ16">
            <v>39.764150000000001</v>
          </cell>
          <cell r="DK16">
            <v>39.764150000000001</v>
          </cell>
          <cell r="DL16">
            <v>39.764150000000001</v>
          </cell>
          <cell r="DM16">
            <v>39.764150000000001</v>
          </cell>
          <cell r="DN16">
            <v>39.764150000000001</v>
          </cell>
          <cell r="DO16">
            <v>39.764150000000001</v>
          </cell>
          <cell r="DP16">
            <v>37.498999999999995</v>
          </cell>
          <cell r="DQ16">
            <v>37.498999999999995</v>
          </cell>
          <cell r="DR16">
            <v>37.498999999999995</v>
          </cell>
          <cell r="DS16">
            <v>37.498999999999995</v>
          </cell>
          <cell r="DT16">
            <v>37.498999999999995</v>
          </cell>
          <cell r="DU16">
            <v>37.498999999999995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V16" t="str">
            <v>324-61</v>
          </cell>
        </row>
        <row r="17">
          <cell r="B17">
            <v>9.0000000000000178</v>
          </cell>
          <cell r="C17">
            <v>4.0357142857142296</v>
          </cell>
          <cell r="D17">
            <v>9.5161290322581102</v>
          </cell>
          <cell r="E17">
            <v>5.6000000000000494</v>
          </cell>
          <cell r="F17">
            <v>1.806451612903156</v>
          </cell>
          <cell r="G17">
            <v>2.0666666666667082</v>
          </cell>
          <cell r="H17">
            <v>3.4838709677418849</v>
          </cell>
          <cell r="I17">
            <v>7.8709677419355417</v>
          </cell>
          <cell r="J17">
            <v>8.1333333333333719</v>
          </cell>
          <cell r="K17">
            <v>5.4402799999999996</v>
          </cell>
          <cell r="L17">
            <v>4.1841549999999996</v>
          </cell>
          <cell r="M17">
            <v>3.4991999999999996</v>
          </cell>
          <cell r="N17">
            <v>3.1996799999999999</v>
          </cell>
          <cell r="O17">
            <v>2.8798849999999998</v>
          </cell>
          <cell r="P17">
            <v>2.8796999999999997</v>
          </cell>
          <cell r="Q17">
            <v>2.8794449999999996</v>
          </cell>
          <cell r="R17">
            <v>2.8791200000000003</v>
          </cell>
          <cell r="S17">
            <v>2.8791200000000003</v>
          </cell>
          <cell r="T17">
            <v>2.8791200000000003</v>
          </cell>
          <cell r="U17">
            <v>2.8791200000000003</v>
          </cell>
          <cell r="V17">
            <v>2.8791200000000003</v>
          </cell>
          <cell r="W17">
            <v>2.8791200000000003</v>
          </cell>
          <cell r="X17">
            <v>2.8791200000000003</v>
          </cell>
          <cell r="Y17">
            <v>2.8791200000000003</v>
          </cell>
          <cell r="AA17">
            <v>2.0967741935483724</v>
          </cell>
          <cell r="AB17">
            <v>1.3928571428571459</v>
          </cell>
          <cell r="AC17">
            <v>2.0967741935483284</v>
          </cell>
          <cell r="AD17">
            <v>0.59999999999994913</v>
          </cell>
          <cell r="AE17">
            <v>0.74193548387092634</v>
          </cell>
          <cell r="AF17">
            <v>9.9999999999986364E-2</v>
          </cell>
          <cell r="AG17">
            <v>0.54838709677415554</v>
          </cell>
          <cell r="AH17">
            <v>0.99999999999996003</v>
          </cell>
          <cell r="AI17">
            <v>0.69999999999997731</v>
          </cell>
          <cell r="AJ17">
            <v>0.49444500000000002</v>
          </cell>
          <cell r="AK17">
            <v>0.69759500000000008</v>
          </cell>
          <cell r="AL17">
            <v>0.69984000000000002</v>
          </cell>
          <cell r="AM17">
            <v>0.72</v>
          </cell>
          <cell r="AN17">
            <v>0.71960999999999997</v>
          </cell>
          <cell r="AO17">
            <v>0.71919999999999995</v>
          </cell>
          <cell r="AP17">
            <v>0.720225</v>
          </cell>
          <cell r="AQ17">
            <v>0.71978000000000009</v>
          </cell>
          <cell r="AR17">
            <v>0.71978000000000009</v>
          </cell>
          <cell r="AS17">
            <v>0.71978000000000009</v>
          </cell>
          <cell r="AT17">
            <v>0.71978000000000009</v>
          </cell>
          <cell r="AU17">
            <v>0.71978000000000009</v>
          </cell>
          <cell r="AV17">
            <v>0.71978000000000009</v>
          </cell>
          <cell r="AW17">
            <v>0.71978000000000009</v>
          </cell>
          <cell r="AX17">
            <v>0.71978000000000009</v>
          </cell>
          <cell r="AZ17">
            <v>77.322580645161267</v>
          </cell>
          <cell r="BA17">
            <v>86.321428571428541</v>
          </cell>
          <cell r="BB17">
            <v>89.322580645161281</v>
          </cell>
          <cell r="BC17">
            <v>90.699999999999918</v>
          </cell>
          <cell r="BD17">
            <v>91.709677419354861</v>
          </cell>
          <cell r="BE17">
            <v>88.633333333333397</v>
          </cell>
          <cell r="BF17">
            <v>88.741935483871003</v>
          </cell>
          <cell r="BG17">
            <v>83.032258064516157</v>
          </cell>
          <cell r="BH17">
            <v>80.566666666666677</v>
          </cell>
          <cell r="BI17">
            <v>83.978089999999995</v>
          </cell>
          <cell r="BJ17">
            <v>88.966709999999992</v>
          </cell>
          <cell r="BK17">
            <v>90.673919999999995</v>
          </cell>
          <cell r="BL17">
            <v>90.990719999999996</v>
          </cell>
          <cell r="BM17">
            <v>91.89622</v>
          </cell>
          <cell r="BN17">
            <v>91.896649999999994</v>
          </cell>
          <cell r="BO17">
            <v>91.896344999999997</v>
          </cell>
          <cell r="BP17">
            <v>91.877799999999993</v>
          </cell>
          <cell r="BQ17">
            <v>91.877799999999993</v>
          </cell>
          <cell r="BR17">
            <v>91.877799999999993</v>
          </cell>
          <cell r="BS17">
            <v>91.877799999999993</v>
          </cell>
          <cell r="BT17">
            <v>91.877799999999993</v>
          </cell>
          <cell r="BU17">
            <v>91.877799999999993</v>
          </cell>
          <cell r="BV17">
            <v>91.877799999999993</v>
          </cell>
          <cell r="BW17">
            <v>91.877799999999993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3.2258064516059518E-2</v>
          </cell>
          <cell r="CD17">
            <v>0.26666666666667649</v>
          </cell>
          <cell r="CE17">
            <v>1.322580645161257</v>
          </cell>
          <cell r="CF17">
            <v>9.6774193548455997E-2</v>
          </cell>
          <cell r="CG17">
            <v>0.53333333333340183</v>
          </cell>
          <cell r="CH17">
            <v>1.6024449999999999</v>
          </cell>
          <cell r="CI17">
            <v>1.6244200000000002</v>
          </cell>
          <cell r="CJ17">
            <v>1.6415999999999999</v>
          </cell>
          <cell r="CK17">
            <v>1.84032</v>
          </cell>
          <cell r="CL17">
            <v>1.84093</v>
          </cell>
          <cell r="CM17">
            <v>1.8414999999999999</v>
          </cell>
          <cell r="CN17">
            <v>1.8420300000000001</v>
          </cell>
          <cell r="CO17">
            <v>1.8410599999999999</v>
          </cell>
          <cell r="CP17">
            <v>1.8410599999999999</v>
          </cell>
          <cell r="CQ17">
            <v>1.8410599999999999</v>
          </cell>
          <cell r="CR17">
            <v>1.8410599999999999</v>
          </cell>
          <cell r="CS17">
            <v>1.8410599999999999</v>
          </cell>
          <cell r="CT17">
            <v>1.8410599999999999</v>
          </cell>
          <cell r="CU17">
            <v>1.8410599999999999</v>
          </cell>
          <cell r="CV17">
            <v>1.8410599999999999</v>
          </cell>
          <cell r="CX17">
            <v>46.483870967741929</v>
          </cell>
          <cell r="CY17">
            <v>45.571428571428569</v>
          </cell>
          <cell r="CZ17">
            <v>40.741935483871032</v>
          </cell>
          <cell r="DA17">
            <v>42.500000000000057</v>
          </cell>
          <cell r="DB17">
            <v>43.290322580645181</v>
          </cell>
          <cell r="DC17">
            <v>43.766666666666708</v>
          </cell>
          <cell r="DD17">
            <v>42.967741935483907</v>
          </cell>
          <cell r="DE17">
            <v>44.387096774193616</v>
          </cell>
          <cell r="DF17">
            <v>45.000000000000043</v>
          </cell>
          <cell r="DG17">
            <v>43.522239999999996</v>
          </cell>
          <cell r="DH17">
            <v>42.839125000000003</v>
          </cell>
          <cell r="DI17">
            <v>44.487359999999995</v>
          </cell>
          <cell r="DJ17">
            <v>44.496000000000002</v>
          </cell>
          <cell r="DK17">
            <v>44.409185000000001</v>
          </cell>
          <cell r="DL17">
            <v>44.909399999999998</v>
          </cell>
          <cell r="DM17">
            <v>45.409094999999994</v>
          </cell>
          <cell r="DN17">
            <v>45.930139999999994</v>
          </cell>
          <cell r="DO17">
            <v>45.930139999999994</v>
          </cell>
          <cell r="DP17">
            <v>45.930139999999994</v>
          </cell>
          <cell r="DQ17">
            <v>45.930139999999994</v>
          </cell>
          <cell r="DR17">
            <v>45.930139999999994</v>
          </cell>
          <cell r="DS17">
            <v>45.930139999999994</v>
          </cell>
          <cell r="DT17">
            <v>45.930139999999994</v>
          </cell>
          <cell r="DU17">
            <v>45.930139999999994</v>
          </cell>
          <cell r="DW17">
            <v>4.4838709677419422</v>
          </cell>
          <cell r="DX17">
            <v>2.9999999999999631</v>
          </cell>
          <cell r="DY17">
            <v>2.9999999999999627</v>
          </cell>
          <cell r="DZ17">
            <v>3.3000000000000056</v>
          </cell>
          <cell r="EA17">
            <v>4.0000000000000169</v>
          </cell>
          <cell r="EB17">
            <v>4.0000000000000089</v>
          </cell>
          <cell r="EC17">
            <v>4.0000000000000471</v>
          </cell>
          <cell r="ED17">
            <v>4.6129032258064004</v>
          </cell>
          <cell r="EE17">
            <v>3.7666666666666559</v>
          </cell>
          <cell r="EF17">
            <v>3.4625000000000004</v>
          </cell>
          <cell r="EG17">
            <v>3.1879950000000004</v>
          </cell>
          <cell r="EH17">
            <v>2.9995200000000004</v>
          </cell>
          <cell r="EI17">
            <v>2.7532800000000002</v>
          </cell>
          <cell r="EJ17">
            <v>2.7541699999999998</v>
          </cell>
          <cell r="EK17">
            <v>2.7535500000000002</v>
          </cell>
          <cell r="EL17">
            <v>2.7543149999999996</v>
          </cell>
          <cell r="EM17">
            <v>2.7535599999999998</v>
          </cell>
          <cell r="EN17">
            <v>2.7535599999999998</v>
          </cell>
          <cell r="EO17">
            <v>2.7535599999999998</v>
          </cell>
          <cell r="EP17">
            <v>2.7535599999999998</v>
          </cell>
          <cell r="EQ17">
            <v>2.7535599999999998</v>
          </cell>
          <cell r="ER17">
            <v>2.7535599999999998</v>
          </cell>
          <cell r="ES17">
            <v>2.7535599999999998</v>
          </cell>
          <cell r="ET17">
            <v>2.7535599999999998</v>
          </cell>
          <cell r="EV17" t="str">
            <v>100-61</v>
          </cell>
        </row>
        <row r="18">
          <cell r="B18">
            <v>26.129032258064505</v>
          </cell>
          <cell r="C18">
            <v>23.285714285714302</v>
          </cell>
          <cell r="D18">
            <v>25.010261352684385</v>
          </cell>
          <cell r="E18">
            <v>23.933333333333337</v>
          </cell>
          <cell r="F18">
            <v>23.580645161290334</v>
          </cell>
          <cell r="G18">
            <v>25.366666666666667</v>
          </cell>
          <cell r="H18">
            <v>25.709677419354858</v>
          </cell>
          <cell r="I18">
            <v>25.967741935483868</v>
          </cell>
          <cell r="J18">
            <v>24.29999999999999</v>
          </cell>
          <cell r="K18">
            <v>27.200016000000002</v>
          </cell>
          <cell r="L18">
            <v>26.400010000000002</v>
          </cell>
          <cell r="M18">
            <v>25.599993999999999</v>
          </cell>
          <cell r="N18">
            <v>27.200000000000003</v>
          </cell>
          <cell r="O18">
            <v>26.8</v>
          </cell>
          <cell r="P18">
            <v>26.4</v>
          </cell>
          <cell r="Q18">
            <v>26</v>
          </cell>
          <cell r="R18">
            <v>25.6</v>
          </cell>
          <cell r="S18">
            <v>25.6</v>
          </cell>
          <cell r="T18">
            <v>25.6</v>
          </cell>
          <cell r="U18">
            <v>25.6</v>
          </cell>
          <cell r="V18">
            <v>25.6</v>
          </cell>
          <cell r="W18">
            <v>25.6</v>
          </cell>
          <cell r="X18">
            <v>25.6</v>
          </cell>
          <cell r="Y18">
            <v>25.6</v>
          </cell>
          <cell r="AA18">
            <v>5.8064516129032198</v>
          </cell>
          <cell r="AB18">
            <v>9.1071428571428488</v>
          </cell>
          <cell r="AC18">
            <v>9.4433074437326407</v>
          </cell>
          <cell r="AD18">
            <v>6.3999999999999835</v>
          </cell>
          <cell r="AE18">
            <v>6.7096774193548434</v>
          </cell>
          <cell r="AF18">
            <v>6.4666666666666774</v>
          </cell>
          <cell r="AG18">
            <v>5.741935483870976</v>
          </cell>
          <cell r="AH18">
            <v>7.0967741935483719</v>
          </cell>
          <cell r="AI18">
            <v>7.5666666666666567</v>
          </cell>
          <cell r="AJ18">
            <v>6.8000040000000004</v>
          </cell>
          <cell r="AK18">
            <v>6.5999849999999993</v>
          </cell>
          <cell r="AL18">
            <v>6.3999900000000007</v>
          </cell>
          <cell r="AM18">
            <v>6.8000000000000007</v>
          </cell>
          <cell r="AN18">
            <v>6.7</v>
          </cell>
          <cell r="AO18">
            <v>6.6000000000000005</v>
          </cell>
          <cell r="AP18">
            <v>6.5</v>
          </cell>
          <cell r="AQ18">
            <v>6.4</v>
          </cell>
          <cell r="AR18">
            <v>6.4</v>
          </cell>
          <cell r="AS18">
            <v>6.4</v>
          </cell>
          <cell r="AT18">
            <v>6.4</v>
          </cell>
          <cell r="AU18">
            <v>6.4</v>
          </cell>
          <cell r="AV18">
            <v>6.4</v>
          </cell>
          <cell r="AW18">
            <v>6.4</v>
          </cell>
          <cell r="AX18">
            <v>6.4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Y18">
            <v>2.1612903225806313</v>
          </cell>
          <cell r="BZ18">
            <v>2.3214285714285694</v>
          </cell>
          <cell r="CA18">
            <v>2.2238505584216881</v>
          </cell>
          <cell r="CB18">
            <v>4.6666666666666536</v>
          </cell>
          <cell r="CC18">
            <v>3.999999999999996</v>
          </cell>
          <cell r="CD18">
            <v>2.2333333333333458</v>
          </cell>
          <cell r="CE18">
            <v>2.4193548387096819</v>
          </cell>
          <cell r="CF18">
            <v>2.0645161290322571</v>
          </cell>
          <cell r="CG18">
            <v>4.2000000000000179</v>
          </cell>
          <cell r="CH18">
            <v>2.000016</v>
          </cell>
          <cell r="CI18">
            <v>2.0000049999999998</v>
          </cell>
          <cell r="CJ18">
            <v>2.000016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X18">
            <v>0.38709677419354338</v>
          </cell>
          <cell r="CY18">
            <v>0.96428571428571341</v>
          </cell>
          <cell r="CZ18">
            <v>0</v>
          </cell>
          <cell r="DA18">
            <v>0.13333333333332495</v>
          </cell>
          <cell r="DB18">
            <v>6.4516129032241923E-2</v>
          </cell>
          <cell r="DC18">
            <v>1.0000000000000109</v>
          </cell>
          <cell r="DD18">
            <v>1.0645161290322642</v>
          </cell>
          <cell r="DE18">
            <v>0.29032258064514677</v>
          </cell>
          <cell r="DF18">
            <v>0.30000000000000387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V18" t="str">
            <v>100-62</v>
          </cell>
        </row>
      </sheetData>
      <sheetData sheetId="38">
        <row r="1">
          <cell r="B1" t="str">
            <v>44927FC 9+3Forecasted Census (Entry)</v>
          </cell>
          <cell r="C1" t="str">
            <v>44958FC 9+3Forecasted Census (Entry)</v>
          </cell>
          <cell r="D1" t="str">
            <v>44986FC 9+3Forecasted Census (Entry)</v>
          </cell>
          <cell r="E1" t="str">
            <v>45017FC 9+3Forecasted Census (Entry)</v>
          </cell>
          <cell r="F1" t="str">
            <v>45047FC 9+3Forecasted Census (Entry)</v>
          </cell>
          <cell r="G1" t="str">
            <v>45078FC 9+3Forecasted Census (Entry)</v>
          </cell>
          <cell r="H1" t="str">
            <v>45108FC 9+3Forecasted Census (Entry)</v>
          </cell>
          <cell r="I1" t="str">
            <v>45139FC 9+3Forecasted Census (Entry)</v>
          </cell>
          <cell r="J1" t="str">
            <v>45170FC 9+3Forecasted Census (Entry)</v>
          </cell>
          <cell r="K1" t="str">
            <v>45200FC 9+3Forecasted Census (Entry)</v>
          </cell>
          <cell r="L1" t="str">
            <v>45231FC 9+3Forecasted Census (Entry)</v>
          </cell>
          <cell r="M1" t="str">
            <v>45261FC 9+3Forecasted Census (Entry)</v>
          </cell>
          <cell r="N1" t="str">
            <v>44927FC 9+3# of Actual Available Units (Entry)</v>
          </cell>
          <cell r="O1" t="str">
            <v>44958FC 9+3# of Actual Available Units (Entry)</v>
          </cell>
          <cell r="P1" t="str">
            <v>44986FC 9+3# of Actual Available Units (Entry)</v>
          </cell>
          <cell r="Q1" t="str">
            <v>45017FC 9+3# of Actual Available Units (Entry)</v>
          </cell>
          <cell r="R1" t="str">
            <v>45047FC 9+3# of Actual Available Units (Entry)</v>
          </cell>
          <cell r="S1" t="str">
            <v>45078FC 9+3# of Actual Available Units (Entry)</v>
          </cell>
          <cell r="T1" t="str">
            <v>45108FC 9+3# of Actual Available Units (Entry)</v>
          </cell>
          <cell r="U1" t="str">
            <v>45139FC 9+3# of Actual Available Units (Entry)</v>
          </cell>
          <cell r="V1" t="str">
            <v>45170FC 9+3# of Actual Available Units (Entry)</v>
          </cell>
          <cell r="W1" t="str">
            <v>45200FC 9+3# of Actual Available Units (Entry)</v>
          </cell>
          <cell r="X1" t="str">
            <v>45231FC 9+3# of Actual Available Units (Entry)</v>
          </cell>
          <cell r="Y1" t="str">
            <v>45261FC 9+3# of Actual Available Units (Entry)</v>
          </cell>
          <cell r="AA1" t="str">
            <v>45292BudgetForecasted Census (Entry)</v>
          </cell>
          <cell r="AB1" t="str">
            <v>45323BudgetForecasted Census (Entry)</v>
          </cell>
          <cell r="AC1" t="str">
            <v>45352BudgetForecasted Census (Entry)</v>
          </cell>
          <cell r="AD1" t="str">
            <v>45383BudgetForecasted Census (Entry)</v>
          </cell>
          <cell r="AE1" t="str">
            <v>45413BudgetForecasted Census (Entry)</v>
          </cell>
          <cell r="AF1" t="str">
            <v>45444BudgetForecasted Census (Entry)</v>
          </cell>
          <cell r="AG1" t="str">
            <v>45474BudgetForecasted Census (Entry)</v>
          </cell>
          <cell r="AH1" t="str">
            <v>45505BudgetForecasted Census (Entry)</v>
          </cell>
          <cell r="AI1" t="str">
            <v>45536BudgetForecasted Census (Entry)</v>
          </cell>
          <cell r="AJ1" t="str">
            <v>45566BudgetForecasted Census (Entry)</v>
          </cell>
          <cell r="AK1" t="str">
            <v>45597BudgetForecasted Census (Entry)</v>
          </cell>
          <cell r="AL1" t="str">
            <v>45627BudgetForecasted Census (Entry)</v>
          </cell>
          <cell r="AM1" t="str">
            <v>45292Budget# of Actual Available Units (Entry)</v>
          </cell>
          <cell r="AN1" t="str">
            <v>45323Budget# of Actual Available Units (Entry)</v>
          </cell>
          <cell r="AO1" t="str">
            <v>45352Budget# of Actual Available Units (Entry)</v>
          </cell>
          <cell r="AP1" t="str">
            <v>45383Budget# of Actual Available Units (Entry)</v>
          </cell>
          <cell r="AQ1" t="str">
            <v>45413Budget# of Actual Available Units (Entry)</v>
          </cell>
          <cell r="AR1" t="str">
            <v>45444Budget# of Actual Available Units (Entry)</v>
          </cell>
          <cell r="AS1" t="str">
            <v>45474Budget# of Actual Available Units (Entry)</v>
          </cell>
          <cell r="AT1" t="str">
            <v>45505Budget# of Actual Available Units (Entry)</v>
          </cell>
          <cell r="AU1" t="str">
            <v>45536Budget# of Actual Available Units (Entry)</v>
          </cell>
          <cell r="AV1" t="str">
            <v>45566Budget# of Actual Available Units (Entry)</v>
          </cell>
          <cell r="AW1" t="str">
            <v>45597Budget# of Actual Available Units (Entry)</v>
          </cell>
          <cell r="AX1" t="str">
            <v>45627Budget# of Actual Available Units (Entry)</v>
          </cell>
          <cell r="GO1" t="str">
            <v>44927FC 9+3Total AL/IL Rental Units</v>
          </cell>
          <cell r="GP1" t="str">
            <v>44958FC 9+3Total AL/IL Rental Units</v>
          </cell>
          <cell r="GQ1" t="str">
            <v>44986FC 9+3Total AL/IL Rental Units</v>
          </cell>
          <cell r="GR1" t="str">
            <v>45017FC 9+3Total AL/IL Rental Units</v>
          </cell>
          <cell r="GS1" t="str">
            <v>45047FC 9+3Total AL/IL Rental Units</v>
          </cell>
          <cell r="GT1" t="str">
            <v>45078FC 9+3Total AL/IL Rental Units</v>
          </cell>
          <cell r="GU1" t="str">
            <v>45108FC 9+3Total AL/IL Rental Units</v>
          </cell>
          <cell r="GV1" t="str">
            <v>45139FC 9+3Total AL/IL Rental Units</v>
          </cell>
          <cell r="GW1" t="str">
            <v>45170FC 9+3Total AL/IL Rental Units</v>
          </cell>
          <cell r="GX1" t="str">
            <v>45200FC 9+3Total AL/IL Rental Units</v>
          </cell>
          <cell r="GY1" t="str">
            <v>45231FC 9+3Total AL/IL Rental Units</v>
          </cell>
          <cell r="GZ1" t="str">
            <v>45261FC 9+3Total AL/IL Rental Units</v>
          </cell>
          <cell r="MQ1" t="str">
            <v>45292BudgetTotal AL/IL Rental Units</v>
          </cell>
          <cell r="MR1" t="str">
            <v>45323BudgetTotal AL/IL Rental Units</v>
          </cell>
          <cell r="MS1" t="str">
            <v>45352BudgetTotal AL/IL Rental Units</v>
          </cell>
          <cell r="MT1" t="str">
            <v>45383BudgetTotal AL/IL Rental Units</v>
          </cell>
          <cell r="MU1" t="str">
            <v>45413BudgetTotal AL/IL Rental Units</v>
          </cell>
          <cell r="MV1" t="str">
            <v>45444BudgetTotal AL/IL Rental Units</v>
          </cell>
          <cell r="MW1" t="str">
            <v>45474BudgetTotal AL/IL Rental Units</v>
          </cell>
          <cell r="MX1" t="str">
            <v>45505BudgetTotal AL/IL Rental Units</v>
          </cell>
          <cell r="MY1" t="str">
            <v>45536BudgetTotal AL/IL Rental Units</v>
          </cell>
          <cell r="MZ1" t="str">
            <v>45566BudgetTotal AL/IL Rental Units</v>
          </cell>
          <cell r="NA1" t="str">
            <v>45597BudgetTotal AL/IL Rental Units</v>
          </cell>
          <cell r="NB1" t="str">
            <v>45627BudgetTotal AL/IL Rental Units</v>
          </cell>
        </row>
        <row r="6">
          <cell r="NI6" t="str">
            <v>x'OC-Fill'!$B$9:$NB$45</v>
          </cell>
        </row>
        <row r="7">
          <cell r="NI7" t="str">
            <v>x'OC-Fill'!$ND$9:$ND$45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A2A8-4E86-47CC-84C4-50F798B05382}">
  <dimension ref="A3:P133"/>
  <sheetViews>
    <sheetView workbookViewId="0"/>
  </sheetViews>
  <sheetFormatPr defaultRowHeight="15" x14ac:dyDescent="0.25"/>
  <sheetData>
    <row r="3" spans="1:16" x14ac:dyDescent="0.25">
      <c r="A3" t="s">
        <v>124</v>
      </c>
      <c r="B3" t="s">
        <v>175</v>
      </c>
    </row>
    <row r="4" spans="1:16" x14ac:dyDescent="0.25">
      <c r="A4">
        <v>7</v>
      </c>
      <c r="B4">
        <v>13</v>
      </c>
    </row>
    <row r="5" spans="1:16" x14ac:dyDescent="0.25">
      <c r="G5">
        <f>OC!$6:$6</f>
        <v>2263</v>
      </c>
      <c r="H5">
        <v>1</v>
      </c>
      <c r="I5" t="str">
        <f>OC!$C:$C</f>
        <v>Jan-2025</v>
      </c>
      <c r="J5">
        <v>67</v>
      </c>
      <c r="K5" t="str">
        <f>OC!$C$3</f>
        <v>Budget 2025</v>
      </c>
      <c r="L5">
        <v>91</v>
      </c>
      <c r="M5">
        <f>'OC-Days'!$14:$14</f>
        <v>0</v>
      </c>
      <c r="N5">
        <v>1</v>
      </c>
      <c r="O5">
        <f>'OC-Days'!$B:$B</f>
        <v>31</v>
      </c>
      <c r="P5">
        <v>37</v>
      </c>
    </row>
    <row r="6" spans="1:16" x14ac:dyDescent="0.25">
      <c r="G6">
        <f>OC!$7:$7</f>
        <v>1333</v>
      </c>
      <c r="H6">
        <v>2</v>
      </c>
      <c r="I6">
        <f>OC!$D:$D</f>
        <v>2044</v>
      </c>
      <c r="J6">
        <v>68</v>
      </c>
      <c r="K6" t="str">
        <f>OC!$D$3</f>
        <v>Budget 2025</v>
      </c>
      <c r="L6">
        <v>92</v>
      </c>
      <c r="M6">
        <f>'OC-Days'!$13:$13</f>
        <v>0</v>
      </c>
      <c r="N6">
        <v>2</v>
      </c>
    </row>
    <row r="7" spans="1:16" x14ac:dyDescent="0.25">
      <c r="G7">
        <f>OC!$8:$8</f>
        <v>3379</v>
      </c>
      <c r="H7">
        <v>3</v>
      </c>
      <c r="I7">
        <f>OC!$E:$E</f>
        <v>1333</v>
      </c>
      <c r="J7">
        <v>69</v>
      </c>
      <c r="K7" t="str">
        <f>OC!$E$3</f>
        <v>Budget 2025</v>
      </c>
      <c r="L7">
        <v>93</v>
      </c>
      <c r="M7">
        <f>'OC-Days'!$12:$12</f>
        <v>0</v>
      </c>
      <c r="N7">
        <v>3</v>
      </c>
    </row>
    <row r="8" spans="1:16" x14ac:dyDescent="0.25">
      <c r="G8">
        <f>OC!$9:$9</f>
        <v>5704</v>
      </c>
      <c r="H8">
        <v>4</v>
      </c>
      <c r="I8">
        <f>OC!$F:$F</f>
        <v>3270</v>
      </c>
      <c r="J8">
        <v>70</v>
      </c>
      <c r="K8" t="str">
        <f>OC!$F$3</f>
        <v>Budget 2025</v>
      </c>
      <c r="L8">
        <v>94</v>
      </c>
      <c r="M8">
        <f>'OC-Days'!$11:$11</f>
        <v>0</v>
      </c>
      <c r="N8">
        <v>4</v>
      </c>
    </row>
    <row r="9" spans="1:16" x14ac:dyDescent="0.25">
      <c r="G9">
        <f>OC!$10:$10</f>
        <v>3069</v>
      </c>
      <c r="H9">
        <v>5</v>
      </c>
      <c r="I9">
        <f>OC!$G:$G</f>
        <v>5704</v>
      </c>
      <c r="J9">
        <v>71</v>
      </c>
      <c r="K9" t="str">
        <f>OC!$G$3</f>
        <v>Budget 2025</v>
      </c>
      <c r="L9">
        <v>95</v>
      </c>
      <c r="M9">
        <f>'OC-Days'!$10:$10</f>
        <v>0</v>
      </c>
      <c r="N9">
        <v>5</v>
      </c>
    </row>
    <row r="10" spans="1:16" x14ac:dyDescent="0.25">
      <c r="G10">
        <f>OC!$11:$11</f>
        <v>2015</v>
      </c>
      <c r="H10">
        <v>6</v>
      </c>
      <c r="I10">
        <f>OC!$H:$H</f>
        <v>2970</v>
      </c>
      <c r="J10">
        <v>72</v>
      </c>
      <c r="K10" t="str">
        <f>OC!$H$3</f>
        <v>Budget 2025</v>
      </c>
      <c r="L10">
        <v>96</v>
      </c>
      <c r="M10">
        <f>'OC-Days'!$9:$9</f>
        <v>0</v>
      </c>
      <c r="N10">
        <v>6</v>
      </c>
    </row>
    <row r="11" spans="1:16" x14ac:dyDescent="0.25">
      <c r="G11">
        <f>OC!$12:$12</f>
        <v>3906</v>
      </c>
      <c r="H11">
        <v>7</v>
      </c>
      <c r="I11">
        <f>OC!$I:$I</f>
        <v>2015</v>
      </c>
      <c r="J11">
        <v>73</v>
      </c>
      <c r="K11" t="str">
        <f>OC!$I$3</f>
        <v>Budget 2025</v>
      </c>
      <c r="L11">
        <v>97</v>
      </c>
      <c r="M11">
        <f>'OC-Days'!$8:$8</f>
        <v>0</v>
      </c>
      <c r="N11">
        <v>7</v>
      </c>
    </row>
    <row r="12" spans="1:16" x14ac:dyDescent="0.25">
      <c r="G12">
        <f>OC!$13:$13</f>
        <v>3906</v>
      </c>
      <c r="H12">
        <v>8</v>
      </c>
      <c r="I12">
        <f>OC!$J:$J</f>
        <v>3906</v>
      </c>
      <c r="J12">
        <v>74</v>
      </c>
      <c r="K12" t="str">
        <f>OC!$J$3</f>
        <v>Budget 2025</v>
      </c>
      <c r="L12">
        <v>98</v>
      </c>
      <c r="M12">
        <f>'OC-Days'!$7:$7</f>
        <v>0</v>
      </c>
      <c r="N12">
        <v>8</v>
      </c>
    </row>
    <row r="13" spans="1:16" x14ac:dyDescent="0.25">
      <c r="G13">
        <f>OC!$14:$14</f>
        <v>4123</v>
      </c>
      <c r="H13">
        <v>9</v>
      </c>
      <c r="I13">
        <f>OC!$K:$K</f>
        <v>3780</v>
      </c>
      <c r="J13">
        <v>75</v>
      </c>
      <c r="K13" t="str">
        <f>OC!$K$3</f>
        <v>Budget 2025</v>
      </c>
      <c r="L13">
        <v>99</v>
      </c>
      <c r="M13">
        <f>'OC-Days'!$6:$6</f>
        <v>0</v>
      </c>
      <c r="N13">
        <v>9</v>
      </c>
    </row>
    <row r="14" spans="1:16" x14ac:dyDescent="0.25">
      <c r="G14">
        <f>OC!$15:$15</f>
        <v>4309</v>
      </c>
      <c r="H14">
        <v>10</v>
      </c>
      <c r="I14">
        <f>OC!$L:$L</f>
        <v>4123</v>
      </c>
      <c r="J14">
        <v>76</v>
      </c>
      <c r="K14" t="str">
        <f>OC!$L$3</f>
        <v>Budget 2025</v>
      </c>
      <c r="L14">
        <v>100</v>
      </c>
      <c r="M14">
        <f>'OC-Days'!$5:$5</f>
        <v>0</v>
      </c>
      <c r="N14">
        <v>10</v>
      </c>
    </row>
    <row r="15" spans="1:16" x14ac:dyDescent="0.25">
      <c r="G15">
        <f>OC!$16:$16</f>
        <v>1426</v>
      </c>
      <c r="H15">
        <v>11</v>
      </c>
      <c r="I15">
        <f>OC!$M:$M</f>
        <v>4170</v>
      </c>
      <c r="J15">
        <v>77</v>
      </c>
      <c r="K15" t="str">
        <f>OC!$M$3</f>
        <v>Budget 2025</v>
      </c>
      <c r="L15">
        <v>101</v>
      </c>
      <c r="M15">
        <f>'OC-Days'!$4:$4</f>
        <v>0</v>
      </c>
      <c r="N15">
        <v>11</v>
      </c>
    </row>
    <row r="16" spans="1:16" x14ac:dyDescent="0.25">
      <c r="G16">
        <f>OC!$17:$17</f>
        <v>35433</v>
      </c>
      <c r="H16">
        <v>12</v>
      </c>
      <c r="I16">
        <f>OC!$N:$N</f>
        <v>1426</v>
      </c>
      <c r="J16">
        <v>78</v>
      </c>
      <c r="K16" t="str">
        <f>OC!$N$3</f>
        <v>Budget 2025</v>
      </c>
      <c r="L16">
        <v>102</v>
      </c>
      <c r="M16">
        <f>'OC-Days'!$3:$3</f>
        <v>0</v>
      </c>
      <c r="N16">
        <v>12</v>
      </c>
    </row>
    <row r="17" spans="7:14" x14ac:dyDescent="0.25">
      <c r="G17">
        <f>OC!$18:$18</f>
        <v>2232</v>
      </c>
      <c r="H17">
        <v>13</v>
      </c>
      <c r="I17">
        <f>OC!$P:$P</f>
        <v>29713.5</v>
      </c>
      <c r="J17">
        <v>79</v>
      </c>
      <c r="K17" t="str">
        <f>OC!$P$3</f>
        <v>Budget 2025</v>
      </c>
      <c r="L17">
        <v>104</v>
      </c>
      <c r="M17">
        <f>'OC-Days'!$26:$26</f>
        <v>0</v>
      </c>
      <c r="N17">
        <v>13</v>
      </c>
    </row>
    <row r="18" spans="7:14" x14ac:dyDescent="0.25">
      <c r="G18">
        <f>OC!$19:$19</f>
        <v>4402</v>
      </c>
      <c r="H18">
        <v>14</v>
      </c>
      <c r="I18">
        <f>OC!$Q:$Q</f>
        <v>1988</v>
      </c>
      <c r="J18">
        <v>80</v>
      </c>
      <c r="K18" t="str">
        <f>OC!$Q$3</f>
        <v>Budget 2025</v>
      </c>
      <c r="L18">
        <v>105</v>
      </c>
      <c r="M18">
        <f>'OC-Days'!$25:$25</f>
        <v>0</v>
      </c>
      <c r="N18">
        <v>14</v>
      </c>
    </row>
    <row r="19" spans="7:14" x14ac:dyDescent="0.25">
      <c r="G19">
        <f>OC!$20:$20</f>
        <v>2666</v>
      </c>
      <c r="H19">
        <v>15</v>
      </c>
      <c r="I19">
        <f>OC!$R:$R</f>
        <v>4154</v>
      </c>
      <c r="J19">
        <v>81</v>
      </c>
      <c r="K19" t="str">
        <f>OC!$R$3</f>
        <v>Budget 2025</v>
      </c>
      <c r="L19">
        <v>106</v>
      </c>
      <c r="M19">
        <f>'OC-Days'!$24:$24</f>
        <v>0</v>
      </c>
      <c r="N19">
        <v>15</v>
      </c>
    </row>
    <row r="20" spans="7:14" x14ac:dyDescent="0.25">
      <c r="G20">
        <f>OC!$21:$21</f>
        <v>744</v>
      </c>
      <c r="H20">
        <v>16</v>
      </c>
      <c r="I20">
        <f>OC!$S:$S</f>
        <v>2490</v>
      </c>
      <c r="J20">
        <v>82</v>
      </c>
      <c r="K20" t="str">
        <f>OC!$S$3</f>
        <v>Budget 2025</v>
      </c>
      <c r="L20">
        <v>107</v>
      </c>
      <c r="M20">
        <f>'OC-Days'!$23:$23</f>
        <v>0</v>
      </c>
      <c r="N20">
        <v>16</v>
      </c>
    </row>
    <row r="21" spans="7:14" x14ac:dyDescent="0.25">
      <c r="G21">
        <f>OC!$22:$22</f>
        <v>1488</v>
      </c>
      <c r="H21">
        <v>17</v>
      </c>
      <c r="I21">
        <f>OC!$T:$T</f>
        <v>728.5</v>
      </c>
      <c r="J21">
        <v>83</v>
      </c>
      <c r="K21" t="str">
        <f>OC!$T$3</f>
        <v>Budget 2025</v>
      </c>
      <c r="L21">
        <v>108</v>
      </c>
      <c r="M21">
        <f>'OC-Days'!$22:$22</f>
        <v>0</v>
      </c>
      <c r="N21">
        <v>17</v>
      </c>
    </row>
    <row r="22" spans="7:14" x14ac:dyDescent="0.25">
      <c r="G22">
        <f>OC!$23:$23</f>
        <v>11532</v>
      </c>
      <c r="H22">
        <v>18</v>
      </c>
      <c r="I22">
        <f>OC!$U:$U</f>
        <v>1125</v>
      </c>
      <c r="J22">
        <v>84</v>
      </c>
      <c r="K22" t="str">
        <f>OC!$U$3</f>
        <v>Budget 2025</v>
      </c>
      <c r="L22">
        <v>109</v>
      </c>
      <c r="M22">
        <f>'OC-Days'!$21:$21</f>
        <v>0</v>
      </c>
      <c r="N22">
        <v>18</v>
      </c>
    </row>
    <row r="23" spans="7:14" x14ac:dyDescent="0.25">
      <c r="G23">
        <f>OC!$24:$24</f>
        <v>1116</v>
      </c>
      <c r="H23">
        <v>19</v>
      </c>
      <c r="I23">
        <f>OC!$V:$V</f>
        <v>10819</v>
      </c>
      <c r="J23">
        <v>85</v>
      </c>
      <c r="K23" t="str">
        <f>OC!$V$3</f>
        <v>Budget 2025</v>
      </c>
      <c r="L23">
        <v>110</v>
      </c>
      <c r="M23">
        <f>'OC-Days'!$20:$20</f>
        <v>0</v>
      </c>
      <c r="N23">
        <v>19</v>
      </c>
    </row>
    <row r="24" spans="7:14" x14ac:dyDescent="0.25">
      <c r="G24">
        <f>OC!$25:$25</f>
        <v>3813</v>
      </c>
      <c r="H24">
        <v>20</v>
      </c>
      <c r="I24">
        <f>OC!$W:$W</f>
        <v>1085</v>
      </c>
      <c r="J24">
        <v>86</v>
      </c>
      <c r="K24" t="str">
        <f>OC!$W$3</f>
        <v>Budget 2025</v>
      </c>
      <c r="L24">
        <v>111</v>
      </c>
      <c r="M24">
        <f>'OC-Days'!$19:$19</f>
        <v>0</v>
      </c>
      <c r="N24">
        <v>20</v>
      </c>
    </row>
    <row r="25" spans="7:14" x14ac:dyDescent="0.25">
      <c r="G25">
        <f>OC!$26:$26</f>
        <v>1085</v>
      </c>
      <c r="H25">
        <v>21</v>
      </c>
      <c r="I25">
        <f>OC!$X:$X</f>
        <v>3390</v>
      </c>
      <c r="J25">
        <v>87</v>
      </c>
      <c r="K25" t="str">
        <f>OC!$X$3</f>
        <v>Budget 2025</v>
      </c>
      <c r="L25">
        <v>112</v>
      </c>
      <c r="M25">
        <f>'OC-Days'!$18:$18</f>
        <v>0</v>
      </c>
      <c r="N25">
        <v>21</v>
      </c>
    </row>
    <row r="26" spans="7:14" x14ac:dyDescent="0.25">
      <c r="G26">
        <f>OC!$27:$27</f>
        <v>2356</v>
      </c>
      <c r="H26">
        <v>22</v>
      </c>
      <c r="I26">
        <f>OC!$Y:$Y</f>
        <v>1023</v>
      </c>
      <c r="J26">
        <v>88</v>
      </c>
      <c r="K26" t="str">
        <f>OC!$Y$3</f>
        <v>Budget 2025</v>
      </c>
      <c r="L26">
        <v>113</v>
      </c>
      <c r="M26">
        <f>'OC-Days'!$17:$17</f>
        <v>0</v>
      </c>
      <c r="N26">
        <v>22</v>
      </c>
    </row>
    <row r="27" spans="7:14" x14ac:dyDescent="0.25">
      <c r="G27">
        <f>OC!$28:$28</f>
        <v>8370</v>
      </c>
      <c r="H27">
        <v>23</v>
      </c>
      <c r="I27">
        <f>OC!$Z:$Z</f>
        <v>2190</v>
      </c>
      <c r="J27">
        <v>89</v>
      </c>
      <c r="K27" t="str">
        <f>OC!$Z$3</f>
        <v>Budget 2025</v>
      </c>
      <c r="L27">
        <v>114</v>
      </c>
      <c r="M27">
        <f>'OC-Days'!$16:$16</f>
        <v>0</v>
      </c>
      <c r="N27">
        <v>23</v>
      </c>
    </row>
    <row r="28" spans="7:14" x14ac:dyDescent="0.25">
      <c r="G28">
        <f>OC!$32:$32</f>
        <v>2945</v>
      </c>
      <c r="H28">
        <v>24</v>
      </c>
      <c r="I28">
        <f>OC!$AA:$AA</f>
        <v>7874</v>
      </c>
      <c r="J28">
        <v>90</v>
      </c>
      <c r="K28" t="str">
        <f>OC!$AA$3</f>
        <v>Budget 2025</v>
      </c>
      <c r="L28">
        <v>115</v>
      </c>
      <c r="M28">
        <f>'OC-Days'!$15:$15</f>
        <v>0</v>
      </c>
      <c r="N28">
        <v>24</v>
      </c>
    </row>
    <row r="29" spans="7:14" x14ac:dyDescent="0.25">
      <c r="G29">
        <f>OC!$35:$35</f>
        <v>1612</v>
      </c>
      <c r="H29">
        <v>25</v>
      </c>
      <c r="K29" t="str">
        <f>OC!$C$4</f>
        <v>Maximum Resident Days</v>
      </c>
      <c r="L29">
        <v>116</v>
      </c>
      <c r="M29">
        <f>'OC-Days'!$30:$30</f>
        <v>0</v>
      </c>
      <c r="N29">
        <v>25</v>
      </c>
    </row>
    <row r="30" spans="7:14" x14ac:dyDescent="0.25">
      <c r="G30">
        <f>OC!$36:$36</f>
        <v>2945</v>
      </c>
      <c r="H30">
        <v>28</v>
      </c>
      <c r="K30" t="str">
        <f>OC!$D$4</f>
        <v>Maximum Resident Days</v>
      </c>
      <c r="L30">
        <v>117</v>
      </c>
      <c r="M30">
        <f>'OC-Days'!$27:$27</f>
        <v>0</v>
      </c>
      <c r="N30">
        <v>26</v>
      </c>
    </row>
    <row r="31" spans="7:14" x14ac:dyDescent="0.25">
      <c r="G31">
        <f>OC!$37:$37</f>
        <v>1457</v>
      </c>
      <c r="H31">
        <v>29</v>
      </c>
      <c r="K31" t="str">
        <f>OC!$E$4</f>
        <v>Maximum Resident Days</v>
      </c>
      <c r="L31">
        <v>118</v>
      </c>
      <c r="M31">
        <f>'OC-Days'!$28:$28</f>
        <v>0</v>
      </c>
      <c r="N31">
        <v>27</v>
      </c>
    </row>
    <row r="32" spans="7:14" x14ac:dyDescent="0.25">
      <c r="G32">
        <f>OC!$38:$38</f>
        <v>527</v>
      </c>
      <c r="H32">
        <v>30</v>
      </c>
      <c r="K32" t="str">
        <f>OC!$F$4</f>
        <v>Maximum Resident Days</v>
      </c>
      <c r="L32">
        <v>119</v>
      </c>
      <c r="M32">
        <f>'OC-Days'!$29:$29</f>
        <v>0</v>
      </c>
      <c r="N32">
        <v>28</v>
      </c>
    </row>
    <row r="33" spans="7:14" x14ac:dyDescent="0.25">
      <c r="G33">
        <f>OC!$39:$39</f>
        <v>2914</v>
      </c>
      <c r="H33">
        <v>31</v>
      </c>
      <c r="K33" t="str">
        <f>OC!$G$4</f>
        <v>Maximum Resident Days</v>
      </c>
      <c r="L33">
        <v>120</v>
      </c>
      <c r="M33">
        <f>'OC-Days'!$31:$31</f>
        <v>0</v>
      </c>
      <c r="N33">
        <v>29</v>
      </c>
    </row>
    <row r="34" spans="7:14" x14ac:dyDescent="0.25">
      <c r="G34">
        <f>OC!$40:$40</f>
        <v>4278</v>
      </c>
      <c r="H34">
        <v>32</v>
      </c>
      <c r="K34" t="str">
        <f>OC!$H$4</f>
        <v>Maximum Resident Days</v>
      </c>
      <c r="L34">
        <v>121</v>
      </c>
      <c r="M34">
        <f>'OC-Days'!$32:$32</f>
        <v>0</v>
      </c>
      <c r="N34">
        <v>30</v>
      </c>
    </row>
    <row r="35" spans="7:14" x14ac:dyDescent="0.25">
      <c r="G35">
        <f>OC!$41:$41</f>
        <v>3100</v>
      </c>
      <c r="H35">
        <v>33</v>
      </c>
      <c r="K35" t="str">
        <f>OC!$I$4</f>
        <v>Maximum Resident Days</v>
      </c>
      <c r="L35">
        <v>122</v>
      </c>
      <c r="M35">
        <f>'OC-Days'!$33:$33</f>
        <v>0</v>
      </c>
      <c r="N35">
        <v>31</v>
      </c>
    </row>
    <row r="36" spans="7:14" x14ac:dyDescent="0.25">
      <c r="G36">
        <f>OC!$42:$42</f>
        <v>2139</v>
      </c>
      <c r="H36">
        <v>34</v>
      </c>
      <c r="K36" t="str">
        <f>OC!$J$4</f>
        <v>Maximum Resident Days</v>
      </c>
      <c r="L36">
        <v>123</v>
      </c>
      <c r="M36">
        <f>'OC-Days'!$34:$34</f>
        <v>0</v>
      </c>
      <c r="N36">
        <v>32</v>
      </c>
    </row>
    <row r="37" spans="7:14" x14ac:dyDescent="0.25">
      <c r="G37">
        <f>OC!$43:$43</f>
        <v>17360</v>
      </c>
      <c r="H37">
        <v>35</v>
      </c>
      <c r="K37" t="str">
        <f>OC!$K$4</f>
        <v>Maximum Resident Days</v>
      </c>
      <c r="L37">
        <v>124</v>
      </c>
      <c r="M37">
        <f>'OC-Days'!$35:$35</f>
        <v>0</v>
      </c>
      <c r="N37">
        <v>33</v>
      </c>
    </row>
    <row r="38" spans="7:14" x14ac:dyDescent="0.25">
      <c r="G38">
        <f>OC!$44:$44</f>
        <v>961</v>
      </c>
      <c r="H38">
        <v>36</v>
      </c>
      <c r="K38" t="str">
        <f>OC!$L$4</f>
        <v>Maximum Resident Days</v>
      </c>
      <c r="L38">
        <v>125</v>
      </c>
      <c r="M38">
        <f>'OC-Days'!$36:$36</f>
        <v>0</v>
      </c>
      <c r="N38">
        <v>34</v>
      </c>
    </row>
    <row r="39" spans="7:14" x14ac:dyDescent="0.25">
      <c r="G39">
        <f>OC!$45:$45</f>
        <v>1116</v>
      </c>
      <c r="H39">
        <v>37</v>
      </c>
      <c r="K39" t="str">
        <f>OC!$M$4</f>
        <v>Maximum Resident Days</v>
      </c>
      <c r="L39">
        <v>126</v>
      </c>
      <c r="M39">
        <f>'OC-Days'!$37:$37</f>
        <v>0</v>
      </c>
      <c r="N39">
        <v>35</v>
      </c>
    </row>
    <row r="40" spans="7:14" x14ac:dyDescent="0.25">
      <c r="G40">
        <f>OC!$46:$46</f>
        <v>1209</v>
      </c>
      <c r="H40">
        <v>38</v>
      </c>
      <c r="K40" t="str">
        <f>OC!$N$4</f>
        <v>Maximum Resident Days</v>
      </c>
      <c r="L40">
        <v>127</v>
      </c>
      <c r="M40">
        <f>'OC-Days'!$38:$38</f>
        <v>0</v>
      </c>
      <c r="N40">
        <v>36</v>
      </c>
    </row>
    <row r="41" spans="7:14" x14ac:dyDescent="0.25">
      <c r="G41">
        <f>OC!$47:$47</f>
        <v>3286</v>
      </c>
      <c r="H41">
        <v>39</v>
      </c>
      <c r="K41" t="str">
        <f>OC!$P$4</f>
        <v>Forecasted Resident Days</v>
      </c>
      <c r="L41">
        <v>129</v>
      </c>
      <c r="M41">
        <f>'OC-Days'!$39:$39</f>
        <v>0</v>
      </c>
      <c r="N41">
        <v>38</v>
      </c>
    </row>
    <row r="42" spans="7:14" x14ac:dyDescent="0.25">
      <c r="G42">
        <f>OC!$48:$48</f>
        <v>80538</v>
      </c>
      <c r="H42">
        <v>40</v>
      </c>
      <c r="K42" t="str">
        <f>OC!$Q$4</f>
        <v>Forecasted Resident Days</v>
      </c>
      <c r="L42">
        <v>130</v>
      </c>
      <c r="M42">
        <f>'OC-Days'!$40:$40</f>
        <v>0</v>
      </c>
      <c r="N42">
        <v>39</v>
      </c>
    </row>
    <row r="43" spans="7:14" x14ac:dyDescent="0.25">
      <c r="G43">
        <f>OC!$49:$49</f>
        <v>80538</v>
      </c>
      <c r="H43">
        <v>41</v>
      </c>
      <c r="K43" t="str">
        <f>OC!$R$4</f>
        <v>Forecasted Resident Days</v>
      </c>
      <c r="L43">
        <v>131</v>
      </c>
      <c r="M43">
        <f>'OC-Days'!$41:$41</f>
        <v>0</v>
      </c>
      <c r="N43">
        <v>40</v>
      </c>
    </row>
    <row r="44" spans="7:14" x14ac:dyDescent="0.25">
      <c r="G44">
        <f>OC!$50:$50</f>
        <v>1581</v>
      </c>
      <c r="H44">
        <v>42</v>
      </c>
      <c r="K44" t="str">
        <f>OC!$S$4</f>
        <v>Forecasted Resident Days</v>
      </c>
      <c r="L44">
        <v>132</v>
      </c>
      <c r="M44">
        <f>'OC-Days'!$42:$42</f>
        <v>0</v>
      </c>
      <c r="N44">
        <v>41</v>
      </c>
    </row>
    <row r="45" spans="7:14" x14ac:dyDescent="0.25">
      <c r="G45">
        <f>OC!$51:$51</f>
        <v>2418</v>
      </c>
      <c r="H45">
        <v>43</v>
      </c>
      <c r="K45" t="str">
        <f>OC!$T$4</f>
        <v>Forecasted Resident Days</v>
      </c>
      <c r="L45">
        <v>133</v>
      </c>
      <c r="M45">
        <f>'OC-Days'!$43:$43</f>
        <v>0</v>
      </c>
      <c r="N45">
        <v>42</v>
      </c>
    </row>
    <row r="46" spans="7:14" x14ac:dyDescent="0.25">
      <c r="G46">
        <f>OC!$52:$52</f>
        <v>1178</v>
      </c>
      <c r="H46">
        <v>44</v>
      </c>
      <c r="K46" t="str">
        <f>OC!$U$4</f>
        <v>Forecasted Resident Days</v>
      </c>
      <c r="L46">
        <v>134</v>
      </c>
      <c r="M46">
        <f>'OC-Days'!$44:$44</f>
        <v>0</v>
      </c>
      <c r="N46">
        <v>43</v>
      </c>
    </row>
    <row r="47" spans="7:14" x14ac:dyDescent="0.25">
      <c r="G47">
        <f>OC!$53:$53</f>
        <v>0</v>
      </c>
      <c r="H47">
        <v>45</v>
      </c>
      <c r="K47" t="str">
        <f>OC!$V$4</f>
        <v>Forecasted Resident Days</v>
      </c>
      <c r="L47">
        <v>135</v>
      </c>
      <c r="M47">
        <f>'OC-Days'!$45:$45</f>
        <v>0</v>
      </c>
      <c r="N47">
        <v>44</v>
      </c>
    </row>
    <row r="48" spans="7:14" x14ac:dyDescent="0.25">
      <c r="G48">
        <f>OC!$54:$54</f>
        <v>5177</v>
      </c>
      <c r="H48">
        <v>46</v>
      </c>
      <c r="K48" t="str">
        <f>OC!$W$4</f>
        <v>Forecasted Resident Days</v>
      </c>
      <c r="L48">
        <v>136</v>
      </c>
      <c r="M48">
        <f>'OC-Days'!$46:$46</f>
        <v>0</v>
      </c>
      <c r="N48">
        <v>45</v>
      </c>
    </row>
    <row r="49" spans="7:14" x14ac:dyDescent="0.25">
      <c r="G49">
        <f>OC!$55:$55</f>
        <v>2046</v>
      </c>
      <c r="H49">
        <v>47</v>
      </c>
      <c r="K49" t="str">
        <f>OC!$X$4</f>
        <v>Forecasted Resident Days</v>
      </c>
      <c r="L49">
        <v>137</v>
      </c>
      <c r="M49">
        <f>'OC-Days'!$47:$47</f>
        <v>0</v>
      </c>
      <c r="N49">
        <v>46</v>
      </c>
    </row>
    <row r="50" spans="7:14" x14ac:dyDescent="0.25">
      <c r="G50">
        <f>OC!$56:$56</f>
        <v>2728</v>
      </c>
      <c r="H50">
        <v>48</v>
      </c>
      <c r="K50" t="str">
        <f>OC!$Y$4</f>
        <v>Forecasted Resident Days</v>
      </c>
      <c r="L50">
        <v>138</v>
      </c>
      <c r="M50">
        <f>'OC-Days'!$48:$48</f>
        <v>0</v>
      </c>
      <c r="N50">
        <v>47</v>
      </c>
    </row>
    <row r="51" spans="7:14" x14ac:dyDescent="0.25">
      <c r="G51">
        <f>OC!$57:$57</f>
        <v>279</v>
      </c>
      <c r="H51">
        <v>49</v>
      </c>
      <c r="K51" t="str">
        <f>OC!$Z$4</f>
        <v>Forecasted Resident Days</v>
      </c>
      <c r="L51">
        <v>139</v>
      </c>
      <c r="M51">
        <f>'OC-Days'!$49:$49</f>
        <v>0</v>
      </c>
      <c r="N51">
        <v>48</v>
      </c>
    </row>
    <row r="52" spans="7:14" x14ac:dyDescent="0.25">
      <c r="G52">
        <f>OC!$58:$58</f>
        <v>496</v>
      </c>
      <c r="H52">
        <v>50</v>
      </c>
      <c r="K52" t="str">
        <f>OC!$AA$4</f>
        <v>Forecasted Resident Days</v>
      </c>
      <c r="L52">
        <v>140</v>
      </c>
      <c r="M52">
        <f>'OC-Days'!$50:$50</f>
        <v>0</v>
      </c>
      <c r="N52">
        <v>49</v>
      </c>
    </row>
    <row r="53" spans="7:14" x14ac:dyDescent="0.25">
      <c r="G53">
        <f>OC!$59:$59</f>
        <v>1984</v>
      </c>
      <c r="H53">
        <v>51</v>
      </c>
      <c r="K53" t="str">
        <f>OC!$C$5</f>
        <v>Jan-2025</v>
      </c>
      <c r="L53">
        <v>141</v>
      </c>
    </row>
    <row r="54" spans="7:14" x14ac:dyDescent="0.25">
      <c r="G54">
        <f>OC!$60:$60</f>
        <v>7533</v>
      </c>
      <c r="H54">
        <v>52</v>
      </c>
      <c r="K54" t="str">
        <f>OC!$D$5</f>
        <v>Feb-2025</v>
      </c>
      <c r="L54">
        <v>142</v>
      </c>
    </row>
    <row r="55" spans="7:14" x14ac:dyDescent="0.25">
      <c r="G55">
        <f>OC!$61:$61</f>
        <v>12710</v>
      </c>
      <c r="H55">
        <v>53</v>
      </c>
      <c r="K55" t="str">
        <f>OC!$E$5</f>
        <v>Mar-2025</v>
      </c>
      <c r="L55">
        <v>143</v>
      </c>
    </row>
    <row r="56" spans="7:14" x14ac:dyDescent="0.25">
      <c r="G56">
        <f>OC!$62:$62</f>
        <v>12710</v>
      </c>
      <c r="H56">
        <v>54</v>
      </c>
      <c r="K56" t="str">
        <f>OC!$F$5</f>
        <v>Apr-2025</v>
      </c>
      <c r="L56">
        <v>144</v>
      </c>
    </row>
    <row r="57" spans="7:14" x14ac:dyDescent="0.25">
      <c r="G57">
        <f>OC!$63:$63</f>
        <v>0</v>
      </c>
      <c r="H57">
        <v>57</v>
      </c>
      <c r="K57" t="str">
        <f>OC!$G$5</f>
        <v>May-2025</v>
      </c>
      <c r="L57">
        <v>145</v>
      </c>
    </row>
    <row r="58" spans="7:14" x14ac:dyDescent="0.25">
      <c r="G58">
        <f>OC!$29:$29</f>
        <v>403</v>
      </c>
      <c r="H58">
        <v>59</v>
      </c>
      <c r="K58" t="str">
        <f>OC!$H$5</f>
        <v>Jun-2025</v>
      </c>
      <c r="L58">
        <v>146</v>
      </c>
    </row>
    <row r="59" spans="7:14" x14ac:dyDescent="0.25">
      <c r="G59">
        <f>OC!$30:$30</f>
        <v>2170</v>
      </c>
      <c r="H59">
        <v>60</v>
      </c>
      <c r="K59" t="str">
        <f>OC!$I$5</f>
        <v>Jul-2025</v>
      </c>
      <c r="L59">
        <v>147</v>
      </c>
    </row>
    <row r="60" spans="7:14" x14ac:dyDescent="0.25">
      <c r="G60">
        <f>OC!$31:$31</f>
        <v>372</v>
      </c>
      <c r="H60">
        <v>61</v>
      </c>
      <c r="K60" t="str">
        <f>OC!$J$5</f>
        <v>Aug-2025</v>
      </c>
      <c r="L60">
        <v>148</v>
      </c>
    </row>
    <row r="61" spans="7:14" x14ac:dyDescent="0.25">
      <c r="G61">
        <f>OC!$33:$33</f>
        <v>1333</v>
      </c>
      <c r="H61">
        <v>64</v>
      </c>
      <c r="K61" t="str">
        <f>OC!$K$5</f>
        <v>Sep-2025</v>
      </c>
      <c r="L61">
        <v>149</v>
      </c>
    </row>
    <row r="62" spans="7:14" x14ac:dyDescent="0.25">
      <c r="G62">
        <f>OC!$34:$34</f>
        <v>279</v>
      </c>
      <c r="H62">
        <v>65</v>
      </c>
      <c r="K62" t="str">
        <f>OC!$L$5</f>
        <v>Oct-2025</v>
      </c>
      <c r="L62">
        <v>150</v>
      </c>
    </row>
    <row r="63" spans="7:14" x14ac:dyDescent="0.25">
      <c r="K63" t="str">
        <f>OC!$M$5</f>
        <v>Nov-2025</v>
      </c>
      <c r="L63">
        <v>151</v>
      </c>
    </row>
    <row r="64" spans="7:14" x14ac:dyDescent="0.25">
      <c r="K64" t="str">
        <f>OC!$N$5</f>
        <v>Dec-2025</v>
      </c>
      <c r="L64">
        <v>152</v>
      </c>
    </row>
    <row r="65" spans="11:12" x14ac:dyDescent="0.25">
      <c r="K65" t="str">
        <f>OC!$P$5</f>
        <v>Jan-2025</v>
      </c>
      <c r="L65">
        <v>154</v>
      </c>
    </row>
    <row r="66" spans="11:12" x14ac:dyDescent="0.25">
      <c r="K66" t="str">
        <f>OC!$Q$5</f>
        <v>Feb-2025</v>
      </c>
      <c r="L66">
        <v>155</v>
      </c>
    </row>
    <row r="67" spans="11:12" x14ac:dyDescent="0.25">
      <c r="K67" t="str">
        <f>OC!$R$5</f>
        <v>Mar-2025</v>
      </c>
      <c r="L67">
        <v>156</v>
      </c>
    </row>
    <row r="68" spans="11:12" x14ac:dyDescent="0.25">
      <c r="K68" t="str">
        <f>OC!$S$5</f>
        <v>Apr-2025</v>
      </c>
      <c r="L68">
        <v>157</v>
      </c>
    </row>
    <row r="69" spans="11:12" x14ac:dyDescent="0.25">
      <c r="K69" t="str">
        <f>OC!$T$5</f>
        <v>May-2025</v>
      </c>
      <c r="L69">
        <v>158</v>
      </c>
    </row>
    <row r="70" spans="11:12" x14ac:dyDescent="0.25">
      <c r="K70" t="str">
        <f>OC!$U$5</f>
        <v>Jun-2025</v>
      </c>
      <c r="L70">
        <v>159</v>
      </c>
    </row>
    <row r="71" spans="11:12" x14ac:dyDescent="0.25">
      <c r="K71" t="str">
        <f>OC!$V$5</f>
        <v>Jul-2025</v>
      </c>
      <c r="L71">
        <v>160</v>
      </c>
    </row>
    <row r="72" spans="11:12" x14ac:dyDescent="0.25">
      <c r="K72" t="str">
        <f>OC!$W$5</f>
        <v>Aug-2025</v>
      </c>
      <c r="L72">
        <v>161</v>
      </c>
    </row>
    <row r="73" spans="11:12" x14ac:dyDescent="0.25">
      <c r="K73" t="str">
        <f>OC!$X$5</f>
        <v>Sep-2025</v>
      </c>
      <c r="L73">
        <v>162</v>
      </c>
    </row>
    <row r="74" spans="11:12" x14ac:dyDescent="0.25">
      <c r="K74" t="str">
        <f>OC!$Y$5</f>
        <v>Oct-2025</v>
      </c>
      <c r="L74">
        <v>163</v>
      </c>
    </row>
    <row r="75" spans="11:12" x14ac:dyDescent="0.25">
      <c r="K75" t="str">
        <f>OC!$Z$5</f>
        <v>Nov-2025</v>
      </c>
      <c r="L75">
        <v>164</v>
      </c>
    </row>
    <row r="76" spans="11:12" x14ac:dyDescent="0.25">
      <c r="K76" t="str">
        <f>OC!$AA$5</f>
        <v>Dec-2025</v>
      </c>
      <c r="L76">
        <v>165</v>
      </c>
    </row>
    <row r="77" spans="11:12" x14ac:dyDescent="0.25">
      <c r="K77" t="str">
        <f>OC!$B$6</f>
        <v>100-21 Villas/Cottages</v>
      </c>
      <c r="L77">
        <v>166</v>
      </c>
    </row>
    <row r="78" spans="11:12" x14ac:dyDescent="0.25">
      <c r="K78" t="str">
        <f>OC!$B$7</f>
        <v>100-22 Villas/Cottages B (AMV=Courtyard Homes, BV=BV West, APKS=Patio Homes)</v>
      </c>
      <c r="L78">
        <v>167</v>
      </c>
    </row>
    <row r="79" spans="11:12" x14ac:dyDescent="0.25">
      <c r="K79" t="str">
        <f>OC!$B$8</f>
        <v>100-31 Apartment A (AMV=Trott, BV=Center, All others)</v>
      </c>
      <c r="L79">
        <v>168</v>
      </c>
    </row>
    <row r="80" spans="11:12" x14ac:dyDescent="0.25">
      <c r="K80" t="str">
        <f>OC!$B$9</f>
        <v>100-32 Apartment B (AMV=Diamond, BV=Court)</v>
      </c>
      <c r="L80">
        <v>169</v>
      </c>
    </row>
    <row r="81" spans="11:12" x14ac:dyDescent="0.25">
      <c r="K81" t="str">
        <f>OC!$B$10</f>
        <v>100-33 Apartment C (AMV=419 Wallace, BV=BVWest)</v>
      </c>
      <c r="L81">
        <v>170</v>
      </c>
    </row>
    <row r="82" spans="11:12" x14ac:dyDescent="0.25">
      <c r="K82" t="str">
        <f>OC!$B$11</f>
        <v>100-34 Apartment D (AMV=ParkView)</v>
      </c>
      <c r="L82">
        <v>171</v>
      </c>
    </row>
    <row r="83" spans="11:12" x14ac:dyDescent="0.25">
      <c r="K83" t="str">
        <f>OC!$B$12</f>
        <v>100-35 Apartment E (AMV=Edwards Fisher)</v>
      </c>
      <c r="L83">
        <v>172</v>
      </c>
    </row>
    <row r="84" spans="11:12" x14ac:dyDescent="0.25">
      <c r="K84" t="str">
        <f>OC!$B$13</f>
        <v>100-36 Apartment F (AMV=Mund)</v>
      </c>
      <c r="L84">
        <v>173</v>
      </c>
    </row>
    <row r="85" spans="11:12" x14ac:dyDescent="0.25">
      <c r="K85" t="str">
        <f>OC!$B$14</f>
        <v>100-51 AL/PC A</v>
      </c>
      <c r="L85">
        <v>174</v>
      </c>
    </row>
    <row r="86" spans="11:12" x14ac:dyDescent="0.25">
      <c r="K86" t="str">
        <f>OC!$B$15</f>
        <v>100-61 Skilled Nursing Facility</v>
      </c>
      <c r="L86">
        <v>175</v>
      </c>
    </row>
    <row r="87" spans="11:12" x14ac:dyDescent="0.25">
      <c r="K87" t="str">
        <f>OC!$B$16</f>
        <v>100-62 Skilled Nursing - TCU</v>
      </c>
      <c r="L87">
        <v>176</v>
      </c>
    </row>
    <row r="88" spans="11:12" x14ac:dyDescent="0.25">
      <c r="K88" t="str">
        <f>OC!$B$17</f>
        <v>100 Asbury Methodist Village</v>
      </c>
      <c r="L88">
        <v>177</v>
      </c>
    </row>
    <row r="89" spans="11:12" x14ac:dyDescent="0.25">
      <c r="K89" t="str">
        <f>OC!$B$18</f>
        <v>200-21 Villas/Cottages</v>
      </c>
      <c r="L89">
        <v>178</v>
      </c>
    </row>
    <row r="90" spans="11:12" x14ac:dyDescent="0.25">
      <c r="K90" t="str">
        <f>OC!$B$19</f>
        <v>200-31 Apartment A (AMV=Trott, BV=Center, AS=North Apts.)</v>
      </c>
      <c r="L90">
        <v>179</v>
      </c>
    </row>
    <row r="91" spans="11:12" x14ac:dyDescent="0.25">
      <c r="K91" t="str">
        <f>OC!$B$20</f>
        <v>200-32 Apartment B (AS=South Apts.)</v>
      </c>
      <c r="L91">
        <v>180</v>
      </c>
    </row>
    <row r="92" spans="11:12" x14ac:dyDescent="0.25">
      <c r="K92" t="str">
        <f>OC!$B$21</f>
        <v>200-51 AL/PC A</v>
      </c>
      <c r="L92">
        <v>181</v>
      </c>
    </row>
    <row r="93" spans="11:12" x14ac:dyDescent="0.25">
      <c r="K93" t="str">
        <f>OC!$B$22</f>
        <v>200-61 Skilled Nursing Facility</v>
      </c>
      <c r="L93">
        <v>182</v>
      </c>
    </row>
    <row r="94" spans="11:12" x14ac:dyDescent="0.25">
      <c r="K94" t="str">
        <f>OC!$B$23</f>
        <v>200 Asbury Solomons</v>
      </c>
      <c r="L94">
        <v>183</v>
      </c>
    </row>
    <row r="95" spans="11:12" x14ac:dyDescent="0.25">
      <c r="K95" t="str">
        <f>OC!$B$24</f>
        <v>324-21 Villas/Cottages</v>
      </c>
      <c r="L95">
        <v>184</v>
      </c>
    </row>
    <row r="96" spans="11:12" x14ac:dyDescent="0.25">
      <c r="K96" t="str">
        <f>OC!$B$25</f>
        <v>324-31 Apartment A (AMV=Trott, BV=Center, All others)</v>
      </c>
      <c r="L96">
        <v>185</v>
      </c>
    </row>
    <row r="97" spans="11:12" x14ac:dyDescent="0.25">
      <c r="K97" t="str">
        <f>OC!$B$26</f>
        <v>324-51 AL/PC A</v>
      </c>
      <c r="L97">
        <v>186</v>
      </c>
    </row>
    <row r="98" spans="11:12" x14ac:dyDescent="0.25">
      <c r="K98" t="str">
        <f>OC!$B$27</f>
        <v>324-61 Skilled Nursing Facility</v>
      </c>
      <c r="L98">
        <v>187</v>
      </c>
    </row>
    <row r="99" spans="11:12" x14ac:dyDescent="0.25">
      <c r="K99" t="str">
        <f>OC!$B$28</f>
        <v>324 Springhill</v>
      </c>
      <c r="L99">
        <v>188</v>
      </c>
    </row>
    <row r="100" spans="11:12" x14ac:dyDescent="0.25">
      <c r="K100" t="str">
        <f>OC!$B$32</f>
        <v>350 Grace Park</v>
      </c>
      <c r="L100">
        <v>189</v>
      </c>
    </row>
    <row r="101" spans="11:12" x14ac:dyDescent="0.25">
      <c r="K101" t="str">
        <f>OC!$B$35</f>
        <v>360 Ivy Gables</v>
      </c>
      <c r="L101">
        <v>190</v>
      </c>
    </row>
    <row r="102" spans="11:12" x14ac:dyDescent="0.25">
      <c r="K102" t="str">
        <f>OC!$B$36</f>
        <v>810-21 Villas/Cottages</v>
      </c>
      <c r="L102">
        <v>193</v>
      </c>
    </row>
    <row r="103" spans="11:12" x14ac:dyDescent="0.25">
      <c r="K103" t="str">
        <f>OC!$B$37</f>
        <v>810-22 Villas/Cottages B (AMV=Courtyard Homes, BV=BV West, APKS=Patio Homes)</v>
      </c>
      <c r="L103">
        <v>194</v>
      </c>
    </row>
    <row r="104" spans="11:12" x14ac:dyDescent="0.25">
      <c r="K104" t="str">
        <f>OC!$B$38</f>
        <v>810-31 Apartment A (AMV=Trott, BV=Center, All others)</v>
      </c>
      <c r="L104">
        <v>195</v>
      </c>
    </row>
    <row r="105" spans="11:12" x14ac:dyDescent="0.25">
      <c r="K105" t="str">
        <f>OC!$B$39</f>
        <v>810-32 Apartment B (AMV=Diamond, BV=Court)</v>
      </c>
      <c r="L105">
        <v>196</v>
      </c>
    </row>
    <row r="106" spans="11:12" x14ac:dyDescent="0.25">
      <c r="K106" t="str">
        <f>OC!$B$40</f>
        <v>810-33 Apartment C (AMV=419 Wallace, BV=BVWest)</v>
      </c>
      <c r="L106">
        <v>197</v>
      </c>
    </row>
    <row r="107" spans="11:12" x14ac:dyDescent="0.25">
      <c r="K107" t="str">
        <f>OC!$B$41</f>
        <v>810-51 AL/PC A</v>
      </c>
      <c r="L107">
        <v>198</v>
      </c>
    </row>
    <row r="108" spans="11:12" x14ac:dyDescent="0.25">
      <c r="K108" t="str">
        <f>OC!$B$42</f>
        <v>810-61 Skilled Nursing Facility</v>
      </c>
      <c r="L108">
        <v>199</v>
      </c>
    </row>
    <row r="109" spans="11:12" x14ac:dyDescent="0.25">
      <c r="K109" t="str">
        <f>OC!$B$43</f>
        <v>810 Bethany Village</v>
      </c>
      <c r="L109">
        <v>200</v>
      </c>
    </row>
    <row r="110" spans="11:12" x14ac:dyDescent="0.25">
      <c r="K110" t="str">
        <f>OC!$B$44</f>
        <v>925-21 Villas/Cottages</v>
      </c>
      <c r="L110">
        <v>201</v>
      </c>
    </row>
    <row r="111" spans="11:12" x14ac:dyDescent="0.25">
      <c r="K111" t="str">
        <f>OC!$B$45</f>
        <v>925-31 Apartment A (AMV=Trott, BV=Center, All others)</v>
      </c>
      <c r="L111">
        <v>202</v>
      </c>
    </row>
    <row r="112" spans="11:12" x14ac:dyDescent="0.25">
      <c r="K112" t="str">
        <f>OC!$B$46</f>
        <v>925-51 AL/PCA A</v>
      </c>
      <c r="L112">
        <v>203</v>
      </c>
    </row>
    <row r="113" spans="11:12" x14ac:dyDescent="0.25">
      <c r="K113" t="str">
        <f>OC!$B$47</f>
        <v>925 Chandler Estate</v>
      </c>
      <c r="L113">
        <v>204</v>
      </c>
    </row>
    <row r="114" spans="11:12" x14ac:dyDescent="0.25">
      <c r="K114" t="str">
        <f>OC!$B$48</f>
        <v>Asbury</v>
      </c>
      <c r="L114">
        <v>205</v>
      </c>
    </row>
    <row r="115" spans="11:12" x14ac:dyDescent="0.25">
      <c r="K115" t="str">
        <f>OC!$B$49</f>
        <v>Asbury (Consolidated)</v>
      </c>
      <c r="L115">
        <v>206</v>
      </c>
    </row>
    <row r="116" spans="11:12" x14ac:dyDescent="0.25">
      <c r="K116" t="str">
        <f>OC!$B$50</f>
        <v>835-21 Villas/Cottages</v>
      </c>
      <c r="L116">
        <v>207</v>
      </c>
    </row>
    <row r="117" spans="11:12" x14ac:dyDescent="0.25">
      <c r="K117" t="str">
        <f>OC!$B$51</f>
        <v>835-31 Apartment A (AMV=Trott, BV=Center, RW=Ridgecrest Court, NR= Manchester, All others)</v>
      </c>
      <c r="L117">
        <v>208</v>
      </c>
    </row>
    <row r="118" spans="11:12" x14ac:dyDescent="0.25">
      <c r="K118" t="str">
        <f>OC!$B$52</f>
        <v>835-51 AL/PC A (AMV=333,  RW= Riverwood Manor, All others)</v>
      </c>
      <c r="L118">
        <v>209</v>
      </c>
    </row>
    <row r="119" spans="11:12" x14ac:dyDescent="0.25">
      <c r="K119" t="str">
        <f>OC!$B$53</f>
        <v>835-61 Skilled Nursing Facility</v>
      </c>
      <c r="L119">
        <v>210</v>
      </c>
    </row>
    <row r="120" spans="11:12" x14ac:dyDescent="0.25">
      <c r="K120" t="str">
        <f>OC!$B$54</f>
        <v>835 Riverwoods</v>
      </c>
      <c r="L120">
        <v>211</v>
      </c>
    </row>
    <row r="121" spans="11:12" x14ac:dyDescent="0.25">
      <c r="K121" t="str">
        <f>OC!$B$55</f>
        <v>840-21 Villas/Cottages</v>
      </c>
      <c r="L121">
        <v>212</v>
      </c>
    </row>
    <row r="122" spans="11:12" x14ac:dyDescent="0.25">
      <c r="K122" t="str">
        <f>OC!$B$56</f>
        <v>840-31 Apartment A (AMV=Trott, BV=Center, RW=Ridgecrest Court, NR=Manchester, All others)</v>
      </c>
      <c r="L122">
        <v>213</v>
      </c>
    </row>
    <row r="123" spans="11:12" x14ac:dyDescent="0.25">
      <c r="K123" t="str">
        <f>OC!$B$57</f>
        <v>840-51 AL/PC A (AMV=333,  RW= Riverwood Manor, All others)</v>
      </c>
      <c r="L123">
        <v>214</v>
      </c>
    </row>
    <row r="124" spans="11:12" x14ac:dyDescent="0.25">
      <c r="K124" t="str">
        <f>OC!$B$58</f>
        <v>840-52 AL/PC B (AL/PC B, NR=Dementia Care)</v>
      </c>
      <c r="L124">
        <v>215</v>
      </c>
    </row>
    <row r="125" spans="11:12" x14ac:dyDescent="0.25">
      <c r="K125" t="str">
        <f>OC!$B$59</f>
        <v>840-61 Skilled Nursing Facility</v>
      </c>
      <c r="L125">
        <v>216</v>
      </c>
    </row>
    <row r="126" spans="11:12" x14ac:dyDescent="0.25">
      <c r="K126" t="str">
        <f>OC!$B$60</f>
        <v>840 Normandie Ridge</v>
      </c>
      <c r="L126">
        <v>217</v>
      </c>
    </row>
    <row r="127" spans="11:12" x14ac:dyDescent="0.25">
      <c r="K127" t="str">
        <f>OC!$B$61</f>
        <v>Albright</v>
      </c>
      <c r="L127">
        <v>218</v>
      </c>
    </row>
    <row r="128" spans="11:12" x14ac:dyDescent="0.25">
      <c r="K128" t="str">
        <f>OC!$B$62</f>
        <v>Albright (Consolidated)</v>
      </c>
      <c r="L128">
        <v>219</v>
      </c>
    </row>
    <row r="129" spans="11:12" x14ac:dyDescent="0.25">
      <c r="K129" t="str">
        <f>OC!$B$29</f>
        <v>350-21 Villas/Cottages</v>
      </c>
      <c r="L129">
        <v>223</v>
      </c>
    </row>
    <row r="130" spans="11:12" x14ac:dyDescent="0.25">
      <c r="K130" t="str">
        <f>OC!$B$30</f>
        <v>350-51 AL/PC A</v>
      </c>
      <c r="L130">
        <v>224</v>
      </c>
    </row>
    <row r="131" spans="11:12" x14ac:dyDescent="0.25">
      <c r="K131" t="str">
        <f>OC!$B$31</f>
        <v>350-52 AL B/APM Memory Support</v>
      </c>
      <c r="L131">
        <v>225</v>
      </c>
    </row>
    <row r="132" spans="11:12" x14ac:dyDescent="0.25">
      <c r="K132" t="str">
        <f>OC!$B$33</f>
        <v>360-51 AL/PC A</v>
      </c>
      <c r="L132">
        <v>228</v>
      </c>
    </row>
    <row r="133" spans="11:12" x14ac:dyDescent="0.25">
      <c r="K133" t="str">
        <f>OC!$B$34</f>
        <v>360-52 AL B/APM Memory Support</v>
      </c>
      <c r="L133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32BD-67E5-4A5E-A16D-98F0FC8B25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0805-9328-4232-848E-DED58EF05460}">
  <sheetPr>
    <tabColor theme="1"/>
  </sheetPr>
  <dimension ref="A4:D10"/>
  <sheetViews>
    <sheetView tabSelected="1" workbookViewId="0">
      <selection activeCell="C10" sqref="C10"/>
    </sheetView>
  </sheetViews>
  <sheetFormatPr defaultRowHeight="15" x14ac:dyDescent="0.25"/>
  <cols>
    <col min="4" max="4" width="49.85546875" bestFit="1" customWidth="1"/>
  </cols>
  <sheetData>
    <row r="4" spans="1:4" x14ac:dyDescent="0.25">
      <c r="A4" s="56" t="s">
        <v>235</v>
      </c>
    </row>
    <row r="5" spans="1:4" x14ac:dyDescent="0.25">
      <c r="B5" s="7" t="s">
        <v>64</v>
      </c>
      <c r="C5" s="7" t="s">
        <v>65</v>
      </c>
    </row>
    <row r="6" spans="1:4" x14ac:dyDescent="0.25">
      <c r="B6" s="55">
        <v>350</v>
      </c>
      <c r="C6" s="35">
        <v>51</v>
      </c>
      <c r="D6" s="55" t="s">
        <v>233</v>
      </c>
    </row>
    <row r="7" spans="1:4" x14ac:dyDescent="0.25">
      <c r="B7" s="55">
        <v>350</v>
      </c>
      <c r="C7" s="51">
        <v>52</v>
      </c>
      <c r="D7" s="55" t="s">
        <v>233</v>
      </c>
    </row>
    <row r="9" spans="1:4" x14ac:dyDescent="0.25">
      <c r="B9" s="54">
        <v>360</v>
      </c>
      <c r="C9" s="52">
        <v>51</v>
      </c>
      <c r="D9" s="54" t="s">
        <v>234</v>
      </c>
    </row>
    <row r="10" spans="1:4" x14ac:dyDescent="0.25">
      <c r="B10" s="54">
        <v>360</v>
      </c>
      <c r="C10" s="53">
        <v>52</v>
      </c>
      <c r="D10" s="54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D8F8-E378-4A76-A139-24958DD66D42}">
  <sheetPr>
    <tabColor theme="1"/>
  </sheetPr>
  <dimension ref="A1:P75"/>
  <sheetViews>
    <sheetView workbookViewId="0">
      <pane ySplit="3" topLeftCell="A28" activePane="bottomLeft" state="frozen"/>
      <selection pane="bottomLeft" activeCell="C55" sqref="C55:E56"/>
    </sheetView>
  </sheetViews>
  <sheetFormatPr defaultRowHeight="15" x14ac:dyDescent="0.25"/>
  <cols>
    <col min="1" max="1" width="13.140625" customWidth="1"/>
    <col min="2" max="2" width="12.5703125" customWidth="1"/>
    <col min="5" max="5" width="49.85546875" bestFit="1" customWidth="1"/>
    <col min="6" max="6" width="22.42578125" customWidth="1"/>
    <col min="7" max="7" width="26.42578125" customWidth="1"/>
    <col min="8" max="8" width="1.7109375" style="30" customWidth="1"/>
    <col min="14" max="14" width="11.42578125" bestFit="1" customWidth="1"/>
  </cols>
  <sheetData>
    <row r="1" spans="1:16" x14ac:dyDescent="0.25">
      <c r="A1" s="41" t="s">
        <v>185</v>
      </c>
      <c r="B1" s="35"/>
      <c r="C1" s="35"/>
      <c r="D1" s="41" t="s">
        <v>185</v>
      </c>
      <c r="E1" s="41"/>
      <c r="F1" s="41" t="s">
        <v>185</v>
      </c>
      <c r="G1" s="35"/>
      <c r="I1" s="37" t="s">
        <v>178</v>
      </c>
      <c r="L1" s="37" t="s">
        <v>178</v>
      </c>
      <c r="M1" s="37"/>
      <c r="N1" s="37"/>
      <c r="O1" s="49" t="s">
        <v>196</v>
      </c>
      <c r="P1" s="49"/>
    </row>
    <row r="2" spans="1:16" x14ac:dyDescent="0.25">
      <c r="A2" s="5" t="s">
        <v>61</v>
      </c>
      <c r="B2" s="5" t="s">
        <v>61</v>
      </c>
      <c r="C2" s="5" t="s">
        <v>193</v>
      </c>
      <c r="D2" s="5" t="s">
        <v>193</v>
      </c>
      <c r="E2" s="5" t="s">
        <v>61</v>
      </c>
      <c r="F2" s="5" t="s">
        <v>61</v>
      </c>
      <c r="G2" s="5" t="s">
        <v>61</v>
      </c>
      <c r="I2" s="5" t="s">
        <v>61</v>
      </c>
      <c r="N2" s="42" t="s">
        <v>188</v>
      </c>
      <c r="O2" s="42"/>
      <c r="P2" s="42"/>
    </row>
    <row r="3" spans="1:16" x14ac:dyDescent="0.25">
      <c r="A3" s="40" t="s">
        <v>0</v>
      </c>
      <c r="B3" s="40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I3" s="7" t="s">
        <v>192</v>
      </c>
      <c r="L3" t="s">
        <v>64</v>
      </c>
      <c r="M3" t="s">
        <v>65</v>
      </c>
      <c r="N3" t="s">
        <v>190</v>
      </c>
      <c r="O3" t="s">
        <v>191</v>
      </c>
      <c r="P3" t="s">
        <v>189</v>
      </c>
    </row>
    <row r="4" spans="1:16" x14ac:dyDescent="0.25">
      <c r="A4" s="1" cm="1">
        <f t="array" ref="A4">INDEX(OC!$DJ$6:$FE$62,_xlfn.XMATCH($C4&amp;"-"&amp;$D4,OC!$DE$6:$DE$62),_xlfn.XMATCH(A$3&amp;$I4,OC!$DJ$3:$FE$3))</f>
        <v>45658</v>
      </c>
      <c r="B4" s="1" cm="1">
        <f t="array" ref="B4">INDEX(OC!$DJ$6:$FE$62,_xlfn.XMATCH($C4&amp;"-"&amp;$D4,OC!$DE$6:$DE$62),_xlfn.XMATCH(B$3&amp;$I4,OC!$DJ$3:$FE$3))</f>
        <v>46022</v>
      </c>
      <c r="C4">
        <v>100</v>
      </c>
      <c r="D4">
        <v>21</v>
      </c>
      <c r="E4" t="str">
        <f>_xlfn.XLOOKUP(C4&amp;"-"&amp;D4,REF!$A$3:$A$47,REF!$D$3:$D$47)</f>
        <v>AComm\AComm LTC\MD\AMV\IL AMV\Villas</v>
      </c>
      <c r="F4" cm="1">
        <f t="array" ref="F4">INDEX(OC!$DJ$6:$FE$62,_xlfn.XMATCH($C4&amp;"-"&amp;$D4,OC!$DE$6:$DE$62),_xlfn.XMATCH(F$3&amp;$I4,OC!$DJ$3:$FE$3))</f>
        <v>73</v>
      </c>
      <c r="G4" cm="1">
        <f t="array" ref="G4">INDEX(OC!$DJ$6:$FE$62,_xlfn.XMATCH($C4&amp;"-"&amp;$D4,OC!$DE$6:$DE$62),_xlfn.XMATCH(G$3&amp;$I4,OC!$DJ$3:$FE$3))</f>
        <v>70.5</v>
      </c>
      <c r="I4">
        <f>COUNTIFS($C$4:C4,C4,$D$4:D4,D4)</f>
        <v>1</v>
      </c>
      <c r="L4">
        <v>100</v>
      </c>
      <c r="M4">
        <v>21</v>
      </c>
      <c r="N4">
        <v>1</v>
      </c>
      <c r="O4">
        <f t="shared" ref="O4:O47" si="0">COUNTIFS($C$4:$C$75,L4,$D$4:$D$75,M4)</f>
        <v>1</v>
      </c>
      <c r="P4" s="14">
        <f>N4-O4</f>
        <v>0</v>
      </c>
    </row>
    <row r="5" spans="1:16" x14ac:dyDescent="0.25">
      <c r="A5" s="1" cm="1">
        <f t="array" ref="A5">INDEX(OC!$DJ$6:$FE$62,_xlfn.XMATCH($C5&amp;"-"&amp;$D5,OC!$DE$6:$DE$62),_xlfn.XMATCH(A$3&amp;$I5,OC!$DJ$3:$FE$3))</f>
        <v>45658</v>
      </c>
      <c r="B5" s="1" cm="1">
        <f t="array" ref="B5">INDEX(OC!$DJ$6:$FE$62,_xlfn.XMATCH($C5&amp;"-"&amp;$D5,OC!$DE$6:$DE$62),_xlfn.XMATCH(B$3&amp;$I5,OC!$DJ$3:$FE$3))</f>
        <v>46022</v>
      </c>
      <c r="C5">
        <v>100</v>
      </c>
      <c r="D5">
        <v>22</v>
      </c>
      <c r="E5" t="str">
        <f>_xlfn.XLOOKUP(C5&amp;"-"&amp;D5,REF!$A$3:$A$47,REF!$D$3:$D$47)</f>
        <v>AComm\AComm LTC\MD\AMV\IL AMV\CH</v>
      </c>
      <c r="F5" cm="1">
        <f t="array" ref="F5">INDEX(OC!$DJ$6:$FE$62,_xlfn.XMATCH($C5&amp;"-"&amp;$D5,OC!$DE$6:$DE$62),_xlfn.XMATCH(F$3&amp;$I5,OC!$DJ$3:$FE$3))</f>
        <v>43</v>
      </c>
      <c r="G5" cm="1">
        <f t="array" ref="G5">INDEX(OC!$DJ$6:$FE$62,_xlfn.XMATCH($C5&amp;"-"&amp;$D5,OC!$DE$6:$DE$62),_xlfn.XMATCH(G$3&amp;$I5,OC!$DJ$3:$FE$3))</f>
        <v>42</v>
      </c>
      <c r="I5">
        <f>COUNTIFS($C$4:C5,C5,$D$4:D5,D5)</f>
        <v>1</v>
      </c>
      <c r="L5">
        <v>100</v>
      </c>
      <c r="M5">
        <v>22</v>
      </c>
      <c r="N5">
        <v>1</v>
      </c>
      <c r="O5">
        <f t="shared" si="0"/>
        <v>1</v>
      </c>
      <c r="P5" s="14">
        <f t="shared" ref="P5:P47" si="1">N5-O5</f>
        <v>0</v>
      </c>
    </row>
    <row r="6" spans="1:16" x14ac:dyDescent="0.25">
      <c r="A6" s="1" cm="1">
        <f t="array" ref="A6">INDEX(OC!$DJ$6:$FE$62,_xlfn.XMATCH($C6&amp;"-"&amp;$D6,OC!$DE$6:$DE$62),_xlfn.XMATCH(A$3&amp;$I6,OC!$DJ$3:$FE$3))</f>
        <v>45658</v>
      </c>
      <c r="B6" s="1" cm="1">
        <f t="array" ref="B6">INDEX(OC!$DJ$6:$FE$62,_xlfn.XMATCH($C6&amp;"-"&amp;$D6,OC!$DE$6:$DE$62),_xlfn.XMATCH(B$3&amp;$I6,OC!$DJ$3:$FE$3))</f>
        <v>45716</v>
      </c>
      <c r="C6">
        <v>100</v>
      </c>
      <c r="D6">
        <v>31</v>
      </c>
      <c r="E6" t="str">
        <f>_xlfn.XLOOKUP(C6&amp;"-"&amp;D6,REF!$A$3:$A$47,REF!$D$3:$D$47)</f>
        <v>AComm\AComm LTC\MD\AMV\IL AMV\Trott Apt</v>
      </c>
      <c r="F6" cm="1">
        <f t="array" ref="F6">INDEX(OC!$DJ$6:$FE$62,_xlfn.XMATCH($C6&amp;"-"&amp;$D6,OC!$DE$6:$DE$62),_xlfn.XMATCH(F$3&amp;$I6,OC!$DJ$3:$FE$3))</f>
        <v>109</v>
      </c>
      <c r="G6" cm="1">
        <f t="array" ref="G6">INDEX(OC!$DJ$6:$FE$62,_xlfn.XMATCH($C6&amp;"-"&amp;$D6,OC!$DE$6:$DE$62),_xlfn.XMATCH(G$3&amp;$I6,OC!$DJ$3:$FE$3))</f>
        <v>61</v>
      </c>
      <c r="I6">
        <f>COUNTIFS($C$4:C6,C6,$D$4:D6,D6)</f>
        <v>1</v>
      </c>
      <c r="L6">
        <v>100</v>
      </c>
      <c r="M6">
        <v>31</v>
      </c>
      <c r="N6">
        <v>6</v>
      </c>
      <c r="O6">
        <f t="shared" si="0"/>
        <v>6</v>
      </c>
      <c r="P6" s="3">
        <f t="shared" si="1"/>
        <v>0</v>
      </c>
    </row>
    <row r="7" spans="1:16" x14ac:dyDescent="0.25">
      <c r="A7" s="1" cm="1">
        <f t="array" ref="A7">INDEX(OC!$DJ$6:$FE$62,_xlfn.XMATCH($C7&amp;"-"&amp;$D7,OC!$DE$6:$DE$62),_xlfn.XMATCH(A$3&amp;$I7,OC!$DJ$3:$FE$3))</f>
        <v>45717</v>
      </c>
      <c r="B7" s="1" cm="1">
        <f t="array" ref="B7">INDEX(OC!$DJ$6:$FE$62,_xlfn.XMATCH($C7&amp;"-"&amp;$D7,OC!$DE$6:$DE$62),_xlfn.XMATCH(B$3&amp;$I7,OC!$DJ$3:$FE$3))</f>
        <v>45777</v>
      </c>
      <c r="C7">
        <v>100</v>
      </c>
      <c r="D7">
        <v>31</v>
      </c>
      <c r="E7" t="str">
        <f>_xlfn.XLOOKUP(C7&amp;"-"&amp;D7,REF!$A$3:$A$47,REF!$D$3:$D$47)</f>
        <v>AComm\AComm LTC\MD\AMV\IL AMV\Trott Apt</v>
      </c>
      <c r="F7" cm="1">
        <f t="array" ref="F7">INDEX(OC!$DJ$6:$FE$62,_xlfn.XMATCH($C7&amp;"-"&amp;$D7,OC!$DE$6:$DE$62),_xlfn.XMATCH(F$3&amp;$I7,OC!$DJ$3:$FE$3))</f>
        <v>109</v>
      </c>
      <c r="G7" cm="1">
        <f t="array" ref="G7">INDEX(OC!$DJ$6:$FE$62,_xlfn.XMATCH($C7&amp;"-"&amp;$D7,OC!$DE$6:$DE$62),_xlfn.XMATCH(G$3&amp;$I7,OC!$DJ$3:$FE$3))</f>
        <v>62</v>
      </c>
      <c r="I7">
        <f>COUNTIFS($C$4:C7,C7,$D$4:D7,D7)</f>
        <v>2</v>
      </c>
      <c r="L7">
        <v>100</v>
      </c>
      <c r="M7">
        <v>32</v>
      </c>
      <c r="N7">
        <v>12</v>
      </c>
      <c r="O7">
        <f t="shared" si="0"/>
        <v>12</v>
      </c>
      <c r="P7" s="3">
        <f t="shared" si="1"/>
        <v>0</v>
      </c>
    </row>
    <row r="8" spans="1:16" x14ac:dyDescent="0.25">
      <c r="A8" s="1" cm="1">
        <f t="array" ref="A8">INDEX(OC!$DJ$6:$FE$62,_xlfn.XMATCH($C8&amp;"-"&amp;$D8,OC!$DE$6:$DE$62),_xlfn.XMATCH(A$3&amp;$I8,OC!$DJ$3:$FE$3))</f>
        <v>45778</v>
      </c>
      <c r="B8" s="1" cm="1">
        <f t="array" ref="B8">INDEX(OC!$DJ$6:$FE$62,_xlfn.XMATCH($C8&amp;"-"&amp;$D8,OC!$DE$6:$DE$62),_xlfn.XMATCH(B$3&amp;$I8,OC!$DJ$3:$FE$3))</f>
        <v>45838</v>
      </c>
      <c r="C8">
        <v>100</v>
      </c>
      <c r="D8">
        <v>31</v>
      </c>
      <c r="E8" t="str">
        <f>_xlfn.XLOOKUP(C8&amp;"-"&amp;D8,REF!$A$3:$A$47,REF!$D$3:$D$47)</f>
        <v>AComm\AComm LTC\MD\AMV\IL AMV\Trott Apt</v>
      </c>
      <c r="F8" cm="1">
        <f t="array" ref="F8">INDEX(OC!$DJ$6:$FE$62,_xlfn.XMATCH($C8&amp;"-"&amp;$D8,OC!$DE$6:$DE$62),_xlfn.XMATCH(F$3&amp;$I8,OC!$DJ$3:$FE$3))</f>
        <v>109</v>
      </c>
      <c r="G8" cm="1">
        <f t="array" ref="G8">INDEX(OC!$DJ$6:$FE$62,_xlfn.XMATCH($C8&amp;"-"&amp;$D8,OC!$DE$6:$DE$62),_xlfn.XMATCH(G$3&amp;$I8,OC!$DJ$3:$FE$3))</f>
        <v>63</v>
      </c>
      <c r="I8">
        <f>COUNTIFS($C$4:C8,C8,$D$4:D8,D8)</f>
        <v>3</v>
      </c>
      <c r="L8">
        <v>100</v>
      </c>
      <c r="M8">
        <v>33</v>
      </c>
      <c r="N8">
        <v>1</v>
      </c>
      <c r="O8">
        <f t="shared" si="0"/>
        <v>1</v>
      </c>
      <c r="P8" s="3">
        <f t="shared" si="1"/>
        <v>0</v>
      </c>
    </row>
    <row r="9" spans="1:16" x14ac:dyDescent="0.25">
      <c r="A9" s="1" cm="1">
        <f t="array" ref="A9">INDEX(OC!$DJ$6:$FE$62,_xlfn.XMATCH($C9&amp;"-"&amp;$D9,OC!$DE$6:$DE$62),_xlfn.XMATCH(A$3&amp;$I9,OC!$DJ$3:$FE$3))</f>
        <v>45839</v>
      </c>
      <c r="B9" s="1" cm="1">
        <f t="array" ref="B9">INDEX(OC!$DJ$6:$FE$62,_xlfn.XMATCH($C9&amp;"-"&amp;$D9,OC!$DE$6:$DE$62),_xlfn.XMATCH(B$3&amp;$I9,OC!$DJ$3:$FE$3))</f>
        <v>45900</v>
      </c>
      <c r="C9">
        <v>100</v>
      </c>
      <c r="D9">
        <v>31</v>
      </c>
      <c r="E9" t="str">
        <f>_xlfn.XLOOKUP(C9&amp;"-"&amp;D9,REF!$A$3:$A$47,REF!$D$3:$D$47)</f>
        <v>AComm\AComm LTC\MD\AMV\IL AMV\Trott Apt</v>
      </c>
      <c r="F9" cm="1">
        <f t="array" ref="F9">INDEX(OC!$DJ$6:$FE$62,_xlfn.XMATCH($C9&amp;"-"&amp;$D9,OC!$DE$6:$DE$62),_xlfn.XMATCH(F$3&amp;$I9,OC!$DJ$3:$FE$3))</f>
        <v>109</v>
      </c>
      <c r="G9" cm="1">
        <f t="array" ref="G9">INDEX(OC!$DJ$6:$FE$62,_xlfn.XMATCH($C9&amp;"-"&amp;$D9,OC!$DE$6:$DE$62),_xlfn.XMATCH(G$3&amp;$I9,OC!$DJ$3:$FE$3))</f>
        <v>65</v>
      </c>
      <c r="I9">
        <f>COUNTIFS($C$4:C9,C9,$D$4:D9,D9)</f>
        <v>4</v>
      </c>
      <c r="L9">
        <v>100</v>
      </c>
      <c r="M9">
        <v>34</v>
      </c>
      <c r="N9">
        <v>2</v>
      </c>
      <c r="O9">
        <f t="shared" si="0"/>
        <v>2</v>
      </c>
      <c r="P9" s="3">
        <f t="shared" si="1"/>
        <v>0</v>
      </c>
    </row>
    <row r="10" spans="1:16" x14ac:dyDescent="0.25">
      <c r="A10" s="1" cm="1">
        <f t="array" ref="A10">INDEX(OC!$DJ$6:$FE$62,_xlfn.XMATCH($C10&amp;"-"&amp;$D10,OC!$DE$6:$DE$62),_xlfn.XMATCH(A$3&amp;$I10,OC!$DJ$3:$FE$3))</f>
        <v>45901</v>
      </c>
      <c r="B10" s="1" cm="1">
        <f t="array" ref="B10">INDEX(OC!$DJ$6:$FE$62,_xlfn.XMATCH($C10&amp;"-"&amp;$D10,OC!$DE$6:$DE$62),_xlfn.XMATCH(B$3&amp;$I10,OC!$DJ$3:$FE$3))</f>
        <v>45961</v>
      </c>
      <c r="C10">
        <v>100</v>
      </c>
      <c r="D10">
        <v>31</v>
      </c>
      <c r="E10" t="str">
        <f>_xlfn.XLOOKUP(C10&amp;"-"&amp;D10,REF!$A$3:$A$47,REF!$D$3:$D$47)</f>
        <v>AComm\AComm LTC\MD\AMV\IL AMV\Trott Apt</v>
      </c>
      <c r="F10" cm="1">
        <f t="array" ref="F10">INDEX(OC!$DJ$6:$FE$62,_xlfn.XMATCH($C10&amp;"-"&amp;$D10,OC!$DE$6:$DE$62),_xlfn.XMATCH(F$3&amp;$I10,OC!$DJ$3:$FE$3))</f>
        <v>109</v>
      </c>
      <c r="G10" cm="1">
        <f t="array" ref="G10">INDEX(OC!$DJ$6:$FE$62,_xlfn.XMATCH($C10&amp;"-"&amp;$D10,OC!$DE$6:$DE$62),_xlfn.XMATCH(G$3&amp;$I10,OC!$DJ$3:$FE$3))</f>
        <v>66</v>
      </c>
      <c r="I10">
        <f>COUNTIFS($C$4:C10,C10,$D$4:D10,D10)</f>
        <v>5</v>
      </c>
      <c r="L10">
        <v>100</v>
      </c>
      <c r="M10">
        <v>35</v>
      </c>
      <c r="N10">
        <v>4</v>
      </c>
      <c r="O10">
        <f t="shared" si="0"/>
        <v>4</v>
      </c>
      <c r="P10" s="3">
        <f t="shared" si="1"/>
        <v>0</v>
      </c>
    </row>
    <row r="11" spans="1:16" x14ac:dyDescent="0.25">
      <c r="A11" s="1" cm="1">
        <f t="array" ref="A11">INDEX(OC!$DJ$6:$FE$62,_xlfn.XMATCH($C11&amp;"-"&amp;$D11,OC!$DE$6:$DE$62),_xlfn.XMATCH(A$3&amp;$I11,OC!$DJ$3:$FE$3))</f>
        <v>45962</v>
      </c>
      <c r="B11" s="1" cm="1">
        <f t="array" ref="B11">INDEX(OC!$DJ$6:$FE$62,_xlfn.XMATCH($C11&amp;"-"&amp;$D11,OC!$DE$6:$DE$62),_xlfn.XMATCH(B$3&amp;$I11,OC!$DJ$3:$FE$3))</f>
        <v>46022</v>
      </c>
      <c r="C11">
        <v>100</v>
      </c>
      <c r="D11">
        <v>31</v>
      </c>
      <c r="E11" t="str">
        <f>_xlfn.XLOOKUP(C11&amp;"-"&amp;D11,REF!$A$3:$A$47,REF!$D$3:$D$47)</f>
        <v>AComm\AComm LTC\MD\AMV\IL AMV\Trott Apt</v>
      </c>
      <c r="F11" cm="1">
        <f t="array" ref="F11">INDEX(OC!$DJ$6:$FE$62,_xlfn.XMATCH($C11&amp;"-"&amp;$D11,OC!$DE$6:$DE$62),_xlfn.XMATCH(F$3&amp;$I11,OC!$DJ$3:$FE$3))</f>
        <v>109</v>
      </c>
      <c r="G11" cm="1">
        <f t="array" ref="G11">INDEX(OC!$DJ$6:$FE$62,_xlfn.XMATCH($C11&amp;"-"&amp;$D11,OC!$DE$6:$DE$62),_xlfn.XMATCH(G$3&amp;$I11,OC!$DJ$3:$FE$3))</f>
        <v>67</v>
      </c>
      <c r="I11">
        <f>COUNTIFS($C$4:C11,C11,$D$4:D11,D11)</f>
        <v>6</v>
      </c>
      <c r="L11">
        <v>100</v>
      </c>
      <c r="M11">
        <v>36</v>
      </c>
      <c r="N11">
        <v>6</v>
      </c>
      <c r="O11">
        <f t="shared" si="0"/>
        <v>6</v>
      </c>
      <c r="P11" s="3">
        <f t="shared" si="1"/>
        <v>0</v>
      </c>
    </row>
    <row r="12" spans="1:16" x14ac:dyDescent="0.25">
      <c r="A12" s="1" cm="1">
        <f t="array" ref="A12">INDEX(OC!$DJ$6:$FE$62,_xlfn.XMATCH($C12&amp;"-"&amp;$D12,OC!$DE$6:$DE$62),_xlfn.XMATCH(A$3&amp;$I12,OC!$DJ$3:$FE$3))</f>
        <v>45658</v>
      </c>
      <c r="B12" s="1" cm="1">
        <f t="array" ref="B12">INDEX(OC!$DJ$6:$FE$62,_xlfn.XMATCH($C12&amp;"-"&amp;$D12,OC!$DE$6:$DE$62),_xlfn.XMATCH(B$3&amp;$I12,OC!$DJ$3:$FE$3))</f>
        <v>45688</v>
      </c>
      <c r="C12">
        <v>100</v>
      </c>
      <c r="D12">
        <v>32</v>
      </c>
      <c r="E12" t="str">
        <f>_xlfn.XLOOKUP(C12&amp;"-"&amp;D12,REF!$A$3:$A$47,REF!$D$3:$D$47)</f>
        <v>AComm\AComm LTC\MD\AMV\IL AMV\DM Apt</v>
      </c>
      <c r="F12" cm="1">
        <f t="array" ref="F12">INDEX(OC!$DJ$6:$FE$62,_xlfn.XMATCH($C12&amp;"-"&amp;$D12,OC!$DE$6:$DE$62),_xlfn.XMATCH(F$3&amp;$I12,OC!$DJ$3:$FE$3))</f>
        <v>184</v>
      </c>
      <c r="G12" cm="1">
        <f t="array" ref="G12">INDEX(OC!$DJ$6:$FE$62,_xlfn.XMATCH($C12&amp;"-"&amp;$D12,OC!$DE$6:$DE$62),_xlfn.XMATCH(G$3&amp;$I12,OC!$DJ$3:$FE$3))</f>
        <v>159</v>
      </c>
      <c r="I12">
        <f>COUNTIFS($C$4:C12,C12,$D$4:D12,D12)</f>
        <v>1</v>
      </c>
      <c r="L12">
        <v>100</v>
      </c>
      <c r="M12">
        <v>51</v>
      </c>
      <c r="N12">
        <v>1</v>
      </c>
      <c r="O12">
        <f t="shared" si="0"/>
        <v>1</v>
      </c>
      <c r="P12" s="3">
        <f t="shared" si="1"/>
        <v>0</v>
      </c>
    </row>
    <row r="13" spans="1:16" x14ac:dyDescent="0.25">
      <c r="A13" s="1" cm="1">
        <f t="array" ref="A13">INDEX(OC!$DJ$6:$FE$62,_xlfn.XMATCH($C13&amp;"-"&amp;$D13,OC!$DE$6:$DE$62),_xlfn.XMATCH(A$3&amp;$I13,OC!$DJ$3:$FE$3))</f>
        <v>45689</v>
      </c>
      <c r="B13" s="1" cm="1">
        <f t="array" ref="B13">INDEX(OC!$DJ$6:$FE$62,_xlfn.XMATCH($C13&amp;"-"&amp;$D13,OC!$DE$6:$DE$62),_xlfn.XMATCH(B$3&amp;$I13,OC!$DJ$3:$FE$3))</f>
        <v>45716</v>
      </c>
      <c r="C13">
        <v>100</v>
      </c>
      <c r="D13">
        <v>32</v>
      </c>
      <c r="E13" t="str">
        <f>_xlfn.XLOOKUP(C13&amp;"-"&amp;D13,REF!$A$3:$A$47,REF!$D$3:$D$47)</f>
        <v>AComm\AComm LTC\MD\AMV\IL AMV\DM Apt</v>
      </c>
      <c r="F13" cm="1">
        <f t="array" ref="F13">INDEX(OC!$DJ$6:$FE$62,_xlfn.XMATCH($C13&amp;"-"&amp;$D13,OC!$DE$6:$DE$62),_xlfn.XMATCH(F$3&amp;$I13,OC!$DJ$3:$FE$3))</f>
        <v>184</v>
      </c>
      <c r="G13" cm="1">
        <f t="array" ref="G13">INDEX(OC!$DJ$6:$FE$62,_xlfn.XMATCH($C13&amp;"-"&amp;$D13,OC!$DE$6:$DE$62),_xlfn.XMATCH(G$3&amp;$I13,OC!$DJ$3:$FE$3))</f>
        <v>160</v>
      </c>
      <c r="I13">
        <f>COUNTIFS($C$4:C13,C13,$D$4:D13,D13)</f>
        <v>2</v>
      </c>
      <c r="L13">
        <v>100</v>
      </c>
      <c r="M13">
        <v>61</v>
      </c>
      <c r="N13">
        <v>1</v>
      </c>
      <c r="O13">
        <f t="shared" si="0"/>
        <v>1</v>
      </c>
      <c r="P13" s="3">
        <f t="shared" si="1"/>
        <v>0</v>
      </c>
    </row>
    <row r="14" spans="1:16" x14ac:dyDescent="0.25">
      <c r="A14" s="1" cm="1">
        <f t="array" ref="A14">INDEX(OC!$DJ$6:$FE$62,_xlfn.XMATCH($C14&amp;"-"&amp;$D14,OC!$DE$6:$DE$62),_xlfn.XMATCH(A$3&amp;$I14,OC!$DJ$3:$FE$3))</f>
        <v>45717</v>
      </c>
      <c r="B14" s="1" cm="1">
        <f t="array" ref="B14">INDEX(OC!$DJ$6:$FE$62,_xlfn.XMATCH($C14&amp;"-"&amp;$D14,OC!$DE$6:$DE$62),_xlfn.XMATCH(B$3&amp;$I14,OC!$DJ$3:$FE$3))</f>
        <v>45747</v>
      </c>
      <c r="C14">
        <v>100</v>
      </c>
      <c r="D14">
        <v>32</v>
      </c>
      <c r="E14" t="str">
        <f>_xlfn.XLOOKUP(C14&amp;"-"&amp;D14,REF!$A$3:$A$47,REF!$D$3:$D$47)</f>
        <v>AComm\AComm LTC\MD\AMV\IL AMV\DM Apt</v>
      </c>
      <c r="F14" cm="1">
        <f t="array" ref="F14">INDEX(OC!$DJ$6:$FE$62,_xlfn.XMATCH($C14&amp;"-"&amp;$D14,OC!$DE$6:$DE$62),_xlfn.XMATCH(F$3&amp;$I14,OC!$DJ$3:$FE$3))</f>
        <v>184</v>
      </c>
      <c r="G14" cm="1">
        <f t="array" ref="G14">INDEX(OC!$DJ$6:$FE$62,_xlfn.XMATCH($C14&amp;"-"&amp;$D14,OC!$DE$6:$DE$62),_xlfn.XMATCH(G$3&amp;$I14,OC!$DJ$3:$FE$3))</f>
        <v>161</v>
      </c>
      <c r="I14">
        <f>COUNTIFS($C$4:C14,C14,$D$4:D14,D14)</f>
        <v>3</v>
      </c>
      <c r="L14">
        <v>100</v>
      </c>
      <c r="M14">
        <v>62</v>
      </c>
      <c r="N14">
        <v>1</v>
      </c>
      <c r="O14">
        <f t="shared" si="0"/>
        <v>1</v>
      </c>
      <c r="P14" s="3">
        <f t="shared" si="1"/>
        <v>0</v>
      </c>
    </row>
    <row r="15" spans="1:16" x14ac:dyDescent="0.25">
      <c r="A15" s="1" cm="1">
        <f t="array" ref="A15">INDEX(OC!$DJ$6:$FE$62,_xlfn.XMATCH($C15&amp;"-"&amp;$D15,OC!$DE$6:$DE$62),_xlfn.XMATCH(A$3&amp;$I15,OC!$DJ$3:$FE$3))</f>
        <v>45748</v>
      </c>
      <c r="B15" s="1" cm="1">
        <f t="array" ref="B15">INDEX(OC!$DJ$6:$FE$62,_xlfn.XMATCH($C15&amp;"-"&amp;$D15,OC!$DE$6:$DE$62),_xlfn.XMATCH(B$3&amp;$I15,OC!$DJ$3:$FE$3))</f>
        <v>45777</v>
      </c>
      <c r="C15">
        <v>100</v>
      </c>
      <c r="D15">
        <v>32</v>
      </c>
      <c r="E15" t="str">
        <f>_xlfn.XLOOKUP(C15&amp;"-"&amp;D15,REF!$A$3:$A$47,REF!$D$3:$D$47)</f>
        <v>AComm\AComm LTC\MD\AMV\IL AMV\DM Apt</v>
      </c>
      <c r="F15" cm="1">
        <f t="array" ref="F15">INDEX(OC!$DJ$6:$FE$62,_xlfn.XMATCH($C15&amp;"-"&amp;$D15,OC!$DE$6:$DE$62),_xlfn.XMATCH(F$3&amp;$I15,OC!$DJ$3:$FE$3))</f>
        <v>184</v>
      </c>
      <c r="G15" cm="1">
        <f t="array" ref="G15">INDEX(OC!$DJ$6:$FE$62,_xlfn.XMATCH($C15&amp;"-"&amp;$D15,OC!$DE$6:$DE$62),_xlfn.XMATCH(G$3&amp;$I15,OC!$DJ$3:$FE$3))</f>
        <v>162</v>
      </c>
      <c r="I15">
        <f>COUNTIFS($C$4:C15,C15,$D$4:D15,D15)</f>
        <v>4</v>
      </c>
      <c r="L15">
        <v>200</v>
      </c>
      <c r="M15">
        <v>21</v>
      </c>
      <c r="N15">
        <v>1</v>
      </c>
      <c r="O15">
        <f t="shared" si="0"/>
        <v>1</v>
      </c>
      <c r="P15" s="3">
        <f t="shared" si="1"/>
        <v>0</v>
      </c>
    </row>
    <row r="16" spans="1:16" x14ac:dyDescent="0.25">
      <c r="A16" s="1" cm="1">
        <f t="array" ref="A16">INDEX(OC!$DJ$6:$FE$62,_xlfn.XMATCH($C16&amp;"-"&amp;$D16,OC!$DE$6:$DE$62),_xlfn.XMATCH(A$3&amp;$I16,OC!$DJ$3:$FE$3))</f>
        <v>45778</v>
      </c>
      <c r="B16" s="1" cm="1">
        <f t="array" ref="B16">INDEX(OC!$DJ$6:$FE$62,_xlfn.XMATCH($C16&amp;"-"&amp;$D16,OC!$DE$6:$DE$62),_xlfn.XMATCH(B$3&amp;$I16,OC!$DJ$3:$FE$3))</f>
        <v>45808</v>
      </c>
      <c r="C16">
        <v>100</v>
      </c>
      <c r="D16">
        <v>32</v>
      </c>
      <c r="E16" t="str">
        <f>_xlfn.XLOOKUP(C16&amp;"-"&amp;D16,REF!$A$3:$A$47,REF!$D$3:$D$47)</f>
        <v>AComm\AComm LTC\MD\AMV\IL AMV\DM Apt</v>
      </c>
      <c r="F16" cm="1">
        <f t="array" ref="F16">INDEX(OC!$DJ$6:$FE$62,_xlfn.XMATCH($C16&amp;"-"&amp;$D16,OC!$DE$6:$DE$62),_xlfn.XMATCH(F$3&amp;$I16,OC!$DJ$3:$FE$3))</f>
        <v>184</v>
      </c>
      <c r="G16" cm="1">
        <f t="array" ref="G16">INDEX(OC!$DJ$6:$FE$62,_xlfn.XMATCH($C16&amp;"-"&amp;$D16,OC!$DE$6:$DE$62),_xlfn.XMATCH(G$3&amp;$I16,OC!$DJ$3:$FE$3))</f>
        <v>163</v>
      </c>
      <c r="I16">
        <f>COUNTIFS($C$4:C16,C16,$D$4:D16,D16)</f>
        <v>5</v>
      </c>
      <c r="L16">
        <v>200</v>
      </c>
      <c r="M16">
        <v>31</v>
      </c>
      <c r="N16">
        <v>1</v>
      </c>
      <c r="O16">
        <f t="shared" si="0"/>
        <v>1</v>
      </c>
      <c r="P16" s="3">
        <f t="shared" si="1"/>
        <v>0</v>
      </c>
    </row>
    <row r="17" spans="1:16" x14ac:dyDescent="0.25">
      <c r="A17" s="1" cm="1">
        <f t="array" ref="A17">INDEX(OC!$DJ$6:$FE$62,_xlfn.XMATCH($C17&amp;"-"&amp;$D17,OC!$DE$6:$DE$62),_xlfn.XMATCH(A$3&amp;$I17,OC!$DJ$3:$FE$3))</f>
        <v>45809</v>
      </c>
      <c r="B17" s="1" cm="1">
        <f t="array" ref="B17">INDEX(OC!$DJ$6:$FE$62,_xlfn.XMATCH($C17&amp;"-"&amp;$D17,OC!$DE$6:$DE$62),_xlfn.XMATCH(B$3&amp;$I17,OC!$DJ$3:$FE$3))</f>
        <v>45838</v>
      </c>
      <c r="C17">
        <v>100</v>
      </c>
      <c r="D17">
        <v>32</v>
      </c>
      <c r="E17" t="str">
        <f>_xlfn.XLOOKUP(C17&amp;"-"&amp;D17,REF!$A$3:$A$47,REF!$D$3:$D$47)</f>
        <v>AComm\AComm LTC\MD\AMV\IL AMV\DM Apt</v>
      </c>
      <c r="F17" cm="1">
        <f t="array" ref="F17">INDEX(OC!$DJ$6:$FE$62,_xlfn.XMATCH($C17&amp;"-"&amp;$D17,OC!$DE$6:$DE$62),_xlfn.XMATCH(F$3&amp;$I17,OC!$DJ$3:$FE$3))</f>
        <v>184</v>
      </c>
      <c r="G17" cm="1">
        <f t="array" ref="G17">INDEX(OC!$DJ$6:$FE$62,_xlfn.XMATCH($C17&amp;"-"&amp;$D17,OC!$DE$6:$DE$62),_xlfn.XMATCH(G$3&amp;$I17,OC!$DJ$3:$FE$3))</f>
        <v>164</v>
      </c>
      <c r="I17">
        <f>COUNTIFS($C$4:C17,C17,$D$4:D17,D17)</f>
        <v>6</v>
      </c>
      <c r="L17">
        <v>200</v>
      </c>
      <c r="M17">
        <v>32</v>
      </c>
      <c r="N17">
        <v>1</v>
      </c>
      <c r="O17">
        <f t="shared" si="0"/>
        <v>1</v>
      </c>
      <c r="P17" s="3">
        <f t="shared" si="1"/>
        <v>0</v>
      </c>
    </row>
    <row r="18" spans="1:16" x14ac:dyDescent="0.25">
      <c r="A18" s="1" cm="1">
        <f t="array" ref="A18">INDEX(OC!$DJ$6:$FE$62,_xlfn.XMATCH($C18&amp;"-"&amp;$D18,OC!$DE$6:$DE$62),_xlfn.XMATCH(A$3&amp;$I18,OC!$DJ$3:$FE$3))</f>
        <v>45839</v>
      </c>
      <c r="B18" s="1" cm="1">
        <f t="array" ref="B18">INDEX(OC!$DJ$6:$FE$62,_xlfn.XMATCH($C18&amp;"-"&amp;$D18,OC!$DE$6:$DE$62),_xlfn.XMATCH(B$3&amp;$I18,OC!$DJ$3:$FE$3))</f>
        <v>45869</v>
      </c>
      <c r="C18">
        <v>100</v>
      </c>
      <c r="D18">
        <v>32</v>
      </c>
      <c r="E18" t="str">
        <f>_xlfn.XLOOKUP(C18&amp;"-"&amp;D18,REF!$A$3:$A$47,REF!$D$3:$D$47)</f>
        <v>AComm\AComm LTC\MD\AMV\IL AMV\DM Apt</v>
      </c>
      <c r="F18" cm="1">
        <f t="array" ref="F18">INDEX(OC!$DJ$6:$FE$62,_xlfn.XMATCH($C18&amp;"-"&amp;$D18,OC!$DE$6:$DE$62),_xlfn.XMATCH(F$3&amp;$I18,OC!$DJ$3:$FE$3))</f>
        <v>184</v>
      </c>
      <c r="G18" cm="1">
        <f t="array" ref="G18">INDEX(OC!$DJ$6:$FE$62,_xlfn.XMATCH($C18&amp;"-"&amp;$D18,OC!$DE$6:$DE$62),_xlfn.XMATCH(G$3&amp;$I18,OC!$DJ$3:$FE$3))</f>
        <v>165</v>
      </c>
      <c r="I18">
        <f>COUNTIFS($C$4:C18,C18,$D$4:D18,D18)</f>
        <v>7</v>
      </c>
      <c r="L18">
        <v>200</v>
      </c>
      <c r="M18">
        <v>51</v>
      </c>
      <c r="N18">
        <v>1</v>
      </c>
      <c r="O18">
        <f t="shared" si="0"/>
        <v>1</v>
      </c>
      <c r="P18" s="3">
        <f t="shared" si="1"/>
        <v>0</v>
      </c>
    </row>
    <row r="19" spans="1:16" x14ac:dyDescent="0.25">
      <c r="A19" s="1" cm="1">
        <f t="array" ref="A19">INDEX(OC!$DJ$6:$FE$62,_xlfn.XMATCH($C19&amp;"-"&amp;$D19,OC!$DE$6:$DE$62),_xlfn.XMATCH(A$3&amp;$I19,OC!$DJ$3:$FE$3))</f>
        <v>45870</v>
      </c>
      <c r="B19" s="1" cm="1">
        <f t="array" ref="B19">INDEX(OC!$DJ$6:$FE$62,_xlfn.XMATCH($C19&amp;"-"&amp;$D19,OC!$DE$6:$DE$62),_xlfn.XMATCH(B$3&amp;$I19,OC!$DJ$3:$FE$3))</f>
        <v>45900</v>
      </c>
      <c r="C19">
        <v>100</v>
      </c>
      <c r="D19">
        <v>32</v>
      </c>
      <c r="E19" t="str">
        <f>_xlfn.XLOOKUP(C19&amp;"-"&amp;D19,REF!$A$3:$A$47,REF!$D$3:$D$47)</f>
        <v>AComm\AComm LTC\MD\AMV\IL AMV\DM Apt</v>
      </c>
      <c r="F19" cm="1">
        <f t="array" ref="F19">INDEX(OC!$DJ$6:$FE$62,_xlfn.XMATCH($C19&amp;"-"&amp;$D19,OC!$DE$6:$DE$62),_xlfn.XMATCH(F$3&amp;$I19,OC!$DJ$3:$FE$3))</f>
        <v>184</v>
      </c>
      <c r="G19" cm="1">
        <f t="array" ref="G19">INDEX(OC!$DJ$6:$FE$62,_xlfn.XMATCH($C19&amp;"-"&amp;$D19,OC!$DE$6:$DE$62),_xlfn.XMATCH(G$3&amp;$I19,OC!$DJ$3:$FE$3))</f>
        <v>166</v>
      </c>
      <c r="I19">
        <f>COUNTIFS($C$4:C19,C19,$D$4:D19,D19)</f>
        <v>8</v>
      </c>
      <c r="L19">
        <v>200</v>
      </c>
      <c r="M19">
        <v>61</v>
      </c>
      <c r="N19">
        <v>1</v>
      </c>
      <c r="O19">
        <f t="shared" si="0"/>
        <v>1</v>
      </c>
      <c r="P19" s="3">
        <f t="shared" si="1"/>
        <v>0</v>
      </c>
    </row>
    <row r="20" spans="1:16" x14ac:dyDescent="0.25">
      <c r="A20" s="1" cm="1">
        <f t="array" ref="A20">INDEX(OC!$DJ$6:$FE$62,_xlfn.XMATCH($C20&amp;"-"&amp;$D20,OC!$DE$6:$DE$62),_xlfn.XMATCH(A$3&amp;$I20,OC!$DJ$3:$FE$3))</f>
        <v>45901</v>
      </c>
      <c r="B20" s="1" cm="1">
        <f t="array" ref="B20">INDEX(OC!$DJ$6:$FE$62,_xlfn.XMATCH($C20&amp;"-"&amp;$D20,OC!$DE$6:$DE$62),_xlfn.XMATCH(B$3&amp;$I20,OC!$DJ$3:$FE$3))</f>
        <v>45930</v>
      </c>
      <c r="C20">
        <v>100</v>
      </c>
      <c r="D20">
        <v>32</v>
      </c>
      <c r="E20" t="str">
        <f>_xlfn.XLOOKUP(C20&amp;"-"&amp;D20,REF!$A$3:$A$47,REF!$D$3:$D$47)</f>
        <v>AComm\AComm LTC\MD\AMV\IL AMV\DM Apt</v>
      </c>
      <c r="F20" cm="1">
        <f t="array" ref="F20">INDEX(OC!$DJ$6:$FE$62,_xlfn.XMATCH($C20&amp;"-"&amp;$D20,OC!$DE$6:$DE$62),_xlfn.XMATCH(F$3&amp;$I20,OC!$DJ$3:$FE$3))</f>
        <v>184</v>
      </c>
      <c r="G20" cm="1">
        <f t="array" ref="G20">INDEX(OC!$DJ$6:$FE$62,_xlfn.XMATCH($C20&amp;"-"&amp;$D20,OC!$DE$6:$DE$62),_xlfn.XMATCH(G$3&amp;$I20,OC!$DJ$3:$FE$3))</f>
        <v>167</v>
      </c>
      <c r="I20">
        <f>COUNTIFS($C$4:C20,C20,$D$4:D20,D20)</f>
        <v>9</v>
      </c>
      <c r="L20">
        <v>324</v>
      </c>
      <c r="M20">
        <v>21</v>
      </c>
      <c r="N20">
        <v>1</v>
      </c>
      <c r="O20">
        <f t="shared" si="0"/>
        <v>1</v>
      </c>
      <c r="P20" s="3">
        <f t="shared" si="1"/>
        <v>0</v>
      </c>
    </row>
    <row r="21" spans="1:16" x14ac:dyDescent="0.25">
      <c r="A21" s="1" cm="1">
        <f t="array" ref="A21">INDEX(OC!$DJ$6:$FE$62,_xlfn.XMATCH($C21&amp;"-"&amp;$D21,OC!$DE$6:$DE$62),_xlfn.XMATCH(A$3&amp;$I21,OC!$DJ$3:$FE$3))</f>
        <v>45931</v>
      </c>
      <c r="B21" s="1" cm="1">
        <f t="array" ref="B21">INDEX(OC!$DJ$6:$FE$62,_xlfn.XMATCH($C21&amp;"-"&amp;$D21,OC!$DE$6:$DE$62),_xlfn.XMATCH(B$3&amp;$I21,OC!$DJ$3:$FE$3))</f>
        <v>45961</v>
      </c>
      <c r="C21">
        <v>100</v>
      </c>
      <c r="D21">
        <v>32</v>
      </c>
      <c r="E21" t="str">
        <f>_xlfn.XLOOKUP(C21&amp;"-"&amp;D21,REF!$A$3:$A$47,REF!$D$3:$D$47)</f>
        <v>AComm\AComm LTC\MD\AMV\IL AMV\DM Apt</v>
      </c>
      <c r="F21" cm="1">
        <f t="array" ref="F21">INDEX(OC!$DJ$6:$FE$62,_xlfn.XMATCH($C21&amp;"-"&amp;$D21,OC!$DE$6:$DE$62),_xlfn.XMATCH(F$3&amp;$I21,OC!$DJ$3:$FE$3))</f>
        <v>184</v>
      </c>
      <c r="G21" cm="1">
        <f t="array" ref="G21">INDEX(OC!$DJ$6:$FE$62,_xlfn.XMATCH($C21&amp;"-"&amp;$D21,OC!$DE$6:$DE$62),_xlfn.XMATCH(G$3&amp;$I21,OC!$DJ$3:$FE$3))</f>
        <v>168</v>
      </c>
      <c r="I21">
        <f>COUNTIFS($C$4:C21,C21,$D$4:D21,D21)</f>
        <v>10</v>
      </c>
      <c r="L21">
        <v>324</v>
      </c>
      <c r="M21">
        <v>31</v>
      </c>
      <c r="N21">
        <v>1</v>
      </c>
      <c r="O21">
        <f t="shared" si="0"/>
        <v>1</v>
      </c>
      <c r="P21" s="3">
        <f t="shared" si="1"/>
        <v>0</v>
      </c>
    </row>
    <row r="22" spans="1:16" x14ac:dyDescent="0.25">
      <c r="A22" s="1" cm="1">
        <f t="array" ref="A22">INDEX(OC!$DJ$6:$FE$62,_xlfn.XMATCH($C22&amp;"-"&amp;$D22,OC!$DE$6:$DE$62),_xlfn.XMATCH(A$3&amp;$I22,OC!$DJ$3:$FE$3))</f>
        <v>45962</v>
      </c>
      <c r="B22" s="1" cm="1">
        <f t="array" ref="B22">INDEX(OC!$DJ$6:$FE$62,_xlfn.XMATCH($C22&amp;"-"&amp;$D22,OC!$DE$6:$DE$62),_xlfn.XMATCH(B$3&amp;$I22,OC!$DJ$3:$FE$3))</f>
        <v>45991</v>
      </c>
      <c r="C22">
        <v>100</v>
      </c>
      <c r="D22">
        <v>32</v>
      </c>
      <c r="E22" t="str">
        <f>_xlfn.XLOOKUP(C22&amp;"-"&amp;D22,REF!$A$3:$A$47,REF!$D$3:$D$47)</f>
        <v>AComm\AComm LTC\MD\AMV\IL AMV\DM Apt</v>
      </c>
      <c r="F22" cm="1">
        <f t="array" ref="F22">INDEX(OC!$DJ$6:$FE$62,_xlfn.XMATCH($C22&amp;"-"&amp;$D22,OC!$DE$6:$DE$62),_xlfn.XMATCH(F$3&amp;$I22,OC!$DJ$3:$FE$3))</f>
        <v>184</v>
      </c>
      <c r="G22" cm="1">
        <f t="array" ref="G22">INDEX(OC!$DJ$6:$FE$62,_xlfn.XMATCH($C22&amp;"-"&amp;$D22,OC!$DE$6:$DE$62),_xlfn.XMATCH(G$3&amp;$I22,OC!$DJ$3:$FE$3))</f>
        <v>169</v>
      </c>
      <c r="I22">
        <f>COUNTIFS($C$4:C22,C22,$D$4:D22,D22)</f>
        <v>11</v>
      </c>
      <c r="L22">
        <v>324</v>
      </c>
      <c r="M22">
        <v>51</v>
      </c>
      <c r="N22">
        <v>1</v>
      </c>
      <c r="O22">
        <f t="shared" si="0"/>
        <v>1</v>
      </c>
      <c r="P22" s="3">
        <f t="shared" si="1"/>
        <v>0</v>
      </c>
    </row>
    <row r="23" spans="1:16" x14ac:dyDescent="0.25">
      <c r="A23" s="1" cm="1">
        <f t="array" ref="A23">INDEX(OC!$DJ$6:$FE$62,_xlfn.XMATCH($C23&amp;"-"&amp;$D23,OC!$DE$6:$DE$62),_xlfn.XMATCH(A$3&amp;$I23,OC!$DJ$3:$FE$3))</f>
        <v>45992</v>
      </c>
      <c r="B23" s="1" cm="1">
        <f t="array" ref="B23">INDEX(OC!$DJ$6:$FE$62,_xlfn.XMATCH($C23&amp;"-"&amp;$D23,OC!$DE$6:$DE$62),_xlfn.XMATCH(B$3&amp;$I23,OC!$DJ$3:$FE$3))</f>
        <v>46022</v>
      </c>
      <c r="C23">
        <v>100</v>
      </c>
      <c r="D23">
        <v>32</v>
      </c>
      <c r="E23" t="str">
        <f>_xlfn.XLOOKUP(C23&amp;"-"&amp;D23,REF!$A$3:$A$47,REF!$D$3:$D$47)</f>
        <v>AComm\AComm LTC\MD\AMV\IL AMV\DM Apt</v>
      </c>
      <c r="F23" cm="1">
        <f t="array" ref="F23">INDEX(OC!$DJ$6:$FE$62,_xlfn.XMATCH($C23&amp;"-"&amp;$D23,OC!$DE$6:$DE$62),_xlfn.XMATCH(F$3&amp;$I23,OC!$DJ$3:$FE$3))</f>
        <v>184</v>
      </c>
      <c r="G23" cm="1">
        <f t="array" ref="G23">INDEX(OC!$DJ$6:$FE$62,_xlfn.XMATCH($C23&amp;"-"&amp;$D23,OC!$DE$6:$DE$62),_xlfn.XMATCH(G$3&amp;$I23,OC!$DJ$3:$FE$3))</f>
        <v>170</v>
      </c>
      <c r="I23">
        <f>COUNTIFS($C$4:C23,C23,$D$4:D23,D23)</f>
        <v>12</v>
      </c>
      <c r="L23">
        <v>324</v>
      </c>
      <c r="M23">
        <v>61</v>
      </c>
      <c r="N23">
        <v>1</v>
      </c>
      <c r="O23">
        <f t="shared" si="0"/>
        <v>1</v>
      </c>
      <c r="P23" s="3">
        <f t="shared" si="1"/>
        <v>0</v>
      </c>
    </row>
    <row r="24" spans="1:16" x14ac:dyDescent="0.25">
      <c r="A24" s="1" cm="1">
        <f t="array" ref="A24">INDEX(OC!$DJ$6:$FE$62,_xlfn.XMATCH($C24&amp;"-"&amp;$D24,OC!$DE$6:$DE$62),_xlfn.XMATCH(A$3&amp;$I24,OC!$DJ$3:$FE$3))</f>
        <v>45658</v>
      </c>
      <c r="B24" s="1" cm="1">
        <f t="array" ref="B24">INDEX(OC!$DJ$6:$FE$62,_xlfn.XMATCH($C24&amp;"-"&amp;$D24,OC!$DE$6:$DE$62),_xlfn.XMATCH(B$3&amp;$I24,OC!$DJ$3:$FE$3))</f>
        <v>46022</v>
      </c>
      <c r="C24">
        <v>100</v>
      </c>
      <c r="D24">
        <v>33</v>
      </c>
      <c r="E24" t="str">
        <f>_xlfn.XLOOKUP(C24&amp;"-"&amp;D24,REF!$A$3:$A$47,REF!$D$3:$D$47)</f>
        <v>AComm\AComm LTC\MD\AMV\IL AMV\Wallace Apt</v>
      </c>
      <c r="F24" cm="1">
        <f t="array" ref="F24">INDEX(OC!$DJ$6:$FE$62,_xlfn.XMATCH($C24&amp;"-"&amp;$D24,OC!$DE$6:$DE$62),_xlfn.XMATCH(F$3&amp;$I24,OC!$DJ$3:$FE$3))</f>
        <v>99</v>
      </c>
      <c r="G24" cm="1">
        <f t="array" ref="G24">INDEX(OC!$DJ$6:$FE$62,_xlfn.XMATCH($C24&amp;"-"&amp;$D24,OC!$DE$6:$DE$62),_xlfn.XMATCH(G$3&amp;$I24,OC!$DJ$3:$FE$3))</f>
        <v>90</v>
      </c>
      <c r="I24">
        <f>COUNTIFS($C$4:C24,C24,$D$4:D24,D24)</f>
        <v>1</v>
      </c>
      <c r="L24">
        <v>350</v>
      </c>
      <c r="M24">
        <v>21</v>
      </c>
      <c r="N24">
        <v>1</v>
      </c>
      <c r="O24">
        <f t="shared" si="0"/>
        <v>1</v>
      </c>
      <c r="P24" s="3">
        <f t="shared" si="1"/>
        <v>0</v>
      </c>
    </row>
    <row r="25" spans="1:16" x14ac:dyDescent="0.25">
      <c r="A25" s="1" cm="1">
        <f t="array" ref="A25">INDEX(OC!$DJ$6:$FE$62,_xlfn.XMATCH($C25&amp;"-"&amp;$D25,OC!$DE$6:$DE$62),_xlfn.XMATCH(A$3&amp;$I25,OC!$DJ$3:$FE$3))</f>
        <v>45658</v>
      </c>
      <c r="B25" s="1" cm="1">
        <f t="array" ref="B25">INDEX(OC!$DJ$6:$FE$62,_xlfn.XMATCH($C25&amp;"-"&amp;$D25,OC!$DE$6:$DE$62),_xlfn.XMATCH(B$3&amp;$I25,OC!$DJ$3:$FE$3))</f>
        <v>45838</v>
      </c>
      <c r="C25">
        <v>100</v>
      </c>
      <c r="D25">
        <v>34</v>
      </c>
      <c r="E25" t="str">
        <f>_xlfn.XLOOKUP(C25&amp;"-"&amp;D25,REF!$A$3:$A$47,REF!$D$3:$D$47)</f>
        <v>AComm\AComm LTC\MD\AMV\IL AMV\PV Apt</v>
      </c>
      <c r="F25" cm="1">
        <f t="array" ref="F25">INDEX(OC!$DJ$6:$FE$62,_xlfn.XMATCH($C25&amp;"-"&amp;$D25,OC!$DE$6:$DE$62),_xlfn.XMATCH(F$3&amp;$I25,OC!$DJ$3:$FE$3))</f>
        <v>65</v>
      </c>
      <c r="G25" cm="1">
        <f t="array" ref="G25">INDEX(OC!$DJ$6:$FE$62,_xlfn.XMATCH($C25&amp;"-"&amp;$D25,OC!$DE$6:$DE$62),_xlfn.XMATCH(G$3&amp;$I25,OC!$DJ$3:$FE$3))</f>
        <v>57</v>
      </c>
      <c r="I25">
        <f>COUNTIFS($C$4:C25,C25,$D$4:D25,D25)</f>
        <v>1</v>
      </c>
      <c r="L25">
        <v>350</v>
      </c>
      <c r="M25">
        <v>51</v>
      </c>
      <c r="N25">
        <v>1</v>
      </c>
      <c r="O25">
        <f t="shared" si="0"/>
        <v>1</v>
      </c>
      <c r="P25" s="3">
        <f t="shared" si="1"/>
        <v>0</v>
      </c>
    </row>
    <row r="26" spans="1:16" x14ac:dyDescent="0.25">
      <c r="A26" s="1" cm="1">
        <f t="array" ref="A26">INDEX(OC!$DJ$6:$FE$62,_xlfn.XMATCH($C26&amp;"-"&amp;$D26,OC!$DE$6:$DE$62),_xlfn.XMATCH(A$3&amp;$I26,OC!$DJ$3:$FE$3))</f>
        <v>45839</v>
      </c>
      <c r="B26" s="1" cm="1">
        <f t="array" ref="B26">INDEX(OC!$DJ$6:$FE$62,_xlfn.XMATCH($C26&amp;"-"&amp;$D26,OC!$DE$6:$DE$62),_xlfn.XMATCH(B$3&amp;$I26,OC!$DJ$3:$FE$3))</f>
        <v>46022</v>
      </c>
      <c r="C26">
        <v>100</v>
      </c>
      <c r="D26">
        <v>34</v>
      </c>
      <c r="E26" t="str">
        <f>_xlfn.XLOOKUP(C26&amp;"-"&amp;D26,REF!$A$3:$A$47,REF!$D$3:$D$47)</f>
        <v>AComm\AComm LTC\MD\AMV\IL AMV\PV Apt</v>
      </c>
      <c r="F26" cm="1">
        <f t="array" ref="F26">INDEX(OC!$DJ$6:$FE$62,_xlfn.XMATCH($C26&amp;"-"&amp;$D26,OC!$DE$6:$DE$62),_xlfn.XMATCH(F$3&amp;$I26,OC!$DJ$3:$FE$3))</f>
        <v>65</v>
      </c>
      <c r="G26" cm="1">
        <f t="array" ref="G26">INDEX(OC!$DJ$6:$FE$62,_xlfn.XMATCH($C26&amp;"-"&amp;$D26,OC!$DE$6:$DE$62),_xlfn.XMATCH(G$3&amp;$I26,OC!$DJ$3:$FE$3))</f>
        <v>58</v>
      </c>
      <c r="I26">
        <f>COUNTIFS($C$4:C26,C26,$D$4:D26,D26)</f>
        <v>2</v>
      </c>
      <c r="L26">
        <v>350</v>
      </c>
      <c r="M26">
        <v>52</v>
      </c>
      <c r="N26">
        <v>1</v>
      </c>
      <c r="O26">
        <f t="shared" si="0"/>
        <v>1</v>
      </c>
      <c r="P26" s="3">
        <f t="shared" si="1"/>
        <v>0</v>
      </c>
    </row>
    <row r="27" spans="1:16" x14ac:dyDescent="0.25">
      <c r="A27" s="1" cm="1">
        <f t="array" ref="A27">INDEX(OC!$DJ$6:$FE$62,_xlfn.XMATCH($C27&amp;"-"&amp;$D27,OC!$DE$6:$DE$62),_xlfn.XMATCH(A$3&amp;$I27,OC!$DJ$3:$FE$3))</f>
        <v>45658</v>
      </c>
      <c r="B27" s="1" cm="1">
        <f t="array" ref="B27">INDEX(OC!$DJ$6:$FE$62,_xlfn.XMATCH($C27&amp;"-"&amp;$D27,OC!$DE$6:$DE$62),_xlfn.XMATCH(B$3&amp;$I27,OC!$DJ$3:$FE$3))</f>
        <v>45747</v>
      </c>
      <c r="C27">
        <v>100</v>
      </c>
      <c r="D27">
        <v>35</v>
      </c>
      <c r="E27" t="str">
        <f>_xlfn.XLOOKUP(C27&amp;"-"&amp;D27,REF!$A$3:$A$47,REF!$D$3:$D$47)</f>
        <v>AComm\AComm LTC\MD\AMV\IL AMV\EF Apt</v>
      </c>
      <c r="F27" cm="1">
        <f t="array" ref="F27">INDEX(OC!$DJ$6:$FE$62,_xlfn.XMATCH($C27&amp;"-"&amp;$D27,OC!$DE$6:$DE$62),_xlfn.XMATCH(F$3&amp;$I27,OC!$DJ$3:$FE$3))</f>
        <v>126</v>
      </c>
      <c r="G27" cm="1">
        <f t="array" ref="G27">INDEX(OC!$DJ$6:$FE$62,_xlfn.XMATCH($C27&amp;"-"&amp;$D27,OC!$DE$6:$DE$62),_xlfn.XMATCH(G$3&amp;$I27,OC!$DJ$3:$FE$3))</f>
        <v>97</v>
      </c>
      <c r="I27">
        <f>COUNTIFS($C$4:C27,C27,$D$4:D27,D27)</f>
        <v>1</v>
      </c>
      <c r="L27">
        <v>360</v>
      </c>
      <c r="M27">
        <v>51</v>
      </c>
      <c r="N27">
        <v>4</v>
      </c>
      <c r="O27">
        <f t="shared" si="0"/>
        <v>4</v>
      </c>
      <c r="P27" s="3">
        <f t="shared" si="1"/>
        <v>0</v>
      </c>
    </row>
    <row r="28" spans="1:16" x14ac:dyDescent="0.25">
      <c r="A28" s="1" cm="1">
        <f t="array" ref="A28">INDEX(OC!$DJ$6:$FE$62,_xlfn.XMATCH($C28&amp;"-"&amp;$D28,OC!$DE$6:$DE$62),_xlfn.XMATCH(A$3&amp;$I28,OC!$DJ$3:$FE$3))</f>
        <v>45748</v>
      </c>
      <c r="B28" s="1" cm="1">
        <f t="array" ref="B28">INDEX(OC!$DJ$6:$FE$62,_xlfn.XMATCH($C28&amp;"-"&amp;$D28,OC!$DE$6:$DE$62),_xlfn.XMATCH(B$3&amp;$I28,OC!$DJ$3:$FE$3))</f>
        <v>45838</v>
      </c>
      <c r="C28">
        <v>100</v>
      </c>
      <c r="D28">
        <v>35</v>
      </c>
      <c r="E28" t="str">
        <f>_xlfn.XLOOKUP(C28&amp;"-"&amp;D28,REF!$A$3:$A$47,REF!$D$3:$D$47)</f>
        <v>AComm\AComm LTC\MD\AMV\IL AMV\EF Apt</v>
      </c>
      <c r="F28" cm="1">
        <f t="array" ref="F28">INDEX(OC!$DJ$6:$FE$62,_xlfn.XMATCH($C28&amp;"-"&amp;$D28,OC!$DE$6:$DE$62),_xlfn.XMATCH(F$3&amp;$I28,OC!$DJ$3:$FE$3))</f>
        <v>126</v>
      </c>
      <c r="G28" cm="1">
        <f t="array" ref="G28">INDEX(OC!$DJ$6:$FE$62,_xlfn.XMATCH($C28&amp;"-"&amp;$D28,OC!$DE$6:$DE$62),_xlfn.XMATCH(G$3&amp;$I28,OC!$DJ$3:$FE$3))</f>
        <v>98</v>
      </c>
      <c r="I28">
        <f>COUNTIFS($C$4:C28,C28,$D$4:D28,D28)</f>
        <v>2</v>
      </c>
      <c r="L28">
        <v>360</v>
      </c>
      <c r="M28">
        <v>52</v>
      </c>
      <c r="N28">
        <v>1</v>
      </c>
      <c r="O28">
        <f t="shared" si="0"/>
        <v>1</v>
      </c>
      <c r="P28" s="3">
        <f t="shared" si="1"/>
        <v>0</v>
      </c>
    </row>
    <row r="29" spans="1:16" x14ac:dyDescent="0.25">
      <c r="A29" s="1" cm="1">
        <f t="array" ref="A29">INDEX(OC!$DJ$6:$FE$62,_xlfn.XMATCH($C29&amp;"-"&amp;$D29,OC!$DE$6:$DE$62),_xlfn.XMATCH(A$3&amp;$I29,OC!$DJ$3:$FE$3))</f>
        <v>45839</v>
      </c>
      <c r="B29" s="1" cm="1">
        <f t="array" ref="B29">INDEX(OC!$DJ$6:$FE$62,_xlfn.XMATCH($C29&amp;"-"&amp;$D29,OC!$DE$6:$DE$62),_xlfn.XMATCH(B$3&amp;$I29,OC!$DJ$3:$FE$3))</f>
        <v>45930</v>
      </c>
      <c r="C29">
        <v>100</v>
      </c>
      <c r="D29">
        <v>35</v>
      </c>
      <c r="E29" t="str">
        <f>_xlfn.XLOOKUP(C29&amp;"-"&amp;D29,REF!$A$3:$A$47,REF!$D$3:$D$47)</f>
        <v>AComm\AComm LTC\MD\AMV\IL AMV\EF Apt</v>
      </c>
      <c r="F29" cm="1">
        <f t="array" ref="F29">INDEX(OC!$DJ$6:$FE$62,_xlfn.XMATCH($C29&amp;"-"&amp;$D29,OC!$DE$6:$DE$62),_xlfn.XMATCH(F$3&amp;$I29,OC!$DJ$3:$FE$3))</f>
        <v>126</v>
      </c>
      <c r="G29" cm="1">
        <f t="array" ref="G29">INDEX(OC!$DJ$6:$FE$62,_xlfn.XMATCH($C29&amp;"-"&amp;$D29,OC!$DE$6:$DE$62),_xlfn.XMATCH(G$3&amp;$I29,OC!$DJ$3:$FE$3))</f>
        <v>99</v>
      </c>
      <c r="I29">
        <f>COUNTIFS($C$4:C29,C29,$D$4:D29,D29)</f>
        <v>3</v>
      </c>
      <c r="L29">
        <v>810</v>
      </c>
      <c r="M29">
        <v>21</v>
      </c>
      <c r="N29">
        <v>1</v>
      </c>
      <c r="O29">
        <f t="shared" si="0"/>
        <v>1</v>
      </c>
      <c r="P29" s="3">
        <f t="shared" si="1"/>
        <v>0</v>
      </c>
    </row>
    <row r="30" spans="1:16" x14ac:dyDescent="0.25">
      <c r="A30" s="1" cm="1">
        <f t="array" ref="A30">INDEX(OC!$DJ$6:$FE$62,_xlfn.XMATCH($C30&amp;"-"&amp;$D30,OC!$DE$6:$DE$62),_xlfn.XMATCH(A$3&amp;$I30,OC!$DJ$3:$FE$3))</f>
        <v>45931</v>
      </c>
      <c r="B30" s="1" cm="1">
        <f t="array" ref="B30">INDEX(OC!$DJ$6:$FE$62,_xlfn.XMATCH($C30&amp;"-"&amp;$D30,OC!$DE$6:$DE$62),_xlfn.XMATCH(B$3&amp;$I30,OC!$DJ$3:$FE$3))</f>
        <v>46022</v>
      </c>
      <c r="C30">
        <v>100</v>
      </c>
      <c r="D30">
        <v>35</v>
      </c>
      <c r="E30" t="str">
        <f>_xlfn.XLOOKUP(C30&amp;"-"&amp;D30,REF!$A$3:$A$47,REF!$D$3:$D$47)</f>
        <v>AComm\AComm LTC\MD\AMV\IL AMV\EF Apt</v>
      </c>
      <c r="F30" cm="1">
        <f t="array" ref="F30">INDEX(OC!$DJ$6:$FE$62,_xlfn.XMATCH($C30&amp;"-"&amp;$D30,OC!$DE$6:$DE$62),_xlfn.XMATCH(F$3&amp;$I30,OC!$DJ$3:$FE$3))</f>
        <v>126</v>
      </c>
      <c r="G30" cm="1">
        <f t="array" ref="G30">INDEX(OC!$DJ$6:$FE$62,_xlfn.XMATCH($C30&amp;"-"&amp;$D30,OC!$DE$6:$DE$62),_xlfn.XMATCH(G$3&amp;$I30,OC!$DJ$3:$FE$3))</f>
        <v>100</v>
      </c>
      <c r="I30">
        <f>COUNTIFS($C$4:C30,C30,$D$4:D30,D30)</f>
        <v>4</v>
      </c>
      <c r="L30">
        <v>810</v>
      </c>
      <c r="M30">
        <v>22</v>
      </c>
      <c r="N30">
        <v>1</v>
      </c>
      <c r="O30">
        <f t="shared" si="0"/>
        <v>1</v>
      </c>
      <c r="P30" s="3">
        <f t="shared" si="1"/>
        <v>0</v>
      </c>
    </row>
    <row r="31" spans="1:16" x14ac:dyDescent="0.25">
      <c r="A31" s="1" cm="1">
        <f t="array" ref="A31">INDEX(OC!$DJ$6:$FE$62,_xlfn.XMATCH($C31&amp;"-"&amp;$D31,OC!$DE$6:$DE$62),_xlfn.XMATCH(A$3&amp;$I31,OC!$DJ$3:$FE$3))</f>
        <v>45658</v>
      </c>
      <c r="B31" s="1" cm="1">
        <f t="array" ref="B31">INDEX(OC!$DJ$6:$FE$62,_xlfn.XMATCH($C31&amp;"-"&amp;$D31,OC!$DE$6:$DE$62),_xlfn.XMATCH(B$3&amp;$I31,OC!$DJ$3:$FE$3))</f>
        <v>45716</v>
      </c>
      <c r="C31">
        <v>100</v>
      </c>
      <c r="D31">
        <v>36</v>
      </c>
      <c r="E31" t="str">
        <f>_xlfn.XLOOKUP(C31&amp;"-"&amp;D31,REF!$A$3:$A$47,REF!$D$3:$D$47)</f>
        <v>AComm\AComm LTC\MD\AMV\IL AMV\Mund Apt</v>
      </c>
      <c r="F31" cm="1">
        <f t="array" ref="F31">INDEX(OC!$DJ$6:$FE$62,_xlfn.XMATCH($C31&amp;"-"&amp;$D31,OC!$DE$6:$DE$62),_xlfn.XMATCH(F$3&amp;$I31,OC!$DJ$3:$FE$3))</f>
        <v>126</v>
      </c>
      <c r="G31" cm="1">
        <f t="array" ref="G31">INDEX(OC!$DJ$6:$FE$62,_xlfn.XMATCH($C31&amp;"-"&amp;$D31,OC!$DE$6:$DE$62),_xlfn.XMATCH(G$3&amp;$I31,OC!$DJ$3:$FE$3))</f>
        <v>80</v>
      </c>
      <c r="I31">
        <f>COUNTIFS($C$4:C31,C31,$D$4:D31,D31)</f>
        <v>1</v>
      </c>
      <c r="L31">
        <v>810</v>
      </c>
      <c r="M31">
        <v>31</v>
      </c>
      <c r="N31">
        <v>1</v>
      </c>
      <c r="O31">
        <f t="shared" si="0"/>
        <v>1</v>
      </c>
      <c r="P31" s="3">
        <f t="shared" si="1"/>
        <v>0</v>
      </c>
    </row>
    <row r="32" spans="1:16" x14ac:dyDescent="0.25">
      <c r="A32" s="1" cm="1">
        <f t="array" ref="A32">INDEX(OC!$DJ$6:$FE$62,_xlfn.XMATCH($C32&amp;"-"&amp;$D32,OC!$DE$6:$DE$62),_xlfn.XMATCH(A$3&amp;$I32,OC!$DJ$3:$FE$3))</f>
        <v>45717</v>
      </c>
      <c r="B32" s="1" cm="1">
        <f t="array" ref="B32">INDEX(OC!$DJ$6:$FE$62,_xlfn.XMATCH($C32&amp;"-"&amp;$D32,OC!$DE$6:$DE$62),_xlfn.XMATCH(B$3&amp;$I32,OC!$DJ$3:$FE$3))</f>
        <v>45777</v>
      </c>
      <c r="C32">
        <v>100</v>
      </c>
      <c r="D32">
        <v>36</v>
      </c>
      <c r="E32" t="str">
        <f>_xlfn.XLOOKUP(C32&amp;"-"&amp;D32,REF!$A$3:$A$47,REF!$D$3:$D$47)</f>
        <v>AComm\AComm LTC\MD\AMV\IL AMV\Mund Apt</v>
      </c>
      <c r="F32" cm="1">
        <f t="array" ref="F32">INDEX(OC!$DJ$6:$FE$62,_xlfn.XMATCH($C32&amp;"-"&amp;$D32,OC!$DE$6:$DE$62),_xlfn.XMATCH(F$3&amp;$I32,OC!$DJ$3:$FE$3))</f>
        <v>126</v>
      </c>
      <c r="G32" cm="1">
        <f t="array" ref="G32">INDEX(OC!$DJ$6:$FE$62,_xlfn.XMATCH($C32&amp;"-"&amp;$D32,OC!$DE$6:$DE$62),_xlfn.XMATCH(G$3&amp;$I32,OC!$DJ$3:$FE$3))</f>
        <v>81</v>
      </c>
      <c r="I32">
        <f>COUNTIFS($C$4:C32,C32,$D$4:D32,D32)</f>
        <v>2</v>
      </c>
      <c r="L32">
        <v>810</v>
      </c>
      <c r="M32">
        <v>32</v>
      </c>
      <c r="N32">
        <v>1</v>
      </c>
      <c r="O32">
        <f t="shared" si="0"/>
        <v>1</v>
      </c>
      <c r="P32" s="3">
        <f t="shared" si="1"/>
        <v>0</v>
      </c>
    </row>
    <row r="33" spans="1:16" x14ac:dyDescent="0.25">
      <c r="A33" s="1" cm="1">
        <f t="array" ref="A33">INDEX(OC!$DJ$6:$FE$62,_xlfn.XMATCH($C33&amp;"-"&amp;$D33,OC!$DE$6:$DE$62),_xlfn.XMATCH(A$3&amp;$I33,OC!$DJ$3:$FE$3))</f>
        <v>45778</v>
      </c>
      <c r="B33" s="1" cm="1">
        <f t="array" ref="B33">INDEX(OC!$DJ$6:$FE$62,_xlfn.XMATCH($C33&amp;"-"&amp;$D33,OC!$DE$6:$DE$62),_xlfn.XMATCH(B$3&amp;$I33,OC!$DJ$3:$FE$3))</f>
        <v>45838</v>
      </c>
      <c r="C33">
        <v>100</v>
      </c>
      <c r="D33">
        <v>36</v>
      </c>
      <c r="E33" t="str">
        <f>_xlfn.XLOOKUP(C33&amp;"-"&amp;D33,REF!$A$3:$A$47,REF!$D$3:$D$47)</f>
        <v>AComm\AComm LTC\MD\AMV\IL AMV\Mund Apt</v>
      </c>
      <c r="F33" cm="1">
        <f t="array" ref="F33">INDEX(OC!$DJ$6:$FE$62,_xlfn.XMATCH($C33&amp;"-"&amp;$D33,OC!$DE$6:$DE$62),_xlfn.XMATCH(F$3&amp;$I33,OC!$DJ$3:$FE$3))</f>
        <v>126</v>
      </c>
      <c r="G33" cm="1">
        <f t="array" ref="G33">INDEX(OC!$DJ$6:$FE$62,_xlfn.XMATCH($C33&amp;"-"&amp;$D33,OC!$DE$6:$DE$62),_xlfn.XMATCH(G$3&amp;$I33,OC!$DJ$3:$FE$3))</f>
        <v>82</v>
      </c>
      <c r="I33">
        <f>COUNTIFS($C$4:C33,C33,$D$4:D33,D33)</f>
        <v>3</v>
      </c>
      <c r="L33">
        <v>810</v>
      </c>
      <c r="M33">
        <v>33</v>
      </c>
      <c r="N33">
        <v>1</v>
      </c>
      <c r="O33">
        <f t="shared" si="0"/>
        <v>1</v>
      </c>
      <c r="P33" s="3">
        <f t="shared" si="1"/>
        <v>0</v>
      </c>
    </row>
    <row r="34" spans="1:16" x14ac:dyDescent="0.25">
      <c r="A34" s="1" cm="1">
        <f t="array" ref="A34">INDEX(OC!$DJ$6:$FE$62,_xlfn.XMATCH($C34&amp;"-"&amp;$D34,OC!$DE$6:$DE$62),_xlfn.XMATCH(A$3&amp;$I34,OC!$DJ$3:$FE$3))</f>
        <v>45839</v>
      </c>
      <c r="B34" s="1" cm="1">
        <f t="array" ref="B34">INDEX(OC!$DJ$6:$FE$62,_xlfn.XMATCH($C34&amp;"-"&amp;$D34,OC!$DE$6:$DE$62),_xlfn.XMATCH(B$3&amp;$I34,OC!$DJ$3:$FE$3))</f>
        <v>45900</v>
      </c>
      <c r="C34">
        <v>100</v>
      </c>
      <c r="D34">
        <v>36</v>
      </c>
      <c r="E34" t="str">
        <f>_xlfn.XLOOKUP(C34&amp;"-"&amp;D34,REF!$A$3:$A$47,REF!$D$3:$D$47)</f>
        <v>AComm\AComm LTC\MD\AMV\IL AMV\Mund Apt</v>
      </c>
      <c r="F34" cm="1">
        <f t="array" ref="F34">INDEX(OC!$DJ$6:$FE$62,_xlfn.XMATCH($C34&amp;"-"&amp;$D34,OC!$DE$6:$DE$62),_xlfn.XMATCH(F$3&amp;$I34,OC!$DJ$3:$FE$3))</f>
        <v>126</v>
      </c>
      <c r="G34" cm="1">
        <f t="array" ref="G34">INDEX(OC!$DJ$6:$FE$62,_xlfn.XMATCH($C34&amp;"-"&amp;$D34,OC!$DE$6:$DE$62),_xlfn.XMATCH(G$3&amp;$I34,OC!$DJ$3:$FE$3))</f>
        <v>83</v>
      </c>
      <c r="I34">
        <f>COUNTIFS($C$4:C34,C34,$D$4:D34,D34)</f>
        <v>4</v>
      </c>
      <c r="L34">
        <v>810</v>
      </c>
      <c r="M34">
        <v>51</v>
      </c>
      <c r="N34">
        <v>1</v>
      </c>
      <c r="O34">
        <f t="shared" si="0"/>
        <v>1</v>
      </c>
      <c r="P34" s="3">
        <f t="shared" si="1"/>
        <v>0</v>
      </c>
    </row>
    <row r="35" spans="1:16" x14ac:dyDescent="0.25">
      <c r="A35" s="1" cm="1">
        <f t="array" ref="A35">INDEX(OC!$DJ$6:$FE$62,_xlfn.XMATCH($C35&amp;"-"&amp;$D35,OC!$DE$6:$DE$62),_xlfn.XMATCH(A$3&amp;$I35,OC!$DJ$3:$FE$3))</f>
        <v>45901</v>
      </c>
      <c r="B35" s="1" cm="1">
        <f t="array" ref="B35">INDEX(OC!$DJ$6:$FE$62,_xlfn.XMATCH($C35&amp;"-"&amp;$D35,OC!$DE$6:$DE$62),_xlfn.XMATCH(B$3&amp;$I35,OC!$DJ$3:$FE$3))</f>
        <v>45961</v>
      </c>
      <c r="C35">
        <v>100</v>
      </c>
      <c r="D35">
        <v>36</v>
      </c>
      <c r="E35" t="str">
        <f>_xlfn.XLOOKUP(C35&amp;"-"&amp;D35,REF!$A$3:$A$47,REF!$D$3:$D$47)</f>
        <v>AComm\AComm LTC\MD\AMV\IL AMV\Mund Apt</v>
      </c>
      <c r="F35" cm="1">
        <f t="array" ref="F35">INDEX(OC!$DJ$6:$FE$62,_xlfn.XMATCH($C35&amp;"-"&amp;$D35,OC!$DE$6:$DE$62),_xlfn.XMATCH(F$3&amp;$I35,OC!$DJ$3:$FE$3))</f>
        <v>126</v>
      </c>
      <c r="G35" cm="1">
        <f t="array" ref="G35">INDEX(OC!$DJ$6:$FE$62,_xlfn.XMATCH($C35&amp;"-"&amp;$D35,OC!$DE$6:$DE$62),_xlfn.XMATCH(G$3&amp;$I35,OC!$DJ$3:$FE$3))</f>
        <v>84</v>
      </c>
      <c r="I35">
        <f>COUNTIFS($C$4:C35,C35,$D$4:D35,D35)</f>
        <v>5</v>
      </c>
      <c r="L35">
        <v>810</v>
      </c>
      <c r="M35">
        <v>61</v>
      </c>
      <c r="N35">
        <v>1</v>
      </c>
      <c r="O35">
        <f t="shared" si="0"/>
        <v>1</v>
      </c>
      <c r="P35" s="3">
        <f t="shared" si="1"/>
        <v>0</v>
      </c>
    </row>
    <row r="36" spans="1:16" x14ac:dyDescent="0.25">
      <c r="A36" s="1" cm="1">
        <f t="array" ref="A36">INDEX(OC!$DJ$6:$FE$62,_xlfn.XMATCH($C36&amp;"-"&amp;$D36,OC!$DE$6:$DE$62),_xlfn.XMATCH(A$3&amp;$I36,OC!$DJ$3:$FE$3))</f>
        <v>45962</v>
      </c>
      <c r="B36" s="1" cm="1">
        <f t="array" ref="B36">INDEX(OC!$DJ$6:$FE$62,_xlfn.XMATCH($C36&amp;"-"&amp;$D36,OC!$DE$6:$DE$62),_xlfn.XMATCH(B$3&amp;$I36,OC!$DJ$3:$FE$3))</f>
        <v>46022</v>
      </c>
      <c r="C36">
        <v>100</v>
      </c>
      <c r="D36">
        <v>36</v>
      </c>
      <c r="E36" t="str">
        <f>_xlfn.XLOOKUP(C36&amp;"-"&amp;D36,REF!$A$3:$A$47,REF!$D$3:$D$47)</f>
        <v>AComm\AComm LTC\MD\AMV\IL AMV\Mund Apt</v>
      </c>
      <c r="F36" cm="1">
        <f t="array" ref="F36">INDEX(OC!$DJ$6:$FE$62,_xlfn.XMATCH($C36&amp;"-"&amp;$D36,OC!$DE$6:$DE$62),_xlfn.XMATCH(F$3&amp;$I36,OC!$DJ$3:$FE$3))</f>
        <v>126</v>
      </c>
      <c r="G36" cm="1">
        <f t="array" ref="G36">INDEX(OC!$DJ$6:$FE$62,_xlfn.XMATCH($C36&amp;"-"&amp;$D36,OC!$DE$6:$DE$62),_xlfn.XMATCH(G$3&amp;$I36,OC!$DJ$3:$FE$3))</f>
        <v>85</v>
      </c>
      <c r="I36">
        <f>COUNTIFS($C$4:C36,C36,$D$4:D36,D36)</f>
        <v>6</v>
      </c>
      <c r="L36">
        <v>925</v>
      </c>
      <c r="M36">
        <v>21</v>
      </c>
      <c r="N36">
        <v>1</v>
      </c>
      <c r="O36">
        <f t="shared" si="0"/>
        <v>1</v>
      </c>
      <c r="P36" s="3">
        <f t="shared" si="1"/>
        <v>0</v>
      </c>
    </row>
    <row r="37" spans="1:16" x14ac:dyDescent="0.25">
      <c r="A37" s="1" cm="1">
        <f t="array" ref="A37">INDEX(OC!$DJ$6:$FE$62,_xlfn.XMATCH($C37&amp;"-"&amp;$D37,OC!$DE$6:$DE$62),_xlfn.XMATCH(A$3&amp;$I37,OC!$DJ$3:$FE$3))</f>
        <v>45658</v>
      </c>
      <c r="B37" s="1" cm="1">
        <f t="array" ref="B37">INDEX(OC!$DJ$6:$FE$62,_xlfn.XMATCH($C37&amp;"-"&amp;$D37,OC!$DE$6:$DE$62),_xlfn.XMATCH(B$3&amp;$I37,OC!$DJ$3:$FE$3))</f>
        <v>46022</v>
      </c>
      <c r="C37">
        <v>100</v>
      </c>
      <c r="D37">
        <v>51</v>
      </c>
      <c r="E37" t="str">
        <f>_xlfn.XLOOKUP(C37&amp;"-"&amp;D37,REF!$A$3:$A$47,REF!$D$3:$D$47)</f>
        <v>AComm\AComm LTC\MD\AMV\AL AMV\Kindley</v>
      </c>
      <c r="F37" cm="1">
        <f t="array" ref="F37">INDEX(OC!$DJ$6:$FE$62,_xlfn.XMATCH($C37&amp;"-"&amp;$D37,OC!$DE$6:$DE$62),_xlfn.XMATCH(F$3&amp;$I37,OC!$DJ$3:$FE$3))</f>
        <v>133</v>
      </c>
      <c r="G37" cm="1">
        <f t="array" ref="G37">INDEX(OC!$DJ$6:$FE$62,_xlfn.XMATCH($C37&amp;"-"&amp;$D37,OC!$DE$6:$DE$62),_xlfn.XMATCH(G$3&amp;$I37,OC!$DJ$3:$FE$3))</f>
        <v>124</v>
      </c>
      <c r="I37">
        <f>COUNTIFS($C$4:C37,C37,$D$4:D37,D37)</f>
        <v>1</v>
      </c>
      <c r="L37">
        <v>925</v>
      </c>
      <c r="M37">
        <v>31</v>
      </c>
      <c r="N37">
        <v>1</v>
      </c>
      <c r="O37">
        <f t="shared" si="0"/>
        <v>1</v>
      </c>
      <c r="P37" s="3">
        <f t="shared" si="1"/>
        <v>0</v>
      </c>
    </row>
    <row r="38" spans="1:16" x14ac:dyDescent="0.25">
      <c r="A38" s="1" cm="1">
        <f t="array" ref="A38">INDEX(OC!$DJ$6:$FE$62,_xlfn.XMATCH($C38&amp;"-"&amp;$D38,OC!$DE$6:$DE$62),_xlfn.XMATCH(A$3&amp;$I38,OC!$DJ$3:$FE$3))</f>
        <v>45658</v>
      </c>
      <c r="B38" s="1" cm="1">
        <f t="array" ref="B38">INDEX(OC!$DJ$6:$FE$62,_xlfn.XMATCH($C38&amp;"-"&amp;$D38,OC!$DE$6:$DE$62),_xlfn.XMATCH(B$3&amp;$I38,OC!$DJ$3:$FE$3))</f>
        <v>46022</v>
      </c>
      <c r="C38">
        <v>100</v>
      </c>
      <c r="D38">
        <v>61</v>
      </c>
      <c r="E38" t="str">
        <f>_xlfn.XLOOKUP(C38&amp;"-"&amp;D38,REF!$A$3:$A$47,REF!$D$3:$D$47)</f>
        <v>AComm\AComm LTC\MD\AMV\SNF AMV</v>
      </c>
      <c r="F38" cm="1">
        <f t="array" ref="F38">INDEX(OC!$DJ$6:$FE$62,_xlfn.XMATCH($C38&amp;"-"&amp;$D38,OC!$DE$6:$DE$62),_xlfn.XMATCH(F$3&amp;$I38,OC!$DJ$3:$FE$3))</f>
        <v>139</v>
      </c>
      <c r="G38" cm="1">
        <f t="array" ref="G38">INDEX(OC!$DJ$6:$FE$62,_xlfn.XMATCH($C38&amp;"-"&amp;$D38,OC!$DE$6:$DE$62),_xlfn.XMATCH(G$3&amp;$I38,OC!$DJ$3:$FE$3))</f>
        <v>133</v>
      </c>
      <c r="I38">
        <f>COUNTIFS($C$4:C38,C38,$D$4:D38,D38)</f>
        <v>1</v>
      </c>
      <c r="L38">
        <v>925</v>
      </c>
      <c r="M38">
        <v>51</v>
      </c>
      <c r="N38">
        <v>1</v>
      </c>
      <c r="O38">
        <f t="shared" si="0"/>
        <v>1</v>
      </c>
      <c r="P38" s="3">
        <f t="shared" si="1"/>
        <v>0</v>
      </c>
    </row>
    <row r="39" spans="1:16" x14ac:dyDescent="0.25">
      <c r="A39" s="1" cm="1">
        <f t="array" ref="A39">INDEX(OC!$DJ$6:$FE$62,_xlfn.XMATCH($C39&amp;"-"&amp;$D39,OC!$DE$6:$DE$62),_xlfn.XMATCH(A$3&amp;$I39,OC!$DJ$3:$FE$3))</f>
        <v>45658</v>
      </c>
      <c r="B39" s="1" cm="1">
        <f t="array" ref="B39">INDEX(OC!$DJ$6:$FE$62,_xlfn.XMATCH($C39&amp;"-"&amp;$D39,OC!$DE$6:$DE$62),_xlfn.XMATCH(B$3&amp;$I39,OC!$DJ$3:$FE$3))</f>
        <v>46022</v>
      </c>
      <c r="C39">
        <v>100</v>
      </c>
      <c r="D39">
        <v>62</v>
      </c>
      <c r="E39" t="str">
        <f>_xlfn.XLOOKUP(C39&amp;"-"&amp;D39,REF!$A$3:$A$47,REF!$D$3:$D$47)</f>
        <v>AComm\AComm LTC\MD\AMV\SNF AMV H</v>
      </c>
      <c r="F39" cm="1">
        <f t="array" ref="F39">INDEX(OC!$DJ$6:$FE$62,_xlfn.XMATCH($C39&amp;"-"&amp;$D39,OC!$DE$6:$DE$62),_xlfn.XMATCH(F$3&amp;$I39,OC!$DJ$3:$FE$3))</f>
        <v>46</v>
      </c>
      <c r="G39" cm="1">
        <f t="array" ref="G39">INDEX(OC!$DJ$6:$FE$62,_xlfn.XMATCH($C39&amp;"-"&amp;$D39,OC!$DE$6:$DE$62),_xlfn.XMATCH(G$3&amp;$I39,OC!$DJ$3:$FE$3))</f>
        <v>45</v>
      </c>
      <c r="I39">
        <f>COUNTIFS($C$4:C39,C39,$D$4:D39,D39)</f>
        <v>1</v>
      </c>
      <c r="L39">
        <v>835</v>
      </c>
      <c r="M39">
        <v>21</v>
      </c>
      <c r="N39">
        <v>1</v>
      </c>
      <c r="O39">
        <f t="shared" si="0"/>
        <v>1</v>
      </c>
      <c r="P39" s="3">
        <f t="shared" si="1"/>
        <v>0</v>
      </c>
    </row>
    <row r="40" spans="1:16" x14ac:dyDescent="0.25">
      <c r="A40" s="1" cm="1">
        <f t="array" ref="A40">INDEX(OC!$DJ$6:$FE$62,_xlfn.XMATCH($C40&amp;"-"&amp;$D40,OC!$DE$6:$DE$62),_xlfn.XMATCH(A$3&amp;$I40,OC!$DJ$3:$FE$3))</f>
        <v>45658</v>
      </c>
      <c r="B40" s="1" cm="1">
        <f t="array" ref="B40">INDEX(OC!$DJ$6:$FE$62,_xlfn.XMATCH($C40&amp;"-"&amp;$D40,OC!$DE$6:$DE$62),_xlfn.XMATCH(B$3&amp;$I40,OC!$DJ$3:$FE$3))</f>
        <v>46022</v>
      </c>
      <c r="C40">
        <v>200</v>
      </c>
      <c r="D40">
        <v>21</v>
      </c>
      <c r="E40" t="str">
        <f>_xlfn.XLOOKUP(C40&amp;"-"&amp;D40,REF!$A$3:$A$47,REF!$D$3:$D$47)</f>
        <v>AComm\AComm LTC\MD\AS\IL AS\IL Cottages</v>
      </c>
      <c r="F40" cm="1">
        <f t="array" ref="F40">INDEX(OC!$DJ$6:$FE$62,_xlfn.XMATCH($C40&amp;"-"&amp;$D40,OC!$DE$6:$DE$62),_xlfn.XMATCH(F$3&amp;$I40,OC!$DJ$3:$FE$3))</f>
        <v>72</v>
      </c>
      <c r="G40" cm="1">
        <f t="array" ref="G40">INDEX(OC!$DJ$6:$FE$62,_xlfn.XMATCH($C40&amp;"-"&amp;$D40,OC!$DE$6:$DE$62),_xlfn.XMATCH(G$3&amp;$I40,OC!$DJ$3:$FE$3))</f>
        <v>71</v>
      </c>
      <c r="I40">
        <f>COUNTIFS($C$4:C40,C40,$D$4:D40,D40)</f>
        <v>1</v>
      </c>
      <c r="L40">
        <v>835</v>
      </c>
      <c r="M40">
        <v>31</v>
      </c>
      <c r="N40">
        <v>1</v>
      </c>
      <c r="O40">
        <f t="shared" si="0"/>
        <v>1</v>
      </c>
      <c r="P40" s="3">
        <f t="shared" si="1"/>
        <v>0</v>
      </c>
    </row>
    <row r="41" spans="1:16" x14ac:dyDescent="0.25">
      <c r="A41" s="1" cm="1">
        <f t="array" ref="A41">INDEX(OC!$DJ$6:$FE$62,_xlfn.XMATCH($C41&amp;"-"&amp;$D41,OC!$DE$6:$DE$62),_xlfn.XMATCH(A$3&amp;$I41,OC!$DJ$3:$FE$3))</f>
        <v>45658</v>
      </c>
      <c r="B41" s="1" cm="1">
        <f t="array" ref="B41">INDEX(OC!$DJ$6:$FE$62,_xlfn.XMATCH($C41&amp;"-"&amp;$D41,OC!$DE$6:$DE$62),_xlfn.XMATCH(B$3&amp;$I41,OC!$DJ$3:$FE$3))</f>
        <v>46022</v>
      </c>
      <c r="C41">
        <v>200</v>
      </c>
      <c r="D41">
        <v>31</v>
      </c>
      <c r="E41" t="str">
        <f>_xlfn.XLOOKUP(C41&amp;"-"&amp;D41,REF!$A$3:$A$47,REF!$D$3:$D$47)</f>
        <v>AComm\AComm LTC\MD\AS\IL AS\IL North Apt</v>
      </c>
      <c r="F41" cm="1">
        <f t="array" ref="F41">INDEX(OC!$DJ$6:$FE$62,_xlfn.XMATCH($C41&amp;"-"&amp;$D41,OC!$DE$6:$DE$62),_xlfn.XMATCH(F$3&amp;$I41,OC!$DJ$3:$FE$3))</f>
        <v>142</v>
      </c>
      <c r="G41" cm="1">
        <f t="array" ref="G41">INDEX(OC!$DJ$6:$FE$62,_xlfn.XMATCH($C41&amp;"-"&amp;$D41,OC!$DE$6:$DE$62),_xlfn.XMATCH(G$3&amp;$I41,OC!$DJ$3:$FE$3))</f>
        <v>134</v>
      </c>
      <c r="I41">
        <f>COUNTIFS($C$4:C41,C41,$D$4:D41,D41)</f>
        <v>1</v>
      </c>
      <c r="L41">
        <v>835</v>
      </c>
      <c r="M41">
        <v>51</v>
      </c>
      <c r="N41">
        <v>1</v>
      </c>
      <c r="O41">
        <f t="shared" si="0"/>
        <v>1</v>
      </c>
      <c r="P41" s="3">
        <f t="shared" si="1"/>
        <v>0</v>
      </c>
    </row>
    <row r="42" spans="1:16" x14ac:dyDescent="0.25">
      <c r="A42" s="1" cm="1">
        <f t="array" ref="A42">INDEX(OC!$DJ$6:$FE$62,_xlfn.XMATCH($C42&amp;"-"&amp;$D42,OC!$DE$6:$DE$62),_xlfn.XMATCH(A$3&amp;$I42,OC!$DJ$3:$FE$3))</f>
        <v>45658</v>
      </c>
      <c r="B42" s="1" cm="1">
        <f t="array" ref="B42">INDEX(OC!$DJ$6:$FE$62,_xlfn.XMATCH($C42&amp;"-"&amp;$D42,OC!$DE$6:$DE$62),_xlfn.XMATCH(B$3&amp;$I42,OC!$DJ$3:$FE$3))</f>
        <v>46022</v>
      </c>
      <c r="C42">
        <v>200</v>
      </c>
      <c r="D42">
        <v>32</v>
      </c>
      <c r="E42" t="str">
        <f>_xlfn.XLOOKUP(C42&amp;"-"&amp;D42,REF!$A$3:$A$47,REF!$D$3:$D$47)</f>
        <v>AComm\AComm LTC\MD\AS\IL AS\IL South Apt</v>
      </c>
      <c r="F42" cm="1">
        <f t="array" ref="F42">INDEX(OC!$DJ$6:$FE$62,_xlfn.XMATCH($C42&amp;"-"&amp;$D42,OC!$DE$6:$DE$62),_xlfn.XMATCH(F$3&amp;$I42,OC!$DJ$3:$FE$3))</f>
        <v>86</v>
      </c>
      <c r="G42" cm="1">
        <f t="array" ref="G42">INDEX(OC!$DJ$6:$FE$62,_xlfn.XMATCH($C42&amp;"-"&amp;$D42,OC!$DE$6:$DE$62),_xlfn.XMATCH(G$3&amp;$I42,OC!$DJ$3:$FE$3))</f>
        <v>83</v>
      </c>
      <c r="I42">
        <f>COUNTIFS($C$4:C42,C42,$D$4:D42,D42)</f>
        <v>1</v>
      </c>
      <c r="L42">
        <v>835</v>
      </c>
      <c r="M42">
        <v>61</v>
      </c>
      <c r="N42">
        <v>1</v>
      </c>
      <c r="O42">
        <f t="shared" si="0"/>
        <v>1</v>
      </c>
      <c r="P42" s="3">
        <f t="shared" si="1"/>
        <v>0</v>
      </c>
    </row>
    <row r="43" spans="1:16" x14ac:dyDescent="0.25">
      <c r="A43" s="1" cm="1">
        <f t="array" ref="A43">INDEX(OC!$DJ$6:$FE$62,_xlfn.XMATCH($C43&amp;"-"&amp;$D43,OC!$DE$6:$DE$62),_xlfn.XMATCH(A$3&amp;$I43,OC!$DJ$3:$FE$3))</f>
        <v>45658</v>
      </c>
      <c r="B43" s="1" cm="1">
        <f t="array" ref="B43">INDEX(OC!$DJ$6:$FE$62,_xlfn.XMATCH($C43&amp;"-"&amp;$D43,OC!$DE$6:$DE$62),_xlfn.XMATCH(B$3&amp;$I43,OC!$DJ$3:$FE$3))</f>
        <v>46022</v>
      </c>
      <c r="C43">
        <v>200</v>
      </c>
      <c r="D43">
        <v>51</v>
      </c>
      <c r="E43" t="str">
        <f>_xlfn.XLOOKUP(C43&amp;"-"&amp;D43,REF!$A$3:$A$47,REF!$D$3:$D$47)</f>
        <v>AComm\AComm LTC\MD\AS\AL AS\AL</v>
      </c>
      <c r="F43" cm="1">
        <f t="array" ref="F43">INDEX(OC!$DJ$6:$FE$62,_xlfn.XMATCH($C43&amp;"-"&amp;$D43,OC!$DE$6:$DE$62),_xlfn.XMATCH(F$3&amp;$I43,OC!$DJ$3:$FE$3))</f>
        <v>24</v>
      </c>
      <c r="G43" cm="1">
        <f t="array" ref="G43">INDEX(OC!$DJ$6:$FE$62,_xlfn.XMATCH($C43&amp;"-"&amp;$D43,OC!$DE$6:$DE$62),_xlfn.XMATCH(G$3&amp;$I43,OC!$DJ$3:$FE$3))</f>
        <v>23.5</v>
      </c>
      <c r="I43">
        <f>COUNTIFS($C$4:C43,C43,$D$4:D43,D43)</f>
        <v>1</v>
      </c>
      <c r="L43">
        <v>840</v>
      </c>
      <c r="M43">
        <v>21</v>
      </c>
      <c r="N43">
        <v>1</v>
      </c>
      <c r="O43">
        <f t="shared" si="0"/>
        <v>1</v>
      </c>
      <c r="P43" s="3">
        <f t="shared" si="1"/>
        <v>0</v>
      </c>
    </row>
    <row r="44" spans="1:16" x14ac:dyDescent="0.25">
      <c r="A44" s="1" cm="1">
        <f t="array" ref="A44">INDEX(OC!$DJ$6:$FE$62,_xlfn.XMATCH($C44&amp;"-"&amp;$D44,OC!$DE$6:$DE$62),_xlfn.XMATCH(A$3&amp;$I44,OC!$DJ$3:$FE$3))</f>
        <v>45658</v>
      </c>
      <c r="B44" s="1" cm="1">
        <f t="array" ref="B44">INDEX(OC!$DJ$6:$FE$62,_xlfn.XMATCH($C44&amp;"-"&amp;$D44,OC!$DE$6:$DE$62),_xlfn.XMATCH(B$3&amp;$I44,OC!$DJ$3:$FE$3))</f>
        <v>46022</v>
      </c>
      <c r="C44">
        <v>200</v>
      </c>
      <c r="D44">
        <v>61</v>
      </c>
      <c r="E44" t="str">
        <f>_xlfn.XLOOKUP(C44&amp;"-"&amp;D44,REF!$A$3:$A$47,REF!$D$3:$D$47)</f>
        <v>AComm\AComm LTC\MD\AS\SNF AS</v>
      </c>
      <c r="F44" cm="1">
        <f t="array" ref="F44">INDEX(OC!$DJ$6:$FE$62,_xlfn.XMATCH($C44&amp;"-"&amp;$D44,OC!$DE$6:$DE$62),_xlfn.XMATCH(F$3&amp;$I44,OC!$DJ$3:$FE$3))</f>
        <v>48</v>
      </c>
      <c r="G44" cm="1">
        <f t="array" ref="G44">INDEX(OC!$DJ$6:$FE$62,_xlfn.XMATCH($C44&amp;"-"&amp;$D44,OC!$DE$6:$DE$62),_xlfn.XMATCH(G$3&amp;$I44,OC!$DJ$3:$FE$3))</f>
        <v>37.5</v>
      </c>
      <c r="I44">
        <f>COUNTIFS($C$4:C44,C44,$D$4:D44,D44)</f>
        <v>1</v>
      </c>
      <c r="L44">
        <v>840</v>
      </c>
      <c r="M44">
        <v>31</v>
      </c>
      <c r="N44">
        <v>1</v>
      </c>
      <c r="O44">
        <f t="shared" si="0"/>
        <v>1</v>
      </c>
      <c r="P44" s="3">
        <f t="shared" si="1"/>
        <v>0</v>
      </c>
    </row>
    <row r="45" spans="1:16" x14ac:dyDescent="0.25">
      <c r="A45" s="1" cm="1">
        <f t="array" ref="A45">INDEX(OC!$DJ$6:$FE$62,_xlfn.XMATCH($C45&amp;"-"&amp;$D45,OC!$DE$6:$DE$62),_xlfn.XMATCH(A$3&amp;$I45,OC!$DJ$3:$FE$3))</f>
        <v>45658</v>
      </c>
      <c r="B45" s="1" cm="1">
        <f t="array" ref="B45">INDEX(OC!$DJ$6:$FE$62,_xlfn.XMATCH($C45&amp;"-"&amp;$D45,OC!$DE$6:$DE$62),_xlfn.XMATCH(B$3&amp;$I45,OC!$DJ$3:$FE$3))</f>
        <v>46022</v>
      </c>
      <c r="C45">
        <v>324</v>
      </c>
      <c r="D45">
        <v>21</v>
      </c>
      <c r="E45" t="str">
        <f>_xlfn.XLOOKUP(C45&amp;"-"&amp;D45,REF!$A$3:$A$47,REF!$D$3:$D$47)</f>
        <v>AComm\AComm LTC\PA\SPH\IL SPH\SPH RL GH</v>
      </c>
      <c r="F45" cm="1">
        <f t="array" ref="F45">INDEX(OC!$DJ$6:$FE$62,_xlfn.XMATCH($C45&amp;"-"&amp;$D45,OC!$DE$6:$DE$62),_xlfn.XMATCH(F$3&amp;$I45,OC!$DJ$3:$FE$3))</f>
        <v>36</v>
      </c>
      <c r="G45" cm="1">
        <f t="array" ref="G45">INDEX(OC!$DJ$6:$FE$62,_xlfn.XMATCH($C45&amp;"-"&amp;$D45,OC!$DE$6:$DE$62),_xlfn.XMATCH(G$3&amp;$I45,OC!$DJ$3:$FE$3))</f>
        <v>35</v>
      </c>
      <c r="I45">
        <f>COUNTIFS($C$4:C45,C45,$D$4:D45,D45)</f>
        <v>1</v>
      </c>
      <c r="L45">
        <v>840</v>
      </c>
      <c r="M45">
        <v>51</v>
      </c>
      <c r="N45">
        <v>1</v>
      </c>
      <c r="O45">
        <f t="shared" si="0"/>
        <v>1</v>
      </c>
      <c r="P45" s="3">
        <f t="shared" si="1"/>
        <v>0</v>
      </c>
    </row>
    <row r="46" spans="1:16" x14ac:dyDescent="0.25">
      <c r="A46" s="1" cm="1">
        <f t="array" ref="A46">INDEX(OC!$DJ$6:$FE$62,_xlfn.XMATCH($C46&amp;"-"&amp;$D46,OC!$DE$6:$DE$62),_xlfn.XMATCH(A$3&amp;$I46,OC!$DJ$3:$FE$3))</f>
        <v>45658</v>
      </c>
      <c r="B46" s="1" cm="1">
        <f t="array" ref="B46">INDEX(OC!$DJ$6:$FE$62,_xlfn.XMATCH($C46&amp;"-"&amp;$D46,OC!$DE$6:$DE$62),_xlfn.XMATCH(B$3&amp;$I46,OC!$DJ$3:$FE$3))</f>
        <v>46022</v>
      </c>
      <c r="C46">
        <v>324</v>
      </c>
      <c r="D46">
        <v>31</v>
      </c>
      <c r="E46" t="str">
        <f>_xlfn.XLOOKUP(C46&amp;"-"&amp;D46,REF!$A$3:$A$47,REF!$D$3:$D$47)</f>
        <v>AComm\AComm LTC\PA\SPH\IL SPH\SPH RL Apts</v>
      </c>
      <c r="F46" cm="1">
        <f t="array" ref="F46">INDEX(OC!$DJ$6:$FE$62,_xlfn.XMATCH($C46&amp;"-"&amp;$D46,OC!$DE$6:$DE$62),_xlfn.XMATCH(F$3&amp;$I46,OC!$DJ$3:$FE$3))</f>
        <v>123</v>
      </c>
      <c r="G46" cm="1">
        <f t="array" ref="G46">INDEX(OC!$DJ$6:$FE$62,_xlfn.XMATCH($C46&amp;"-"&amp;$D46,OC!$DE$6:$DE$62),_xlfn.XMATCH(G$3&amp;$I46,OC!$DJ$3:$FE$3))</f>
        <v>113</v>
      </c>
      <c r="I46">
        <f>COUNTIFS($C$4:C46,C46,$D$4:D46,D46)</f>
        <v>1</v>
      </c>
      <c r="L46">
        <v>840</v>
      </c>
      <c r="M46">
        <v>52</v>
      </c>
      <c r="N46">
        <v>1</v>
      </c>
      <c r="O46">
        <f t="shared" si="0"/>
        <v>1</v>
      </c>
      <c r="P46" s="3">
        <f t="shared" si="1"/>
        <v>0</v>
      </c>
    </row>
    <row r="47" spans="1:16" x14ac:dyDescent="0.25">
      <c r="A47" s="1" cm="1">
        <f t="array" ref="A47">INDEX(OC!$DJ$6:$FE$62,_xlfn.XMATCH($C47&amp;"-"&amp;$D47,OC!$DE$6:$DE$62),_xlfn.XMATCH(A$3&amp;$I47,OC!$DJ$3:$FE$3))</f>
        <v>45658</v>
      </c>
      <c r="B47" s="1" cm="1">
        <f t="array" ref="B47">INDEX(OC!$DJ$6:$FE$62,_xlfn.XMATCH($C47&amp;"-"&amp;$D47,OC!$DE$6:$DE$62),_xlfn.XMATCH(B$3&amp;$I47,OC!$DJ$3:$FE$3))</f>
        <v>46022</v>
      </c>
      <c r="C47">
        <v>324</v>
      </c>
      <c r="D47">
        <v>51</v>
      </c>
      <c r="E47" t="str">
        <f>_xlfn.XLOOKUP(C47&amp;"-"&amp;D47,REF!$A$3:$A$47,REF!$D$3:$D$47)</f>
        <v>AComm\AComm LTC\PA\SPH\AL SPH\SPH PC Apts</v>
      </c>
      <c r="F47" cm="1">
        <f t="array" ref="F47">INDEX(OC!$DJ$6:$FE$62,_xlfn.XMATCH($C47&amp;"-"&amp;$D47,OC!$DE$6:$DE$62),_xlfn.XMATCH(F$3&amp;$I47,OC!$DJ$3:$FE$3))</f>
        <v>35</v>
      </c>
      <c r="G47" cm="1">
        <f t="array" ref="G47">INDEX(OC!$DJ$6:$FE$62,_xlfn.XMATCH($C47&amp;"-"&amp;$D47,OC!$DE$6:$DE$62),_xlfn.XMATCH(G$3&amp;$I47,OC!$DJ$3:$FE$3))</f>
        <v>33</v>
      </c>
      <c r="I47">
        <f>COUNTIFS($C$4:C47,C47,$D$4:D47,D47)</f>
        <v>1</v>
      </c>
      <c r="L47">
        <v>840</v>
      </c>
      <c r="M47">
        <v>61</v>
      </c>
      <c r="N47">
        <v>1</v>
      </c>
      <c r="O47">
        <f t="shared" si="0"/>
        <v>1</v>
      </c>
      <c r="P47" s="3">
        <f t="shared" si="1"/>
        <v>0</v>
      </c>
    </row>
    <row r="48" spans="1:16" x14ac:dyDescent="0.25">
      <c r="A48" s="1" cm="1">
        <f t="array" ref="A48">INDEX(OC!$DJ$6:$FE$62,_xlfn.XMATCH($C48&amp;"-"&amp;$D48,OC!$DE$6:$DE$62),_xlfn.XMATCH(A$3&amp;$I48,OC!$DJ$3:$FE$3))</f>
        <v>45658</v>
      </c>
      <c r="B48" s="1" cm="1">
        <f t="array" ref="B48">INDEX(OC!$DJ$6:$FE$62,_xlfn.XMATCH($C48&amp;"-"&amp;$D48,OC!$DE$6:$DE$62),_xlfn.XMATCH(B$3&amp;$I48,OC!$DJ$3:$FE$3))</f>
        <v>46022</v>
      </c>
      <c r="C48">
        <v>324</v>
      </c>
      <c r="D48">
        <v>61</v>
      </c>
      <c r="E48" t="str">
        <f>_xlfn.XLOOKUP(C48&amp;"-"&amp;D48,REF!$A$3:$A$47,REF!$D$3:$D$47)</f>
        <v>AComm\AComm LTC\PA\SPH\SNF SPH</v>
      </c>
      <c r="F48" cm="1">
        <f t="array" ref="F48">INDEX(OC!$DJ$6:$FE$62,_xlfn.XMATCH($C48&amp;"-"&amp;$D48,OC!$DE$6:$DE$62),_xlfn.XMATCH(F$3&amp;$I48,OC!$DJ$3:$FE$3))</f>
        <v>76</v>
      </c>
      <c r="G48" cm="1">
        <f t="array" ref="G48">INDEX(OC!$DJ$6:$FE$62,_xlfn.XMATCH($C48&amp;"-"&amp;$D48,OC!$DE$6:$DE$62),_xlfn.XMATCH(G$3&amp;$I48,OC!$DJ$3:$FE$3))</f>
        <v>73</v>
      </c>
      <c r="I48">
        <f>COUNTIFS($C$4:C48,C48,$D$4:D48,D48)</f>
        <v>1</v>
      </c>
    </row>
    <row r="49" spans="1:9" x14ac:dyDescent="0.25">
      <c r="A49" s="1" cm="1">
        <f t="array" ref="A49">INDEX(OC!$DJ$6:$FE$62,_xlfn.XMATCH($C49&amp;"-"&amp;$D49,OC!$DE$6:$DE$62),_xlfn.XMATCH(A$3&amp;$I49,OC!$DJ$3:$FE$3))</f>
        <v>45658</v>
      </c>
      <c r="B49" s="1" cm="1">
        <f t="array" ref="B49">INDEX(OC!$DJ$6:$FE$62,_xlfn.XMATCH($C49&amp;"-"&amp;$D49,OC!$DE$6:$DE$62),_xlfn.XMATCH(B$3&amp;$I49,OC!$DJ$3:$FE$3))</f>
        <v>46022</v>
      </c>
      <c r="C49">
        <v>350</v>
      </c>
      <c r="D49">
        <v>21</v>
      </c>
      <c r="E49" t="s">
        <v>232</v>
      </c>
      <c r="F49" cm="1">
        <f t="array" ref="F49">INDEX(OC!$DJ$6:$FE$62,_xlfn.XMATCH($C49&amp;"-"&amp;$D49,OC!$DE$6:$DE$62),_xlfn.XMATCH(F$3&amp;$I49,OC!$DJ$3:$FE$3))</f>
        <v>13</v>
      </c>
      <c r="G49" cm="1">
        <f t="array" ref="G49">INDEX(OC!$DJ$6:$FE$62,_xlfn.XMATCH($C49&amp;"-"&amp;$D49,OC!$DE$6:$DE$62),_xlfn.XMATCH(G$3&amp;$I49,OC!$DJ$3:$FE$3))</f>
        <v>12</v>
      </c>
      <c r="I49">
        <f>COUNTIFS($C$4:C49,C49,$D$4:D49,D49)</f>
        <v>1</v>
      </c>
    </row>
    <row r="50" spans="1:9" x14ac:dyDescent="0.25">
      <c r="A50" s="1" cm="1">
        <f t="array" ref="A50">INDEX(OC!$DJ$6:$FE$62,_xlfn.XMATCH($C50&amp;"-"&amp;$D50,OC!$DE$6:$DE$62),_xlfn.XMATCH(A$3&amp;$I50,OC!$DJ$3:$FE$3))</f>
        <v>45658</v>
      </c>
      <c r="B50" s="1" cm="1">
        <f t="array" ref="B50">INDEX(OC!$DJ$6:$FE$62,_xlfn.XMATCH($C50&amp;"-"&amp;$D50,OC!$DE$6:$DE$62),_xlfn.XMATCH(B$3&amp;$I50,OC!$DJ$3:$FE$3))</f>
        <v>46022</v>
      </c>
      <c r="C50" s="55">
        <v>350</v>
      </c>
      <c r="D50" s="35">
        <v>51</v>
      </c>
      <c r="E50" s="55" t="s">
        <v>233</v>
      </c>
      <c r="F50" cm="1">
        <f t="array" ref="F50">INDEX(OC!$DJ$6:$FE$62,_xlfn.XMATCH($C50&amp;"-"&amp;$D50,OC!$DE$6:$DE$62),_xlfn.XMATCH(F$3&amp;$I50,OC!$DJ$3:$FE$3))</f>
        <v>70</v>
      </c>
      <c r="G50" cm="1">
        <f t="array" ref="G50">INDEX(OC!$DJ$6:$FE$62,_xlfn.XMATCH($C50&amp;"-"&amp;$D50,OC!$DE$6:$DE$62),_xlfn.XMATCH(G$3&amp;$I50,OC!$DJ$3:$FE$3))</f>
        <v>66</v>
      </c>
      <c r="I50">
        <f>COUNTIFS($C$4:C50,C50,$D$4:D50,D50)</f>
        <v>1</v>
      </c>
    </row>
    <row r="51" spans="1:9" x14ac:dyDescent="0.25">
      <c r="A51" s="1" cm="1">
        <f t="array" ref="A51">INDEX(OC!$DJ$6:$FE$62,_xlfn.XMATCH($C51&amp;"-"&amp;$D51,OC!$DE$6:$DE$62),_xlfn.XMATCH(A$3&amp;$I51,OC!$DJ$3:$FE$3))</f>
        <v>45658</v>
      </c>
      <c r="B51" s="1" cm="1">
        <f t="array" ref="B51">INDEX(OC!$DJ$6:$FE$62,_xlfn.XMATCH($C51&amp;"-"&amp;$D51,OC!$DE$6:$DE$62),_xlfn.XMATCH(B$3&amp;$I51,OC!$DJ$3:$FE$3))</f>
        <v>46022</v>
      </c>
      <c r="C51" s="55">
        <v>350</v>
      </c>
      <c r="D51" s="51">
        <v>52</v>
      </c>
      <c r="E51" s="55" t="s">
        <v>233</v>
      </c>
      <c r="F51" cm="1">
        <f t="array" ref="F51">INDEX(OC!$DJ$6:$FE$62,_xlfn.XMATCH($C51&amp;"-"&amp;$D51,OC!$DE$6:$DE$62),_xlfn.XMATCH(F$3&amp;$I51,OC!$DJ$3:$FE$3))</f>
        <v>12</v>
      </c>
      <c r="G51" cm="1">
        <f t="array" ref="G51">INDEX(OC!$DJ$6:$FE$62,_xlfn.XMATCH($C51&amp;"-"&amp;$D51,OC!$DE$6:$DE$62),_xlfn.XMATCH(G$3&amp;$I51,OC!$DJ$3:$FE$3))</f>
        <v>11</v>
      </c>
      <c r="I51">
        <f>COUNTIFS($C$4:C51,C51,$D$4:D51,D51)</f>
        <v>1</v>
      </c>
    </row>
    <row r="52" spans="1:9" x14ac:dyDescent="0.25">
      <c r="A52" s="1" cm="1">
        <f t="array" ref="A52">INDEX(OC!$DJ$6:$FE$62,_xlfn.XMATCH($C52&amp;"-"&amp;$D52,OC!$DE$6:$DE$62),_xlfn.XMATCH(A$3&amp;$I52,OC!$DJ$3:$FE$3))</f>
        <v>45658</v>
      </c>
      <c r="B52" s="1" cm="1">
        <f t="array" ref="B52">INDEX(OC!$DJ$6:$FE$62,_xlfn.XMATCH($C52&amp;"-"&amp;$D52,OC!$DE$6:$DE$62),_xlfn.XMATCH(B$3&amp;$I52,OC!$DJ$3:$FE$3))</f>
        <v>45688</v>
      </c>
      <c r="C52" s="54">
        <v>360</v>
      </c>
      <c r="D52" s="52">
        <v>51</v>
      </c>
      <c r="E52" s="54" t="s">
        <v>234</v>
      </c>
      <c r="F52" cm="1">
        <f t="array" ref="F52">INDEX(OC!$DJ$6:$FE$62,_xlfn.XMATCH($C52&amp;"-"&amp;$D52,OC!$DE$6:$DE$62),_xlfn.XMATCH(F$3&amp;$I52,OC!$DJ$3:$FE$3))</f>
        <v>43</v>
      </c>
      <c r="G52" cm="1">
        <f t="array" ref="G52">INDEX(OC!$DJ$6:$FE$62,_xlfn.XMATCH($C52&amp;"-"&amp;$D52,OC!$DE$6:$DE$62),_xlfn.XMATCH(G$3&amp;$I52,OC!$DJ$3:$FE$3))</f>
        <v>34</v>
      </c>
      <c r="I52">
        <f>COUNTIFS($C$4:C52,C52,$D$4:D52,D52)</f>
        <v>1</v>
      </c>
    </row>
    <row r="53" spans="1:9" x14ac:dyDescent="0.25">
      <c r="A53" s="1" cm="1">
        <f t="array" ref="A53">INDEX(OC!$DJ$6:$FE$62,_xlfn.XMATCH($C53&amp;"-"&amp;$D53,OC!$DE$6:$DE$62),_xlfn.XMATCH(A$3&amp;$I53,OC!$DJ$3:$FE$3))</f>
        <v>45689</v>
      </c>
      <c r="B53" s="1" cm="1">
        <f t="array" ref="B53">INDEX(OC!$DJ$6:$FE$62,_xlfn.XMATCH($C53&amp;"-"&amp;$D53,OC!$DE$6:$DE$62),_xlfn.XMATCH(B$3&amp;$I53,OC!$DJ$3:$FE$3))</f>
        <v>45716</v>
      </c>
      <c r="C53" s="54">
        <v>360</v>
      </c>
      <c r="D53" s="52">
        <v>51</v>
      </c>
      <c r="E53" s="54" t="s">
        <v>234</v>
      </c>
      <c r="F53" cm="1">
        <f t="array" ref="F53">INDEX(OC!$DJ$6:$FE$62,_xlfn.XMATCH($C53&amp;"-"&amp;$D53,OC!$DE$6:$DE$62),_xlfn.XMATCH(F$3&amp;$I53,OC!$DJ$3:$FE$3))</f>
        <v>43</v>
      </c>
      <c r="G53" cm="1">
        <f t="array" ref="G53">INDEX(OC!$DJ$6:$FE$62,_xlfn.XMATCH($C53&amp;"-"&amp;$D53,OC!$DE$6:$DE$62),_xlfn.XMATCH(G$3&amp;$I53,OC!$DJ$3:$FE$3))</f>
        <v>35</v>
      </c>
      <c r="I53">
        <f>COUNTIFS($C$4:C53,C53,$D$4:D53,D53)</f>
        <v>2</v>
      </c>
    </row>
    <row r="54" spans="1:9" x14ac:dyDescent="0.25">
      <c r="A54" s="1" cm="1">
        <f t="array" ref="A54">INDEX(OC!$DJ$6:$FE$62,_xlfn.XMATCH($C54&amp;"-"&amp;$D54,OC!$DE$6:$DE$62),_xlfn.XMATCH(A$3&amp;$I54,OC!$DJ$3:$FE$3))</f>
        <v>45717</v>
      </c>
      <c r="B54" s="1" cm="1">
        <f t="array" ref="B54">INDEX(OC!$DJ$6:$FE$62,_xlfn.XMATCH($C54&amp;"-"&amp;$D54,OC!$DE$6:$DE$62),_xlfn.XMATCH(B$3&amp;$I54,OC!$DJ$3:$FE$3))</f>
        <v>45747</v>
      </c>
      <c r="C54" s="54">
        <v>360</v>
      </c>
      <c r="D54" s="52">
        <v>51</v>
      </c>
      <c r="E54" s="54" t="s">
        <v>234</v>
      </c>
      <c r="F54" cm="1">
        <f t="array" ref="F54">INDEX(OC!$DJ$6:$FE$62,_xlfn.XMATCH($C54&amp;"-"&amp;$D54,OC!$DE$6:$DE$62),_xlfn.XMATCH(F$3&amp;$I54,OC!$DJ$3:$FE$3))</f>
        <v>43</v>
      </c>
      <c r="G54" cm="1">
        <f t="array" ref="G54">INDEX(OC!$DJ$6:$FE$62,_xlfn.XMATCH($C54&amp;"-"&amp;$D54,OC!$DE$6:$DE$62),_xlfn.XMATCH(G$3&amp;$I54,OC!$DJ$3:$FE$3))</f>
        <v>36</v>
      </c>
      <c r="I54">
        <f>COUNTIFS($C$4:C54,C54,$D$4:D54,D54)</f>
        <v>3</v>
      </c>
    </row>
    <row r="55" spans="1:9" x14ac:dyDescent="0.25">
      <c r="A55" s="1" cm="1">
        <f t="array" ref="A55">INDEX(OC!$DJ$6:$FE$62,_xlfn.XMATCH($C55&amp;"-"&amp;$D55,OC!$DE$6:$DE$62),_xlfn.XMATCH(A$3&amp;$I55,OC!$DJ$3:$FE$3))</f>
        <v>45748</v>
      </c>
      <c r="B55" s="1" cm="1">
        <f t="array" ref="B55">INDEX(OC!$DJ$6:$FE$62,_xlfn.XMATCH($C55&amp;"-"&amp;$D55,OC!$DE$6:$DE$62),_xlfn.XMATCH(B$3&amp;$I55,OC!$DJ$3:$FE$3))</f>
        <v>46022</v>
      </c>
      <c r="C55" s="54">
        <v>360</v>
      </c>
      <c r="D55" s="52">
        <v>51</v>
      </c>
      <c r="E55" s="54" t="s">
        <v>234</v>
      </c>
      <c r="F55" cm="1">
        <f t="array" ref="F55">INDEX(OC!$DJ$6:$FE$62,_xlfn.XMATCH($C55&amp;"-"&amp;$D55,OC!$DE$6:$DE$62),_xlfn.XMATCH(F$3&amp;$I55,OC!$DJ$3:$FE$3))</f>
        <v>43</v>
      </c>
      <c r="G55" cm="1">
        <f t="array" ref="G55">INDEX(OC!$DJ$6:$FE$62,_xlfn.XMATCH($C55&amp;"-"&amp;$D55,OC!$DE$6:$DE$62),_xlfn.XMATCH(G$3&amp;$I55,OC!$DJ$3:$FE$3))</f>
        <v>37</v>
      </c>
      <c r="I55">
        <f>COUNTIFS($C$4:C55,C55,$D$4:D55,D55)</f>
        <v>4</v>
      </c>
    </row>
    <row r="56" spans="1:9" x14ac:dyDescent="0.25">
      <c r="A56" s="1" cm="1">
        <f t="array" ref="A56">INDEX(OC!$DJ$6:$FE$62,_xlfn.XMATCH($C56&amp;"-"&amp;$D56,OC!$DE$6:$DE$62),_xlfn.XMATCH(A$3&amp;$I56,OC!$DJ$3:$FE$3))</f>
        <v>45658</v>
      </c>
      <c r="B56" s="1" cm="1">
        <f t="array" ref="B56">INDEX(OC!$DJ$6:$FE$62,_xlfn.XMATCH($C56&amp;"-"&amp;$D56,OC!$DE$6:$DE$62),_xlfn.XMATCH(B$3&amp;$I56,OC!$DJ$3:$FE$3))</f>
        <v>46022</v>
      </c>
      <c r="C56" s="54">
        <v>360</v>
      </c>
      <c r="D56" s="53">
        <v>52</v>
      </c>
      <c r="E56" s="54" t="s">
        <v>234</v>
      </c>
      <c r="F56" cm="1">
        <f t="array" ref="F56">INDEX(OC!$DJ$6:$FE$62,_xlfn.XMATCH($C56&amp;"-"&amp;$D56,OC!$DE$6:$DE$62),_xlfn.XMATCH(F$3&amp;$I56,OC!$DJ$3:$FE$3))</f>
        <v>9</v>
      </c>
      <c r="G56" cm="1">
        <f t="array" ref="G56">INDEX(OC!$DJ$6:$FE$62,_xlfn.XMATCH($C56&amp;"-"&amp;$D56,OC!$DE$6:$DE$62),_xlfn.XMATCH(G$3&amp;$I56,OC!$DJ$3:$FE$3))</f>
        <v>8</v>
      </c>
      <c r="I56">
        <f>COUNTIFS($C$4:C56,C56,$D$4:D56,D56)</f>
        <v>1</v>
      </c>
    </row>
    <row r="57" spans="1:9" x14ac:dyDescent="0.25">
      <c r="A57" s="1" cm="1">
        <f t="array" ref="A57">INDEX(OC!$DJ$6:$FE$62,_xlfn.XMATCH($C57&amp;"-"&amp;$D57,OC!$DE$6:$DE$62),_xlfn.XMATCH(A$3&amp;$I57,OC!$DJ$3:$FE$3))</f>
        <v>45658</v>
      </c>
      <c r="B57" s="1" cm="1">
        <f t="array" ref="B57">INDEX(OC!$DJ$6:$FE$62,_xlfn.XMATCH($C57&amp;"-"&amp;$D57,OC!$DE$6:$DE$62),_xlfn.XMATCH(B$3&amp;$I57,OC!$DJ$3:$FE$3))</f>
        <v>46022</v>
      </c>
      <c r="C57">
        <v>810</v>
      </c>
      <c r="D57">
        <v>21</v>
      </c>
      <c r="E57" t="str">
        <f>_xlfn.XLOOKUP(C57&amp;"-"&amp;D57,REF!$A$3:$A$47,REF!$D$3:$D$47)</f>
        <v>AComm\AComm LTC\PA\BV\IL BV\Cottage East</v>
      </c>
      <c r="F57" cm="1">
        <f t="array" ref="F57">INDEX(OC!$DJ$6:$FE$62,_xlfn.XMATCH($C57&amp;"-"&amp;$D57,OC!$DE$6:$DE$62),_xlfn.XMATCH(F$3&amp;$I57,OC!$DJ$3:$FE$3))</f>
        <v>95</v>
      </c>
      <c r="G57" cm="1">
        <f t="array" ref="G57">INDEX(OC!$DJ$6:$FE$62,_xlfn.XMATCH($C57&amp;"-"&amp;$D57,OC!$DE$6:$DE$62),_xlfn.XMATCH(G$3&amp;$I57,OC!$DJ$3:$FE$3))</f>
        <v>93</v>
      </c>
      <c r="I57">
        <f>COUNTIFS($C$4:C57,C57,$D$4:D57,D57)</f>
        <v>1</v>
      </c>
    </row>
    <row r="58" spans="1:9" x14ac:dyDescent="0.25">
      <c r="A58" s="1" cm="1">
        <f t="array" ref="A58">INDEX(OC!$DJ$6:$FE$62,_xlfn.XMATCH($C58&amp;"-"&amp;$D58,OC!$DE$6:$DE$62),_xlfn.XMATCH(A$3&amp;$I58,OC!$DJ$3:$FE$3))</f>
        <v>45658</v>
      </c>
      <c r="B58" s="1" cm="1">
        <f t="array" ref="B58">INDEX(OC!$DJ$6:$FE$62,_xlfn.XMATCH($C58&amp;"-"&amp;$D58,OC!$DE$6:$DE$62),_xlfn.XMATCH(B$3&amp;$I58,OC!$DJ$3:$FE$3))</f>
        <v>46022</v>
      </c>
      <c r="C58">
        <v>810</v>
      </c>
      <c r="D58">
        <v>22</v>
      </c>
      <c r="E58" t="str">
        <f>_xlfn.XLOOKUP(C58&amp;"-"&amp;D58,REF!$A$3:$A$47,REF!$D$3:$D$47)</f>
        <v>AComm\AComm LTC\PA\BV\IL BV\Cottage West</v>
      </c>
      <c r="F58" cm="1">
        <f t="array" ref="F58">INDEX(OC!$DJ$6:$FE$62,_xlfn.XMATCH($C58&amp;"-"&amp;$D58,OC!$DE$6:$DE$62),_xlfn.XMATCH(F$3&amp;$I58,OC!$DJ$3:$FE$3))</f>
        <v>47</v>
      </c>
      <c r="G58" cm="1">
        <f t="array" ref="G58">INDEX(OC!$DJ$6:$FE$62,_xlfn.XMATCH($C58&amp;"-"&amp;$D58,OC!$DE$6:$DE$62),_xlfn.XMATCH(G$3&amp;$I58,OC!$DJ$3:$FE$3))</f>
        <v>46</v>
      </c>
      <c r="I58">
        <f>COUNTIFS($C$4:C58,C58,$D$4:D58,D58)</f>
        <v>1</v>
      </c>
    </row>
    <row r="59" spans="1:9" x14ac:dyDescent="0.25">
      <c r="A59" s="1" cm="1">
        <f t="array" ref="A59">INDEX(OC!$DJ$6:$FE$62,_xlfn.XMATCH($C59&amp;"-"&amp;$D59,OC!$DE$6:$DE$62),_xlfn.XMATCH(A$3&amp;$I59,OC!$DJ$3:$FE$3))</f>
        <v>45658</v>
      </c>
      <c r="B59" s="1" cm="1">
        <f t="array" ref="B59">INDEX(OC!$DJ$6:$FE$62,_xlfn.XMATCH($C59&amp;"-"&amp;$D59,OC!$DE$6:$DE$62),_xlfn.XMATCH(B$3&amp;$I59,OC!$DJ$3:$FE$3))</f>
        <v>46022</v>
      </c>
      <c r="C59">
        <v>810</v>
      </c>
      <c r="D59">
        <v>31</v>
      </c>
      <c r="E59" t="str">
        <f>_xlfn.XLOOKUP(C59&amp;"-"&amp;D59,REF!$A$3:$A$47,REF!$D$3:$D$47)</f>
        <v>AComm\AComm LTC\PA\BV\IL BV\Center Apartments</v>
      </c>
      <c r="F59" cm="1">
        <f t="array" ref="F59">INDEX(OC!$DJ$6:$FE$62,_xlfn.XMATCH($C59&amp;"-"&amp;$D59,OC!$DE$6:$DE$62),_xlfn.XMATCH(F$3&amp;$I59,OC!$DJ$3:$FE$3))</f>
        <v>17</v>
      </c>
      <c r="G59" cm="1">
        <f t="array" ref="G59">INDEX(OC!$DJ$6:$FE$62,_xlfn.XMATCH($C59&amp;"-"&amp;$D59,OC!$DE$6:$DE$62),_xlfn.XMATCH(G$3&amp;$I59,OC!$DJ$3:$FE$3))</f>
        <v>16</v>
      </c>
      <c r="I59">
        <f>COUNTIFS($C$4:C59,C59,$D$4:D59,D59)</f>
        <v>1</v>
      </c>
    </row>
    <row r="60" spans="1:9" x14ac:dyDescent="0.25">
      <c r="A60" s="1" cm="1">
        <f t="array" ref="A60">INDEX(OC!$DJ$6:$FE$62,_xlfn.XMATCH($C60&amp;"-"&amp;$D60,OC!$DE$6:$DE$62),_xlfn.XMATCH(A$3&amp;$I60,OC!$DJ$3:$FE$3))</f>
        <v>45658</v>
      </c>
      <c r="B60" s="1" cm="1">
        <f t="array" ref="B60">INDEX(OC!$DJ$6:$FE$62,_xlfn.XMATCH($C60&amp;"-"&amp;$D60,OC!$DE$6:$DE$62),_xlfn.XMATCH(B$3&amp;$I60,OC!$DJ$3:$FE$3))</f>
        <v>46022</v>
      </c>
      <c r="C60">
        <v>810</v>
      </c>
      <c r="D60">
        <v>32</v>
      </c>
      <c r="E60" t="str">
        <f>_xlfn.XLOOKUP(C60&amp;"-"&amp;D60,REF!$A$3:$A$47,REF!$D$3:$D$47)</f>
        <v>AComm\AComm LTC\PA\BV\IL BV\Court Apartments</v>
      </c>
      <c r="F60" cm="1">
        <f t="array" ref="F60">INDEX(OC!$DJ$6:$FE$62,_xlfn.XMATCH($C60&amp;"-"&amp;$D60,OC!$DE$6:$DE$62),_xlfn.XMATCH(F$3&amp;$I60,OC!$DJ$3:$FE$3))</f>
        <v>94</v>
      </c>
      <c r="G60" cm="1">
        <f t="array" ref="G60">INDEX(OC!$DJ$6:$FE$62,_xlfn.XMATCH($C60&amp;"-"&amp;$D60,OC!$DE$6:$DE$62),_xlfn.XMATCH(G$3&amp;$I60,OC!$DJ$3:$FE$3))</f>
        <v>85.5</v>
      </c>
      <c r="I60">
        <f>COUNTIFS($C$4:C60,C60,$D$4:D60,D60)</f>
        <v>1</v>
      </c>
    </row>
    <row r="61" spans="1:9" x14ac:dyDescent="0.25">
      <c r="A61" s="1" cm="1">
        <f t="array" ref="A61">INDEX(OC!$DJ$6:$FE$62,_xlfn.XMATCH($C61&amp;"-"&amp;$D61,OC!$DE$6:$DE$62),_xlfn.XMATCH(A$3&amp;$I61,OC!$DJ$3:$FE$3))</f>
        <v>45658</v>
      </c>
      <c r="B61" s="1" cm="1">
        <f t="array" ref="B61">INDEX(OC!$DJ$6:$FE$62,_xlfn.XMATCH($C61&amp;"-"&amp;$D61,OC!$DE$6:$DE$62),_xlfn.XMATCH(B$3&amp;$I61,OC!$DJ$3:$FE$3))</f>
        <v>46022</v>
      </c>
      <c r="C61">
        <v>810</v>
      </c>
      <c r="D61">
        <v>33</v>
      </c>
      <c r="E61" t="str">
        <f>_xlfn.XLOOKUP(C61&amp;"-"&amp;D61,REF!$A$3:$A$47,REF!$D$3:$D$47)</f>
        <v>AComm\AComm LTC\PA\BV\IL BV\West Apartments</v>
      </c>
      <c r="F61" cm="1">
        <f t="array" ref="F61">INDEX(OC!$DJ$6:$FE$62,_xlfn.XMATCH($C61&amp;"-"&amp;$D61,OC!$DE$6:$DE$62),_xlfn.XMATCH(F$3&amp;$I61,OC!$DJ$3:$FE$3))</f>
        <v>138</v>
      </c>
      <c r="G61" cm="1">
        <f t="array" ref="G61">INDEX(OC!$DJ$6:$FE$62,_xlfn.XMATCH($C61&amp;"-"&amp;$D61,OC!$DE$6:$DE$62),_xlfn.XMATCH(G$3&amp;$I61,OC!$DJ$3:$FE$3))</f>
        <v>132</v>
      </c>
      <c r="I61">
        <f>COUNTIFS($C$4:C61,C61,$D$4:D61,D61)</f>
        <v>1</v>
      </c>
    </row>
    <row r="62" spans="1:9" x14ac:dyDescent="0.25">
      <c r="A62" s="1" cm="1">
        <f t="array" ref="A62">INDEX(OC!$DJ$6:$FE$62,_xlfn.XMATCH($C62&amp;"-"&amp;$D62,OC!$DE$6:$DE$62),_xlfn.XMATCH(A$3&amp;$I62,OC!$DJ$3:$FE$3))</f>
        <v>45658</v>
      </c>
      <c r="B62" s="1" cm="1">
        <f t="array" ref="B62">INDEX(OC!$DJ$6:$FE$62,_xlfn.XMATCH($C62&amp;"-"&amp;$D62,OC!$DE$6:$DE$62),_xlfn.XMATCH(B$3&amp;$I62,OC!$DJ$3:$FE$3))</f>
        <v>46022</v>
      </c>
      <c r="C62">
        <v>810</v>
      </c>
      <c r="D62">
        <v>51</v>
      </c>
      <c r="E62" t="str">
        <f>_xlfn.XLOOKUP(C62&amp;"-"&amp;D62,REF!$A$3:$A$47,REF!$D$3:$D$47)</f>
        <v>AComm\AComm LTC\PA\BV\AL BV\Maplewood</v>
      </c>
      <c r="F62" cm="1">
        <f t="array" ref="F62">INDEX(OC!$DJ$6:$FE$62,_xlfn.XMATCH($C62&amp;"-"&amp;$D62,OC!$DE$6:$DE$62),_xlfn.XMATCH(F$3&amp;$I62,OC!$DJ$3:$FE$3))</f>
        <v>100</v>
      </c>
      <c r="G62" cm="1">
        <f t="array" ref="G62">INDEX(OC!$DJ$6:$FE$62,_xlfn.XMATCH($C62&amp;"-"&amp;$D62,OC!$DE$6:$DE$62),_xlfn.XMATCH(G$3&amp;$I62,OC!$DJ$3:$FE$3))</f>
        <v>96.5</v>
      </c>
      <c r="I62">
        <f>COUNTIFS($C$4:C62,C62,$D$4:D62,D62)</f>
        <v>1</v>
      </c>
    </row>
    <row r="63" spans="1:9" x14ac:dyDescent="0.25">
      <c r="A63" s="1" cm="1">
        <f t="array" ref="A63">INDEX(OC!$DJ$6:$FE$62,_xlfn.XMATCH($C63&amp;"-"&amp;$D63,OC!$DE$6:$DE$62),_xlfn.XMATCH(A$3&amp;$I63,OC!$DJ$3:$FE$3))</f>
        <v>45658</v>
      </c>
      <c r="B63" s="1" cm="1">
        <f t="array" ref="B63">INDEX(OC!$DJ$6:$FE$62,_xlfn.XMATCH($C63&amp;"-"&amp;$D63,OC!$DE$6:$DE$62),_xlfn.XMATCH(B$3&amp;$I63,OC!$DJ$3:$FE$3))</f>
        <v>46022</v>
      </c>
      <c r="C63">
        <v>810</v>
      </c>
      <c r="D63">
        <v>61</v>
      </c>
      <c r="E63" t="str">
        <f>_xlfn.XLOOKUP(C63&amp;"-"&amp;D63,REF!$A$3:$A$47,REF!$D$3:$D$47)</f>
        <v>AComm\AComm LTC\PA\BV\SNF BV</v>
      </c>
      <c r="F63" cm="1">
        <f t="array" ref="F63">INDEX(OC!$DJ$6:$FE$62,_xlfn.XMATCH($C63&amp;"-"&amp;$D63,OC!$DE$6:$DE$62),_xlfn.XMATCH(F$3&amp;$I63,OC!$DJ$3:$FE$3))</f>
        <v>69</v>
      </c>
      <c r="G63" cm="1">
        <f t="array" ref="G63">INDEX(OC!$DJ$6:$FE$62,_xlfn.XMATCH($C63&amp;"-"&amp;$D63,OC!$DE$6:$DE$62),_xlfn.XMATCH(G$3&amp;$I63,OC!$DJ$3:$FE$3))</f>
        <v>66</v>
      </c>
      <c r="I63">
        <f>COUNTIFS($C$4:C63,C63,$D$4:D63,D63)</f>
        <v>1</v>
      </c>
    </row>
    <row r="64" spans="1:9" x14ac:dyDescent="0.25">
      <c r="A64" s="1" cm="1">
        <f t="array" ref="A64">INDEX(OC!$DJ$6:$FE$62,_xlfn.XMATCH($C64&amp;"-"&amp;$D64,OC!$DE$6:$DE$62),_xlfn.XMATCH(A$3&amp;$I64,OC!$DJ$3:$FE$3))</f>
        <v>45658</v>
      </c>
      <c r="B64" s="1" cm="1">
        <f t="array" ref="B64">INDEX(OC!$DJ$6:$FE$62,_xlfn.XMATCH($C64&amp;"-"&amp;$D64,OC!$DE$6:$DE$62),_xlfn.XMATCH(B$3&amp;$I64,OC!$DJ$3:$FE$3))</f>
        <v>46022</v>
      </c>
      <c r="C64">
        <v>925</v>
      </c>
      <c r="D64">
        <v>21</v>
      </c>
      <c r="E64" t="str">
        <f>_xlfn.XLOOKUP(C64&amp;"-"&amp;D64,REF!$A$3:$A$47,REF!$D$3:$D$47)</f>
        <v>AComm\TAG Services\PA\CE\IL CE\Cottage Units</v>
      </c>
      <c r="F64" cm="1">
        <f t="array" ref="F64">INDEX(OC!$DJ$6:$FE$62,_xlfn.XMATCH($C64&amp;"-"&amp;$D64,OC!$DE$6:$DE$62),_xlfn.XMATCH(F$3&amp;$I64,OC!$DJ$3:$FE$3))</f>
        <v>31</v>
      </c>
      <c r="G64" cm="1">
        <f t="array" ref="G64">INDEX(OC!$DJ$6:$FE$62,_xlfn.XMATCH($C64&amp;"-"&amp;$D64,OC!$DE$6:$DE$62),_xlfn.XMATCH(G$3&amp;$I64,OC!$DJ$3:$FE$3))</f>
        <v>30</v>
      </c>
      <c r="I64">
        <f>COUNTIFS($C$4:C64,C64,$D$4:D64,D64)</f>
        <v>1</v>
      </c>
    </row>
    <row r="65" spans="1:9" x14ac:dyDescent="0.25">
      <c r="A65" s="1" cm="1">
        <f t="array" ref="A65">INDEX(OC!$DJ$6:$FE$62,_xlfn.XMATCH($C65&amp;"-"&amp;$D65,OC!$DE$6:$DE$62),_xlfn.XMATCH(A$3&amp;$I65,OC!$DJ$3:$FE$3))</f>
        <v>45658</v>
      </c>
      <c r="B65" s="1" cm="1">
        <f t="array" ref="B65">INDEX(OC!$DJ$6:$FE$62,_xlfn.XMATCH($C65&amp;"-"&amp;$D65,OC!$DE$6:$DE$62),_xlfn.XMATCH(B$3&amp;$I65,OC!$DJ$3:$FE$3))</f>
        <v>46022</v>
      </c>
      <c r="C65">
        <v>925</v>
      </c>
      <c r="D65">
        <v>31</v>
      </c>
      <c r="E65" t="str">
        <f>_xlfn.XLOOKUP(C65&amp;"-"&amp;D65,REF!$A$3:$A$47,REF!$D$3:$D$47)</f>
        <v>AComm\TAG Services\PA\CE\IL CE\Garden Units</v>
      </c>
      <c r="F65" cm="1">
        <f t="array" ref="F65">INDEX(OC!$DJ$6:$FE$62,_xlfn.XMATCH($C65&amp;"-"&amp;$D65,OC!$DE$6:$DE$62),_xlfn.XMATCH(F$3&amp;$I65,OC!$DJ$3:$FE$3))</f>
        <v>36</v>
      </c>
      <c r="G65" cm="1">
        <f t="array" ref="G65">INDEX(OC!$DJ$6:$FE$62,_xlfn.XMATCH($C65&amp;"-"&amp;$D65,OC!$DE$6:$DE$62),_xlfn.XMATCH(G$3&amp;$I65,OC!$DJ$3:$FE$3))</f>
        <v>35</v>
      </c>
      <c r="I65">
        <f>COUNTIFS($C$4:C65,C65,$D$4:D65,D65)</f>
        <v>1</v>
      </c>
    </row>
    <row r="66" spans="1:9" x14ac:dyDescent="0.25">
      <c r="A66" s="1" cm="1">
        <f t="array" ref="A66">INDEX(OC!$DJ$6:$FE$62,_xlfn.XMATCH($C66&amp;"-"&amp;$D66,OC!$DE$6:$DE$62),_xlfn.XMATCH(A$3&amp;$I66,OC!$DJ$3:$FE$3))</f>
        <v>45658</v>
      </c>
      <c r="B66" s="1" cm="1">
        <f t="array" ref="B66">INDEX(OC!$DJ$6:$FE$62,_xlfn.XMATCH($C66&amp;"-"&amp;$D66,OC!$DE$6:$DE$62),_xlfn.XMATCH(B$3&amp;$I66,OC!$DJ$3:$FE$3))</f>
        <v>46022</v>
      </c>
      <c r="C66">
        <v>925</v>
      </c>
      <c r="D66">
        <v>51</v>
      </c>
      <c r="E66" t="str">
        <f>_xlfn.XLOOKUP(C66&amp;"-"&amp;D66,REF!$A$3:$A$47,REF!$D$3:$D$47)</f>
        <v>AComm\TAG Services\PA\CE\AL CE\CE PC Units</v>
      </c>
      <c r="F66" cm="1">
        <f t="array" ref="F66">INDEX(OC!$DJ$6:$FE$62,_xlfn.XMATCH($C66&amp;"-"&amp;$D66,OC!$DE$6:$DE$62),_xlfn.XMATCH(F$3&amp;$I66,OC!$DJ$3:$FE$3))</f>
        <v>39</v>
      </c>
      <c r="G66" cm="1">
        <f t="array" ref="G66">INDEX(OC!$DJ$6:$FE$62,_xlfn.XMATCH($C66&amp;"-"&amp;$D66,OC!$DE$6:$DE$62),_xlfn.XMATCH(G$3&amp;$I66,OC!$DJ$3:$FE$3))</f>
        <v>37</v>
      </c>
      <c r="I66">
        <f>COUNTIFS($C$4:C66,C66,$D$4:D66,D66)</f>
        <v>1</v>
      </c>
    </row>
    <row r="67" spans="1:9" x14ac:dyDescent="0.25">
      <c r="A67" s="1" cm="1">
        <f t="array" ref="A67">INDEX(OC!$DJ$6:$FE$62,_xlfn.XMATCH($C67&amp;"-"&amp;$D67,OC!$DE$6:$DE$62),_xlfn.XMATCH(A$3&amp;$I67,OC!$DJ$3:$FE$3))</f>
        <v>45658</v>
      </c>
      <c r="B67" s="1" cm="1">
        <f t="array" ref="B67">INDEX(OC!$DJ$6:$FE$62,_xlfn.XMATCH($C67&amp;"-"&amp;$D67,OC!$DE$6:$DE$62),_xlfn.XMATCH(B$3&amp;$I67,OC!$DJ$3:$FE$3))</f>
        <v>46022</v>
      </c>
      <c r="C67">
        <v>835</v>
      </c>
      <c r="D67">
        <v>21</v>
      </c>
      <c r="E67" t="str">
        <f>_xlfn.XLOOKUP(C67&amp;"-"&amp;D67,REF!$A$3:$A$47,REF!$D$3:$D$47)</f>
        <v>AComm\AComm LTC\PA\RW\IL RW\GC</v>
      </c>
      <c r="F67" cm="1">
        <f t="array" ref="F67">INDEX(OC!$DJ$6:$FE$62,_xlfn.XMATCH($C67&amp;"-"&amp;$D67,OC!$DE$6:$DE$62),_xlfn.XMATCH(F$3&amp;$I67,OC!$DJ$3:$FE$3))</f>
        <v>51</v>
      </c>
      <c r="G67" cm="1">
        <f t="array" ref="G67">INDEX(OC!$DJ$6:$FE$62,_xlfn.XMATCH($C67&amp;"-"&amp;$D67,OC!$DE$6:$DE$62),_xlfn.XMATCH(G$3&amp;$I67,OC!$DJ$3:$FE$3))</f>
        <v>48</v>
      </c>
      <c r="I67">
        <f>COUNTIFS($C$4:C67,C67,$D$4:D67,D67)</f>
        <v>1</v>
      </c>
    </row>
    <row r="68" spans="1:9" x14ac:dyDescent="0.25">
      <c r="A68" s="1" cm="1">
        <f t="array" ref="A68">INDEX(OC!$DJ$6:$FE$62,_xlfn.XMATCH($C68&amp;"-"&amp;$D68,OC!$DE$6:$DE$62),_xlfn.XMATCH(A$3&amp;$I68,OC!$DJ$3:$FE$3))</f>
        <v>45658</v>
      </c>
      <c r="B68" s="1" cm="1">
        <f t="array" ref="B68">INDEX(OC!$DJ$6:$FE$62,_xlfn.XMATCH($C68&amp;"-"&amp;$D68,OC!$DE$6:$DE$62),_xlfn.XMATCH(B$3&amp;$I68,OC!$DJ$3:$FE$3))</f>
        <v>46022</v>
      </c>
      <c r="C68">
        <v>835</v>
      </c>
      <c r="D68">
        <v>31</v>
      </c>
      <c r="E68" t="str">
        <f>_xlfn.XLOOKUP(C68&amp;"-"&amp;D68,REF!$A$3:$A$47,REF!$D$3:$D$47)</f>
        <v>AComm\AComm LTC\PA\RW\IL RW\RC APT</v>
      </c>
      <c r="F68" cm="1">
        <f t="array" ref="F68">INDEX(OC!$DJ$6:$FE$62,_xlfn.XMATCH($C68&amp;"-"&amp;$D68,OC!$DE$6:$DE$62),_xlfn.XMATCH(F$3&amp;$I68,OC!$DJ$3:$FE$3))</f>
        <v>78</v>
      </c>
      <c r="G68" cm="1">
        <f t="array" ref="G68">INDEX(OC!$DJ$6:$FE$62,_xlfn.XMATCH($C68&amp;"-"&amp;$D68,OC!$DE$6:$DE$62),_xlfn.XMATCH(G$3&amp;$I68,OC!$DJ$3:$FE$3))</f>
        <v>72</v>
      </c>
      <c r="I68">
        <f>COUNTIFS($C$4:C68,C68,$D$4:D68,D68)</f>
        <v>1</v>
      </c>
    </row>
    <row r="69" spans="1:9" x14ac:dyDescent="0.25">
      <c r="A69" s="1" cm="1">
        <f t="array" ref="A69">INDEX(OC!$DJ$6:$FE$62,_xlfn.XMATCH($C69&amp;"-"&amp;$D69,OC!$DE$6:$DE$62),_xlfn.XMATCH(A$3&amp;$I69,OC!$DJ$3:$FE$3))</f>
        <v>45658</v>
      </c>
      <c r="B69" s="1" cm="1">
        <f t="array" ref="B69">INDEX(OC!$DJ$6:$FE$62,_xlfn.XMATCH($C69&amp;"-"&amp;$D69,OC!$DE$6:$DE$62),_xlfn.XMATCH(B$3&amp;$I69,OC!$DJ$3:$FE$3))</f>
        <v>46022</v>
      </c>
      <c r="C69">
        <v>835</v>
      </c>
      <c r="D69">
        <v>51</v>
      </c>
      <c r="E69" t="str">
        <f>_xlfn.XLOOKUP(C69&amp;"-"&amp;D69,REF!$A$3:$A$47,REF!$D$3:$D$47)</f>
        <v>AComm\AComm LTC\PA\RW\AL RW\RW PC</v>
      </c>
      <c r="F69" cm="1">
        <f t="array" ref="F69">INDEX(OC!$DJ$6:$FE$62,_xlfn.XMATCH($C69&amp;"-"&amp;$D69,OC!$DE$6:$DE$62),_xlfn.XMATCH(F$3&amp;$I69,OC!$DJ$3:$FE$3))</f>
        <v>38</v>
      </c>
      <c r="G69" cm="1">
        <f t="array" ref="G69">INDEX(OC!$DJ$6:$FE$62,_xlfn.XMATCH($C69&amp;"-"&amp;$D69,OC!$DE$6:$DE$62),_xlfn.XMATCH(G$3&amp;$I69,OC!$DJ$3:$FE$3))</f>
        <v>35.340000000000003</v>
      </c>
      <c r="I69">
        <f>COUNTIFS($C$4:C69,C69,$D$4:D69,D69)</f>
        <v>1</v>
      </c>
    </row>
    <row r="70" spans="1:9" x14ac:dyDescent="0.25">
      <c r="A70" s="1" cm="1">
        <f t="array" ref="A70">INDEX(OC!$DJ$6:$FE$62,_xlfn.XMATCH($C70&amp;"-"&amp;$D70,OC!$DE$6:$DE$62),_xlfn.XMATCH(A$3&amp;$I70,OC!$DJ$3:$FE$3))</f>
        <v>45658</v>
      </c>
      <c r="B70" s="1" cm="1">
        <f t="array" ref="B70">INDEX(OC!$DJ$6:$FE$62,_xlfn.XMATCH($C70&amp;"-"&amp;$D70,OC!$DE$6:$DE$62),_xlfn.XMATCH(B$3&amp;$I70,OC!$DJ$3:$FE$3))</f>
        <v>46022</v>
      </c>
      <c r="C70">
        <v>835</v>
      </c>
      <c r="D70">
        <v>61</v>
      </c>
      <c r="E70" t="str">
        <f>_xlfn.XLOOKUP(C70&amp;"-"&amp;D70,REF!$A$3:$A$47,REF!$D$3:$D$47)</f>
        <v>AComm\AComm LTC\PA\RW\SNF RW</v>
      </c>
      <c r="F70" cm="1">
        <f t="array" ref="F70">INDEX(OC!$DJ$6:$FE$62,_xlfn.XMATCH($C70&amp;"-"&amp;$D70,OC!$DE$6:$DE$62),_xlfn.XMATCH(F$3&amp;$I70,OC!$DJ$3:$FE$3))</f>
        <v>0</v>
      </c>
      <c r="G70" cm="1">
        <f t="array" ref="G70">INDEX(OC!$DJ$6:$FE$62,_xlfn.XMATCH($C70&amp;"-"&amp;$D70,OC!$DE$6:$DE$62),_xlfn.XMATCH(G$3&amp;$I70,OC!$DJ$3:$FE$3))</f>
        <v>0</v>
      </c>
      <c r="I70">
        <f>COUNTIFS($C$4:C70,C70,$D$4:D70,D70)</f>
        <v>1</v>
      </c>
    </row>
    <row r="71" spans="1:9" x14ac:dyDescent="0.25">
      <c r="A71" s="1" cm="1">
        <f t="array" ref="A71">INDEX(OC!$DJ$6:$FE$62,_xlfn.XMATCH($C71&amp;"-"&amp;$D71,OC!$DE$6:$DE$62),_xlfn.XMATCH(A$3&amp;$I71,OC!$DJ$3:$FE$3))</f>
        <v>45658</v>
      </c>
      <c r="B71" s="1" cm="1">
        <f t="array" ref="B71">INDEX(OC!$DJ$6:$FE$62,_xlfn.XMATCH($C71&amp;"-"&amp;$D71,OC!$DE$6:$DE$62),_xlfn.XMATCH(B$3&amp;$I71,OC!$DJ$3:$FE$3))</f>
        <v>46022</v>
      </c>
      <c r="C71">
        <v>840</v>
      </c>
      <c r="D71">
        <v>21</v>
      </c>
      <c r="E71" t="str">
        <f>_xlfn.XLOOKUP(C71&amp;"-"&amp;D71,REF!$A$3:$A$47,REF!$D$3:$D$47)</f>
        <v>AComm\AComm LTC\PA\NR\IL NR\Garden Cottages</v>
      </c>
      <c r="F71" cm="1">
        <f t="array" ref="F71">INDEX(OC!$DJ$6:$FE$62,_xlfn.XMATCH($C71&amp;"-"&amp;$D71,OC!$DE$6:$DE$62),_xlfn.XMATCH(F$3&amp;$I71,OC!$DJ$3:$FE$3))</f>
        <v>66</v>
      </c>
      <c r="G71" cm="1">
        <f t="array" ref="G71">INDEX(OC!$DJ$6:$FE$62,_xlfn.XMATCH($C71&amp;"-"&amp;$D71,OC!$DE$6:$DE$62),_xlfn.XMATCH(G$3&amp;$I71,OC!$DJ$3:$FE$3))</f>
        <v>62</v>
      </c>
      <c r="I71">
        <f>COUNTIFS($C$4:C71,C71,$D$4:D71,D71)</f>
        <v>1</v>
      </c>
    </row>
    <row r="72" spans="1:9" x14ac:dyDescent="0.25">
      <c r="A72" s="1" cm="1">
        <f t="array" ref="A72">INDEX(OC!$DJ$6:$FE$62,_xlfn.XMATCH($C72&amp;"-"&amp;$D72,OC!$DE$6:$DE$62),_xlfn.XMATCH(A$3&amp;$I72,OC!$DJ$3:$FE$3))</f>
        <v>45658</v>
      </c>
      <c r="B72" s="1" cm="1">
        <f t="array" ref="B72">INDEX(OC!$DJ$6:$FE$62,_xlfn.XMATCH($C72&amp;"-"&amp;$D72,OC!$DE$6:$DE$62),_xlfn.XMATCH(B$3&amp;$I72,OC!$DJ$3:$FE$3))</f>
        <v>46022</v>
      </c>
      <c r="C72">
        <v>840</v>
      </c>
      <c r="D72">
        <v>31</v>
      </c>
      <c r="E72" t="str">
        <f>_xlfn.XLOOKUP(C72&amp;"-"&amp;D72,REF!$A$3:$A$47,REF!$D$3:$D$47)</f>
        <v>AComm\AComm LTC\PA\NR\IL NR\Manchester Apts</v>
      </c>
      <c r="F72" cm="1">
        <f t="array" ref="F72">INDEX(OC!$DJ$6:$FE$62,_xlfn.XMATCH($C72&amp;"-"&amp;$D72,OC!$DE$6:$DE$62),_xlfn.XMATCH(F$3&amp;$I72,OC!$DJ$3:$FE$3))</f>
        <v>88</v>
      </c>
      <c r="G72" cm="1">
        <f t="array" ref="G72">INDEX(OC!$DJ$6:$FE$62,_xlfn.XMATCH($C72&amp;"-"&amp;$D72,OC!$DE$6:$DE$62),_xlfn.XMATCH(G$3&amp;$I72,OC!$DJ$3:$FE$3))</f>
        <v>84</v>
      </c>
      <c r="I72">
        <f>COUNTIFS($C$4:C72,C72,$D$4:D72,D72)</f>
        <v>1</v>
      </c>
    </row>
    <row r="73" spans="1:9" x14ac:dyDescent="0.25">
      <c r="A73" s="1" cm="1">
        <f t="array" ref="A73">INDEX(OC!$DJ$6:$FE$62,_xlfn.XMATCH($C73&amp;"-"&amp;$D73,OC!$DE$6:$DE$62),_xlfn.XMATCH(A$3&amp;$I73,OC!$DJ$3:$FE$3))</f>
        <v>45658</v>
      </c>
      <c r="B73" s="1" cm="1">
        <f t="array" ref="B73">INDEX(OC!$DJ$6:$FE$62,_xlfn.XMATCH($C73&amp;"-"&amp;$D73,OC!$DE$6:$DE$62),_xlfn.XMATCH(B$3&amp;$I73,OC!$DJ$3:$FE$3))</f>
        <v>46022</v>
      </c>
      <c r="C73">
        <v>840</v>
      </c>
      <c r="D73">
        <v>51</v>
      </c>
      <c r="E73" t="str">
        <f>_xlfn.XLOOKUP(C73&amp;"-"&amp;D73,REF!$A$3:$A$47,REF!$D$3:$D$47)</f>
        <v>AComm\AComm LTC\PA\NR\AL NR\NR PC</v>
      </c>
      <c r="F73" cm="1">
        <f t="array" ref="F73">INDEX(OC!$DJ$6:$FE$62,_xlfn.XMATCH($C73&amp;"-"&amp;$D73,OC!$DE$6:$DE$62),_xlfn.XMATCH(F$3&amp;$I73,OC!$DJ$3:$FE$3))</f>
        <v>9</v>
      </c>
      <c r="G73" cm="1">
        <f t="array" ref="G73">INDEX(OC!$DJ$6:$FE$62,_xlfn.XMATCH($C73&amp;"-"&amp;$D73,OC!$DE$6:$DE$62),_xlfn.XMATCH(G$3&amp;$I73,OC!$DJ$3:$FE$3))</f>
        <v>8.5</v>
      </c>
      <c r="I73">
        <f>COUNTIFS($C$4:C73,C73,$D$4:D73,D73)</f>
        <v>1</v>
      </c>
    </row>
    <row r="74" spans="1:9" x14ac:dyDescent="0.25">
      <c r="A74" s="1" cm="1">
        <f t="array" ref="A74">INDEX(OC!$DJ$6:$FE$62,_xlfn.XMATCH($C74&amp;"-"&amp;$D74,OC!$DE$6:$DE$62),_xlfn.XMATCH(A$3&amp;$I74,OC!$DJ$3:$FE$3))</f>
        <v>45658</v>
      </c>
      <c r="B74" s="1" cm="1">
        <f t="array" ref="B74">INDEX(OC!$DJ$6:$FE$62,_xlfn.XMATCH($C74&amp;"-"&amp;$D74,OC!$DE$6:$DE$62),_xlfn.XMATCH(B$3&amp;$I74,OC!$DJ$3:$FE$3))</f>
        <v>46022</v>
      </c>
      <c r="C74">
        <v>840</v>
      </c>
      <c r="D74">
        <v>52</v>
      </c>
      <c r="E74" t="str">
        <f>_xlfn.XLOOKUP(C74&amp;"-"&amp;D74,REF!$A$3:$A$47,REF!$D$3:$D$47)</f>
        <v>Assisted Living (Memory Care)</v>
      </c>
      <c r="F74" cm="1">
        <f t="array" ref="F74">INDEX(OC!$DJ$6:$FE$62,_xlfn.XMATCH($C74&amp;"-"&amp;$D74,OC!$DE$6:$DE$62),_xlfn.XMATCH(F$3&amp;$I74,OC!$DJ$3:$FE$3))</f>
        <v>16</v>
      </c>
      <c r="G74" cm="1">
        <f t="array" ref="G74">INDEX(OC!$DJ$6:$FE$62,_xlfn.XMATCH($C74&amp;"-"&amp;$D74,OC!$DE$6:$DE$62),_xlfn.XMATCH(G$3&amp;$I74,OC!$DJ$3:$FE$3))</f>
        <v>15.5</v>
      </c>
      <c r="I74">
        <f>COUNTIFS($C$4:C74,C74,$D$4:D74,D74)</f>
        <v>1</v>
      </c>
    </row>
    <row r="75" spans="1:9" x14ac:dyDescent="0.25">
      <c r="A75" s="1" cm="1">
        <f t="array" ref="A75">INDEX(OC!$DJ$6:$FE$62,_xlfn.XMATCH($C75&amp;"-"&amp;$D75,OC!$DE$6:$DE$62),_xlfn.XMATCH(A$3&amp;$I75,OC!$DJ$3:$FE$3))</f>
        <v>45658</v>
      </c>
      <c r="B75" s="1" cm="1">
        <f t="array" ref="B75">INDEX(OC!$DJ$6:$FE$62,_xlfn.XMATCH($C75&amp;"-"&amp;$D75,OC!$DE$6:$DE$62),_xlfn.XMATCH(B$3&amp;$I75,OC!$DJ$3:$FE$3))</f>
        <v>46022</v>
      </c>
      <c r="C75">
        <v>840</v>
      </c>
      <c r="D75">
        <v>61</v>
      </c>
      <c r="E75" t="str">
        <f>_xlfn.XLOOKUP(C75&amp;"-"&amp;D75,REF!$A$3:$A$47,REF!$D$3:$D$47)</f>
        <v>Skilled Nursing Facility</v>
      </c>
      <c r="F75" cm="1">
        <f t="array" ref="F75">INDEX(OC!$DJ$6:$FE$62,_xlfn.XMATCH($C75&amp;"-"&amp;$D75,OC!$DE$6:$DE$62),_xlfn.XMATCH(F$3&amp;$I75,OC!$DJ$3:$FE$3))</f>
        <v>64</v>
      </c>
      <c r="G75" cm="1">
        <f t="array" ref="G75">INDEX(OC!$DJ$6:$FE$62,_xlfn.XMATCH($C75&amp;"-"&amp;$D75,OC!$DE$6:$DE$62),_xlfn.XMATCH(G$3&amp;$I75,OC!$DJ$3:$FE$3))</f>
        <v>61</v>
      </c>
      <c r="I75">
        <f>COUNTIFS($C$4:C75,C75,$D$4:D75,D75)</f>
        <v>1</v>
      </c>
    </row>
  </sheetData>
  <autoFilter ref="D3:D77" xr:uid="{6D81D8F8-E378-4A76-A139-24958DD66D4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DF5C-9234-44E1-9551-F62152B3F9D3}">
  <sheetPr filterMode="1"/>
  <dimension ref="B1:FF73"/>
  <sheetViews>
    <sheetView workbookViewId="0">
      <pane xSplit="2" ySplit="5" topLeftCell="U21" activePane="bottomRight" state="frozen"/>
      <selection pane="topRight" activeCell="C1" sqref="C1"/>
      <selection pane="bottomLeft" activeCell="A6" sqref="A6"/>
      <selection pane="bottomRight" activeCell="AC37" sqref="AC37"/>
    </sheetView>
  </sheetViews>
  <sheetFormatPr defaultRowHeight="15" outlineLevelCol="1" x14ac:dyDescent="0.25"/>
  <cols>
    <col min="1" max="1" width="1.7109375" customWidth="1"/>
    <col min="2" max="2" width="43" customWidth="1"/>
    <col min="3" max="14" width="10.42578125" customWidth="1"/>
    <col min="15" max="15" width="1.7109375" customWidth="1"/>
    <col min="16" max="27" width="10.42578125" customWidth="1"/>
    <col min="28" max="28" width="1.7109375" style="30" customWidth="1"/>
    <col min="41" max="41" width="1.7109375" customWidth="1"/>
    <col min="54" max="54" width="1.7109375" customWidth="1"/>
    <col min="55" max="66" width="9.7109375" bestFit="1" customWidth="1"/>
    <col min="67" max="67" width="1.7109375" customWidth="1"/>
    <col min="68" max="76" width="9.7109375" bestFit="1" customWidth="1"/>
    <col min="77" max="77" width="11.140625" customWidth="1"/>
    <col min="78" max="79" width="10.7109375" bestFit="1" customWidth="1"/>
    <col min="80" max="80" width="1.7109375" customWidth="1"/>
    <col min="81" max="92" width="9.7109375" bestFit="1" customWidth="1" outlineLevel="1"/>
    <col min="93" max="93" width="1.7109375" customWidth="1" outlineLevel="1"/>
    <col min="94" max="102" width="9.7109375" bestFit="1" customWidth="1" outlineLevel="1"/>
    <col min="103" max="103" width="11.140625" customWidth="1" outlineLevel="1"/>
    <col min="104" max="105" width="10.7109375" bestFit="1" customWidth="1" outlineLevel="1"/>
    <col min="106" max="106" width="1.7109375" customWidth="1"/>
    <col min="109" max="109" width="12.5703125" bestFit="1" customWidth="1"/>
    <col min="110" max="110" width="1.7109375" customWidth="1"/>
    <col min="111" max="112" width="11.28515625" customWidth="1"/>
    <col min="113" max="113" width="1.7109375" customWidth="1"/>
    <col min="114" max="114" width="10.7109375" customWidth="1"/>
    <col min="115" max="115" width="11.28515625" customWidth="1"/>
    <col min="116" max="116" width="12.28515625" customWidth="1"/>
    <col min="117" max="117" width="10.28515625" customWidth="1"/>
    <col min="118" max="118" width="10.7109375" customWidth="1"/>
    <col min="119" max="119" width="11.28515625" customWidth="1"/>
    <col min="120" max="120" width="12.28515625" customWidth="1"/>
    <col min="121" max="121" width="10.28515625" customWidth="1"/>
    <col min="122" max="122" width="10.7109375" customWidth="1"/>
    <col min="123" max="123" width="11.28515625" customWidth="1"/>
    <col min="124" max="124" width="12.28515625" customWidth="1"/>
    <col min="125" max="125" width="10.28515625" customWidth="1"/>
    <col min="126" max="126" width="10.7109375" customWidth="1"/>
    <col min="127" max="127" width="11.28515625" customWidth="1"/>
    <col min="128" max="128" width="12.28515625" customWidth="1"/>
    <col min="129" max="129" width="10.28515625" customWidth="1"/>
    <col min="130" max="130" width="10.7109375" customWidth="1"/>
    <col min="131" max="131" width="11.28515625" customWidth="1"/>
    <col min="132" max="132" width="12.28515625" customWidth="1"/>
    <col min="133" max="133" width="10.28515625" customWidth="1"/>
    <col min="134" max="134" width="10.7109375" customWidth="1"/>
    <col min="135" max="135" width="11.28515625" customWidth="1"/>
    <col min="136" max="136" width="12.28515625" customWidth="1"/>
    <col min="137" max="137" width="10.28515625" customWidth="1"/>
    <col min="138" max="138" width="10.7109375" customWidth="1"/>
    <col min="139" max="139" width="11.28515625" customWidth="1"/>
    <col min="140" max="140" width="12.28515625" customWidth="1"/>
    <col min="141" max="141" width="10.28515625" customWidth="1"/>
    <col min="142" max="142" width="10.7109375" customWidth="1"/>
    <col min="143" max="143" width="11.28515625" customWidth="1"/>
    <col min="144" max="144" width="12.28515625" customWidth="1"/>
    <col min="145" max="145" width="10.28515625" customWidth="1"/>
    <col min="146" max="146" width="10.7109375" customWidth="1"/>
    <col min="147" max="147" width="11.28515625" customWidth="1"/>
    <col min="148" max="148" width="12.28515625" customWidth="1"/>
    <col min="149" max="149" width="10.28515625" customWidth="1"/>
    <col min="150" max="150" width="10.7109375" customWidth="1"/>
    <col min="151" max="151" width="11.28515625" customWidth="1"/>
    <col min="152" max="152" width="12.28515625" customWidth="1"/>
    <col min="153" max="153" width="10.28515625" customWidth="1"/>
    <col min="154" max="154" width="10.7109375" customWidth="1"/>
    <col min="155" max="155" width="11.28515625" customWidth="1"/>
    <col min="156" max="156" width="12.28515625" customWidth="1"/>
    <col min="157" max="157" width="10.28515625" customWidth="1"/>
    <col min="158" max="158" width="10.7109375" customWidth="1"/>
    <col min="159" max="159" width="11.28515625" customWidth="1"/>
    <col min="160" max="160" width="12.28515625" customWidth="1"/>
    <col min="161" max="161" width="10.28515625" customWidth="1"/>
    <col min="162" max="162" width="1.7109375" customWidth="1" outlineLevel="1"/>
  </cols>
  <sheetData>
    <row r="1" spans="2:161" x14ac:dyDescent="0.25">
      <c r="B1" s="4" t="s">
        <v>60</v>
      </c>
      <c r="C1" s="4" t="s">
        <v>60</v>
      </c>
      <c r="D1" s="4"/>
      <c r="E1" s="4"/>
      <c r="F1" s="4" t="s">
        <v>60</v>
      </c>
      <c r="G1" s="4"/>
      <c r="H1" s="4"/>
      <c r="I1" s="4" t="s">
        <v>60</v>
      </c>
      <c r="J1" s="4"/>
      <c r="K1" s="4"/>
      <c r="L1" s="4" t="s">
        <v>60</v>
      </c>
      <c r="M1" s="4"/>
      <c r="N1" s="4"/>
      <c r="O1" s="4"/>
      <c r="P1" s="4" t="s">
        <v>60</v>
      </c>
      <c r="Q1" s="4"/>
      <c r="R1" s="4"/>
      <c r="S1" s="4" t="s">
        <v>60</v>
      </c>
      <c r="T1" s="4"/>
      <c r="U1" s="4"/>
      <c r="V1" s="4" t="s">
        <v>60</v>
      </c>
      <c r="W1" s="4"/>
      <c r="X1" s="4"/>
      <c r="Y1" s="4" t="s">
        <v>60</v>
      </c>
      <c r="Z1" s="4"/>
      <c r="AA1" s="4"/>
      <c r="AC1" s="37" t="s">
        <v>178</v>
      </c>
      <c r="AD1" s="37"/>
      <c r="AE1" s="37"/>
      <c r="AF1" s="37" t="s">
        <v>178</v>
      </c>
      <c r="AG1" s="37"/>
      <c r="AH1" s="37"/>
      <c r="AI1" s="37" t="s">
        <v>178</v>
      </c>
      <c r="AJ1" s="37"/>
      <c r="AK1" s="37"/>
      <c r="AL1" s="37" t="s">
        <v>178</v>
      </c>
      <c r="AM1" s="37"/>
      <c r="AN1" s="37"/>
      <c r="AO1" s="37"/>
      <c r="AP1" s="37" t="s">
        <v>178</v>
      </c>
      <c r="AQ1" s="37"/>
      <c r="AR1" s="37"/>
      <c r="AS1" s="37" t="s">
        <v>178</v>
      </c>
      <c r="AT1" s="37"/>
      <c r="AU1" s="37"/>
      <c r="AV1" s="37" t="s">
        <v>178</v>
      </c>
      <c r="AW1" s="37"/>
      <c r="AX1" s="37"/>
      <c r="AY1" s="37" t="s">
        <v>178</v>
      </c>
      <c r="AZ1" s="37"/>
      <c r="BA1" s="37"/>
      <c r="BB1" s="37"/>
      <c r="BC1" s="37" t="s">
        <v>178</v>
      </c>
      <c r="BD1" s="37"/>
      <c r="BE1" s="37"/>
      <c r="BF1" s="37" t="s">
        <v>178</v>
      </c>
      <c r="BG1" s="37"/>
      <c r="BH1" s="37"/>
      <c r="BI1" s="37" t="s">
        <v>178</v>
      </c>
      <c r="BJ1" s="37"/>
      <c r="BK1" s="37"/>
      <c r="BL1" s="37" t="s">
        <v>178</v>
      </c>
      <c r="BM1" s="37"/>
      <c r="BN1" s="37"/>
      <c r="BO1" s="37"/>
      <c r="BP1" s="37" t="s">
        <v>178</v>
      </c>
      <c r="BQ1" s="37"/>
      <c r="BR1" s="37"/>
      <c r="BS1" s="37" t="s">
        <v>178</v>
      </c>
      <c r="BT1" s="37"/>
      <c r="BU1" s="37"/>
      <c r="BV1" s="37" t="s">
        <v>178</v>
      </c>
      <c r="BW1" s="37"/>
      <c r="BX1" s="37"/>
      <c r="BY1" s="37" t="s">
        <v>178</v>
      </c>
      <c r="BZ1" s="37"/>
      <c r="CA1" s="37"/>
      <c r="CB1" s="37"/>
      <c r="CC1" s="37" t="s">
        <v>178</v>
      </c>
      <c r="CD1" s="37"/>
      <c r="CE1" s="37"/>
      <c r="CF1" s="37" t="s">
        <v>178</v>
      </c>
      <c r="CG1" s="37"/>
      <c r="CH1" s="37"/>
      <c r="CI1" s="37" t="s">
        <v>178</v>
      </c>
      <c r="CJ1" s="37"/>
      <c r="CK1" s="37"/>
      <c r="CL1" s="37" t="s">
        <v>178</v>
      </c>
      <c r="CM1" s="37"/>
      <c r="CN1" s="37"/>
      <c r="CO1" s="37"/>
      <c r="CP1" s="37" t="s">
        <v>178</v>
      </c>
      <c r="CQ1" s="37"/>
      <c r="CR1" s="37"/>
      <c r="CS1" s="37" t="s">
        <v>178</v>
      </c>
      <c r="CT1" s="37"/>
      <c r="CU1" s="37"/>
      <c r="CV1" s="37" t="s">
        <v>178</v>
      </c>
      <c r="CW1" s="37"/>
      <c r="CX1" s="37"/>
      <c r="CY1" s="37" t="s">
        <v>178</v>
      </c>
      <c r="CZ1" s="37"/>
      <c r="DA1" s="37"/>
      <c r="DB1" s="37"/>
      <c r="DC1" s="37" t="s">
        <v>178</v>
      </c>
      <c r="DD1" s="37"/>
      <c r="DE1" s="37"/>
      <c r="DF1" s="37"/>
      <c r="DG1" s="37" t="s">
        <v>178</v>
      </c>
      <c r="DH1" s="37"/>
      <c r="DJ1" s="37" t="s">
        <v>178</v>
      </c>
      <c r="DK1" s="37"/>
      <c r="DL1" s="37"/>
      <c r="DM1" s="37"/>
      <c r="DN1" s="37" t="s">
        <v>178</v>
      </c>
      <c r="DO1" s="37"/>
      <c r="DP1" s="37"/>
      <c r="DQ1" s="37"/>
      <c r="DR1" s="37" t="s">
        <v>178</v>
      </c>
      <c r="DS1" s="37"/>
      <c r="DT1" s="37"/>
      <c r="DU1" s="37"/>
      <c r="DV1" s="37" t="s">
        <v>178</v>
      </c>
      <c r="DW1" s="37"/>
      <c r="DX1" s="37"/>
      <c r="DY1" s="37"/>
      <c r="DZ1" s="37" t="s">
        <v>178</v>
      </c>
      <c r="EA1" s="37"/>
      <c r="EB1" s="37"/>
      <c r="EC1" s="37"/>
      <c r="ED1" s="37" t="s">
        <v>178</v>
      </c>
      <c r="EE1" s="37"/>
      <c r="EF1" s="37"/>
      <c r="EG1" s="37"/>
      <c r="EH1" s="37" t="s">
        <v>178</v>
      </c>
      <c r="EI1" s="37"/>
      <c r="EJ1" s="37"/>
      <c r="EK1" s="37"/>
      <c r="EL1" s="37" t="s">
        <v>178</v>
      </c>
      <c r="EM1" s="37"/>
      <c r="EN1" s="37"/>
      <c r="EO1" s="37"/>
      <c r="EP1" s="37" t="s">
        <v>178</v>
      </c>
      <c r="EQ1" s="37"/>
      <c r="ER1" s="37"/>
      <c r="ES1" s="37"/>
      <c r="ET1" s="37" t="s">
        <v>178</v>
      </c>
      <c r="EU1" s="37"/>
      <c r="EV1" s="37"/>
      <c r="EW1" s="37"/>
      <c r="EX1" s="37" t="s">
        <v>178</v>
      </c>
      <c r="EY1" s="37"/>
      <c r="EZ1" s="37"/>
      <c r="FA1" s="37"/>
      <c r="FB1" s="37" t="s">
        <v>178</v>
      </c>
      <c r="FC1" s="37"/>
      <c r="FD1" s="37"/>
      <c r="FE1" s="37"/>
    </row>
    <row r="2" spans="2:161" x14ac:dyDescent="0.25">
      <c r="AC2" s="5" t="s">
        <v>61</v>
      </c>
      <c r="AD2" s="5" t="s">
        <v>61</v>
      </c>
      <c r="AE2" s="5" t="s">
        <v>61</v>
      </c>
      <c r="AF2" s="5" t="s">
        <v>61</v>
      </c>
      <c r="AG2" s="5" t="s">
        <v>61</v>
      </c>
      <c r="AH2" s="5" t="s">
        <v>61</v>
      </c>
      <c r="AI2" s="5" t="s">
        <v>61</v>
      </c>
      <c r="AJ2" s="5" t="s">
        <v>61</v>
      </c>
      <c r="AK2" s="5" t="s">
        <v>61</v>
      </c>
      <c r="AL2" s="5" t="s">
        <v>61</v>
      </c>
      <c r="AM2" s="5" t="s">
        <v>61</v>
      </c>
      <c r="AN2" s="5" t="s">
        <v>61</v>
      </c>
      <c r="AP2" s="5" t="s">
        <v>61</v>
      </c>
      <c r="AQ2" s="5" t="s">
        <v>61</v>
      </c>
      <c r="AR2" s="5" t="s">
        <v>61</v>
      </c>
      <c r="AS2" s="5" t="s">
        <v>61</v>
      </c>
      <c r="AT2" s="5" t="s">
        <v>61</v>
      </c>
      <c r="AU2" s="5" t="s">
        <v>61</v>
      </c>
      <c r="AV2" s="5" t="s">
        <v>61</v>
      </c>
      <c r="AW2" s="5" t="s">
        <v>61</v>
      </c>
      <c r="AX2" s="5" t="s">
        <v>61</v>
      </c>
      <c r="AY2" s="5" t="s">
        <v>61</v>
      </c>
      <c r="AZ2" s="5" t="s">
        <v>61</v>
      </c>
      <c r="BA2" s="5" t="s">
        <v>61</v>
      </c>
      <c r="BC2" s="5" t="s">
        <v>61</v>
      </c>
      <c r="BD2" s="5" t="s">
        <v>61</v>
      </c>
      <c r="BE2" s="5" t="s">
        <v>61</v>
      </c>
      <c r="BF2" s="5" t="s">
        <v>61</v>
      </c>
      <c r="BG2" s="5" t="s">
        <v>61</v>
      </c>
      <c r="BH2" s="5" t="s">
        <v>61</v>
      </c>
      <c r="BI2" s="5" t="s">
        <v>61</v>
      </c>
      <c r="BJ2" s="5" t="s">
        <v>61</v>
      </c>
      <c r="BK2" s="5" t="s">
        <v>61</v>
      </c>
      <c r="BL2" s="5" t="s">
        <v>61</v>
      </c>
      <c r="BM2" s="5" t="s">
        <v>61</v>
      </c>
      <c r="BN2" s="5" t="s">
        <v>61</v>
      </c>
      <c r="BP2" s="5" t="s">
        <v>61</v>
      </c>
      <c r="BQ2" s="5" t="s">
        <v>61</v>
      </c>
      <c r="BR2" s="5" t="s">
        <v>61</v>
      </c>
      <c r="BS2" s="5" t="s">
        <v>61</v>
      </c>
      <c r="BT2" s="5" t="s">
        <v>61</v>
      </c>
      <c r="BU2" s="5" t="s">
        <v>61</v>
      </c>
      <c r="BV2" s="5" t="s">
        <v>61</v>
      </c>
      <c r="BW2" s="5" t="s">
        <v>61</v>
      </c>
      <c r="BX2" s="5" t="s">
        <v>61</v>
      </c>
      <c r="BY2" s="5" t="s">
        <v>61</v>
      </c>
      <c r="BZ2" s="5" t="s">
        <v>61</v>
      </c>
      <c r="CA2" s="5" t="s">
        <v>61</v>
      </c>
      <c r="CC2" s="5" t="s">
        <v>61</v>
      </c>
      <c r="CD2" s="5" t="s">
        <v>61</v>
      </c>
      <c r="CE2" s="5" t="s">
        <v>61</v>
      </c>
      <c r="CF2" s="5" t="s">
        <v>61</v>
      </c>
      <c r="CG2" s="5" t="s">
        <v>61</v>
      </c>
      <c r="CH2" s="5" t="s">
        <v>61</v>
      </c>
      <c r="CI2" s="5" t="s">
        <v>61</v>
      </c>
      <c r="CJ2" s="5" t="s">
        <v>61</v>
      </c>
      <c r="CK2" s="5" t="s">
        <v>61</v>
      </c>
      <c r="CL2" s="5" t="s">
        <v>61</v>
      </c>
      <c r="CM2" s="5" t="s">
        <v>61</v>
      </c>
      <c r="CN2" s="5" t="s">
        <v>61</v>
      </c>
      <c r="CP2" s="5" t="s">
        <v>61</v>
      </c>
      <c r="CQ2" s="5" t="s">
        <v>61</v>
      </c>
      <c r="CR2" s="5" t="s">
        <v>61</v>
      </c>
      <c r="CS2" s="5" t="s">
        <v>61</v>
      </c>
      <c r="CT2" s="5" t="s">
        <v>61</v>
      </c>
      <c r="CU2" s="5" t="s">
        <v>61</v>
      </c>
      <c r="CV2" s="5" t="s">
        <v>61</v>
      </c>
      <c r="CW2" s="5" t="s">
        <v>61</v>
      </c>
      <c r="CX2" s="5" t="s">
        <v>61</v>
      </c>
      <c r="CY2" s="5" t="s">
        <v>61</v>
      </c>
      <c r="CZ2" s="5" t="s">
        <v>61</v>
      </c>
      <c r="DA2" s="5" t="s">
        <v>61</v>
      </c>
      <c r="DC2" s="5" t="s">
        <v>61</v>
      </c>
      <c r="DD2" s="5" t="s">
        <v>61</v>
      </c>
      <c r="DE2" s="5"/>
      <c r="DG2" s="5" t="s">
        <v>61</v>
      </c>
      <c r="DH2" s="5" t="s">
        <v>61</v>
      </c>
      <c r="DJ2" s="5" t="s">
        <v>61</v>
      </c>
      <c r="DK2" s="5" t="s">
        <v>61</v>
      </c>
      <c r="DL2" s="5" t="s">
        <v>61</v>
      </c>
      <c r="DM2" s="5" t="s">
        <v>61</v>
      </c>
      <c r="DN2" s="5" t="s">
        <v>61</v>
      </c>
      <c r="DO2" s="5" t="s">
        <v>61</v>
      </c>
      <c r="DP2" s="5" t="s">
        <v>61</v>
      </c>
      <c r="DQ2" s="5" t="s">
        <v>61</v>
      </c>
      <c r="DR2" s="5" t="s">
        <v>61</v>
      </c>
      <c r="DS2" s="5" t="s">
        <v>61</v>
      </c>
      <c r="DT2" s="5" t="s">
        <v>61</v>
      </c>
      <c r="DU2" s="5" t="s">
        <v>61</v>
      </c>
      <c r="DV2" s="5" t="s">
        <v>61</v>
      </c>
      <c r="DW2" s="5" t="s">
        <v>61</v>
      </c>
      <c r="DX2" s="5" t="s">
        <v>61</v>
      </c>
      <c r="DY2" s="5" t="s">
        <v>61</v>
      </c>
      <c r="DZ2" s="5" t="s">
        <v>61</v>
      </c>
      <c r="EA2" s="5" t="s">
        <v>61</v>
      </c>
      <c r="EB2" s="5" t="s">
        <v>61</v>
      </c>
      <c r="EC2" s="5" t="s">
        <v>61</v>
      </c>
      <c r="ED2" s="5" t="s">
        <v>61</v>
      </c>
      <c r="EE2" s="5" t="s">
        <v>61</v>
      </c>
      <c r="EF2" s="5" t="s">
        <v>61</v>
      </c>
      <c r="EG2" s="5" t="s">
        <v>61</v>
      </c>
      <c r="EH2" s="5" t="s">
        <v>61</v>
      </c>
      <c r="EI2" s="5" t="s">
        <v>61</v>
      </c>
      <c r="EJ2" s="5" t="s">
        <v>61</v>
      </c>
      <c r="EK2" s="5" t="s">
        <v>61</v>
      </c>
      <c r="EL2" s="5" t="s">
        <v>61</v>
      </c>
      <c r="EM2" s="5" t="s">
        <v>61</v>
      </c>
      <c r="EN2" s="5" t="s">
        <v>61</v>
      </c>
      <c r="EO2" s="5" t="s">
        <v>61</v>
      </c>
      <c r="EP2" s="5" t="s">
        <v>61</v>
      </c>
      <c r="EQ2" s="5" t="s">
        <v>61</v>
      </c>
      <c r="ER2" s="5" t="s">
        <v>61</v>
      </c>
      <c r="ES2" s="5" t="s">
        <v>61</v>
      </c>
      <c r="ET2" s="5" t="s">
        <v>61</v>
      </c>
      <c r="EU2" s="5" t="s">
        <v>61</v>
      </c>
      <c r="EV2" s="5" t="s">
        <v>61</v>
      </c>
      <c r="EW2" s="5" t="s">
        <v>61</v>
      </c>
      <c r="EX2" s="5" t="s">
        <v>61</v>
      </c>
      <c r="EY2" s="5" t="s">
        <v>61</v>
      </c>
      <c r="EZ2" s="5" t="s">
        <v>61</v>
      </c>
      <c r="FA2" s="5" t="s">
        <v>61</v>
      </c>
      <c r="FB2" s="5" t="s">
        <v>61</v>
      </c>
      <c r="FC2" s="5" t="s">
        <v>61</v>
      </c>
      <c r="FD2" s="5" t="s">
        <v>61</v>
      </c>
      <c r="FE2" s="5" t="s">
        <v>61</v>
      </c>
    </row>
    <row r="3" spans="2:161" ht="30" x14ac:dyDescent="0.25">
      <c r="C3" s="11" t="s">
        <v>219</v>
      </c>
      <c r="D3" s="11" t="s">
        <v>219</v>
      </c>
      <c r="E3" s="11" t="s">
        <v>219</v>
      </c>
      <c r="F3" s="11" t="s">
        <v>219</v>
      </c>
      <c r="G3" s="11" t="s">
        <v>219</v>
      </c>
      <c r="H3" s="11" t="s">
        <v>219</v>
      </c>
      <c r="I3" s="11" t="s">
        <v>219</v>
      </c>
      <c r="J3" s="11" t="s">
        <v>219</v>
      </c>
      <c r="K3" s="11" t="s">
        <v>219</v>
      </c>
      <c r="L3" s="11" t="s">
        <v>219</v>
      </c>
      <c r="M3" s="11" t="s">
        <v>219</v>
      </c>
      <c r="N3" s="11" t="s">
        <v>219</v>
      </c>
      <c r="O3" s="9"/>
      <c r="P3" s="11" t="s">
        <v>219</v>
      </c>
      <c r="Q3" s="11" t="s">
        <v>219</v>
      </c>
      <c r="R3" s="11" t="s">
        <v>219</v>
      </c>
      <c r="S3" s="11" t="s">
        <v>219</v>
      </c>
      <c r="T3" s="11" t="s">
        <v>219</v>
      </c>
      <c r="U3" s="11" t="s">
        <v>219</v>
      </c>
      <c r="V3" s="11" t="s">
        <v>219</v>
      </c>
      <c r="W3" s="11" t="s">
        <v>219</v>
      </c>
      <c r="X3" s="11" t="s">
        <v>219</v>
      </c>
      <c r="Y3" s="11" t="s">
        <v>219</v>
      </c>
      <c r="Z3" s="11" t="s">
        <v>219</v>
      </c>
      <c r="AA3" s="11" t="s">
        <v>219</v>
      </c>
      <c r="AN3" s="32"/>
      <c r="BC3" s="39" t="s">
        <v>184</v>
      </c>
      <c r="BP3" s="39" t="s">
        <v>184</v>
      </c>
      <c r="DJ3" s="48" t="str">
        <f>DJ4&amp;DJ5</f>
        <v>StartDate1</v>
      </c>
      <c r="DK3" s="48" t="str">
        <f t="shared" ref="DK3:FE3" si="0">DK4&amp;DK5</f>
        <v>EndDate1</v>
      </c>
      <c r="DL3" s="48" t="str">
        <f t="shared" si="0"/>
        <v>BudgetAvailablePerDay1</v>
      </c>
      <c r="DM3" s="48" t="str">
        <f t="shared" si="0"/>
        <v>BudgetResidentDaysPerDay1</v>
      </c>
      <c r="DN3" s="48" t="str">
        <f t="shared" si="0"/>
        <v>StartDate2</v>
      </c>
      <c r="DO3" s="48" t="str">
        <f t="shared" si="0"/>
        <v>EndDate2</v>
      </c>
      <c r="DP3" s="48" t="str">
        <f t="shared" si="0"/>
        <v>BudgetAvailablePerDay2</v>
      </c>
      <c r="DQ3" s="48" t="str">
        <f t="shared" si="0"/>
        <v>BudgetResidentDaysPerDay2</v>
      </c>
      <c r="DR3" s="48" t="str">
        <f t="shared" si="0"/>
        <v>StartDate3</v>
      </c>
      <c r="DS3" s="48" t="str">
        <f t="shared" si="0"/>
        <v>EndDate3</v>
      </c>
      <c r="DT3" s="48" t="str">
        <f t="shared" si="0"/>
        <v>BudgetAvailablePerDay3</v>
      </c>
      <c r="DU3" s="48" t="str">
        <f t="shared" si="0"/>
        <v>BudgetResidentDaysPerDay3</v>
      </c>
      <c r="DV3" s="48" t="str">
        <f t="shared" si="0"/>
        <v>StartDate4</v>
      </c>
      <c r="DW3" s="48" t="str">
        <f t="shared" si="0"/>
        <v>EndDate4</v>
      </c>
      <c r="DX3" s="48" t="str">
        <f t="shared" si="0"/>
        <v>BudgetAvailablePerDay4</v>
      </c>
      <c r="DY3" s="48" t="str">
        <f t="shared" si="0"/>
        <v>BudgetResidentDaysPerDay4</v>
      </c>
      <c r="DZ3" s="48" t="str">
        <f t="shared" si="0"/>
        <v>StartDate5</v>
      </c>
      <c r="EA3" s="48" t="str">
        <f t="shared" si="0"/>
        <v>EndDate5</v>
      </c>
      <c r="EB3" s="48" t="str">
        <f t="shared" si="0"/>
        <v>BudgetAvailablePerDay5</v>
      </c>
      <c r="EC3" s="48" t="str">
        <f t="shared" si="0"/>
        <v>BudgetResidentDaysPerDay5</v>
      </c>
      <c r="ED3" s="48" t="str">
        <f t="shared" si="0"/>
        <v>StartDate6</v>
      </c>
      <c r="EE3" s="48" t="str">
        <f t="shared" si="0"/>
        <v>EndDate6</v>
      </c>
      <c r="EF3" s="48" t="str">
        <f t="shared" si="0"/>
        <v>BudgetAvailablePerDay6</v>
      </c>
      <c r="EG3" s="48" t="str">
        <f t="shared" si="0"/>
        <v>BudgetResidentDaysPerDay6</v>
      </c>
      <c r="EH3" s="48" t="str">
        <f t="shared" si="0"/>
        <v>StartDate7</v>
      </c>
      <c r="EI3" s="48" t="str">
        <f t="shared" si="0"/>
        <v>EndDate7</v>
      </c>
      <c r="EJ3" s="48" t="str">
        <f t="shared" si="0"/>
        <v>BudgetAvailablePerDay7</v>
      </c>
      <c r="EK3" s="48" t="str">
        <f t="shared" si="0"/>
        <v>BudgetResidentDaysPerDay7</v>
      </c>
      <c r="EL3" s="48" t="str">
        <f t="shared" si="0"/>
        <v>StartDate8</v>
      </c>
      <c r="EM3" s="48" t="str">
        <f t="shared" si="0"/>
        <v>EndDate8</v>
      </c>
      <c r="EN3" s="48" t="str">
        <f t="shared" si="0"/>
        <v>BudgetAvailablePerDay8</v>
      </c>
      <c r="EO3" s="48" t="str">
        <f t="shared" si="0"/>
        <v>BudgetResidentDaysPerDay8</v>
      </c>
      <c r="EP3" s="48" t="str">
        <f t="shared" si="0"/>
        <v>StartDate9</v>
      </c>
      <c r="EQ3" s="48" t="str">
        <f t="shared" si="0"/>
        <v>EndDate9</v>
      </c>
      <c r="ER3" s="48" t="str">
        <f t="shared" si="0"/>
        <v>BudgetAvailablePerDay9</v>
      </c>
      <c r="ES3" s="48" t="str">
        <f t="shared" si="0"/>
        <v>BudgetResidentDaysPerDay9</v>
      </c>
      <c r="ET3" s="48" t="str">
        <f t="shared" si="0"/>
        <v>StartDate10</v>
      </c>
      <c r="EU3" s="48" t="str">
        <f t="shared" si="0"/>
        <v>EndDate10</v>
      </c>
      <c r="EV3" s="48" t="str">
        <f t="shared" si="0"/>
        <v>BudgetAvailablePerDay10</v>
      </c>
      <c r="EW3" s="48" t="str">
        <f t="shared" si="0"/>
        <v>BudgetResidentDaysPerDay10</v>
      </c>
      <c r="EX3" s="48" t="str">
        <f t="shared" si="0"/>
        <v>StartDate11</v>
      </c>
      <c r="EY3" s="48" t="str">
        <f t="shared" si="0"/>
        <v>EndDate11</v>
      </c>
      <c r="EZ3" s="48" t="str">
        <f t="shared" si="0"/>
        <v>BudgetAvailablePerDay11</v>
      </c>
      <c r="FA3" s="48" t="str">
        <f t="shared" si="0"/>
        <v>BudgetResidentDaysPerDay11</v>
      </c>
      <c r="FB3" s="48" t="str">
        <f t="shared" si="0"/>
        <v>StartDate12</v>
      </c>
      <c r="FC3" s="48" t="str">
        <f t="shared" si="0"/>
        <v>EndDate12</v>
      </c>
      <c r="FD3" s="48" t="str">
        <f t="shared" si="0"/>
        <v>BudgetAvailablePerDay12</v>
      </c>
      <c r="FE3" s="48" t="str">
        <f t="shared" si="0"/>
        <v>BudgetResidentDaysPerDay12</v>
      </c>
    </row>
    <row r="4" spans="2:161" ht="45" x14ac:dyDescent="0.25">
      <c r="C4" s="12" t="s">
        <v>62</v>
      </c>
      <c r="D4" s="12" t="s">
        <v>62</v>
      </c>
      <c r="E4" s="12" t="s">
        <v>62</v>
      </c>
      <c r="F4" s="12" t="s">
        <v>62</v>
      </c>
      <c r="G4" s="12" t="s">
        <v>62</v>
      </c>
      <c r="H4" s="12" t="s">
        <v>62</v>
      </c>
      <c r="I4" s="12" t="s">
        <v>62</v>
      </c>
      <c r="J4" s="12" t="s">
        <v>62</v>
      </c>
      <c r="K4" s="12" t="s">
        <v>62</v>
      </c>
      <c r="L4" s="12" t="s">
        <v>62</v>
      </c>
      <c r="M4" s="12" t="s">
        <v>62</v>
      </c>
      <c r="N4" s="12" t="s">
        <v>62</v>
      </c>
      <c r="P4" s="13" t="s">
        <v>63</v>
      </c>
      <c r="Q4" s="13" t="s">
        <v>63</v>
      </c>
      <c r="R4" s="13" t="s">
        <v>63</v>
      </c>
      <c r="S4" s="13" t="s">
        <v>63</v>
      </c>
      <c r="T4" s="13" t="s">
        <v>63</v>
      </c>
      <c r="U4" s="13" t="s">
        <v>63</v>
      </c>
      <c r="V4" s="13" t="s">
        <v>63</v>
      </c>
      <c r="W4" s="13" t="s">
        <v>63</v>
      </c>
      <c r="X4" s="13" t="s">
        <v>63</v>
      </c>
      <c r="Y4" s="13" t="s">
        <v>63</v>
      </c>
      <c r="Z4" s="13" t="s">
        <v>63</v>
      </c>
      <c r="AA4" s="13" t="s">
        <v>63</v>
      </c>
      <c r="AC4" s="31" t="s">
        <v>177</v>
      </c>
      <c r="AD4" s="31" t="s">
        <v>177</v>
      </c>
      <c r="AE4" s="31" t="s">
        <v>177</v>
      </c>
      <c r="AF4" s="31" t="s">
        <v>177</v>
      </c>
      <c r="AG4" s="31" t="s">
        <v>177</v>
      </c>
      <c r="AH4" s="31" t="s">
        <v>177</v>
      </c>
      <c r="AI4" s="31" t="s">
        <v>177</v>
      </c>
      <c r="AJ4" s="31" t="s">
        <v>177</v>
      </c>
      <c r="AK4" s="31" t="s">
        <v>177</v>
      </c>
      <c r="AL4" s="31" t="s">
        <v>177</v>
      </c>
      <c r="AM4" s="31" t="s">
        <v>177</v>
      </c>
      <c r="AN4" s="31" t="s">
        <v>177</v>
      </c>
      <c r="AP4" s="31" t="s">
        <v>176</v>
      </c>
      <c r="AQ4" s="31" t="s">
        <v>176</v>
      </c>
      <c r="AR4" s="31" t="s">
        <v>176</v>
      </c>
      <c r="AS4" s="31" t="s">
        <v>176</v>
      </c>
      <c r="AT4" s="31" t="s">
        <v>176</v>
      </c>
      <c r="AU4" s="31" t="s">
        <v>176</v>
      </c>
      <c r="AV4" s="31" t="s">
        <v>176</v>
      </c>
      <c r="AW4" s="31" t="s">
        <v>176</v>
      </c>
      <c r="AX4" s="31" t="s">
        <v>176</v>
      </c>
      <c r="AY4" s="31" t="s">
        <v>176</v>
      </c>
      <c r="AZ4" s="31" t="s">
        <v>176</v>
      </c>
      <c r="BA4" s="31" t="s">
        <v>176</v>
      </c>
      <c r="BC4" s="31" t="s">
        <v>182</v>
      </c>
      <c r="BD4" s="31" t="s">
        <v>182</v>
      </c>
      <c r="BE4" s="31" t="s">
        <v>182</v>
      </c>
      <c r="BF4" s="31" t="s">
        <v>182</v>
      </c>
      <c r="BG4" s="31" t="s">
        <v>182</v>
      </c>
      <c r="BH4" s="31" t="s">
        <v>182</v>
      </c>
      <c r="BI4" s="31" t="s">
        <v>182</v>
      </c>
      <c r="BJ4" s="31" t="s">
        <v>182</v>
      </c>
      <c r="BK4" s="31" t="s">
        <v>182</v>
      </c>
      <c r="BL4" s="31" t="s">
        <v>182</v>
      </c>
      <c r="BM4" s="31" t="s">
        <v>182</v>
      </c>
      <c r="BN4" s="31" t="s">
        <v>182</v>
      </c>
      <c r="BP4" s="31" t="s">
        <v>183</v>
      </c>
      <c r="BQ4" s="31" t="s">
        <v>183</v>
      </c>
      <c r="BR4" s="31" t="s">
        <v>183</v>
      </c>
      <c r="BS4" s="31" t="s">
        <v>183</v>
      </c>
      <c r="BT4" s="31" t="s">
        <v>183</v>
      </c>
      <c r="BU4" s="31" t="s">
        <v>183</v>
      </c>
      <c r="BV4" s="31" t="s">
        <v>183</v>
      </c>
      <c r="BW4" s="31" t="s">
        <v>183</v>
      </c>
      <c r="BX4" s="31" t="s">
        <v>183</v>
      </c>
      <c r="BY4" s="31" t="s">
        <v>183</v>
      </c>
      <c r="BZ4" s="31" t="s">
        <v>183</v>
      </c>
      <c r="CA4" s="31" t="s">
        <v>183</v>
      </c>
      <c r="CC4" s="31" t="s">
        <v>194</v>
      </c>
      <c r="CD4" s="31" t="s">
        <v>194</v>
      </c>
      <c r="CE4" s="31" t="s">
        <v>194</v>
      </c>
      <c r="CF4" s="31" t="s">
        <v>194</v>
      </c>
      <c r="CG4" s="31" t="s">
        <v>194</v>
      </c>
      <c r="CH4" s="31" t="s">
        <v>194</v>
      </c>
      <c r="CI4" s="31" t="s">
        <v>194</v>
      </c>
      <c r="CJ4" s="31" t="s">
        <v>194</v>
      </c>
      <c r="CK4" s="31" t="s">
        <v>194</v>
      </c>
      <c r="CL4" s="31" t="s">
        <v>194</v>
      </c>
      <c r="CM4" s="31" t="s">
        <v>194</v>
      </c>
      <c r="CN4" s="31" t="s">
        <v>194</v>
      </c>
      <c r="CP4" s="31" t="s">
        <v>195</v>
      </c>
      <c r="CQ4" s="31" t="s">
        <v>195</v>
      </c>
      <c r="CR4" s="31" t="s">
        <v>195</v>
      </c>
      <c r="CS4" s="31" t="s">
        <v>195</v>
      </c>
      <c r="CT4" s="31" t="s">
        <v>195</v>
      </c>
      <c r="CU4" s="31" t="s">
        <v>195</v>
      </c>
      <c r="CV4" s="31" t="s">
        <v>195</v>
      </c>
      <c r="CW4" s="31" t="s">
        <v>195</v>
      </c>
      <c r="CX4" s="31" t="s">
        <v>195</v>
      </c>
      <c r="CY4" s="31" t="s">
        <v>195</v>
      </c>
      <c r="CZ4" s="31" t="s">
        <v>195</v>
      </c>
      <c r="DA4" s="31" t="s">
        <v>195</v>
      </c>
      <c r="DG4" s="31" t="s">
        <v>186</v>
      </c>
      <c r="DH4" s="31" t="s">
        <v>187</v>
      </c>
      <c r="DJ4" s="31" t="s">
        <v>0</v>
      </c>
      <c r="DK4" s="31" t="s">
        <v>1</v>
      </c>
      <c r="DL4" s="31" t="s">
        <v>5</v>
      </c>
      <c r="DM4" s="31" t="s">
        <v>6</v>
      </c>
      <c r="DN4" s="31" t="s">
        <v>0</v>
      </c>
      <c r="DO4" s="31" t="s">
        <v>1</v>
      </c>
      <c r="DP4" s="31" t="s">
        <v>5</v>
      </c>
      <c r="DQ4" s="31" t="s">
        <v>6</v>
      </c>
      <c r="DR4" s="31" t="s">
        <v>0</v>
      </c>
      <c r="DS4" s="31" t="s">
        <v>1</v>
      </c>
      <c r="DT4" s="31" t="s">
        <v>5</v>
      </c>
      <c r="DU4" s="31" t="s">
        <v>6</v>
      </c>
      <c r="DV4" s="31" t="s">
        <v>0</v>
      </c>
      <c r="DW4" s="31" t="s">
        <v>1</v>
      </c>
      <c r="DX4" s="31" t="s">
        <v>5</v>
      </c>
      <c r="DY4" s="31" t="s">
        <v>6</v>
      </c>
      <c r="DZ4" s="31" t="s">
        <v>0</v>
      </c>
      <c r="EA4" s="31" t="s">
        <v>1</v>
      </c>
      <c r="EB4" s="31" t="s">
        <v>5</v>
      </c>
      <c r="EC4" s="31" t="s">
        <v>6</v>
      </c>
      <c r="ED4" s="31" t="s">
        <v>0</v>
      </c>
      <c r="EE4" s="31" t="s">
        <v>1</v>
      </c>
      <c r="EF4" s="31" t="s">
        <v>5</v>
      </c>
      <c r="EG4" s="31" t="s">
        <v>6</v>
      </c>
      <c r="EH4" s="31" t="s">
        <v>0</v>
      </c>
      <c r="EI4" s="31" t="s">
        <v>1</v>
      </c>
      <c r="EJ4" s="31" t="s">
        <v>5</v>
      </c>
      <c r="EK4" s="31" t="s">
        <v>6</v>
      </c>
      <c r="EL4" s="31" t="s">
        <v>0</v>
      </c>
      <c r="EM4" s="31" t="s">
        <v>1</v>
      </c>
      <c r="EN4" s="31" t="s">
        <v>5</v>
      </c>
      <c r="EO4" s="31" t="s">
        <v>6</v>
      </c>
      <c r="EP4" s="31" t="s">
        <v>0</v>
      </c>
      <c r="EQ4" s="31" t="s">
        <v>1</v>
      </c>
      <c r="ER4" s="31" t="s">
        <v>5</v>
      </c>
      <c r="ES4" s="31" t="s">
        <v>6</v>
      </c>
      <c r="ET4" s="31" t="s">
        <v>0</v>
      </c>
      <c r="EU4" s="31" t="s">
        <v>1</v>
      </c>
      <c r="EV4" s="31" t="s">
        <v>5</v>
      </c>
      <c r="EW4" s="31" t="s">
        <v>6</v>
      </c>
      <c r="EX4" s="31" t="s">
        <v>0</v>
      </c>
      <c r="EY4" s="31" t="s">
        <v>1</v>
      </c>
      <c r="EZ4" s="31" t="s">
        <v>5</v>
      </c>
      <c r="FA4" s="31" t="s">
        <v>6</v>
      </c>
      <c r="FB4" s="31" t="s">
        <v>0</v>
      </c>
      <c r="FC4" s="31" t="s">
        <v>1</v>
      </c>
      <c r="FD4" s="31" t="s">
        <v>5</v>
      </c>
      <c r="FE4" s="31" t="s">
        <v>6</v>
      </c>
    </row>
    <row r="5" spans="2:161" x14ac:dyDescent="0.25">
      <c r="C5" s="6" t="s">
        <v>220</v>
      </c>
      <c r="D5" s="6" t="s">
        <v>221</v>
      </c>
      <c r="E5" s="6" t="s">
        <v>222</v>
      </c>
      <c r="F5" s="6" t="s">
        <v>223</v>
      </c>
      <c r="G5" s="6" t="s">
        <v>224</v>
      </c>
      <c r="H5" s="6" t="s">
        <v>225</v>
      </c>
      <c r="I5" s="6" t="s">
        <v>226</v>
      </c>
      <c r="J5" s="6" t="s">
        <v>227</v>
      </c>
      <c r="K5" s="6" t="s">
        <v>228</v>
      </c>
      <c r="L5" s="6" t="s">
        <v>229</v>
      </c>
      <c r="M5" s="6" t="s">
        <v>230</v>
      </c>
      <c r="N5" s="6" t="s">
        <v>231</v>
      </c>
      <c r="P5" s="6" t="s">
        <v>220</v>
      </c>
      <c r="Q5" s="6" t="s">
        <v>221</v>
      </c>
      <c r="R5" s="6" t="s">
        <v>222</v>
      </c>
      <c r="S5" s="6" t="s">
        <v>223</v>
      </c>
      <c r="T5" s="6" t="s">
        <v>224</v>
      </c>
      <c r="U5" s="6" t="s">
        <v>225</v>
      </c>
      <c r="V5" s="6" t="s">
        <v>226</v>
      </c>
      <c r="W5" s="6" t="s">
        <v>227</v>
      </c>
      <c r="X5" s="6" t="s">
        <v>228</v>
      </c>
      <c r="Y5" s="6" t="s">
        <v>229</v>
      </c>
      <c r="Z5" s="6" t="s">
        <v>230</v>
      </c>
      <c r="AA5" s="6" t="s">
        <v>231</v>
      </c>
      <c r="AC5" s="7" t="str">
        <f t="shared" ref="AC5:BA5" si="1">C5</f>
        <v>Jan-2025</v>
      </c>
      <c r="AD5" s="7" t="str">
        <f t="shared" si="1"/>
        <v>Feb-2025</v>
      </c>
      <c r="AE5" s="7" t="str">
        <f t="shared" si="1"/>
        <v>Mar-2025</v>
      </c>
      <c r="AF5" s="7" t="str">
        <f t="shared" si="1"/>
        <v>Apr-2025</v>
      </c>
      <c r="AG5" s="7" t="str">
        <f t="shared" si="1"/>
        <v>May-2025</v>
      </c>
      <c r="AH5" s="7" t="str">
        <f t="shared" si="1"/>
        <v>Jun-2025</v>
      </c>
      <c r="AI5" s="7" t="str">
        <f t="shared" si="1"/>
        <v>Jul-2025</v>
      </c>
      <c r="AJ5" s="7" t="str">
        <f t="shared" si="1"/>
        <v>Aug-2025</v>
      </c>
      <c r="AK5" s="7" t="str">
        <f t="shared" si="1"/>
        <v>Sep-2025</v>
      </c>
      <c r="AL5" s="7" t="str">
        <f t="shared" si="1"/>
        <v>Oct-2025</v>
      </c>
      <c r="AM5" s="7" t="str">
        <f t="shared" si="1"/>
        <v>Nov-2025</v>
      </c>
      <c r="AN5" s="7" t="str">
        <f t="shared" si="1"/>
        <v>Dec-2025</v>
      </c>
      <c r="AP5" s="7" t="str">
        <f t="shared" si="1"/>
        <v>Jan-2025</v>
      </c>
      <c r="AQ5" s="7" t="str">
        <f t="shared" si="1"/>
        <v>Feb-2025</v>
      </c>
      <c r="AR5" s="7" t="str">
        <f t="shared" si="1"/>
        <v>Mar-2025</v>
      </c>
      <c r="AS5" s="7" t="str">
        <f t="shared" si="1"/>
        <v>Apr-2025</v>
      </c>
      <c r="AT5" s="7" t="str">
        <f t="shared" si="1"/>
        <v>May-2025</v>
      </c>
      <c r="AU5" s="7" t="str">
        <f t="shared" si="1"/>
        <v>Jun-2025</v>
      </c>
      <c r="AV5" s="7" t="str">
        <f t="shared" si="1"/>
        <v>Jul-2025</v>
      </c>
      <c r="AW5" s="7" t="str">
        <f t="shared" si="1"/>
        <v>Aug-2025</v>
      </c>
      <c r="AX5" s="7" t="str">
        <f t="shared" si="1"/>
        <v>Sep-2025</v>
      </c>
      <c r="AY5" s="7" t="str">
        <f t="shared" si="1"/>
        <v>Oct-2025</v>
      </c>
      <c r="AZ5" s="7" t="str">
        <f t="shared" si="1"/>
        <v>Nov-2025</v>
      </c>
      <c r="BA5" s="7" t="str">
        <f t="shared" si="1"/>
        <v>Dec-2025</v>
      </c>
      <c r="BC5" s="7" t="str">
        <f t="shared" ref="BC5" si="2">AC5</f>
        <v>Jan-2025</v>
      </c>
      <c r="BD5" s="7" t="str">
        <f t="shared" ref="BD5" si="3">AD5</f>
        <v>Feb-2025</v>
      </c>
      <c r="BE5" s="7" t="str">
        <f t="shared" ref="BE5" si="4">AE5</f>
        <v>Mar-2025</v>
      </c>
      <c r="BF5" s="7" t="str">
        <f t="shared" ref="BF5" si="5">AF5</f>
        <v>Apr-2025</v>
      </c>
      <c r="BG5" s="7" t="str">
        <f t="shared" ref="BG5" si="6">AG5</f>
        <v>May-2025</v>
      </c>
      <c r="BH5" s="7" t="str">
        <f t="shared" ref="BH5" si="7">AH5</f>
        <v>Jun-2025</v>
      </c>
      <c r="BI5" s="7" t="str">
        <f t="shared" ref="BI5" si="8">AI5</f>
        <v>Jul-2025</v>
      </c>
      <c r="BJ5" s="7" t="str">
        <f t="shared" ref="BJ5" si="9">AJ5</f>
        <v>Aug-2025</v>
      </c>
      <c r="BK5" s="7" t="str">
        <f t="shared" ref="BK5" si="10">AK5</f>
        <v>Sep-2025</v>
      </c>
      <c r="BL5" s="7" t="str">
        <f t="shared" ref="BL5" si="11">AL5</f>
        <v>Oct-2025</v>
      </c>
      <c r="BM5" s="7" t="str">
        <f t="shared" ref="BM5" si="12">AM5</f>
        <v>Nov-2025</v>
      </c>
      <c r="BN5" s="7" t="str">
        <f t="shared" ref="BN5" si="13">AN5</f>
        <v>Dec-2025</v>
      </c>
      <c r="BP5" s="7" t="str">
        <f t="shared" ref="BP5" si="14">AP5</f>
        <v>Jan-2025</v>
      </c>
      <c r="BQ5" s="7" t="str">
        <f t="shared" ref="BQ5" si="15">AQ5</f>
        <v>Feb-2025</v>
      </c>
      <c r="BR5" s="7" t="str">
        <f t="shared" ref="BR5" si="16">AR5</f>
        <v>Mar-2025</v>
      </c>
      <c r="BS5" s="7" t="str">
        <f t="shared" ref="BS5" si="17">AS5</f>
        <v>Apr-2025</v>
      </c>
      <c r="BT5" s="7" t="str">
        <f t="shared" ref="BT5" si="18">AT5</f>
        <v>May-2025</v>
      </c>
      <c r="BU5" s="7" t="str">
        <f t="shared" ref="BU5" si="19">AU5</f>
        <v>Jun-2025</v>
      </c>
      <c r="BV5" s="7" t="str">
        <f t="shared" ref="BV5" si="20">AV5</f>
        <v>Jul-2025</v>
      </c>
      <c r="BW5" s="7" t="str">
        <f t="shared" ref="BW5" si="21">AW5</f>
        <v>Aug-2025</v>
      </c>
      <c r="BX5" s="7" t="str">
        <f t="shared" ref="BX5" si="22">AX5</f>
        <v>Sep-2025</v>
      </c>
      <c r="BY5" s="7" t="str">
        <f t="shared" ref="BY5" si="23">AY5</f>
        <v>Oct-2025</v>
      </c>
      <c r="BZ5" s="7" t="str">
        <f t="shared" ref="BZ5" si="24">AZ5</f>
        <v>Nov-2025</v>
      </c>
      <c r="CA5" s="7" t="str">
        <f t="shared" ref="CA5" si="25">BA5</f>
        <v>Dec-2025</v>
      </c>
      <c r="CC5" s="7" t="str">
        <f t="shared" ref="CC5:CN5" si="26">BC5</f>
        <v>Jan-2025</v>
      </c>
      <c r="CD5" s="7" t="str">
        <f t="shared" si="26"/>
        <v>Feb-2025</v>
      </c>
      <c r="CE5" s="7" t="str">
        <f t="shared" si="26"/>
        <v>Mar-2025</v>
      </c>
      <c r="CF5" s="7" t="str">
        <f t="shared" si="26"/>
        <v>Apr-2025</v>
      </c>
      <c r="CG5" s="7" t="str">
        <f t="shared" si="26"/>
        <v>May-2025</v>
      </c>
      <c r="CH5" s="7" t="str">
        <f t="shared" si="26"/>
        <v>Jun-2025</v>
      </c>
      <c r="CI5" s="7" t="str">
        <f t="shared" si="26"/>
        <v>Jul-2025</v>
      </c>
      <c r="CJ5" s="7" t="str">
        <f t="shared" si="26"/>
        <v>Aug-2025</v>
      </c>
      <c r="CK5" s="7" t="str">
        <f t="shared" si="26"/>
        <v>Sep-2025</v>
      </c>
      <c r="CL5" s="7" t="str">
        <f t="shared" si="26"/>
        <v>Oct-2025</v>
      </c>
      <c r="CM5" s="7" t="str">
        <f t="shared" si="26"/>
        <v>Nov-2025</v>
      </c>
      <c r="CN5" s="7" t="str">
        <f t="shared" si="26"/>
        <v>Dec-2025</v>
      </c>
      <c r="CP5" s="7" t="str">
        <f t="shared" ref="CP5:DA5" si="27">BP5</f>
        <v>Jan-2025</v>
      </c>
      <c r="CQ5" s="7" t="str">
        <f t="shared" si="27"/>
        <v>Feb-2025</v>
      </c>
      <c r="CR5" s="7" t="str">
        <f t="shared" si="27"/>
        <v>Mar-2025</v>
      </c>
      <c r="CS5" s="7" t="str">
        <f t="shared" si="27"/>
        <v>Apr-2025</v>
      </c>
      <c r="CT5" s="7" t="str">
        <f t="shared" si="27"/>
        <v>May-2025</v>
      </c>
      <c r="CU5" s="7" t="str">
        <f t="shared" si="27"/>
        <v>Jun-2025</v>
      </c>
      <c r="CV5" s="7" t="str">
        <f t="shared" si="27"/>
        <v>Jul-2025</v>
      </c>
      <c r="CW5" s="7" t="str">
        <f t="shared" si="27"/>
        <v>Aug-2025</v>
      </c>
      <c r="CX5" s="7" t="str">
        <f t="shared" si="27"/>
        <v>Sep-2025</v>
      </c>
      <c r="CY5" s="7" t="str">
        <f t="shared" si="27"/>
        <v>Oct-2025</v>
      </c>
      <c r="CZ5" s="7" t="str">
        <f t="shared" si="27"/>
        <v>Nov-2025</v>
      </c>
      <c r="DA5" s="7" t="str">
        <f t="shared" si="27"/>
        <v>Dec-2025</v>
      </c>
      <c r="DC5" s="7" t="s">
        <v>64</v>
      </c>
      <c r="DD5" s="7" t="s">
        <v>65</v>
      </c>
      <c r="DE5" s="7" t="s">
        <v>66</v>
      </c>
      <c r="DJ5" s="42">
        <v>1</v>
      </c>
      <c r="DK5" s="42">
        <v>1</v>
      </c>
      <c r="DL5" s="42">
        <v>1</v>
      </c>
      <c r="DM5" s="42">
        <v>1</v>
      </c>
      <c r="DN5" s="35">
        <f t="shared" ref="DN5:DY5" si="28">DJ5+1</f>
        <v>2</v>
      </c>
      <c r="DO5" s="35">
        <f t="shared" si="28"/>
        <v>2</v>
      </c>
      <c r="DP5" s="35">
        <f t="shared" si="28"/>
        <v>2</v>
      </c>
      <c r="DQ5" s="35">
        <f t="shared" si="28"/>
        <v>2</v>
      </c>
      <c r="DR5" s="42">
        <f t="shared" si="28"/>
        <v>3</v>
      </c>
      <c r="DS5" s="42">
        <f t="shared" si="28"/>
        <v>3</v>
      </c>
      <c r="DT5" s="42">
        <f t="shared" si="28"/>
        <v>3</v>
      </c>
      <c r="DU5" s="42">
        <f t="shared" si="28"/>
        <v>3</v>
      </c>
      <c r="DV5" s="35">
        <f t="shared" si="28"/>
        <v>4</v>
      </c>
      <c r="DW5" s="35">
        <f t="shared" si="28"/>
        <v>4</v>
      </c>
      <c r="DX5" s="35">
        <f t="shared" si="28"/>
        <v>4</v>
      </c>
      <c r="DY5" s="35">
        <f t="shared" si="28"/>
        <v>4</v>
      </c>
      <c r="DZ5" s="42">
        <f t="shared" ref="DZ5" si="29">DV5+1</f>
        <v>5</v>
      </c>
      <c r="EA5" s="42">
        <f t="shared" ref="EA5:FA5" si="30">DW5+1</f>
        <v>5</v>
      </c>
      <c r="EB5" s="42">
        <f t="shared" si="30"/>
        <v>5</v>
      </c>
      <c r="EC5" s="42">
        <f t="shared" si="30"/>
        <v>5</v>
      </c>
      <c r="ED5" s="35">
        <f t="shared" si="30"/>
        <v>6</v>
      </c>
      <c r="EE5" s="35">
        <f t="shared" si="30"/>
        <v>6</v>
      </c>
      <c r="EF5" s="35">
        <f t="shared" si="30"/>
        <v>6</v>
      </c>
      <c r="EG5" s="35">
        <f t="shared" si="30"/>
        <v>6</v>
      </c>
      <c r="EH5" s="42">
        <f t="shared" si="30"/>
        <v>7</v>
      </c>
      <c r="EI5" s="42">
        <f t="shared" si="30"/>
        <v>7</v>
      </c>
      <c r="EJ5" s="42">
        <f t="shared" si="30"/>
        <v>7</v>
      </c>
      <c r="EK5" s="42">
        <f t="shared" si="30"/>
        <v>7</v>
      </c>
      <c r="EL5" s="35">
        <f t="shared" si="30"/>
        <v>8</v>
      </c>
      <c r="EM5" s="35">
        <f t="shared" si="30"/>
        <v>8</v>
      </c>
      <c r="EN5" s="35">
        <f t="shared" si="30"/>
        <v>8</v>
      </c>
      <c r="EO5" s="35">
        <f t="shared" si="30"/>
        <v>8</v>
      </c>
      <c r="EP5" s="42">
        <f t="shared" si="30"/>
        <v>9</v>
      </c>
      <c r="EQ5" s="42">
        <f t="shared" si="30"/>
        <v>9</v>
      </c>
      <c r="ER5" s="42">
        <f t="shared" si="30"/>
        <v>9</v>
      </c>
      <c r="ES5" s="42">
        <f t="shared" si="30"/>
        <v>9</v>
      </c>
      <c r="ET5" s="35">
        <f t="shared" si="30"/>
        <v>10</v>
      </c>
      <c r="EU5" s="35">
        <f t="shared" si="30"/>
        <v>10</v>
      </c>
      <c r="EV5" s="35">
        <f t="shared" si="30"/>
        <v>10</v>
      </c>
      <c r="EW5" s="35">
        <f t="shared" si="30"/>
        <v>10</v>
      </c>
      <c r="EX5" s="42">
        <f t="shared" si="30"/>
        <v>11</v>
      </c>
      <c r="EY5" s="42">
        <f t="shared" si="30"/>
        <v>11</v>
      </c>
      <c r="EZ5" s="42">
        <f t="shared" si="30"/>
        <v>11</v>
      </c>
      <c r="FA5" s="42">
        <f t="shared" si="30"/>
        <v>11</v>
      </c>
      <c r="FB5" s="35">
        <f t="shared" ref="FB5" si="31">EX5+1</f>
        <v>12</v>
      </c>
      <c r="FC5" s="35">
        <f t="shared" ref="FC5" si="32">EY5+1</f>
        <v>12</v>
      </c>
      <c r="FD5" s="35">
        <f t="shared" ref="FD5" si="33">EZ5+1</f>
        <v>12</v>
      </c>
      <c r="FE5" s="35">
        <f t="shared" ref="FE5" si="34">FA5+1</f>
        <v>12</v>
      </c>
    </row>
    <row r="6" spans="2:161" x14ac:dyDescent="0.25">
      <c r="B6" s="10" t="s">
        <v>67</v>
      </c>
      <c r="C6" s="8">
        <v>2263</v>
      </c>
      <c r="D6" s="8">
        <v>2044</v>
      </c>
      <c r="E6" s="8">
        <v>2263</v>
      </c>
      <c r="F6" s="8">
        <v>2190</v>
      </c>
      <c r="G6" s="8">
        <v>2263</v>
      </c>
      <c r="H6" s="8">
        <v>2190</v>
      </c>
      <c r="I6" s="8">
        <v>2263</v>
      </c>
      <c r="J6" s="8">
        <v>2263</v>
      </c>
      <c r="K6" s="8">
        <v>2190</v>
      </c>
      <c r="L6" s="8">
        <v>2263</v>
      </c>
      <c r="M6" s="8">
        <v>2190</v>
      </c>
      <c r="N6" s="8">
        <v>2263</v>
      </c>
      <c r="O6" s="8"/>
      <c r="P6" s="8">
        <v>2185.5</v>
      </c>
      <c r="Q6" s="8">
        <v>1974</v>
      </c>
      <c r="R6" s="8">
        <v>2185.5</v>
      </c>
      <c r="S6" s="8">
        <v>2115</v>
      </c>
      <c r="T6" s="8">
        <v>2185.5</v>
      </c>
      <c r="U6" s="8">
        <v>2115</v>
      </c>
      <c r="V6" s="8">
        <v>2185.5</v>
      </c>
      <c r="W6" s="8">
        <v>2185.5</v>
      </c>
      <c r="X6" s="8">
        <v>2115</v>
      </c>
      <c r="Y6" s="8">
        <v>2185.5</v>
      </c>
      <c r="Z6" s="8">
        <v>2115</v>
      </c>
      <c r="AA6" s="8">
        <v>2185.5</v>
      </c>
      <c r="AC6" s="14">
        <f>C6/_xlfn.XLOOKUP(AC$5,'OC-Days'!$G:$G,'OC-Days'!$B:$B)</f>
        <v>73</v>
      </c>
      <c r="AD6" s="14">
        <f>D6/_xlfn.XLOOKUP(AD$5,'OC-Days'!$G:$G,'OC-Days'!$B:$B)</f>
        <v>73</v>
      </c>
      <c r="AE6" s="14">
        <f>E6/_xlfn.XLOOKUP(AE$5,'OC-Days'!$G:$G,'OC-Days'!$B:$B)</f>
        <v>73</v>
      </c>
      <c r="AF6" s="14">
        <f>F6/_xlfn.XLOOKUP(AF$5,'OC-Days'!$G:$G,'OC-Days'!$B:$B)</f>
        <v>73</v>
      </c>
      <c r="AG6" s="14">
        <f>G6/_xlfn.XLOOKUP(AG$5,'OC-Days'!$G:$G,'OC-Days'!$B:$B)</f>
        <v>73</v>
      </c>
      <c r="AH6" s="14">
        <f>H6/_xlfn.XLOOKUP(AH$5,'OC-Days'!$G:$G,'OC-Days'!$B:$B)</f>
        <v>73</v>
      </c>
      <c r="AI6" s="14">
        <f>I6/_xlfn.XLOOKUP(AI$5,'OC-Days'!$G:$G,'OC-Days'!$B:$B)</f>
        <v>73</v>
      </c>
      <c r="AJ6" s="14">
        <f>J6/_xlfn.XLOOKUP(AJ$5,'OC-Days'!$G:$G,'OC-Days'!$B:$B)</f>
        <v>73</v>
      </c>
      <c r="AK6" s="14">
        <f>K6/_xlfn.XLOOKUP(AK$5,'OC-Days'!$G:$G,'OC-Days'!$B:$B)</f>
        <v>73</v>
      </c>
      <c r="AL6" s="14">
        <f>L6/_xlfn.XLOOKUP(AL$5,'OC-Days'!$G:$G,'OC-Days'!$B:$B)</f>
        <v>73</v>
      </c>
      <c r="AM6" s="14">
        <f>M6/_xlfn.XLOOKUP(AM$5,'OC-Days'!$G:$G,'OC-Days'!$B:$B)</f>
        <v>73</v>
      </c>
      <c r="AN6" s="14">
        <f>N6/_xlfn.XLOOKUP(AN$5,'OC-Days'!$G:$G,'OC-Days'!$B:$B)</f>
        <v>73</v>
      </c>
      <c r="AP6" s="14">
        <f>P6/_xlfn.XLOOKUP(AP$5,'OC-Days'!$G:$G,'OC-Days'!$B:$B)</f>
        <v>70.5</v>
      </c>
      <c r="AQ6" s="14">
        <f>Q6/_xlfn.XLOOKUP(AQ$5,'OC-Days'!$G:$G,'OC-Days'!$B:$B)</f>
        <v>70.5</v>
      </c>
      <c r="AR6" s="14">
        <f>R6/_xlfn.XLOOKUP(AR$5,'OC-Days'!$G:$G,'OC-Days'!$B:$B)</f>
        <v>70.5</v>
      </c>
      <c r="AS6" s="14">
        <f>S6/_xlfn.XLOOKUP(AS$5,'OC-Days'!$G:$G,'OC-Days'!$B:$B)</f>
        <v>70.5</v>
      </c>
      <c r="AT6" s="14">
        <f>T6/_xlfn.XLOOKUP(AT$5,'OC-Days'!$G:$G,'OC-Days'!$B:$B)</f>
        <v>70.5</v>
      </c>
      <c r="AU6" s="14">
        <f>U6/_xlfn.XLOOKUP(AU$5,'OC-Days'!$G:$G,'OC-Days'!$B:$B)</f>
        <v>70.5</v>
      </c>
      <c r="AV6" s="14">
        <f>V6/_xlfn.XLOOKUP(AV$5,'OC-Days'!$G:$G,'OC-Days'!$B:$B)</f>
        <v>70.5</v>
      </c>
      <c r="AW6" s="14">
        <f>W6/_xlfn.XLOOKUP(AW$5,'OC-Days'!$G:$G,'OC-Days'!$B:$B)</f>
        <v>70.5</v>
      </c>
      <c r="AX6" s="14">
        <f>X6/_xlfn.XLOOKUP(AX$5,'OC-Days'!$G:$G,'OC-Days'!$B:$B)</f>
        <v>70.5</v>
      </c>
      <c r="AY6" s="14">
        <f>Y6/_xlfn.XLOOKUP(AY$5,'OC-Days'!$G:$G,'OC-Days'!$B:$B)</f>
        <v>70.5</v>
      </c>
      <c r="AZ6" s="14">
        <f>Z6/_xlfn.XLOOKUP(AZ$5,'OC-Days'!$G:$G,'OC-Days'!$B:$B)</f>
        <v>70.5</v>
      </c>
      <c r="BA6" s="14">
        <f>AA6/_xlfn.XLOOKUP(BA$5,'OC-Days'!$G:$G,'OC-Days'!$B:$B)</f>
        <v>70.5</v>
      </c>
      <c r="BC6" s="33">
        <f>_xlfn.XLOOKUP(BC$5,'OC-Days'!$G:$G,'OC-Days'!$F:$F)</f>
        <v>45658</v>
      </c>
      <c r="BD6" s="34" t="str">
        <f>IF(AQ6=AP6,"na",_xlfn.XLOOKUP(BD$5,'OC-Days'!$G:$G,'OC-Days'!$F:$F))</f>
        <v>na</v>
      </c>
      <c r="BE6" s="34" t="str">
        <f>IF(AR6=AQ6,"na",_xlfn.XLOOKUP(BE$5,'OC-Days'!$G:$G,'OC-Days'!$F:$F))</f>
        <v>na</v>
      </c>
      <c r="BF6" s="34" t="str">
        <f>IF(AS6=AR6,"na",_xlfn.XLOOKUP(BF$5,'OC-Days'!$G:$G,'OC-Days'!$F:$F))</f>
        <v>na</v>
      </c>
      <c r="BG6" s="34" t="str">
        <f>IF(AT6=AS6,"na",_xlfn.XLOOKUP(BG$5,'OC-Days'!$G:$G,'OC-Days'!$F:$F))</f>
        <v>na</v>
      </c>
      <c r="BH6" s="34" t="str">
        <f>IF(AU6=AT6,"na",_xlfn.XLOOKUP(BH$5,'OC-Days'!$G:$G,'OC-Days'!$F:$F))</f>
        <v>na</v>
      </c>
      <c r="BI6" s="34" t="str">
        <f>IF(AV6=AU6,"na",_xlfn.XLOOKUP(BI$5,'OC-Days'!$G:$G,'OC-Days'!$F:$F))</f>
        <v>na</v>
      </c>
      <c r="BJ6" s="34" t="str">
        <f>IF(AW6=AV6,"na",_xlfn.XLOOKUP(BJ$5,'OC-Days'!$G:$G,'OC-Days'!$F:$F))</f>
        <v>na</v>
      </c>
      <c r="BK6" s="34" t="str">
        <f>IF(AX6=AW6,"na",_xlfn.XLOOKUP(BK$5,'OC-Days'!$G:$G,'OC-Days'!$F:$F))</f>
        <v>na</v>
      </c>
      <c r="BL6" s="34" t="str">
        <f>IF(AY6=AX6,"na",_xlfn.XLOOKUP(BL$5,'OC-Days'!$G:$G,'OC-Days'!$F:$F))</f>
        <v>na</v>
      </c>
      <c r="BM6" s="34" t="str">
        <f>IF(AZ6=AY6,"na",_xlfn.XLOOKUP(BM$5,'OC-Days'!$G:$G,'OC-Days'!$F:$F))</f>
        <v>na</v>
      </c>
      <c r="BN6" s="34" t="str">
        <f>IF(BA6=AZ6,"na",_xlfn.XLOOKUP(BN$5,'OC-Days'!$G:$G,'OC-Days'!$F:$F))</f>
        <v>na</v>
      </c>
      <c r="BP6" s="36" t="str">
        <f t="shared" ref="BP6:BP35" si="35">IF(BD6="na",BD6,BD6-1)</f>
        <v>na</v>
      </c>
      <c r="BQ6" s="36" t="str">
        <f t="shared" ref="BQ6:BQ35" si="36">IF(BE6="na",BE6,BE6-1)</f>
        <v>na</v>
      </c>
      <c r="BR6" s="36" t="str">
        <f t="shared" ref="BR6:BR35" si="37">IF(BF6="na",BF6,BF6-1)</f>
        <v>na</v>
      </c>
      <c r="BS6" s="36" t="str">
        <f t="shared" ref="BS6:BS35" si="38">IF(BG6="na",BG6,BG6-1)</f>
        <v>na</v>
      </c>
      <c r="BT6" s="36" t="str">
        <f t="shared" ref="BT6:BT35" si="39">IF(BH6="na",BH6,BH6-1)</f>
        <v>na</v>
      </c>
      <c r="BU6" s="36" t="str">
        <f t="shared" ref="BU6:BU35" si="40">IF(BI6="na",BI6,BI6-1)</f>
        <v>na</v>
      </c>
      <c r="BV6" s="36" t="str">
        <f t="shared" ref="BV6:BV35" si="41">IF(BJ6="na",BJ6,BJ6-1)</f>
        <v>na</v>
      </c>
      <c r="BW6" s="36" t="str">
        <f t="shared" ref="BW6:BW35" si="42">IF(BK6="na",BK6,BK6-1)</f>
        <v>na</v>
      </c>
      <c r="BX6" s="36" t="str">
        <f t="shared" ref="BX6:BX35" si="43">IF(BL6="na",BL6,BL6-1)</f>
        <v>na</v>
      </c>
      <c r="BY6" s="36" t="str">
        <f t="shared" ref="BY6:BY35" si="44">IF(BM6="na",BM6,BM6-1)</f>
        <v>na</v>
      </c>
      <c r="BZ6" s="36" t="str">
        <f t="shared" ref="BZ6:BZ35" si="45">IF(BN6="na",BN6,BN6-1)</f>
        <v>na</v>
      </c>
      <c r="CA6" s="43">
        <f>DATE(VALUE(RIGHT($CA$5,4)),12,31)</f>
        <v>46022</v>
      </c>
      <c r="CC6" s="8">
        <f>COUNT($BC6:BC6)</f>
        <v>1</v>
      </c>
      <c r="CD6" s="8">
        <f>COUNT($BC6:BD6)</f>
        <v>1</v>
      </c>
      <c r="CE6" s="8">
        <f>COUNT($BC6:BE6)</f>
        <v>1</v>
      </c>
      <c r="CF6" s="8">
        <f>COUNT($BC6:BF6)</f>
        <v>1</v>
      </c>
      <c r="CG6" s="8">
        <f>COUNT($BC6:BG6)</f>
        <v>1</v>
      </c>
      <c r="CH6" s="8">
        <f>COUNT($BC6:BH6)</f>
        <v>1</v>
      </c>
      <c r="CI6" s="8">
        <f>COUNT($BC6:BI6)</f>
        <v>1</v>
      </c>
      <c r="CJ6" s="8">
        <f>COUNT($BC6:BJ6)</f>
        <v>1</v>
      </c>
      <c r="CK6" s="8">
        <f>COUNT($BC6:BK6)</f>
        <v>1</v>
      </c>
      <c r="CL6" s="8">
        <f>COUNT($BC6:BL6)</f>
        <v>1</v>
      </c>
      <c r="CM6" s="8">
        <f>COUNT($BC6:BM6)</f>
        <v>1</v>
      </c>
      <c r="CN6" s="8">
        <f>COUNT($BC6:BN6)</f>
        <v>1</v>
      </c>
      <c r="CO6" s="8"/>
      <c r="CP6" s="8">
        <f>COUNT($BP6:BP6)</f>
        <v>0</v>
      </c>
      <c r="CQ6" s="8">
        <f>COUNT($BP6:BQ6)</f>
        <v>0</v>
      </c>
      <c r="CR6" s="8">
        <f>COUNT($BP6:BR6)</f>
        <v>0</v>
      </c>
      <c r="CS6" s="8">
        <f>COUNT($BP6:BS6)</f>
        <v>0</v>
      </c>
      <c r="CT6" s="8">
        <f>COUNT($BP6:BT6)</f>
        <v>0</v>
      </c>
      <c r="CU6" s="8">
        <f>COUNT($BP6:BU6)</f>
        <v>0</v>
      </c>
      <c r="CV6" s="8">
        <f>COUNT($BP6:BV6)</f>
        <v>0</v>
      </c>
      <c r="CW6" s="8">
        <f>COUNT($BP6:BW6)</f>
        <v>0</v>
      </c>
      <c r="CX6" s="8">
        <f>COUNT($BP6:BX6)</f>
        <v>0</v>
      </c>
      <c r="CY6" s="8">
        <f>COUNT($BP6:BY6)</f>
        <v>0</v>
      </c>
      <c r="CZ6" s="8">
        <f>COUNT($BP6:BZ6)</f>
        <v>0</v>
      </c>
      <c r="DA6" s="8">
        <f>COUNT($BP6:CA6)</f>
        <v>1</v>
      </c>
      <c r="DC6">
        <f>IF(ISNUMBER(VALUE(LEFT(B6,3))),VALUE(LEFT(B6,3)),"Entity")</f>
        <v>100</v>
      </c>
      <c r="DD6">
        <f>IF(ISNUMBER(VALUE(MID(B6,5,2))),VALUE(MID(B6,5,2)),"Rollup")</f>
        <v>21</v>
      </c>
      <c r="DE6" t="str">
        <f>DC6&amp;"-"&amp;DD6</f>
        <v>100-21</v>
      </c>
      <c r="DG6">
        <f>COUNT(BC6:BN6)</f>
        <v>1</v>
      </c>
      <c r="DH6">
        <f>COUNT(BP6:CA6)</f>
        <v>1</v>
      </c>
      <c r="DJ6" s="44" cm="1">
        <f t="array" ref="DJ6">IF(DJ$5&lt;=$DG6,INDEX($BC6:$BN6,1,_xlfn.XMATCH(DJ$5,$CC6:$CN6)),"na")</f>
        <v>45658</v>
      </c>
      <c r="DK6" s="45" cm="1">
        <f t="array" ref="DK6">IF(DK$5&lt;=$DH6,INDEX($BP6:$CA6,1,_xlfn.XMATCH(DK$5,$CP6:$DA6)),"na")</f>
        <v>46022</v>
      </c>
      <c r="DL6" s="46" cm="1">
        <f t="array" ref="DL6">IF(DL$5&lt;=$DG6,INDEX($AC6:$AN6,1,_xlfn.XMATCH(DL$5,$CC6:$CN6)),"na")</f>
        <v>73</v>
      </c>
      <c r="DM6" s="47" cm="1">
        <f t="array" ref="DM6">IF(DM$5&lt;=$DG6,INDEX($AP6:$BA6,1,_xlfn.XMATCH(DM$5,$CC6:$CN6)),"na")</f>
        <v>70.5</v>
      </c>
      <c r="DN6" s="44" t="str" cm="1">
        <f t="array" ref="DN6">IF(DN$5&lt;=$DG6,INDEX($BC6:$BN6,1,_xlfn.XMATCH(DN$5,$CC6:$CN6)),"na")</f>
        <v>na</v>
      </c>
      <c r="DO6" s="45" t="str" cm="1">
        <f t="array" ref="DO6">IF(DO$5&lt;=$DH6,INDEX($BP6:$CA6,1,_xlfn.XMATCH(DO$5,$CP6:$DA6)),"na")</f>
        <v>na</v>
      </c>
      <c r="DP6" s="46" t="str" cm="1">
        <f t="array" ref="DP6">IF(DP$5&lt;=$DG6,INDEX($AC6:$AN6,1,_xlfn.XMATCH(DP$5,$CC6:$CN6)),"na")</f>
        <v>na</v>
      </c>
      <c r="DQ6" s="47" t="str" cm="1">
        <f t="array" ref="DQ6">IF(DQ$5&lt;=$DG6,INDEX($AP6:$BA6,1,_xlfn.XMATCH(DQ$5,$CC6:$CN6)),"na")</f>
        <v>na</v>
      </c>
      <c r="DR6" s="44" t="str" cm="1">
        <f t="array" ref="DR6">IF(DR$5&lt;=$DG6,INDEX($BC6:$BN6,1,_xlfn.XMATCH(DR$5,$CC6:$CN6)),"na")</f>
        <v>na</v>
      </c>
      <c r="DS6" s="45" t="str" cm="1">
        <f t="array" ref="DS6">IF(DS$5&lt;=$DH6,INDEX($BP6:$CA6,1,_xlfn.XMATCH(DS$5,$CP6:$DA6)),"na")</f>
        <v>na</v>
      </c>
      <c r="DT6" s="46" t="str" cm="1">
        <f t="array" ref="DT6">IF(DT$5&lt;=$DG6,INDEX($AC6:$AN6,1,_xlfn.XMATCH(DT$5,$CC6:$CN6)),"na")</f>
        <v>na</v>
      </c>
      <c r="DU6" s="47" t="str" cm="1">
        <f t="array" ref="DU6">IF(DU$5&lt;=$DG6,INDEX($AP6:$BA6,1,_xlfn.XMATCH(DU$5,$CC6:$CN6)),"na")</f>
        <v>na</v>
      </c>
      <c r="DV6" s="44" t="str" cm="1">
        <f t="array" ref="DV6">IF(DV$5&lt;=$DG6,INDEX($BC6:$BN6,1,_xlfn.XMATCH(DV$5,$CC6:$CN6)),"na")</f>
        <v>na</v>
      </c>
      <c r="DW6" s="45" t="str" cm="1">
        <f t="array" ref="DW6">IF(DW$5&lt;=$DH6,INDEX($BP6:$CA6,1,_xlfn.XMATCH(DW$5,$CP6:$DA6)),"na")</f>
        <v>na</v>
      </c>
      <c r="DX6" s="46" t="str" cm="1">
        <f t="array" ref="DX6">IF(DX$5&lt;=$DG6,INDEX($AC6:$AN6,1,_xlfn.XMATCH(DX$5,$CC6:$CN6)),"na")</f>
        <v>na</v>
      </c>
      <c r="DY6" s="47" t="str" cm="1">
        <f t="array" ref="DY6">IF(DY$5&lt;=$DG6,INDEX($AP6:$BA6,1,_xlfn.XMATCH(DY$5,$CC6:$CN6)),"na")</f>
        <v>na</v>
      </c>
      <c r="DZ6" s="44" t="str" cm="1">
        <f t="array" ref="DZ6">IF(DZ$5&lt;=$DG6,INDEX($BC6:$BN6,1,_xlfn.XMATCH(DZ$5,$CC6:$CN6)),"na")</f>
        <v>na</v>
      </c>
      <c r="EA6" s="45" t="str" cm="1">
        <f t="array" ref="EA6">IF(EA$5&lt;=$DH6,INDEX($BP6:$CA6,1,_xlfn.XMATCH(EA$5,$CP6:$DA6)),"na")</f>
        <v>na</v>
      </c>
      <c r="EB6" s="46" t="str" cm="1">
        <f t="array" ref="EB6">IF(EB$5&lt;=$DG6,INDEX($AC6:$AN6,1,_xlfn.XMATCH(EB$5,$CC6:$CN6)),"na")</f>
        <v>na</v>
      </c>
      <c r="EC6" s="47" t="str" cm="1">
        <f t="array" ref="EC6">IF(EC$5&lt;=$DG6,INDEX($AP6:$BA6,1,_xlfn.XMATCH(EC$5,$CC6:$CN6)),"na")</f>
        <v>na</v>
      </c>
      <c r="ED6" s="44" t="str" cm="1">
        <f t="array" ref="ED6">IF(ED$5&lt;=$DG6,INDEX($BC6:$BN6,1,_xlfn.XMATCH(ED$5,$CC6:$CN6)),"na")</f>
        <v>na</v>
      </c>
      <c r="EE6" s="45" t="str" cm="1">
        <f t="array" ref="EE6">IF(EE$5&lt;=$DH6,INDEX($BP6:$CA6,1,_xlfn.XMATCH(EE$5,$CP6:$DA6)),"na")</f>
        <v>na</v>
      </c>
      <c r="EF6" s="46" t="str" cm="1">
        <f t="array" ref="EF6">IF(EF$5&lt;=$DG6,INDEX($AC6:$AN6,1,_xlfn.XMATCH(EF$5,$CC6:$CN6)),"na")</f>
        <v>na</v>
      </c>
      <c r="EG6" s="47" t="str" cm="1">
        <f t="array" ref="EG6">IF(EG$5&lt;=$DG6,INDEX($AP6:$BA6,1,_xlfn.XMATCH(EG$5,$CC6:$CN6)),"na")</f>
        <v>na</v>
      </c>
      <c r="EH6" s="44" t="str" cm="1">
        <f t="array" ref="EH6">IF(EH$5&lt;=$DG6,INDEX($BC6:$BN6,1,_xlfn.XMATCH(EH$5,$CC6:$CN6)),"na")</f>
        <v>na</v>
      </c>
      <c r="EI6" s="45" t="str" cm="1">
        <f t="array" ref="EI6">IF(EI$5&lt;=$DH6,INDEX($BP6:$CA6,1,_xlfn.XMATCH(EI$5,$CP6:$DA6)),"na")</f>
        <v>na</v>
      </c>
      <c r="EJ6" s="46" t="str" cm="1">
        <f t="array" ref="EJ6">IF(EJ$5&lt;=$DG6,INDEX($AC6:$AN6,1,_xlfn.XMATCH(EJ$5,$CC6:$CN6)),"na")</f>
        <v>na</v>
      </c>
      <c r="EK6" s="47" t="str" cm="1">
        <f t="array" ref="EK6">IF(EK$5&lt;=$DG6,INDEX($AP6:$BA6,1,_xlfn.XMATCH(EK$5,$CC6:$CN6)),"na")</f>
        <v>na</v>
      </c>
      <c r="EL6" s="44" t="str" cm="1">
        <f t="array" ref="EL6">IF(EL$5&lt;=$DG6,INDEX($BC6:$BN6,1,_xlfn.XMATCH(EL$5,$CC6:$CN6)),"na")</f>
        <v>na</v>
      </c>
      <c r="EM6" s="45" t="str" cm="1">
        <f t="array" ref="EM6">IF(EM$5&lt;=$DH6,INDEX($BP6:$CA6,1,_xlfn.XMATCH(EM$5,$CP6:$DA6)),"na")</f>
        <v>na</v>
      </c>
      <c r="EN6" s="46" t="str" cm="1">
        <f t="array" ref="EN6">IF(EN$5&lt;=$DG6,INDEX($AC6:$AN6,1,_xlfn.XMATCH(EN$5,$CC6:$CN6)),"na")</f>
        <v>na</v>
      </c>
      <c r="EO6" s="47" t="str" cm="1">
        <f t="array" ref="EO6">IF(EO$5&lt;=$DG6,INDEX($AP6:$BA6,1,_xlfn.XMATCH(EO$5,$CC6:$CN6)),"na")</f>
        <v>na</v>
      </c>
      <c r="EP6" s="44" t="str" cm="1">
        <f t="array" ref="EP6">IF(EP$5&lt;=$DG6,INDEX($BC6:$BN6,1,_xlfn.XMATCH(EP$5,$CC6:$CN6)),"na")</f>
        <v>na</v>
      </c>
      <c r="EQ6" s="45" t="str" cm="1">
        <f t="array" ref="EQ6">IF(EQ$5&lt;=$DH6,INDEX($BP6:$CA6,1,_xlfn.XMATCH(EQ$5,$CP6:$DA6)),"na")</f>
        <v>na</v>
      </c>
      <c r="ER6" s="46" t="str" cm="1">
        <f t="array" ref="ER6">IF(ER$5&lt;=$DG6,INDEX($AC6:$AN6,1,_xlfn.XMATCH(ER$5,$CC6:$CN6)),"na")</f>
        <v>na</v>
      </c>
      <c r="ES6" s="47" t="str" cm="1">
        <f t="array" ref="ES6">IF(ES$5&lt;=$DG6,INDEX($AP6:$BA6,1,_xlfn.XMATCH(ES$5,$CC6:$CN6)),"na")</f>
        <v>na</v>
      </c>
      <c r="ET6" s="44" t="str" cm="1">
        <f t="array" ref="ET6">IF(ET$5&lt;=$DG6,INDEX($BC6:$BN6,1,_xlfn.XMATCH(ET$5,$CC6:$CN6)),"na")</f>
        <v>na</v>
      </c>
      <c r="EU6" s="45" t="str" cm="1">
        <f t="array" ref="EU6">IF(EU$5&lt;=$DH6,INDEX($BP6:$CA6,1,_xlfn.XMATCH(EU$5,$CP6:$DA6)),"na")</f>
        <v>na</v>
      </c>
      <c r="EV6" s="46" t="str" cm="1">
        <f t="array" ref="EV6">IF(EV$5&lt;=$DG6,INDEX($AC6:$AN6,1,_xlfn.XMATCH(EV$5,$CC6:$CN6)),"na")</f>
        <v>na</v>
      </c>
      <c r="EW6" s="47" t="str" cm="1">
        <f t="array" ref="EW6">IF(EW$5&lt;=$DG6,INDEX($AP6:$BA6,1,_xlfn.XMATCH(EW$5,$CC6:$CN6)),"na")</f>
        <v>na</v>
      </c>
      <c r="EX6" s="44" t="str" cm="1">
        <f t="array" ref="EX6">IF(EX$5&lt;=$DG6,INDEX($BC6:$BN6,1,_xlfn.XMATCH(EX$5,$CC6:$CN6)),"na")</f>
        <v>na</v>
      </c>
      <c r="EY6" s="45" t="str" cm="1">
        <f t="array" ref="EY6">IF(EY$5&lt;=$DH6,INDEX($BP6:$CA6,1,_xlfn.XMATCH(EY$5,$CP6:$DA6)),"na")</f>
        <v>na</v>
      </c>
      <c r="EZ6" s="46" t="str" cm="1">
        <f t="array" ref="EZ6">IF(EZ$5&lt;=$DG6,INDEX($AC6:$AN6,1,_xlfn.XMATCH(EZ$5,$CC6:$CN6)),"na")</f>
        <v>na</v>
      </c>
      <c r="FA6" s="47" t="str" cm="1">
        <f t="array" ref="FA6">IF(FA$5&lt;=$DG6,INDEX($AP6:$BA6,1,_xlfn.XMATCH(FA$5,$CC6:$CN6)),"na")</f>
        <v>na</v>
      </c>
      <c r="FB6" s="44" t="str" cm="1">
        <f t="array" ref="FB6">IF(FB$5&lt;=$DG6,INDEX($BC6:$BN6,1,_xlfn.XMATCH(FB$5,$CC6:$CN6)),"na")</f>
        <v>na</v>
      </c>
      <c r="FC6" s="45" t="str" cm="1">
        <f t="array" ref="FC6">IF(FC$5&lt;=$DH6,INDEX($BP6:$CA6,1,_xlfn.XMATCH(FC$5,$CP6:$DA6)),"na")</f>
        <v>na</v>
      </c>
      <c r="FD6" s="46" t="str" cm="1">
        <f t="array" ref="FD6">IF(FD$5&lt;=$DG6,INDEX($AC6:$AN6,1,_xlfn.XMATCH(FD$5,$CC6:$CN6)),"na")</f>
        <v>na</v>
      </c>
      <c r="FE6" s="47" t="str" cm="1">
        <f t="array" ref="FE6">IF(FE$5&lt;=$DG6,INDEX($AP6:$BA6,1,_xlfn.XMATCH(FE$5,$CC6:$CN6)),"na")</f>
        <v>na</v>
      </c>
    </row>
    <row r="7" spans="2:161" x14ac:dyDescent="0.25">
      <c r="B7" s="10" t="s">
        <v>68</v>
      </c>
      <c r="C7" s="8">
        <v>1333</v>
      </c>
      <c r="D7" s="8">
        <v>1204</v>
      </c>
      <c r="E7" s="8">
        <v>1333</v>
      </c>
      <c r="F7" s="8">
        <v>1290</v>
      </c>
      <c r="G7" s="8">
        <v>1333</v>
      </c>
      <c r="H7" s="8">
        <v>1290</v>
      </c>
      <c r="I7" s="8">
        <v>1333</v>
      </c>
      <c r="J7" s="8">
        <v>1333</v>
      </c>
      <c r="K7" s="8">
        <v>1290</v>
      </c>
      <c r="L7" s="8">
        <v>1333</v>
      </c>
      <c r="M7" s="8">
        <v>1290</v>
      </c>
      <c r="N7" s="8">
        <v>1333</v>
      </c>
      <c r="O7" s="8"/>
      <c r="P7" s="8">
        <v>1302</v>
      </c>
      <c r="Q7" s="8">
        <v>1176</v>
      </c>
      <c r="R7" s="8">
        <v>1302</v>
      </c>
      <c r="S7" s="8">
        <v>1260</v>
      </c>
      <c r="T7" s="8">
        <v>1302</v>
      </c>
      <c r="U7" s="8">
        <v>1260</v>
      </c>
      <c r="V7" s="8">
        <v>1302</v>
      </c>
      <c r="W7" s="8">
        <v>1302</v>
      </c>
      <c r="X7" s="8">
        <v>1260</v>
      </c>
      <c r="Y7" s="8">
        <v>1302</v>
      </c>
      <c r="Z7" s="8">
        <v>1260</v>
      </c>
      <c r="AA7" s="8">
        <v>1302</v>
      </c>
      <c r="AC7" s="14">
        <f>C7/_xlfn.XLOOKUP(AC$5,'OC-Days'!$G:$G,'OC-Days'!$B:$B)</f>
        <v>43</v>
      </c>
      <c r="AD7" s="14">
        <f>D7/_xlfn.XLOOKUP(AD$5,'OC-Days'!$G:$G,'OC-Days'!$B:$B)</f>
        <v>43</v>
      </c>
      <c r="AE7" s="14">
        <f>E7/_xlfn.XLOOKUP(AE$5,'OC-Days'!$G:$G,'OC-Days'!$B:$B)</f>
        <v>43</v>
      </c>
      <c r="AF7" s="14">
        <f>F7/_xlfn.XLOOKUP(AF$5,'OC-Days'!$G:$G,'OC-Days'!$B:$B)</f>
        <v>43</v>
      </c>
      <c r="AG7" s="14">
        <f>G7/_xlfn.XLOOKUP(AG$5,'OC-Days'!$G:$G,'OC-Days'!$B:$B)</f>
        <v>43</v>
      </c>
      <c r="AH7" s="14">
        <f>H7/_xlfn.XLOOKUP(AH$5,'OC-Days'!$G:$G,'OC-Days'!$B:$B)</f>
        <v>43</v>
      </c>
      <c r="AI7" s="14">
        <f>I7/_xlfn.XLOOKUP(AI$5,'OC-Days'!$G:$G,'OC-Days'!$B:$B)</f>
        <v>43</v>
      </c>
      <c r="AJ7" s="14">
        <f>J7/_xlfn.XLOOKUP(AJ$5,'OC-Days'!$G:$G,'OC-Days'!$B:$B)</f>
        <v>43</v>
      </c>
      <c r="AK7" s="14">
        <f>K7/_xlfn.XLOOKUP(AK$5,'OC-Days'!$G:$G,'OC-Days'!$B:$B)</f>
        <v>43</v>
      </c>
      <c r="AL7" s="14">
        <f>L7/_xlfn.XLOOKUP(AL$5,'OC-Days'!$G:$G,'OC-Days'!$B:$B)</f>
        <v>43</v>
      </c>
      <c r="AM7" s="14">
        <f>M7/_xlfn.XLOOKUP(AM$5,'OC-Days'!$G:$G,'OC-Days'!$B:$B)</f>
        <v>43</v>
      </c>
      <c r="AN7" s="14">
        <f>N7/_xlfn.XLOOKUP(AN$5,'OC-Days'!$G:$G,'OC-Days'!$B:$B)</f>
        <v>43</v>
      </c>
      <c r="AP7" s="14">
        <f>P7/_xlfn.XLOOKUP(AP$5,'OC-Days'!$G:$G,'OC-Days'!$B:$B)</f>
        <v>42</v>
      </c>
      <c r="AQ7" s="14">
        <f>Q7/_xlfn.XLOOKUP(AQ$5,'OC-Days'!$G:$G,'OC-Days'!$B:$B)</f>
        <v>42</v>
      </c>
      <c r="AR7" s="14">
        <f>R7/_xlfn.XLOOKUP(AR$5,'OC-Days'!$G:$G,'OC-Days'!$B:$B)</f>
        <v>42</v>
      </c>
      <c r="AS7" s="14">
        <f>S7/_xlfn.XLOOKUP(AS$5,'OC-Days'!$G:$G,'OC-Days'!$B:$B)</f>
        <v>42</v>
      </c>
      <c r="AT7" s="14">
        <f>T7/_xlfn.XLOOKUP(AT$5,'OC-Days'!$G:$G,'OC-Days'!$B:$B)</f>
        <v>42</v>
      </c>
      <c r="AU7" s="14">
        <f>U7/_xlfn.XLOOKUP(AU$5,'OC-Days'!$G:$G,'OC-Days'!$B:$B)</f>
        <v>42</v>
      </c>
      <c r="AV7" s="14">
        <f>V7/_xlfn.XLOOKUP(AV$5,'OC-Days'!$G:$G,'OC-Days'!$B:$B)</f>
        <v>42</v>
      </c>
      <c r="AW7" s="14">
        <f>W7/_xlfn.XLOOKUP(AW$5,'OC-Days'!$G:$G,'OC-Days'!$B:$B)</f>
        <v>42</v>
      </c>
      <c r="AX7" s="14">
        <f>X7/_xlfn.XLOOKUP(AX$5,'OC-Days'!$G:$G,'OC-Days'!$B:$B)</f>
        <v>42</v>
      </c>
      <c r="AY7" s="14">
        <f>Y7/_xlfn.XLOOKUP(AY$5,'OC-Days'!$G:$G,'OC-Days'!$B:$B)</f>
        <v>42</v>
      </c>
      <c r="AZ7" s="14">
        <f>Z7/_xlfn.XLOOKUP(AZ$5,'OC-Days'!$G:$G,'OC-Days'!$B:$B)</f>
        <v>42</v>
      </c>
      <c r="BA7" s="14">
        <f>AA7/_xlfn.XLOOKUP(BA$5,'OC-Days'!$G:$G,'OC-Days'!$B:$B)</f>
        <v>42</v>
      </c>
      <c r="BC7" s="33">
        <f>_xlfn.XLOOKUP(BC$5,'OC-Days'!$G:$G,'OC-Days'!$F:$F)</f>
        <v>45658</v>
      </c>
      <c r="BD7" s="34" t="str">
        <f>IF(AQ7=AP7,"na",_xlfn.XLOOKUP(BD$5,'OC-Days'!$G:$G,'OC-Days'!$F:$F))</f>
        <v>na</v>
      </c>
      <c r="BE7" s="34" t="str">
        <f>IF(AR7=AQ7,"na",_xlfn.XLOOKUP(BE$5,'OC-Days'!$G:$G,'OC-Days'!$F:$F))</f>
        <v>na</v>
      </c>
      <c r="BF7" s="34" t="str">
        <f>IF(AS7=AR7,"na",_xlfn.XLOOKUP(BF$5,'OC-Days'!$G:$G,'OC-Days'!$F:$F))</f>
        <v>na</v>
      </c>
      <c r="BG7" s="34" t="str">
        <f>IF(AT7=AS7,"na",_xlfn.XLOOKUP(BG$5,'OC-Days'!$G:$G,'OC-Days'!$F:$F))</f>
        <v>na</v>
      </c>
      <c r="BH7" s="34" t="str">
        <f>IF(AU7=AT7,"na",_xlfn.XLOOKUP(BH$5,'OC-Days'!$G:$G,'OC-Days'!$F:$F))</f>
        <v>na</v>
      </c>
      <c r="BI7" s="34" t="str">
        <f>IF(AV7=AU7,"na",_xlfn.XLOOKUP(BI$5,'OC-Days'!$G:$G,'OC-Days'!$F:$F))</f>
        <v>na</v>
      </c>
      <c r="BJ7" s="34" t="str">
        <f>IF(AW7=AV7,"na",_xlfn.XLOOKUP(BJ$5,'OC-Days'!$G:$G,'OC-Days'!$F:$F))</f>
        <v>na</v>
      </c>
      <c r="BK7" s="34" t="str">
        <f>IF(AX7=AW7,"na",_xlfn.XLOOKUP(BK$5,'OC-Days'!$G:$G,'OC-Days'!$F:$F))</f>
        <v>na</v>
      </c>
      <c r="BL7" s="34" t="str">
        <f>IF(AY7=AX7,"na",_xlfn.XLOOKUP(BL$5,'OC-Days'!$G:$G,'OC-Days'!$F:$F))</f>
        <v>na</v>
      </c>
      <c r="BM7" s="34" t="str">
        <f>IF(AZ7=AY7,"na",_xlfn.XLOOKUP(BM$5,'OC-Days'!$G:$G,'OC-Days'!$F:$F))</f>
        <v>na</v>
      </c>
      <c r="BN7" s="34" t="str">
        <f>IF(BA7=AZ7,"na",_xlfn.XLOOKUP(BN$5,'OC-Days'!$G:$G,'OC-Days'!$F:$F))</f>
        <v>na</v>
      </c>
      <c r="BP7" s="36" t="str">
        <f t="shared" si="35"/>
        <v>na</v>
      </c>
      <c r="BQ7" s="36" t="str">
        <f t="shared" si="36"/>
        <v>na</v>
      </c>
      <c r="BR7" s="36" t="str">
        <f t="shared" si="37"/>
        <v>na</v>
      </c>
      <c r="BS7" s="36" t="str">
        <f t="shared" si="38"/>
        <v>na</v>
      </c>
      <c r="BT7" s="36" t="str">
        <f t="shared" si="39"/>
        <v>na</v>
      </c>
      <c r="BU7" s="36" t="str">
        <f t="shared" si="40"/>
        <v>na</v>
      </c>
      <c r="BV7" s="36" t="str">
        <f t="shared" si="41"/>
        <v>na</v>
      </c>
      <c r="BW7" s="36" t="str">
        <f t="shared" si="42"/>
        <v>na</v>
      </c>
      <c r="BX7" s="36" t="str">
        <f t="shared" si="43"/>
        <v>na</v>
      </c>
      <c r="BY7" s="36" t="str">
        <f t="shared" si="44"/>
        <v>na</v>
      </c>
      <c r="BZ7" s="36" t="str">
        <f t="shared" si="45"/>
        <v>na</v>
      </c>
      <c r="CA7" s="43">
        <f t="shared" ref="CA7:CA65" si="46">DATE(VALUE(RIGHT($CA$5,4)),12,31)</f>
        <v>46022</v>
      </c>
      <c r="CC7" s="8">
        <f>COUNT($BC7:BC7)</f>
        <v>1</v>
      </c>
      <c r="CD7" s="8">
        <f>COUNT($BC7:BD7)</f>
        <v>1</v>
      </c>
      <c r="CE7" s="8">
        <f>COUNT($BC7:BE7)</f>
        <v>1</v>
      </c>
      <c r="CF7" s="8">
        <f>COUNT($BC7:BF7)</f>
        <v>1</v>
      </c>
      <c r="CG7" s="8">
        <f>COUNT($BC7:BG7)</f>
        <v>1</v>
      </c>
      <c r="CH7" s="8">
        <f>COUNT($BC7:BH7)</f>
        <v>1</v>
      </c>
      <c r="CI7" s="8">
        <f>COUNT($BC7:BI7)</f>
        <v>1</v>
      </c>
      <c r="CJ7" s="8">
        <f>COUNT($BC7:BJ7)</f>
        <v>1</v>
      </c>
      <c r="CK7" s="8">
        <f>COUNT($BC7:BK7)</f>
        <v>1</v>
      </c>
      <c r="CL7" s="8">
        <f>COUNT($BC7:BL7)</f>
        <v>1</v>
      </c>
      <c r="CM7" s="8">
        <f>COUNT($BC7:BM7)</f>
        <v>1</v>
      </c>
      <c r="CN7" s="8">
        <f>COUNT($BC7:BN7)</f>
        <v>1</v>
      </c>
      <c r="CO7" s="8"/>
      <c r="CP7" s="8">
        <f>COUNT($BP7:BP7)</f>
        <v>0</v>
      </c>
      <c r="CQ7" s="8">
        <f>COUNT($BP7:BQ7)</f>
        <v>0</v>
      </c>
      <c r="CR7" s="8">
        <f>COUNT($BP7:BR7)</f>
        <v>0</v>
      </c>
      <c r="CS7" s="8">
        <f>COUNT($BP7:BS7)</f>
        <v>0</v>
      </c>
      <c r="CT7" s="8">
        <f>COUNT($BP7:BT7)</f>
        <v>0</v>
      </c>
      <c r="CU7" s="8">
        <f>COUNT($BP7:BU7)</f>
        <v>0</v>
      </c>
      <c r="CV7" s="8">
        <f>COUNT($BP7:BV7)</f>
        <v>0</v>
      </c>
      <c r="CW7" s="8">
        <f>COUNT($BP7:BW7)</f>
        <v>0</v>
      </c>
      <c r="CX7" s="8">
        <f>COUNT($BP7:BX7)</f>
        <v>0</v>
      </c>
      <c r="CY7" s="8">
        <f>COUNT($BP7:BY7)</f>
        <v>0</v>
      </c>
      <c r="CZ7" s="8">
        <f>COUNT($BP7:BZ7)</f>
        <v>0</v>
      </c>
      <c r="DA7" s="8">
        <f>COUNT($BP7:CA7)</f>
        <v>1</v>
      </c>
      <c r="DC7">
        <f t="shared" ref="DC7:DC62" si="47">IF(ISNUMBER(VALUE(LEFT(B7,3))),VALUE(LEFT(B7,3)),"Entity")</f>
        <v>100</v>
      </c>
      <c r="DD7">
        <f t="shared" ref="DD7:DD62" si="48">IF(ISNUMBER(VALUE(MID(B7,5,2))),VALUE(MID(B7,5,2)),"Rollup")</f>
        <v>22</v>
      </c>
      <c r="DE7" t="str">
        <f t="shared" ref="DE7:DE62" si="49">DC7&amp;"-"&amp;DD7</f>
        <v>100-22</v>
      </c>
      <c r="DG7">
        <f t="shared" ref="DG7:DG62" si="50">COUNT(BC7:BN7)</f>
        <v>1</v>
      </c>
      <c r="DH7">
        <f t="shared" ref="DH7:DH62" si="51">COUNT(BP7:CA7)</f>
        <v>1</v>
      </c>
      <c r="DJ7" s="44" cm="1">
        <f t="array" ref="DJ7">IF(DJ$5&lt;=$DG7,INDEX($BC7:$BN7,1,_xlfn.XMATCH(DJ$5,$CC7:$CN7)),"na")</f>
        <v>45658</v>
      </c>
      <c r="DK7" s="45" cm="1">
        <f t="array" ref="DK7">IF(DK$5&lt;=$DH7,INDEX($BP7:$CA7,1,_xlfn.XMATCH(DK$5,$CP7:$DA7)),"na")</f>
        <v>46022</v>
      </c>
      <c r="DL7" s="46" cm="1">
        <f t="array" ref="DL7">IF(DL$5&lt;=$DG7,INDEX($AC7:$AN7,1,_xlfn.XMATCH(DL$5,$CC7:$CN7)),"na")</f>
        <v>43</v>
      </c>
      <c r="DM7" s="47" cm="1">
        <f t="array" ref="DM7">IF(DM$5&lt;=$DG7,INDEX($AP7:$BA7,1,_xlfn.XMATCH(DM$5,$CC7:$CN7)),"na")</f>
        <v>42</v>
      </c>
      <c r="DN7" s="44" t="str" cm="1">
        <f t="array" ref="DN7">IF(DN$5&lt;=$DG7,INDEX($BC7:$BN7,1,_xlfn.XMATCH(DN$5,$CC7:$CN7)),"na")</f>
        <v>na</v>
      </c>
      <c r="DO7" s="45" t="str" cm="1">
        <f t="array" ref="DO7">IF(DO$5&lt;=$DH7,INDEX($BP7:$CA7,1,_xlfn.XMATCH(DO$5,$CP7:$DA7)),"na")</f>
        <v>na</v>
      </c>
      <c r="DP7" s="46" t="str" cm="1">
        <f t="array" ref="DP7">IF(DP$5&lt;=$DG7,INDEX($AC7:$AN7,1,_xlfn.XMATCH(DP$5,$CC7:$CN7)),"na")</f>
        <v>na</v>
      </c>
      <c r="DQ7" s="47" t="str" cm="1">
        <f t="array" ref="DQ7">IF(DQ$5&lt;=$DG7,INDEX($AP7:$BA7,1,_xlfn.XMATCH(DQ$5,$CC7:$CN7)),"na")</f>
        <v>na</v>
      </c>
      <c r="DR7" s="44" t="str" cm="1">
        <f t="array" ref="DR7">IF(DR$5&lt;=$DG7,INDEX($BC7:$BN7,1,_xlfn.XMATCH(DR$5,$CC7:$CN7)),"na")</f>
        <v>na</v>
      </c>
      <c r="DS7" s="45" t="str" cm="1">
        <f t="array" ref="DS7">IF(DS$5&lt;=$DH7,INDEX($BP7:$CA7,1,_xlfn.XMATCH(DS$5,$CP7:$DA7)),"na")</f>
        <v>na</v>
      </c>
      <c r="DT7" s="46" t="str" cm="1">
        <f t="array" ref="DT7">IF(DT$5&lt;=$DG7,INDEX($AC7:$AN7,1,_xlfn.XMATCH(DT$5,$CC7:$CN7)),"na")</f>
        <v>na</v>
      </c>
      <c r="DU7" s="47" t="str" cm="1">
        <f t="array" ref="DU7">IF(DU$5&lt;=$DG7,INDEX($AP7:$BA7,1,_xlfn.XMATCH(DU$5,$CC7:$CN7)),"na")</f>
        <v>na</v>
      </c>
      <c r="DV7" s="44" t="str" cm="1">
        <f t="array" ref="DV7">IF(DV$5&lt;=$DG7,INDEX($BC7:$BN7,1,_xlfn.XMATCH(DV$5,$CC7:$CN7)),"na")</f>
        <v>na</v>
      </c>
      <c r="DW7" s="45" t="str" cm="1">
        <f t="array" ref="DW7">IF(DW$5&lt;=$DH7,INDEX($BP7:$CA7,1,_xlfn.XMATCH(DW$5,$CP7:$DA7)),"na")</f>
        <v>na</v>
      </c>
      <c r="DX7" s="46" t="str" cm="1">
        <f t="array" ref="DX7">IF(DX$5&lt;=$DG7,INDEX($AC7:$AN7,1,_xlfn.XMATCH(DX$5,$CC7:$CN7)),"na")</f>
        <v>na</v>
      </c>
      <c r="DY7" s="47" t="str" cm="1">
        <f t="array" ref="DY7">IF(DY$5&lt;=$DG7,INDEX($AP7:$BA7,1,_xlfn.XMATCH(DY$5,$CC7:$CN7)),"na")</f>
        <v>na</v>
      </c>
      <c r="DZ7" s="44" t="str" cm="1">
        <f t="array" ref="DZ7">IF(DZ$5&lt;=$DG7,INDEX($BC7:$BN7,1,_xlfn.XMATCH(DZ$5,$CC7:$CN7)),"na")</f>
        <v>na</v>
      </c>
      <c r="EA7" s="45" t="str" cm="1">
        <f t="array" ref="EA7">IF(EA$5&lt;=$DH7,INDEX($BP7:$CA7,1,_xlfn.XMATCH(EA$5,$CP7:$DA7)),"na")</f>
        <v>na</v>
      </c>
      <c r="EB7" s="46" t="str" cm="1">
        <f t="array" ref="EB7">IF(EB$5&lt;=$DG7,INDEX($AC7:$AN7,1,_xlfn.XMATCH(EB$5,$CC7:$CN7)),"na")</f>
        <v>na</v>
      </c>
      <c r="EC7" s="47" t="str" cm="1">
        <f t="array" ref="EC7">IF(EC$5&lt;=$DG7,INDEX($AP7:$BA7,1,_xlfn.XMATCH(EC$5,$CC7:$CN7)),"na")</f>
        <v>na</v>
      </c>
      <c r="ED7" s="44" t="str" cm="1">
        <f t="array" ref="ED7">IF(ED$5&lt;=$DG7,INDEX($BC7:$BN7,1,_xlfn.XMATCH(ED$5,$CC7:$CN7)),"na")</f>
        <v>na</v>
      </c>
      <c r="EE7" s="45" t="str" cm="1">
        <f t="array" ref="EE7">IF(EE$5&lt;=$DH7,INDEX($BP7:$CA7,1,_xlfn.XMATCH(EE$5,$CP7:$DA7)),"na")</f>
        <v>na</v>
      </c>
      <c r="EF7" s="46" t="str" cm="1">
        <f t="array" ref="EF7">IF(EF$5&lt;=$DG7,INDEX($AC7:$AN7,1,_xlfn.XMATCH(EF$5,$CC7:$CN7)),"na")</f>
        <v>na</v>
      </c>
      <c r="EG7" s="47" t="str" cm="1">
        <f t="array" ref="EG7">IF(EG$5&lt;=$DG7,INDEX($AP7:$BA7,1,_xlfn.XMATCH(EG$5,$CC7:$CN7)),"na")</f>
        <v>na</v>
      </c>
      <c r="EH7" s="44" t="str" cm="1">
        <f t="array" ref="EH7">IF(EH$5&lt;=$DG7,INDEX($BC7:$BN7,1,_xlfn.XMATCH(EH$5,$CC7:$CN7)),"na")</f>
        <v>na</v>
      </c>
      <c r="EI7" s="45" t="str" cm="1">
        <f t="array" ref="EI7">IF(EI$5&lt;=$DH7,INDEX($BP7:$CA7,1,_xlfn.XMATCH(EI$5,$CP7:$DA7)),"na")</f>
        <v>na</v>
      </c>
      <c r="EJ7" s="46" t="str" cm="1">
        <f t="array" ref="EJ7">IF(EJ$5&lt;=$DG7,INDEX($AC7:$AN7,1,_xlfn.XMATCH(EJ$5,$CC7:$CN7)),"na")</f>
        <v>na</v>
      </c>
      <c r="EK7" s="47" t="str" cm="1">
        <f t="array" ref="EK7">IF(EK$5&lt;=$DG7,INDEX($AP7:$BA7,1,_xlfn.XMATCH(EK$5,$CC7:$CN7)),"na")</f>
        <v>na</v>
      </c>
      <c r="EL7" s="44" t="str" cm="1">
        <f t="array" ref="EL7">IF(EL$5&lt;=$DG7,INDEX($BC7:$BN7,1,_xlfn.XMATCH(EL$5,$CC7:$CN7)),"na")</f>
        <v>na</v>
      </c>
      <c r="EM7" s="45" t="str" cm="1">
        <f t="array" ref="EM7">IF(EM$5&lt;=$DH7,INDEX($BP7:$CA7,1,_xlfn.XMATCH(EM$5,$CP7:$DA7)),"na")</f>
        <v>na</v>
      </c>
      <c r="EN7" s="46" t="str" cm="1">
        <f t="array" ref="EN7">IF(EN$5&lt;=$DG7,INDEX($AC7:$AN7,1,_xlfn.XMATCH(EN$5,$CC7:$CN7)),"na")</f>
        <v>na</v>
      </c>
      <c r="EO7" s="47" t="str" cm="1">
        <f t="array" ref="EO7">IF(EO$5&lt;=$DG7,INDEX($AP7:$BA7,1,_xlfn.XMATCH(EO$5,$CC7:$CN7)),"na")</f>
        <v>na</v>
      </c>
      <c r="EP7" s="44" t="str" cm="1">
        <f t="array" ref="EP7">IF(EP$5&lt;=$DG7,INDEX($BC7:$BN7,1,_xlfn.XMATCH(EP$5,$CC7:$CN7)),"na")</f>
        <v>na</v>
      </c>
      <c r="EQ7" s="45" t="str" cm="1">
        <f t="array" ref="EQ7">IF(EQ$5&lt;=$DH7,INDEX($BP7:$CA7,1,_xlfn.XMATCH(EQ$5,$CP7:$DA7)),"na")</f>
        <v>na</v>
      </c>
      <c r="ER7" s="46" t="str" cm="1">
        <f t="array" ref="ER7">IF(ER$5&lt;=$DG7,INDEX($AC7:$AN7,1,_xlfn.XMATCH(ER$5,$CC7:$CN7)),"na")</f>
        <v>na</v>
      </c>
      <c r="ES7" s="47" t="str" cm="1">
        <f t="array" ref="ES7">IF(ES$5&lt;=$DG7,INDEX($AP7:$BA7,1,_xlfn.XMATCH(ES$5,$CC7:$CN7)),"na")</f>
        <v>na</v>
      </c>
      <c r="ET7" s="44" t="str" cm="1">
        <f t="array" ref="ET7">IF(ET$5&lt;=$DG7,INDEX($BC7:$BN7,1,_xlfn.XMATCH(ET$5,$CC7:$CN7)),"na")</f>
        <v>na</v>
      </c>
      <c r="EU7" s="45" t="str" cm="1">
        <f t="array" ref="EU7">IF(EU$5&lt;=$DH7,INDEX($BP7:$CA7,1,_xlfn.XMATCH(EU$5,$CP7:$DA7)),"na")</f>
        <v>na</v>
      </c>
      <c r="EV7" s="46" t="str" cm="1">
        <f t="array" ref="EV7">IF(EV$5&lt;=$DG7,INDEX($AC7:$AN7,1,_xlfn.XMATCH(EV$5,$CC7:$CN7)),"na")</f>
        <v>na</v>
      </c>
      <c r="EW7" s="47" t="str" cm="1">
        <f t="array" ref="EW7">IF(EW$5&lt;=$DG7,INDEX($AP7:$BA7,1,_xlfn.XMATCH(EW$5,$CC7:$CN7)),"na")</f>
        <v>na</v>
      </c>
      <c r="EX7" s="44" t="str" cm="1">
        <f t="array" ref="EX7">IF(EX$5&lt;=$DG7,INDEX($BC7:$BN7,1,_xlfn.XMATCH(EX$5,$CC7:$CN7)),"na")</f>
        <v>na</v>
      </c>
      <c r="EY7" s="45" t="str" cm="1">
        <f t="array" ref="EY7">IF(EY$5&lt;=$DH7,INDEX($BP7:$CA7,1,_xlfn.XMATCH(EY$5,$CP7:$DA7)),"na")</f>
        <v>na</v>
      </c>
      <c r="EZ7" s="46" t="str" cm="1">
        <f t="array" ref="EZ7">IF(EZ$5&lt;=$DG7,INDEX($AC7:$AN7,1,_xlfn.XMATCH(EZ$5,$CC7:$CN7)),"na")</f>
        <v>na</v>
      </c>
      <c r="FA7" s="47" t="str" cm="1">
        <f t="array" ref="FA7">IF(FA$5&lt;=$DG7,INDEX($AP7:$BA7,1,_xlfn.XMATCH(FA$5,$CC7:$CN7)),"na")</f>
        <v>na</v>
      </c>
      <c r="FB7" s="44" t="str" cm="1">
        <f t="array" ref="FB7">IF(FB$5&lt;=$DG7,INDEX($BC7:$BN7,1,_xlfn.XMATCH(FB$5,$CC7:$CN7)),"na")</f>
        <v>na</v>
      </c>
      <c r="FC7" s="45" t="str" cm="1">
        <f t="array" ref="FC7">IF(FC$5&lt;=$DH7,INDEX($BP7:$CA7,1,_xlfn.XMATCH(FC$5,$CP7:$DA7)),"na")</f>
        <v>na</v>
      </c>
      <c r="FD7" s="46" t="str" cm="1">
        <f t="array" ref="FD7">IF(FD$5&lt;=$DG7,INDEX($AC7:$AN7,1,_xlfn.XMATCH(FD$5,$CC7:$CN7)),"na")</f>
        <v>na</v>
      </c>
      <c r="FE7" s="47" t="str" cm="1">
        <f t="array" ref="FE7">IF(FE$5&lt;=$DG7,INDEX($AP7:$BA7,1,_xlfn.XMATCH(FE$5,$CC7:$CN7)),"na")</f>
        <v>na</v>
      </c>
    </row>
    <row r="8" spans="2:161" x14ac:dyDescent="0.25">
      <c r="B8" s="10" t="s">
        <v>69</v>
      </c>
      <c r="C8" s="8">
        <v>3379</v>
      </c>
      <c r="D8" s="8">
        <v>3052</v>
      </c>
      <c r="E8" s="8">
        <v>3379</v>
      </c>
      <c r="F8" s="8">
        <v>3270</v>
      </c>
      <c r="G8" s="8">
        <v>3379</v>
      </c>
      <c r="H8" s="8">
        <v>3270</v>
      </c>
      <c r="I8" s="8">
        <v>3379</v>
      </c>
      <c r="J8" s="8">
        <v>3379</v>
      </c>
      <c r="K8" s="8">
        <v>3270</v>
      </c>
      <c r="L8" s="8">
        <v>3379</v>
      </c>
      <c r="M8" s="8">
        <v>3270</v>
      </c>
      <c r="N8" s="8">
        <v>3379</v>
      </c>
      <c r="O8" s="8"/>
      <c r="P8" s="8">
        <v>1891</v>
      </c>
      <c r="Q8" s="8">
        <v>1708</v>
      </c>
      <c r="R8" s="8">
        <v>1922</v>
      </c>
      <c r="S8" s="8">
        <v>1860</v>
      </c>
      <c r="T8" s="8">
        <v>1953</v>
      </c>
      <c r="U8" s="8">
        <v>1890</v>
      </c>
      <c r="V8" s="8">
        <v>2015</v>
      </c>
      <c r="W8" s="8">
        <v>2015</v>
      </c>
      <c r="X8" s="8">
        <v>1980</v>
      </c>
      <c r="Y8" s="8">
        <v>2046</v>
      </c>
      <c r="Z8" s="8">
        <v>2010</v>
      </c>
      <c r="AA8" s="8">
        <v>2077</v>
      </c>
      <c r="AC8" s="14">
        <f>C8/_xlfn.XLOOKUP(AC$5,'OC-Days'!$G:$G,'OC-Days'!$B:$B)</f>
        <v>109</v>
      </c>
      <c r="AD8" s="14">
        <f>D8/_xlfn.XLOOKUP(AD$5,'OC-Days'!$G:$G,'OC-Days'!$B:$B)</f>
        <v>109</v>
      </c>
      <c r="AE8" s="14">
        <f>E8/_xlfn.XLOOKUP(AE$5,'OC-Days'!$G:$G,'OC-Days'!$B:$B)</f>
        <v>109</v>
      </c>
      <c r="AF8" s="14">
        <f>F8/_xlfn.XLOOKUP(AF$5,'OC-Days'!$G:$G,'OC-Days'!$B:$B)</f>
        <v>109</v>
      </c>
      <c r="AG8" s="14">
        <f>G8/_xlfn.XLOOKUP(AG$5,'OC-Days'!$G:$G,'OC-Days'!$B:$B)</f>
        <v>109</v>
      </c>
      <c r="AH8" s="14">
        <f>H8/_xlfn.XLOOKUP(AH$5,'OC-Days'!$G:$G,'OC-Days'!$B:$B)</f>
        <v>109</v>
      </c>
      <c r="AI8" s="14">
        <f>I8/_xlfn.XLOOKUP(AI$5,'OC-Days'!$G:$G,'OC-Days'!$B:$B)</f>
        <v>109</v>
      </c>
      <c r="AJ8" s="14">
        <f>J8/_xlfn.XLOOKUP(AJ$5,'OC-Days'!$G:$G,'OC-Days'!$B:$B)</f>
        <v>109</v>
      </c>
      <c r="AK8" s="14">
        <f>K8/_xlfn.XLOOKUP(AK$5,'OC-Days'!$G:$G,'OC-Days'!$B:$B)</f>
        <v>109</v>
      </c>
      <c r="AL8" s="14">
        <f>L8/_xlfn.XLOOKUP(AL$5,'OC-Days'!$G:$G,'OC-Days'!$B:$B)</f>
        <v>109</v>
      </c>
      <c r="AM8" s="14">
        <f>M8/_xlfn.XLOOKUP(AM$5,'OC-Days'!$G:$G,'OC-Days'!$B:$B)</f>
        <v>109</v>
      </c>
      <c r="AN8" s="14">
        <f>N8/_xlfn.XLOOKUP(AN$5,'OC-Days'!$G:$G,'OC-Days'!$B:$B)</f>
        <v>109</v>
      </c>
      <c r="AP8" s="14">
        <f>P8/_xlfn.XLOOKUP(AP$5,'OC-Days'!$G:$G,'OC-Days'!$B:$B)</f>
        <v>61</v>
      </c>
      <c r="AQ8" s="14">
        <f>Q8/_xlfn.XLOOKUP(AQ$5,'OC-Days'!$G:$G,'OC-Days'!$B:$B)</f>
        <v>61</v>
      </c>
      <c r="AR8" s="14">
        <f>R8/_xlfn.XLOOKUP(AR$5,'OC-Days'!$G:$G,'OC-Days'!$B:$B)</f>
        <v>62</v>
      </c>
      <c r="AS8" s="14">
        <f>S8/_xlfn.XLOOKUP(AS$5,'OC-Days'!$G:$G,'OC-Days'!$B:$B)</f>
        <v>62</v>
      </c>
      <c r="AT8" s="14">
        <f>T8/_xlfn.XLOOKUP(AT$5,'OC-Days'!$G:$G,'OC-Days'!$B:$B)</f>
        <v>63</v>
      </c>
      <c r="AU8" s="14">
        <f>U8/_xlfn.XLOOKUP(AU$5,'OC-Days'!$G:$G,'OC-Days'!$B:$B)</f>
        <v>63</v>
      </c>
      <c r="AV8" s="14">
        <f>V8/_xlfn.XLOOKUP(AV$5,'OC-Days'!$G:$G,'OC-Days'!$B:$B)</f>
        <v>65</v>
      </c>
      <c r="AW8" s="14">
        <f>W8/_xlfn.XLOOKUP(AW$5,'OC-Days'!$G:$G,'OC-Days'!$B:$B)</f>
        <v>65</v>
      </c>
      <c r="AX8" s="14">
        <f>X8/_xlfn.XLOOKUP(AX$5,'OC-Days'!$G:$G,'OC-Days'!$B:$B)</f>
        <v>66</v>
      </c>
      <c r="AY8" s="14">
        <f>Y8/_xlfn.XLOOKUP(AY$5,'OC-Days'!$G:$G,'OC-Days'!$B:$B)</f>
        <v>66</v>
      </c>
      <c r="AZ8" s="14">
        <f>Z8/_xlfn.XLOOKUP(AZ$5,'OC-Days'!$G:$G,'OC-Days'!$B:$B)</f>
        <v>67</v>
      </c>
      <c r="BA8" s="14">
        <f>AA8/_xlfn.XLOOKUP(BA$5,'OC-Days'!$G:$G,'OC-Days'!$B:$B)</f>
        <v>67</v>
      </c>
      <c r="BC8" s="33">
        <f>_xlfn.XLOOKUP(BC$5,'OC-Days'!$G:$G,'OC-Days'!$F:$F)</f>
        <v>45658</v>
      </c>
      <c r="BD8" s="34" t="str">
        <f>IF(AQ8=AP8,"na",_xlfn.XLOOKUP(BD$5,'OC-Days'!$G:$G,'OC-Days'!$F:$F))</f>
        <v>na</v>
      </c>
      <c r="BE8" s="34">
        <f>IF(AR8=AQ8,"na",_xlfn.XLOOKUP(BE$5,'OC-Days'!$G:$G,'OC-Days'!$F:$F))</f>
        <v>45717</v>
      </c>
      <c r="BF8" s="34" t="str">
        <f>IF(AS8=AR8,"na",_xlfn.XLOOKUP(BF$5,'OC-Days'!$G:$G,'OC-Days'!$F:$F))</f>
        <v>na</v>
      </c>
      <c r="BG8" s="34">
        <f>IF(AT8=AS8,"na",_xlfn.XLOOKUP(BG$5,'OC-Days'!$G:$G,'OC-Days'!$F:$F))</f>
        <v>45778</v>
      </c>
      <c r="BH8" s="34" t="str">
        <f>IF(AU8=AT8,"na",_xlfn.XLOOKUP(BH$5,'OC-Days'!$G:$G,'OC-Days'!$F:$F))</f>
        <v>na</v>
      </c>
      <c r="BI8" s="34">
        <f>IF(AV8=AU8,"na",_xlfn.XLOOKUP(BI$5,'OC-Days'!$G:$G,'OC-Days'!$F:$F))</f>
        <v>45839</v>
      </c>
      <c r="BJ8" s="34" t="str">
        <f>IF(AW8=AV8,"na",_xlfn.XLOOKUP(BJ$5,'OC-Days'!$G:$G,'OC-Days'!$F:$F))</f>
        <v>na</v>
      </c>
      <c r="BK8" s="34">
        <f>IF(AX8=AW8,"na",_xlfn.XLOOKUP(BK$5,'OC-Days'!$G:$G,'OC-Days'!$F:$F))</f>
        <v>45901</v>
      </c>
      <c r="BL8" s="34" t="str">
        <f>IF(AY8=AX8,"na",_xlfn.XLOOKUP(BL$5,'OC-Days'!$G:$G,'OC-Days'!$F:$F))</f>
        <v>na</v>
      </c>
      <c r="BM8" s="34">
        <f>IF(AZ8=AY8,"na",_xlfn.XLOOKUP(BM$5,'OC-Days'!$G:$G,'OC-Days'!$F:$F))</f>
        <v>45962</v>
      </c>
      <c r="BN8" s="34" t="str">
        <f>IF(BA8=AZ8,"na",_xlfn.XLOOKUP(BN$5,'OC-Days'!$G:$G,'OC-Days'!$F:$F))</f>
        <v>na</v>
      </c>
      <c r="BP8" s="36" t="str">
        <f t="shared" si="35"/>
        <v>na</v>
      </c>
      <c r="BQ8" s="36">
        <f t="shared" si="36"/>
        <v>45716</v>
      </c>
      <c r="BR8" s="36" t="str">
        <f t="shared" si="37"/>
        <v>na</v>
      </c>
      <c r="BS8" s="36">
        <f t="shared" si="38"/>
        <v>45777</v>
      </c>
      <c r="BT8" s="36" t="str">
        <f t="shared" si="39"/>
        <v>na</v>
      </c>
      <c r="BU8" s="36">
        <f t="shared" si="40"/>
        <v>45838</v>
      </c>
      <c r="BV8" s="36" t="str">
        <f t="shared" si="41"/>
        <v>na</v>
      </c>
      <c r="BW8" s="36">
        <f t="shared" si="42"/>
        <v>45900</v>
      </c>
      <c r="BX8" s="36" t="str">
        <f t="shared" si="43"/>
        <v>na</v>
      </c>
      <c r="BY8" s="36">
        <f t="shared" si="44"/>
        <v>45961</v>
      </c>
      <c r="BZ8" s="36" t="str">
        <f t="shared" si="45"/>
        <v>na</v>
      </c>
      <c r="CA8" s="43">
        <f t="shared" si="46"/>
        <v>46022</v>
      </c>
      <c r="CC8" s="8">
        <f>COUNT($BC8:BC8)</f>
        <v>1</v>
      </c>
      <c r="CD8" s="8">
        <f>COUNT($BC8:BD8)</f>
        <v>1</v>
      </c>
      <c r="CE8" s="8">
        <f>COUNT($BC8:BE8)</f>
        <v>2</v>
      </c>
      <c r="CF8" s="8">
        <f>COUNT($BC8:BF8)</f>
        <v>2</v>
      </c>
      <c r="CG8" s="8">
        <f>COUNT($BC8:BG8)</f>
        <v>3</v>
      </c>
      <c r="CH8" s="8">
        <f>COUNT($BC8:BH8)</f>
        <v>3</v>
      </c>
      <c r="CI8" s="8">
        <f>COUNT($BC8:BI8)</f>
        <v>4</v>
      </c>
      <c r="CJ8" s="8">
        <f>COUNT($BC8:BJ8)</f>
        <v>4</v>
      </c>
      <c r="CK8" s="8">
        <f>COUNT($BC8:BK8)</f>
        <v>5</v>
      </c>
      <c r="CL8" s="8">
        <f>COUNT($BC8:BL8)</f>
        <v>5</v>
      </c>
      <c r="CM8" s="8">
        <f>COUNT($BC8:BM8)</f>
        <v>6</v>
      </c>
      <c r="CN8" s="8">
        <f>COUNT($BC8:BN8)</f>
        <v>6</v>
      </c>
      <c r="CO8" s="8"/>
      <c r="CP8" s="8">
        <f>COUNT($BP8:BP8)</f>
        <v>0</v>
      </c>
      <c r="CQ8" s="8">
        <f>COUNT($BP8:BQ8)</f>
        <v>1</v>
      </c>
      <c r="CR8" s="8">
        <f>COUNT($BP8:BR8)</f>
        <v>1</v>
      </c>
      <c r="CS8" s="8">
        <f>COUNT($BP8:BS8)</f>
        <v>2</v>
      </c>
      <c r="CT8" s="8">
        <f>COUNT($BP8:BT8)</f>
        <v>2</v>
      </c>
      <c r="CU8" s="8">
        <f>COUNT($BP8:BU8)</f>
        <v>3</v>
      </c>
      <c r="CV8" s="8">
        <f>COUNT($BP8:BV8)</f>
        <v>3</v>
      </c>
      <c r="CW8" s="8">
        <f>COUNT($BP8:BW8)</f>
        <v>4</v>
      </c>
      <c r="CX8" s="8">
        <f>COUNT($BP8:BX8)</f>
        <v>4</v>
      </c>
      <c r="CY8" s="8">
        <f>COUNT($BP8:BY8)</f>
        <v>5</v>
      </c>
      <c r="CZ8" s="8">
        <f>COUNT($BP8:BZ8)</f>
        <v>5</v>
      </c>
      <c r="DA8" s="8">
        <f>COUNT($BP8:CA8)</f>
        <v>6</v>
      </c>
      <c r="DC8">
        <f t="shared" si="47"/>
        <v>100</v>
      </c>
      <c r="DD8">
        <f t="shared" si="48"/>
        <v>31</v>
      </c>
      <c r="DE8" t="str">
        <f t="shared" si="49"/>
        <v>100-31</v>
      </c>
      <c r="DG8">
        <f t="shared" si="50"/>
        <v>6</v>
      </c>
      <c r="DH8">
        <f t="shared" si="51"/>
        <v>6</v>
      </c>
      <c r="DJ8" s="44" cm="1">
        <f t="array" ref="DJ8">IF(DJ$5&lt;=$DG8,INDEX($BC8:$BN8,1,_xlfn.XMATCH(DJ$5,$CC8:$CN8)),"na")</f>
        <v>45658</v>
      </c>
      <c r="DK8" s="45" cm="1">
        <f t="array" ref="DK8">IF(DK$5&lt;=$DH8,INDEX($BP8:$CA8,1,_xlfn.XMATCH(DK$5,$CP8:$DA8)),"na")</f>
        <v>45716</v>
      </c>
      <c r="DL8" s="46" cm="1">
        <f t="array" ref="DL8">IF(DL$5&lt;=$DG8,INDEX($AC8:$AN8,1,_xlfn.XMATCH(DL$5,$CC8:$CN8)),"na")</f>
        <v>109</v>
      </c>
      <c r="DM8" s="47" cm="1">
        <f t="array" ref="DM8">IF(DM$5&lt;=$DG8,INDEX($AP8:$BA8,1,_xlfn.XMATCH(DM$5,$CC8:$CN8)),"na")</f>
        <v>61</v>
      </c>
      <c r="DN8" s="44" cm="1">
        <f t="array" ref="DN8">IF(DN$5&lt;=$DG8,INDEX($BC8:$BN8,1,_xlfn.XMATCH(DN$5,$CC8:$CN8)),"na")</f>
        <v>45717</v>
      </c>
      <c r="DO8" s="45" cm="1">
        <f t="array" ref="DO8">IF(DO$5&lt;=$DH8,INDEX($BP8:$CA8,1,_xlfn.XMATCH(DO$5,$CP8:$DA8)),"na")</f>
        <v>45777</v>
      </c>
      <c r="DP8" s="46" cm="1">
        <f t="array" ref="DP8">IF(DP$5&lt;=$DG8,INDEX($AC8:$AN8,1,_xlfn.XMATCH(DP$5,$CC8:$CN8)),"na")</f>
        <v>109</v>
      </c>
      <c r="DQ8" s="47" cm="1">
        <f t="array" ref="DQ8">IF(DQ$5&lt;=$DG8,INDEX($AP8:$BA8,1,_xlfn.XMATCH(DQ$5,$CC8:$CN8)),"na")</f>
        <v>62</v>
      </c>
      <c r="DR8" s="44" cm="1">
        <f t="array" ref="DR8">IF(DR$5&lt;=$DG8,INDEX($BC8:$BN8,1,_xlfn.XMATCH(DR$5,$CC8:$CN8)),"na")</f>
        <v>45778</v>
      </c>
      <c r="DS8" s="45" cm="1">
        <f t="array" ref="DS8">IF(DS$5&lt;=$DH8,INDEX($BP8:$CA8,1,_xlfn.XMATCH(DS$5,$CP8:$DA8)),"na")</f>
        <v>45838</v>
      </c>
      <c r="DT8" s="46" cm="1">
        <f t="array" ref="DT8">IF(DT$5&lt;=$DG8,INDEX($AC8:$AN8,1,_xlfn.XMATCH(DT$5,$CC8:$CN8)),"na")</f>
        <v>109</v>
      </c>
      <c r="DU8" s="47" cm="1">
        <f t="array" ref="DU8">IF(DU$5&lt;=$DG8,INDEX($AP8:$BA8,1,_xlfn.XMATCH(DU$5,$CC8:$CN8)),"na")</f>
        <v>63</v>
      </c>
      <c r="DV8" s="44" cm="1">
        <f t="array" ref="DV8">IF(DV$5&lt;=$DG8,INDEX($BC8:$BN8,1,_xlfn.XMATCH(DV$5,$CC8:$CN8)),"na")</f>
        <v>45839</v>
      </c>
      <c r="DW8" s="45" cm="1">
        <f t="array" ref="DW8">IF(DW$5&lt;=$DH8,INDEX($BP8:$CA8,1,_xlfn.XMATCH(DW$5,$CP8:$DA8)),"na")</f>
        <v>45900</v>
      </c>
      <c r="DX8" s="46" cm="1">
        <f t="array" ref="DX8">IF(DX$5&lt;=$DG8,INDEX($AC8:$AN8,1,_xlfn.XMATCH(DX$5,$CC8:$CN8)),"na")</f>
        <v>109</v>
      </c>
      <c r="DY8" s="47" cm="1">
        <f t="array" ref="DY8">IF(DY$5&lt;=$DG8,INDEX($AP8:$BA8,1,_xlfn.XMATCH(DY$5,$CC8:$CN8)),"na")</f>
        <v>65</v>
      </c>
      <c r="DZ8" s="44" cm="1">
        <f t="array" ref="DZ8">IF(DZ$5&lt;=$DG8,INDEX($BC8:$BN8,1,_xlfn.XMATCH(DZ$5,$CC8:$CN8)),"na")</f>
        <v>45901</v>
      </c>
      <c r="EA8" s="45" cm="1">
        <f t="array" ref="EA8">IF(EA$5&lt;=$DH8,INDEX($BP8:$CA8,1,_xlfn.XMATCH(EA$5,$CP8:$DA8)),"na")</f>
        <v>45961</v>
      </c>
      <c r="EB8" s="46" cm="1">
        <f t="array" ref="EB8">IF(EB$5&lt;=$DG8,INDEX($AC8:$AN8,1,_xlfn.XMATCH(EB$5,$CC8:$CN8)),"na")</f>
        <v>109</v>
      </c>
      <c r="EC8" s="47" cm="1">
        <f t="array" ref="EC8">IF(EC$5&lt;=$DG8,INDEX($AP8:$BA8,1,_xlfn.XMATCH(EC$5,$CC8:$CN8)),"na")</f>
        <v>66</v>
      </c>
      <c r="ED8" s="44" cm="1">
        <f t="array" ref="ED8">IF(ED$5&lt;=$DG8,INDEX($BC8:$BN8,1,_xlfn.XMATCH(ED$5,$CC8:$CN8)),"na")</f>
        <v>45962</v>
      </c>
      <c r="EE8" s="45" cm="1">
        <f t="array" ref="EE8">IF(EE$5&lt;=$DH8,INDEX($BP8:$CA8,1,_xlfn.XMATCH(EE$5,$CP8:$DA8)),"na")</f>
        <v>46022</v>
      </c>
      <c r="EF8" s="46" cm="1">
        <f t="array" ref="EF8">IF(EF$5&lt;=$DG8,INDEX($AC8:$AN8,1,_xlfn.XMATCH(EF$5,$CC8:$CN8)),"na")</f>
        <v>109</v>
      </c>
      <c r="EG8" s="47" cm="1">
        <f t="array" ref="EG8">IF(EG$5&lt;=$DG8,INDEX($AP8:$BA8,1,_xlfn.XMATCH(EG$5,$CC8:$CN8)),"na")</f>
        <v>67</v>
      </c>
      <c r="EH8" s="44" t="str" cm="1">
        <f t="array" ref="EH8">IF(EH$5&lt;=$DG8,INDEX($BC8:$BN8,1,_xlfn.XMATCH(EH$5,$CC8:$CN8)),"na")</f>
        <v>na</v>
      </c>
      <c r="EI8" s="45" t="str" cm="1">
        <f t="array" ref="EI8">IF(EI$5&lt;=$DH8,INDEX($BP8:$CA8,1,_xlfn.XMATCH(EI$5,$CP8:$DA8)),"na")</f>
        <v>na</v>
      </c>
      <c r="EJ8" s="46" t="str" cm="1">
        <f t="array" ref="EJ8">IF(EJ$5&lt;=$DG8,INDEX($AC8:$AN8,1,_xlfn.XMATCH(EJ$5,$CC8:$CN8)),"na")</f>
        <v>na</v>
      </c>
      <c r="EK8" s="47" t="str" cm="1">
        <f t="array" ref="EK8">IF(EK$5&lt;=$DG8,INDEX($AP8:$BA8,1,_xlfn.XMATCH(EK$5,$CC8:$CN8)),"na")</f>
        <v>na</v>
      </c>
      <c r="EL8" s="44" t="str" cm="1">
        <f t="array" ref="EL8">IF(EL$5&lt;=$DG8,INDEX($BC8:$BN8,1,_xlfn.XMATCH(EL$5,$CC8:$CN8)),"na")</f>
        <v>na</v>
      </c>
      <c r="EM8" s="45" t="str" cm="1">
        <f t="array" ref="EM8">IF(EM$5&lt;=$DH8,INDEX($BP8:$CA8,1,_xlfn.XMATCH(EM$5,$CP8:$DA8)),"na")</f>
        <v>na</v>
      </c>
      <c r="EN8" s="46" t="str" cm="1">
        <f t="array" ref="EN8">IF(EN$5&lt;=$DG8,INDEX($AC8:$AN8,1,_xlfn.XMATCH(EN$5,$CC8:$CN8)),"na")</f>
        <v>na</v>
      </c>
      <c r="EO8" s="47" t="str" cm="1">
        <f t="array" ref="EO8">IF(EO$5&lt;=$DG8,INDEX($AP8:$BA8,1,_xlfn.XMATCH(EO$5,$CC8:$CN8)),"na")</f>
        <v>na</v>
      </c>
      <c r="EP8" s="44" t="str" cm="1">
        <f t="array" ref="EP8">IF(EP$5&lt;=$DG8,INDEX($BC8:$BN8,1,_xlfn.XMATCH(EP$5,$CC8:$CN8)),"na")</f>
        <v>na</v>
      </c>
      <c r="EQ8" s="45" t="str" cm="1">
        <f t="array" ref="EQ8">IF(EQ$5&lt;=$DH8,INDEX($BP8:$CA8,1,_xlfn.XMATCH(EQ$5,$CP8:$DA8)),"na")</f>
        <v>na</v>
      </c>
      <c r="ER8" s="46" t="str" cm="1">
        <f t="array" ref="ER8">IF(ER$5&lt;=$DG8,INDEX($AC8:$AN8,1,_xlfn.XMATCH(ER$5,$CC8:$CN8)),"na")</f>
        <v>na</v>
      </c>
      <c r="ES8" s="47" t="str" cm="1">
        <f t="array" ref="ES8">IF(ES$5&lt;=$DG8,INDEX($AP8:$BA8,1,_xlfn.XMATCH(ES$5,$CC8:$CN8)),"na")</f>
        <v>na</v>
      </c>
      <c r="ET8" s="44" t="str" cm="1">
        <f t="array" ref="ET8">IF(ET$5&lt;=$DG8,INDEX($BC8:$BN8,1,_xlfn.XMATCH(ET$5,$CC8:$CN8)),"na")</f>
        <v>na</v>
      </c>
      <c r="EU8" s="45" t="str" cm="1">
        <f t="array" ref="EU8">IF(EU$5&lt;=$DH8,INDEX($BP8:$CA8,1,_xlfn.XMATCH(EU$5,$CP8:$DA8)),"na")</f>
        <v>na</v>
      </c>
      <c r="EV8" s="46" t="str" cm="1">
        <f t="array" ref="EV8">IF(EV$5&lt;=$DG8,INDEX($AC8:$AN8,1,_xlfn.XMATCH(EV$5,$CC8:$CN8)),"na")</f>
        <v>na</v>
      </c>
      <c r="EW8" s="47" t="str" cm="1">
        <f t="array" ref="EW8">IF(EW$5&lt;=$DG8,INDEX($AP8:$BA8,1,_xlfn.XMATCH(EW$5,$CC8:$CN8)),"na")</f>
        <v>na</v>
      </c>
      <c r="EX8" s="44" t="str" cm="1">
        <f t="array" ref="EX8">IF(EX$5&lt;=$DG8,INDEX($BC8:$BN8,1,_xlfn.XMATCH(EX$5,$CC8:$CN8)),"na")</f>
        <v>na</v>
      </c>
      <c r="EY8" s="45" t="str" cm="1">
        <f t="array" ref="EY8">IF(EY$5&lt;=$DH8,INDEX($BP8:$CA8,1,_xlfn.XMATCH(EY$5,$CP8:$DA8)),"na")</f>
        <v>na</v>
      </c>
      <c r="EZ8" s="46" t="str" cm="1">
        <f t="array" ref="EZ8">IF(EZ$5&lt;=$DG8,INDEX($AC8:$AN8,1,_xlfn.XMATCH(EZ$5,$CC8:$CN8)),"na")</f>
        <v>na</v>
      </c>
      <c r="FA8" s="47" t="str" cm="1">
        <f t="array" ref="FA8">IF(FA$5&lt;=$DG8,INDEX($AP8:$BA8,1,_xlfn.XMATCH(FA$5,$CC8:$CN8)),"na")</f>
        <v>na</v>
      </c>
      <c r="FB8" s="44" t="str" cm="1">
        <f t="array" ref="FB8">IF(FB$5&lt;=$DG8,INDEX($BC8:$BN8,1,_xlfn.XMATCH(FB$5,$CC8:$CN8)),"na")</f>
        <v>na</v>
      </c>
      <c r="FC8" s="45" t="str" cm="1">
        <f t="array" ref="FC8">IF(FC$5&lt;=$DH8,INDEX($BP8:$CA8,1,_xlfn.XMATCH(FC$5,$CP8:$DA8)),"na")</f>
        <v>na</v>
      </c>
      <c r="FD8" s="46" t="str" cm="1">
        <f t="array" ref="FD8">IF(FD$5&lt;=$DG8,INDEX($AC8:$AN8,1,_xlfn.XMATCH(FD$5,$CC8:$CN8)),"na")</f>
        <v>na</v>
      </c>
      <c r="FE8" s="47" t="str" cm="1">
        <f t="array" ref="FE8">IF(FE$5&lt;=$DG8,INDEX($AP8:$BA8,1,_xlfn.XMATCH(FE$5,$CC8:$CN8)),"na")</f>
        <v>na</v>
      </c>
    </row>
    <row r="9" spans="2:161" x14ac:dyDescent="0.25">
      <c r="B9" s="10" t="s">
        <v>70</v>
      </c>
      <c r="C9" s="8">
        <v>5704</v>
      </c>
      <c r="D9" s="8">
        <v>5152</v>
      </c>
      <c r="E9" s="8">
        <v>5704</v>
      </c>
      <c r="F9" s="8">
        <v>5520</v>
      </c>
      <c r="G9" s="8">
        <v>5704</v>
      </c>
      <c r="H9" s="8">
        <v>5520</v>
      </c>
      <c r="I9" s="8">
        <v>5704</v>
      </c>
      <c r="J9" s="8">
        <v>5704</v>
      </c>
      <c r="K9" s="8">
        <v>5520</v>
      </c>
      <c r="L9" s="8">
        <v>5704</v>
      </c>
      <c r="M9" s="8">
        <v>5520</v>
      </c>
      <c r="N9" s="8">
        <v>5704</v>
      </c>
      <c r="O9" s="8"/>
      <c r="P9" s="8">
        <v>4929</v>
      </c>
      <c r="Q9" s="8">
        <v>4480</v>
      </c>
      <c r="R9" s="8">
        <v>4991</v>
      </c>
      <c r="S9" s="8">
        <v>4860</v>
      </c>
      <c r="T9" s="8">
        <v>5053</v>
      </c>
      <c r="U9" s="8">
        <v>4920</v>
      </c>
      <c r="V9" s="8">
        <v>5115</v>
      </c>
      <c r="W9" s="8">
        <v>5146</v>
      </c>
      <c r="X9" s="8">
        <v>5010</v>
      </c>
      <c r="Y9" s="8">
        <v>5208</v>
      </c>
      <c r="Z9" s="8">
        <v>5070</v>
      </c>
      <c r="AA9" s="8">
        <v>5270</v>
      </c>
      <c r="AC9" s="14">
        <f>C9/_xlfn.XLOOKUP(AC$5,'OC-Days'!$G:$G,'OC-Days'!$B:$B)</f>
        <v>184</v>
      </c>
      <c r="AD9" s="14">
        <f>D9/_xlfn.XLOOKUP(AD$5,'OC-Days'!$G:$G,'OC-Days'!$B:$B)</f>
        <v>184</v>
      </c>
      <c r="AE9" s="14">
        <f>E9/_xlfn.XLOOKUP(AE$5,'OC-Days'!$G:$G,'OC-Days'!$B:$B)</f>
        <v>184</v>
      </c>
      <c r="AF9" s="14">
        <f>F9/_xlfn.XLOOKUP(AF$5,'OC-Days'!$G:$G,'OC-Days'!$B:$B)</f>
        <v>184</v>
      </c>
      <c r="AG9" s="14">
        <f>G9/_xlfn.XLOOKUP(AG$5,'OC-Days'!$G:$G,'OC-Days'!$B:$B)</f>
        <v>184</v>
      </c>
      <c r="AH9" s="14">
        <f>H9/_xlfn.XLOOKUP(AH$5,'OC-Days'!$G:$G,'OC-Days'!$B:$B)</f>
        <v>184</v>
      </c>
      <c r="AI9" s="14">
        <f>I9/_xlfn.XLOOKUP(AI$5,'OC-Days'!$G:$G,'OC-Days'!$B:$B)</f>
        <v>184</v>
      </c>
      <c r="AJ9" s="14">
        <f>J9/_xlfn.XLOOKUP(AJ$5,'OC-Days'!$G:$G,'OC-Days'!$B:$B)</f>
        <v>184</v>
      </c>
      <c r="AK9" s="14">
        <f>K9/_xlfn.XLOOKUP(AK$5,'OC-Days'!$G:$G,'OC-Days'!$B:$B)</f>
        <v>184</v>
      </c>
      <c r="AL9" s="14">
        <f>L9/_xlfn.XLOOKUP(AL$5,'OC-Days'!$G:$G,'OC-Days'!$B:$B)</f>
        <v>184</v>
      </c>
      <c r="AM9" s="14">
        <f>M9/_xlfn.XLOOKUP(AM$5,'OC-Days'!$G:$G,'OC-Days'!$B:$B)</f>
        <v>184</v>
      </c>
      <c r="AN9" s="14">
        <f>N9/_xlfn.XLOOKUP(AN$5,'OC-Days'!$G:$G,'OC-Days'!$B:$B)</f>
        <v>184</v>
      </c>
      <c r="AP9" s="14">
        <f>P9/_xlfn.XLOOKUP(AP$5,'OC-Days'!$G:$G,'OC-Days'!$B:$B)</f>
        <v>159</v>
      </c>
      <c r="AQ9" s="14">
        <f>Q9/_xlfn.XLOOKUP(AQ$5,'OC-Days'!$G:$G,'OC-Days'!$B:$B)</f>
        <v>160</v>
      </c>
      <c r="AR9" s="14">
        <f>R9/_xlfn.XLOOKUP(AR$5,'OC-Days'!$G:$G,'OC-Days'!$B:$B)</f>
        <v>161</v>
      </c>
      <c r="AS9" s="14">
        <f>S9/_xlfn.XLOOKUP(AS$5,'OC-Days'!$G:$G,'OC-Days'!$B:$B)</f>
        <v>162</v>
      </c>
      <c r="AT9" s="14">
        <f>T9/_xlfn.XLOOKUP(AT$5,'OC-Days'!$G:$G,'OC-Days'!$B:$B)</f>
        <v>163</v>
      </c>
      <c r="AU9" s="14">
        <f>U9/_xlfn.XLOOKUP(AU$5,'OC-Days'!$G:$G,'OC-Days'!$B:$B)</f>
        <v>164</v>
      </c>
      <c r="AV9" s="14">
        <f>V9/_xlfn.XLOOKUP(AV$5,'OC-Days'!$G:$G,'OC-Days'!$B:$B)</f>
        <v>165</v>
      </c>
      <c r="AW9" s="14">
        <f>W9/_xlfn.XLOOKUP(AW$5,'OC-Days'!$G:$G,'OC-Days'!$B:$B)</f>
        <v>166</v>
      </c>
      <c r="AX9" s="14">
        <f>X9/_xlfn.XLOOKUP(AX$5,'OC-Days'!$G:$G,'OC-Days'!$B:$B)</f>
        <v>167</v>
      </c>
      <c r="AY9" s="14">
        <f>Y9/_xlfn.XLOOKUP(AY$5,'OC-Days'!$G:$G,'OC-Days'!$B:$B)</f>
        <v>168</v>
      </c>
      <c r="AZ9" s="14">
        <f>Z9/_xlfn.XLOOKUP(AZ$5,'OC-Days'!$G:$G,'OC-Days'!$B:$B)</f>
        <v>169</v>
      </c>
      <c r="BA9" s="14">
        <f>AA9/_xlfn.XLOOKUP(BA$5,'OC-Days'!$G:$G,'OC-Days'!$B:$B)</f>
        <v>170</v>
      </c>
      <c r="BC9" s="33">
        <f>_xlfn.XLOOKUP(BC$5,'OC-Days'!$G:$G,'OC-Days'!$F:$F)</f>
        <v>45658</v>
      </c>
      <c r="BD9" s="34">
        <f>IF(AQ9=AP9,"na",_xlfn.XLOOKUP(BD$5,'OC-Days'!$G:$G,'OC-Days'!$F:$F))</f>
        <v>45689</v>
      </c>
      <c r="BE9" s="34">
        <f>IF(AR9=AQ9,"na",_xlfn.XLOOKUP(BE$5,'OC-Days'!$G:$G,'OC-Days'!$F:$F))</f>
        <v>45717</v>
      </c>
      <c r="BF9" s="34">
        <f>IF(AS9=AR9,"na",_xlfn.XLOOKUP(BF$5,'OC-Days'!$G:$G,'OC-Days'!$F:$F))</f>
        <v>45748</v>
      </c>
      <c r="BG9" s="34">
        <f>IF(AT9=AS9,"na",_xlfn.XLOOKUP(BG$5,'OC-Days'!$G:$G,'OC-Days'!$F:$F))</f>
        <v>45778</v>
      </c>
      <c r="BH9" s="34">
        <f>IF(AU9=AT9,"na",_xlfn.XLOOKUP(BH$5,'OC-Days'!$G:$G,'OC-Days'!$F:$F))</f>
        <v>45809</v>
      </c>
      <c r="BI9" s="34">
        <f>IF(AV9=AU9,"na",_xlfn.XLOOKUP(BI$5,'OC-Days'!$G:$G,'OC-Days'!$F:$F))</f>
        <v>45839</v>
      </c>
      <c r="BJ9" s="34">
        <f>IF(AW9=AV9,"na",_xlfn.XLOOKUP(BJ$5,'OC-Days'!$G:$G,'OC-Days'!$F:$F))</f>
        <v>45870</v>
      </c>
      <c r="BK9" s="34">
        <f>IF(AX9=AW9,"na",_xlfn.XLOOKUP(BK$5,'OC-Days'!$G:$G,'OC-Days'!$F:$F))</f>
        <v>45901</v>
      </c>
      <c r="BL9" s="34">
        <f>IF(AY9=AX9,"na",_xlfn.XLOOKUP(BL$5,'OC-Days'!$G:$G,'OC-Days'!$F:$F))</f>
        <v>45931</v>
      </c>
      <c r="BM9" s="34">
        <f>IF(AZ9=AY9,"na",_xlfn.XLOOKUP(BM$5,'OC-Days'!$G:$G,'OC-Days'!$F:$F))</f>
        <v>45962</v>
      </c>
      <c r="BN9" s="34">
        <f>IF(BA9=AZ9,"na",_xlfn.XLOOKUP(BN$5,'OC-Days'!$G:$G,'OC-Days'!$F:$F))</f>
        <v>45992</v>
      </c>
      <c r="BP9" s="36">
        <f t="shared" si="35"/>
        <v>45688</v>
      </c>
      <c r="BQ9" s="36">
        <f t="shared" si="36"/>
        <v>45716</v>
      </c>
      <c r="BR9" s="36">
        <f t="shared" si="37"/>
        <v>45747</v>
      </c>
      <c r="BS9" s="36">
        <f t="shared" si="38"/>
        <v>45777</v>
      </c>
      <c r="BT9" s="36">
        <f t="shared" si="39"/>
        <v>45808</v>
      </c>
      <c r="BU9" s="36">
        <f t="shared" si="40"/>
        <v>45838</v>
      </c>
      <c r="BV9" s="36">
        <f t="shared" si="41"/>
        <v>45869</v>
      </c>
      <c r="BW9" s="36">
        <f t="shared" si="42"/>
        <v>45900</v>
      </c>
      <c r="BX9" s="36">
        <f t="shared" si="43"/>
        <v>45930</v>
      </c>
      <c r="BY9" s="36">
        <f t="shared" si="44"/>
        <v>45961</v>
      </c>
      <c r="BZ9" s="36">
        <f t="shared" si="45"/>
        <v>45991</v>
      </c>
      <c r="CA9" s="43">
        <f t="shared" si="46"/>
        <v>46022</v>
      </c>
      <c r="CC9" s="8">
        <f>COUNT($BC9:BC9)</f>
        <v>1</v>
      </c>
      <c r="CD9" s="8">
        <f>COUNT($BC9:BD9)</f>
        <v>2</v>
      </c>
      <c r="CE9" s="8">
        <f>COUNT($BC9:BE9)</f>
        <v>3</v>
      </c>
      <c r="CF9" s="8">
        <f>COUNT($BC9:BF9)</f>
        <v>4</v>
      </c>
      <c r="CG9" s="8">
        <f>COUNT($BC9:BG9)</f>
        <v>5</v>
      </c>
      <c r="CH9" s="8">
        <f>COUNT($BC9:BH9)</f>
        <v>6</v>
      </c>
      <c r="CI9" s="8">
        <f>COUNT($BC9:BI9)</f>
        <v>7</v>
      </c>
      <c r="CJ9" s="8">
        <f>COUNT($BC9:BJ9)</f>
        <v>8</v>
      </c>
      <c r="CK9" s="8">
        <f>COUNT($BC9:BK9)</f>
        <v>9</v>
      </c>
      <c r="CL9" s="8">
        <f>COUNT($BC9:BL9)</f>
        <v>10</v>
      </c>
      <c r="CM9" s="8">
        <f>COUNT($BC9:BM9)</f>
        <v>11</v>
      </c>
      <c r="CN9" s="8">
        <f>COUNT($BC9:BN9)</f>
        <v>12</v>
      </c>
      <c r="CO9" s="8"/>
      <c r="CP9" s="8">
        <f>COUNT($BP9:BP9)</f>
        <v>1</v>
      </c>
      <c r="CQ9" s="8">
        <f>COUNT($BP9:BQ9)</f>
        <v>2</v>
      </c>
      <c r="CR9" s="8">
        <f>COUNT($BP9:BR9)</f>
        <v>3</v>
      </c>
      <c r="CS9" s="8">
        <f>COUNT($BP9:BS9)</f>
        <v>4</v>
      </c>
      <c r="CT9" s="8">
        <f>COUNT($BP9:BT9)</f>
        <v>5</v>
      </c>
      <c r="CU9" s="8">
        <f>COUNT($BP9:BU9)</f>
        <v>6</v>
      </c>
      <c r="CV9" s="8">
        <f>COUNT($BP9:BV9)</f>
        <v>7</v>
      </c>
      <c r="CW9" s="8">
        <f>COUNT($BP9:BW9)</f>
        <v>8</v>
      </c>
      <c r="CX9" s="8">
        <f>COUNT($BP9:BX9)</f>
        <v>9</v>
      </c>
      <c r="CY9" s="8">
        <f>COUNT($BP9:BY9)</f>
        <v>10</v>
      </c>
      <c r="CZ9" s="8">
        <f>COUNT($BP9:BZ9)</f>
        <v>11</v>
      </c>
      <c r="DA9" s="8">
        <f>COUNT($BP9:CA9)</f>
        <v>12</v>
      </c>
      <c r="DC9">
        <f t="shared" si="47"/>
        <v>100</v>
      </c>
      <c r="DD9">
        <f t="shared" si="48"/>
        <v>32</v>
      </c>
      <c r="DE9" t="str">
        <f t="shared" si="49"/>
        <v>100-32</v>
      </c>
      <c r="DG9">
        <f t="shared" si="50"/>
        <v>12</v>
      </c>
      <c r="DH9">
        <f t="shared" si="51"/>
        <v>12</v>
      </c>
      <c r="DJ9" s="44" cm="1">
        <f t="array" ref="DJ9">IF(DJ$5&lt;=$DG9,INDEX($BC9:$BN9,1,_xlfn.XMATCH(DJ$5,$CC9:$CN9)),"na")</f>
        <v>45658</v>
      </c>
      <c r="DK9" s="45" cm="1">
        <f t="array" ref="DK9">IF(DK$5&lt;=$DH9,INDEX($BP9:$CA9,1,_xlfn.XMATCH(DK$5,$CP9:$DA9)),"na")</f>
        <v>45688</v>
      </c>
      <c r="DL9" s="46" cm="1">
        <f t="array" ref="DL9">IF(DL$5&lt;=$DG9,INDEX($AC9:$AN9,1,_xlfn.XMATCH(DL$5,$CC9:$CN9)),"na")</f>
        <v>184</v>
      </c>
      <c r="DM9" s="47" cm="1">
        <f t="array" ref="DM9">IF(DM$5&lt;=$DG9,INDEX($AP9:$BA9,1,_xlfn.XMATCH(DM$5,$CC9:$CN9)),"na")</f>
        <v>159</v>
      </c>
      <c r="DN9" s="44" cm="1">
        <f t="array" ref="DN9">IF(DN$5&lt;=$DG9,INDEX($BC9:$BN9,1,_xlfn.XMATCH(DN$5,$CC9:$CN9)),"na")</f>
        <v>45689</v>
      </c>
      <c r="DO9" s="45" cm="1">
        <f t="array" ref="DO9">IF(DO$5&lt;=$DH9,INDEX($BP9:$CA9,1,_xlfn.XMATCH(DO$5,$CP9:$DA9)),"na")</f>
        <v>45716</v>
      </c>
      <c r="DP9" s="46" cm="1">
        <f t="array" ref="DP9">IF(DP$5&lt;=$DG9,INDEX($AC9:$AN9,1,_xlfn.XMATCH(DP$5,$CC9:$CN9)),"na")</f>
        <v>184</v>
      </c>
      <c r="DQ9" s="47" cm="1">
        <f t="array" ref="DQ9">IF(DQ$5&lt;=$DG9,INDEX($AP9:$BA9,1,_xlfn.XMATCH(DQ$5,$CC9:$CN9)),"na")</f>
        <v>160</v>
      </c>
      <c r="DR9" s="44" cm="1">
        <f t="array" ref="DR9">IF(DR$5&lt;=$DG9,INDEX($BC9:$BN9,1,_xlfn.XMATCH(DR$5,$CC9:$CN9)),"na")</f>
        <v>45717</v>
      </c>
      <c r="DS9" s="45" cm="1">
        <f t="array" ref="DS9">IF(DS$5&lt;=$DH9,INDEX($BP9:$CA9,1,_xlfn.XMATCH(DS$5,$CP9:$DA9)),"na")</f>
        <v>45747</v>
      </c>
      <c r="DT9" s="46" cm="1">
        <f t="array" ref="DT9">IF(DT$5&lt;=$DG9,INDEX($AC9:$AN9,1,_xlfn.XMATCH(DT$5,$CC9:$CN9)),"na")</f>
        <v>184</v>
      </c>
      <c r="DU9" s="47" cm="1">
        <f t="array" ref="DU9">IF(DU$5&lt;=$DG9,INDEX($AP9:$BA9,1,_xlfn.XMATCH(DU$5,$CC9:$CN9)),"na")</f>
        <v>161</v>
      </c>
      <c r="DV9" s="44" cm="1">
        <f t="array" ref="DV9">IF(DV$5&lt;=$DG9,INDEX($BC9:$BN9,1,_xlfn.XMATCH(DV$5,$CC9:$CN9)),"na")</f>
        <v>45748</v>
      </c>
      <c r="DW9" s="45" cm="1">
        <f t="array" ref="DW9">IF(DW$5&lt;=$DH9,INDEX($BP9:$CA9,1,_xlfn.XMATCH(DW$5,$CP9:$DA9)),"na")</f>
        <v>45777</v>
      </c>
      <c r="DX9" s="46" cm="1">
        <f t="array" ref="DX9">IF(DX$5&lt;=$DG9,INDEX($AC9:$AN9,1,_xlfn.XMATCH(DX$5,$CC9:$CN9)),"na")</f>
        <v>184</v>
      </c>
      <c r="DY9" s="47" cm="1">
        <f t="array" ref="DY9">IF(DY$5&lt;=$DG9,INDEX($AP9:$BA9,1,_xlfn.XMATCH(DY$5,$CC9:$CN9)),"na")</f>
        <v>162</v>
      </c>
      <c r="DZ9" s="44" cm="1">
        <f t="array" ref="DZ9">IF(DZ$5&lt;=$DG9,INDEX($BC9:$BN9,1,_xlfn.XMATCH(DZ$5,$CC9:$CN9)),"na")</f>
        <v>45778</v>
      </c>
      <c r="EA9" s="45" cm="1">
        <f t="array" ref="EA9">IF(EA$5&lt;=$DH9,INDEX($BP9:$CA9,1,_xlfn.XMATCH(EA$5,$CP9:$DA9)),"na")</f>
        <v>45808</v>
      </c>
      <c r="EB9" s="46" cm="1">
        <f t="array" ref="EB9">IF(EB$5&lt;=$DG9,INDEX($AC9:$AN9,1,_xlfn.XMATCH(EB$5,$CC9:$CN9)),"na")</f>
        <v>184</v>
      </c>
      <c r="EC9" s="47" cm="1">
        <f t="array" ref="EC9">IF(EC$5&lt;=$DG9,INDEX($AP9:$BA9,1,_xlfn.XMATCH(EC$5,$CC9:$CN9)),"na")</f>
        <v>163</v>
      </c>
      <c r="ED9" s="44" cm="1">
        <f t="array" ref="ED9">IF(ED$5&lt;=$DG9,INDEX($BC9:$BN9,1,_xlfn.XMATCH(ED$5,$CC9:$CN9)),"na")</f>
        <v>45809</v>
      </c>
      <c r="EE9" s="45" cm="1">
        <f t="array" ref="EE9">IF(EE$5&lt;=$DH9,INDEX($BP9:$CA9,1,_xlfn.XMATCH(EE$5,$CP9:$DA9)),"na")</f>
        <v>45838</v>
      </c>
      <c r="EF9" s="46" cm="1">
        <f t="array" ref="EF9">IF(EF$5&lt;=$DG9,INDEX($AC9:$AN9,1,_xlfn.XMATCH(EF$5,$CC9:$CN9)),"na")</f>
        <v>184</v>
      </c>
      <c r="EG9" s="47" cm="1">
        <f t="array" ref="EG9">IF(EG$5&lt;=$DG9,INDEX($AP9:$BA9,1,_xlfn.XMATCH(EG$5,$CC9:$CN9)),"na")</f>
        <v>164</v>
      </c>
      <c r="EH9" s="44" cm="1">
        <f t="array" ref="EH9">IF(EH$5&lt;=$DG9,INDEX($BC9:$BN9,1,_xlfn.XMATCH(EH$5,$CC9:$CN9)),"na")</f>
        <v>45839</v>
      </c>
      <c r="EI9" s="45" cm="1">
        <f t="array" ref="EI9">IF(EI$5&lt;=$DH9,INDEX($BP9:$CA9,1,_xlfn.XMATCH(EI$5,$CP9:$DA9)),"na")</f>
        <v>45869</v>
      </c>
      <c r="EJ9" s="46" cm="1">
        <f t="array" ref="EJ9">IF(EJ$5&lt;=$DG9,INDEX($AC9:$AN9,1,_xlfn.XMATCH(EJ$5,$CC9:$CN9)),"na")</f>
        <v>184</v>
      </c>
      <c r="EK9" s="47" cm="1">
        <f t="array" ref="EK9">IF(EK$5&lt;=$DG9,INDEX($AP9:$BA9,1,_xlfn.XMATCH(EK$5,$CC9:$CN9)),"na")</f>
        <v>165</v>
      </c>
      <c r="EL9" s="44" cm="1">
        <f t="array" ref="EL9">IF(EL$5&lt;=$DG9,INDEX($BC9:$BN9,1,_xlfn.XMATCH(EL$5,$CC9:$CN9)),"na")</f>
        <v>45870</v>
      </c>
      <c r="EM9" s="45" cm="1">
        <f t="array" ref="EM9">IF(EM$5&lt;=$DH9,INDEX($BP9:$CA9,1,_xlfn.XMATCH(EM$5,$CP9:$DA9)),"na")</f>
        <v>45900</v>
      </c>
      <c r="EN9" s="46" cm="1">
        <f t="array" ref="EN9">IF(EN$5&lt;=$DG9,INDEX($AC9:$AN9,1,_xlfn.XMATCH(EN$5,$CC9:$CN9)),"na")</f>
        <v>184</v>
      </c>
      <c r="EO9" s="47" cm="1">
        <f t="array" ref="EO9">IF(EO$5&lt;=$DG9,INDEX($AP9:$BA9,1,_xlfn.XMATCH(EO$5,$CC9:$CN9)),"na")</f>
        <v>166</v>
      </c>
      <c r="EP9" s="44" cm="1">
        <f t="array" ref="EP9">IF(EP$5&lt;=$DG9,INDEX($BC9:$BN9,1,_xlfn.XMATCH(EP$5,$CC9:$CN9)),"na")</f>
        <v>45901</v>
      </c>
      <c r="EQ9" s="45" cm="1">
        <f t="array" ref="EQ9">IF(EQ$5&lt;=$DH9,INDEX($BP9:$CA9,1,_xlfn.XMATCH(EQ$5,$CP9:$DA9)),"na")</f>
        <v>45930</v>
      </c>
      <c r="ER9" s="46" cm="1">
        <f t="array" ref="ER9">IF(ER$5&lt;=$DG9,INDEX($AC9:$AN9,1,_xlfn.XMATCH(ER$5,$CC9:$CN9)),"na")</f>
        <v>184</v>
      </c>
      <c r="ES9" s="47" cm="1">
        <f t="array" ref="ES9">IF(ES$5&lt;=$DG9,INDEX($AP9:$BA9,1,_xlfn.XMATCH(ES$5,$CC9:$CN9)),"na")</f>
        <v>167</v>
      </c>
      <c r="ET9" s="44" cm="1">
        <f t="array" ref="ET9">IF(ET$5&lt;=$DG9,INDEX($BC9:$BN9,1,_xlfn.XMATCH(ET$5,$CC9:$CN9)),"na")</f>
        <v>45931</v>
      </c>
      <c r="EU9" s="45" cm="1">
        <f t="array" ref="EU9">IF(EU$5&lt;=$DH9,INDEX($BP9:$CA9,1,_xlfn.XMATCH(EU$5,$CP9:$DA9)),"na")</f>
        <v>45961</v>
      </c>
      <c r="EV9" s="46" cm="1">
        <f t="array" ref="EV9">IF(EV$5&lt;=$DG9,INDEX($AC9:$AN9,1,_xlfn.XMATCH(EV$5,$CC9:$CN9)),"na")</f>
        <v>184</v>
      </c>
      <c r="EW9" s="47" cm="1">
        <f t="array" ref="EW9">IF(EW$5&lt;=$DG9,INDEX($AP9:$BA9,1,_xlfn.XMATCH(EW$5,$CC9:$CN9)),"na")</f>
        <v>168</v>
      </c>
      <c r="EX9" s="44" cm="1">
        <f t="array" ref="EX9">IF(EX$5&lt;=$DG9,INDEX($BC9:$BN9,1,_xlfn.XMATCH(EX$5,$CC9:$CN9)),"na")</f>
        <v>45962</v>
      </c>
      <c r="EY9" s="45" cm="1">
        <f t="array" ref="EY9">IF(EY$5&lt;=$DH9,INDEX($BP9:$CA9,1,_xlfn.XMATCH(EY$5,$CP9:$DA9)),"na")</f>
        <v>45991</v>
      </c>
      <c r="EZ9" s="46" cm="1">
        <f t="array" ref="EZ9">IF(EZ$5&lt;=$DG9,INDEX($AC9:$AN9,1,_xlfn.XMATCH(EZ$5,$CC9:$CN9)),"na")</f>
        <v>184</v>
      </c>
      <c r="FA9" s="47" cm="1">
        <f t="array" ref="FA9">IF(FA$5&lt;=$DG9,INDEX($AP9:$BA9,1,_xlfn.XMATCH(FA$5,$CC9:$CN9)),"na")</f>
        <v>169</v>
      </c>
      <c r="FB9" s="44" cm="1">
        <f t="array" ref="FB9">IF(FB$5&lt;=$DG9,INDEX($BC9:$BN9,1,_xlfn.XMATCH(FB$5,$CC9:$CN9)),"na")</f>
        <v>45992</v>
      </c>
      <c r="FC9" s="45" cm="1">
        <f t="array" ref="FC9">IF(FC$5&lt;=$DH9,INDEX($BP9:$CA9,1,_xlfn.XMATCH(FC$5,$CP9:$DA9)),"na")</f>
        <v>46022</v>
      </c>
      <c r="FD9" s="46" cm="1">
        <f t="array" ref="FD9">IF(FD$5&lt;=$DG9,INDEX($AC9:$AN9,1,_xlfn.XMATCH(FD$5,$CC9:$CN9)),"na")</f>
        <v>184</v>
      </c>
      <c r="FE9" s="47" cm="1">
        <f t="array" ref="FE9">IF(FE$5&lt;=$DG9,INDEX($AP9:$BA9,1,_xlfn.XMATCH(FE$5,$CC9:$CN9)),"na")</f>
        <v>170</v>
      </c>
    </row>
    <row r="10" spans="2:161" x14ac:dyDescent="0.25">
      <c r="B10" s="10" t="s">
        <v>71</v>
      </c>
      <c r="C10" s="8">
        <v>3069</v>
      </c>
      <c r="D10" s="8">
        <v>2772</v>
      </c>
      <c r="E10" s="8">
        <v>3069</v>
      </c>
      <c r="F10" s="8">
        <v>2970</v>
      </c>
      <c r="G10" s="8">
        <v>3069</v>
      </c>
      <c r="H10" s="8">
        <v>2970</v>
      </c>
      <c r="I10" s="8">
        <v>3069</v>
      </c>
      <c r="J10" s="8">
        <v>3069</v>
      </c>
      <c r="K10" s="8">
        <v>2970</v>
      </c>
      <c r="L10" s="8">
        <v>3069</v>
      </c>
      <c r="M10" s="8">
        <v>2970</v>
      </c>
      <c r="N10" s="8">
        <v>3069</v>
      </c>
      <c r="O10" s="8"/>
      <c r="P10" s="8">
        <v>2790</v>
      </c>
      <c r="Q10" s="8">
        <v>2520</v>
      </c>
      <c r="R10" s="8">
        <v>2790</v>
      </c>
      <c r="S10" s="8">
        <v>2700</v>
      </c>
      <c r="T10" s="8">
        <v>2790</v>
      </c>
      <c r="U10" s="8">
        <v>2700</v>
      </c>
      <c r="V10" s="8">
        <v>2790</v>
      </c>
      <c r="W10" s="8">
        <v>2790</v>
      </c>
      <c r="X10" s="8">
        <v>2700</v>
      </c>
      <c r="Y10" s="8">
        <v>2790</v>
      </c>
      <c r="Z10" s="8">
        <v>2700</v>
      </c>
      <c r="AA10" s="8">
        <v>2790</v>
      </c>
      <c r="AC10" s="14">
        <f>C10/_xlfn.XLOOKUP(AC$5,'OC-Days'!$G:$G,'OC-Days'!$B:$B)</f>
        <v>99</v>
      </c>
      <c r="AD10" s="14">
        <f>D10/_xlfn.XLOOKUP(AD$5,'OC-Days'!$G:$G,'OC-Days'!$B:$B)</f>
        <v>99</v>
      </c>
      <c r="AE10" s="14">
        <f>E10/_xlfn.XLOOKUP(AE$5,'OC-Days'!$G:$G,'OC-Days'!$B:$B)</f>
        <v>99</v>
      </c>
      <c r="AF10" s="14">
        <f>F10/_xlfn.XLOOKUP(AF$5,'OC-Days'!$G:$G,'OC-Days'!$B:$B)</f>
        <v>99</v>
      </c>
      <c r="AG10" s="14">
        <f>G10/_xlfn.XLOOKUP(AG$5,'OC-Days'!$G:$G,'OC-Days'!$B:$B)</f>
        <v>99</v>
      </c>
      <c r="AH10" s="14">
        <f>H10/_xlfn.XLOOKUP(AH$5,'OC-Days'!$G:$G,'OC-Days'!$B:$B)</f>
        <v>99</v>
      </c>
      <c r="AI10" s="14">
        <f>I10/_xlfn.XLOOKUP(AI$5,'OC-Days'!$G:$G,'OC-Days'!$B:$B)</f>
        <v>99</v>
      </c>
      <c r="AJ10" s="14">
        <f>J10/_xlfn.XLOOKUP(AJ$5,'OC-Days'!$G:$G,'OC-Days'!$B:$B)</f>
        <v>99</v>
      </c>
      <c r="AK10" s="14">
        <f>K10/_xlfn.XLOOKUP(AK$5,'OC-Days'!$G:$G,'OC-Days'!$B:$B)</f>
        <v>99</v>
      </c>
      <c r="AL10" s="14">
        <f>L10/_xlfn.XLOOKUP(AL$5,'OC-Days'!$G:$G,'OC-Days'!$B:$B)</f>
        <v>99</v>
      </c>
      <c r="AM10" s="14">
        <f>M10/_xlfn.XLOOKUP(AM$5,'OC-Days'!$G:$G,'OC-Days'!$B:$B)</f>
        <v>99</v>
      </c>
      <c r="AN10" s="14">
        <f>N10/_xlfn.XLOOKUP(AN$5,'OC-Days'!$G:$G,'OC-Days'!$B:$B)</f>
        <v>99</v>
      </c>
      <c r="AP10" s="14">
        <f>P10/_xlfn.XLOOKUP(AP$5,'OC-Days'!$G:$G,'OC-Days'!$B:$B)</f>
        <v>90</v>
      </c>
      <c r="AQ10" s="14">
        <f>Q10/_xlfn.XLOOKUP(AQ$5,'OC-Days'!$G:$G,'OC-Days'!$B:$B)</f>
        <v>90</v>
      </c>
      <c r="AR10" s="14">
        <f>R10/_xlfn.XLOOKUP(AR$5,'OC-Days'!$G:$G,'OC-Days'!$B:$B)</f>
        <v>90</v>
      </c>
      <c r="AS10" s="14">
        <f>S10/_xlfn.XLOOKUP(AS$5,'OC-Days'!$G:$G,'OC-Days'!$B:$B)</f>
        <v>90</v>
      </c>
      <c r="AT10" s="14">
        <f>T10/_xlfn.XLOOKUP(AT$5,'OC-Days'!$G:$G,'OC-Days'!$B:$B)</f>
        <v>90</v>
      </c>
      <c r="AU10" s="14">
        <f>U10/_xlfn.XLOOKUP(AU$5,'OC-Days'!$G:$G,'OC-Days'!$B:$B)</f>
        <v>90</v>
      </c>
      <c r="AV10" s="14">
        <f>V10/_xlfn.XLOOKUP(AV$5,'OC-Days'!$G:$G,'OC-Days'!$B:$B)</f>
        <v>90</v>
      </c>
      <c r="AW10" s="14">
        <f>W10/_xlfn.XLOOKUP(AW$5,'OC-Days'!$G:$G,'OC-Days'!$B:$B)</f>
        <v>90</v>
      </c>
      <c r="AX10" s="14">
        <f>X10/_xlfn.XLOOKUP(AX$5,'OC-Days'!$G:$G,'OC-Days'!$B:$B)</f>
        <v>90</v>
      </c>
      <c r="AY10" s="14">
        <f>Y10/_xlfn.XLOOKUP(AY$5,'OC-Days'!$G:$G,'OC-Days'!$B:$B)</f>
        <v>90</v>
      </c>
      <c r="AZ10" s="14">
        <f>Z10/_xlfn.XLOOKUP(AZ$5,'OC-Days'!$G:$G,'OC-Days'!$B:$B)</f>
        <v>90</v>
      </c>
      <c r="BA10" s="14">
        <f>AA10/_xlfn.XLOOKUP(BA$5,'OC-Days'!$G:$G,'OC-Days'!$B:$B)</f>
        <v>90</v>
      </c>
      <c r="BC10" s="33">
        <f>_xlfn.XLOOKUP(BC$5,'OC-Days'!$G:$G,'OC-Days'!$F:$F)</f>
        <v>45658</v>
      </c>
      <c r="BD10" s="34" t="str">
        <f>IF(AQ10=AP10,"na",_xlfn.XLOOKUP(BD$5,'OC-Days'!$G:$G,'OC-Days'!$F:$F))</f>
        <v>na</v>
      </c>
      <c r="BE10" s="34" t="str">
        <f>IF(AR10=AQ10,"na",_xlfn.XLOOKUP(BE$5,'OC-Days'!$G:$G,'OC-Days'!$F:$F))</f>
        <v>na</v>
      </c>
      <c r="BF10" s="34" t="str">
        <f>IF(AS10=AR10,"na",_xlfn.XLOOKUP(BF$5,'OC-Days'!$G:$G,'OC-Days'!$F:$F))</f>
        <v>na</v>
      </c>
      <c r="BG10" s="34" t="str">
        <f>IF(AT10=AS10,"na",_xlfn.XLOOKUP(BG$5,'OC-Days'!$G:$G,'OC-Days'!$F:$F))</f>
        <v>na</v>
      </c>
      <c r="BH10" s="34" t="str">
        <f>IF(AU10=AT10,"na",_xlfn.XLOOKUP(BH$5,'OC-Days'!$G:$G,'OC-Days'!$F:$F))</f>
        <v>na</v>
      </c>
      <c r="BI10" s="34" t="str">
        <f>IF(AV10=AU10,"na",_xlfn.XLOOKUP(BI$5,'OC-Days'!$G:$G,'OC-Days'!$F:$F))</f>
        <v>na</v>
      </c>
      <c r="BJ10" s="34" t="str">
        <f>IF(AW10=AV10,"na",_xlfn.XLOOKUP(BJ$5,'OC-Days'!$G:$G,'OC-Days'!$F:$F))</f>
        <v>na</v>
      </c>
      <c r="BK10" s="34" t="str">
        <f>IF(AX10=AW10,"na",_xlfn.XLOOKUP(BK$5,'OC-Days'!$G:$G,'OC-Days'!$F:$F))</f>
        <v>na</v>
      </c>
      <c r="BL10" s="34" t="str">
        <f>IF(AY10=AX10,"na",_xlfn.XLOOKUP(BL$5,'OC-Days'!$G:$G,'OC-Days'!$F:$F))</f>
        <v>na</v>
      </c>
      <c r="BM10" s="34" t="str">
        <f>IF(AZ10=AY10,"na",_xlfn.XLOOKUP(BM$5,'OC-Days'!$G:$G,'OC-Days'!$F:$F))</f>
        <v>na</v>
      </c>
      <c r="BN10" s="34" t="str">
        <f>IF(BA10=AZ10,"na",_xlfn.XLOOKUP(BN$5,'OC-Days'!$G:$G,'OC-Days'!$F:$F))</f>
        <v>na</v>
      </c>
      <c r="BP10" s="36" t="str">
        <f t="shared" si="35"/>
        <v>na</v>
      </c>
      <c r="BQ10" s="36" t="str">
        <f t="shared" si="36"/>
        <v>na</v>
      </c>
      <c r="BR10" s="36" t="str">
        <f t="shared" si="37"/>
        <v>na</v>
      </c>
      <c r="BS10" s="36" t="str">
        <f t="shared" si="38"/>
        <v>na</v>
      </c>
      <c r="BT10" s="36" t="str">
        <f t="shared" si="39"/>
        <v>na</v>
      </c>
      <c r="BU10" s="36" t="str">
        <f t="shared" si="40"/>
        <v>na</v>
      </c>
      <c r="BV10" s="36" t="str">
        <f t="shared" si="41"/>
        <v>na</v>
      </c>
      <c r="BW10" s="36" t="str">
        <f t="shared" si="42"/>
        <v>na</v>
      </c>
      <c r="BX10" s="36" t="str">
        <f t="shared" si="43"/>
        <v>na</v>
      </c>
      <c r="BY10" s="36" t="str">
        <f t="shared" si="44"/>
        <v>na</v>
      </c>
      <c r="BZ10" s="36" t="str">
        <f t="shared" si="45"/>
        <v>na</v>
      </c>
      <c r="CA10" s="43">
        <f t="shared" si="46"/>
        <v>46022</v>
      </c>
      <c r="CC10" s="8">
        <f>COUNT($BC10:BC10)</f>
        <v>1</v>
      </c>
      <c r="CD10" s="8">
        <f>COUNT($BC10:BD10)</f>
        <v>1</v>
      </c>
      <c r="CE10" s="8">
        <f>COUNT($BC10:BE10)</f>
        <v>1</v>
      </c>
      <c r="CF10" s="8">
        <f>COUNT($BC10:BF10)</f>
        <v>1</v>
      </c>
      <c r="CG10" s="8">
        <f>COUNT($BC10:BG10)</f>
        <v>1</v>
      </c>
      <c r="CH10" s="8">
        <f>COUNT($BC10:BH10)</f>
        <v>1</v>
      </c>
      <c r="CI10" s="8">
        <f>COUNT($BC10:BI10)</f>
        <v>1</v>
      </c>
      <c r="CJ10" s="8">
        <f>COUNT($BC10:BJ10)</f>
        <v>1</v>
      </c>
      <c r="CK10" s="8">
        <f>COUNT($BC10:BK10)</f>
        <v>1</v>
      </c>
      <c r="CL10" s="8">
        <f>COUNT($BC10:BL10)</f>
        <v>1</v>
      </c>
      <c r="CM10" s="8">
        <f>COUNT($BC10:BM10)</f>
        <v>1</v>
      </c>
      <c r="CN10" s="8">
        <f>COUNT($BC10:BN10)</f>
        <v>1</v>
      </c>
      <c r="CO10" s="8"/>
      <c r="CP10" s="8">
        <f>COUNT($BP10:BP10)</f>
        <v>0</v>
      </c>
      <c r="CQ10" s="8">
        <f>COUNT($BP10:BQ10)</f>
        <v>0</v>
      </c>
      <c r="CR10" s="8">
        <f>COUNT($BP10:BR10)</f>
        <v>0</v>
      </c>
      <c r="CS10" s="8">
        <f>COUNT($BP10:BS10)</f>
        <v>0</v>
      </c>
      <c r="CT10" s="8">
        <f>COUNT($BP10:BT10)</f>
        <v>0</v>
      </c>
      <c r="CU10" s="8">
        <f>COUNT($BP10:BU10)</f>
        <v>0</v>
      </c>
      <c r="CV10" s="8">
        <f>COUNT($BP10:BV10)</f>
        <v>0</v>
      </c>
      <c r="CW10" s="8">
        <f>COUNT($BP10:BW10)</f>
        <v>0</v>
      </c>
      <c r="CX10" s="8">
        <f>COUNT($BP10:BX10)</f>
        <v>0</v>
      </c>
      <c r="CY10" s="8">
        <f>COUNT($BP10:BY10)</f>
        <v>0</v>
      </c>
      <c r="CZ10" s="8">
        <f>COUNT($BP10:BZ10)</f>
        <v>0</v>
      </c>
      <c r="DA10" s="8">
        <f>COUNT($BP10:CA10)</f>
        <v>1</v>
      </c>
      <c r="DC10">
        <f t="shared" si="47"/>
        <v>100</v>
      </c>
      <c r="DD10">
        <f t="shared" si="48"/>
        <v>33</v>
      </c>
      <c r="DE10" t="str">
        <f t="shared" si="49"/>
        <v>100-33</v>
      </c>
      <c r="DG10">
        <f t="shared" si="50"/>
        <v>1</v>
      </c>
      <c r="DH10">
        <f t="shared" si="51"/>
        <v>1</v>
      </c>
      <c r="DJ10" s="44" cm="1">
        <f t="array" ref="DJ10">IF(DJ$5&lt;=$DG10,INDEX($BC10:$BN10,1,_xlfn.XMATCH(DJ$5,$CC10:$CN10)),"na")</f>
        <v>45658</v>
      </c>
      <c r="DK10" s="45" cm="1">
        <f t="array" ref="DK10">IF(DK$5&lt;=$DH10,INDEX($BP10:$CA10,1,_xlfn.XMATCH(DK$5,$CP10:$DA10)),"na")</f>
        <v>46022</v>
      </c>
      <c r="DL10" s="46" cm="1">
        <f t="array" ref="DL10">IF(DL$5&lt;=$DG10,INDEX($AC10:$AN10,1,_xlfn.XMATCH(DL$5,$CC10:$CN10)),"na")</f>
        <v>99</v>
      </c>
      <c r="DM10" s="47" cm="1">
        <f t="array" ref="DM10">IF(DM$5&lt;=$DG10,INDEX($AP10:$BA10,1,_xlfn.XMATCH(DM$5,$CC10:$CN10)),"na")</f>
        <v>90</v>
      </c>
      <c r="DN10" s="44" t="str" cm="1">
        <f t="array" ref="DN10">IF(DN$5&lt;=$DG10,INDEX($BC10:$BN10,1,_xlfn.XMATCH(DN$5,$CC10:$CN10)),"na")</f>
        <v>na</v>
      </c>
      <c r="DO10" s="45" t="str" cm="1">
        <f t="array" ref="DO10">IF(DO$5&lt;=$DH10,INDEX($BP10:$CA10,1,_xlfn.XMATCH(DO$5,$CP10:$DA10)),"na")</f>
        <v>na</v>
      </c>
      <c r="DP10" s="46" t="str" cm="1">
        <f t="array" ref="DP10">IF(DP$5&lt;=$DG10,INDEX($AC10:$AN10,1,_xlfn.XMATCH(DP$5,$CC10:$CN10)),"na")</f>
        <v>na</v>
      </c>
      <c r="DQ10" s="47" t="str" cm="1">
        <f t="array" ref="DQ10">IF(DQ$5&lt;=$DG10,INDEX($AP10:$BA10,1,_xlfn.XMATCH(DQ$5,$CC10:$CN10)),"na")</f>
        <v>na</v>
      </c>
      <c r="DR10" s="44" t="str" cm="1">
        <f t="array" ref="DR10">IF(DR$5&lt;=$DG10,INDEX($BC10:$BN10,1,_xlfn.XMATCH(DR$5,$CC10:$CN10)),"na")</f>
        <v>na</v>
      </c>
      <c r="DS10" s="45" t="str" cm="1">
        <f t="array" ref="DS10">IF(DS$5&lt;=$DH10,INDEX($BP10:$CA10,1,_xlfn.XMATCH(DS$5,$CP10:$DA10)),"na")</f>
        <v>na</v>
      </c>
      <c r="DT10" s="46" t="str" cm="1">
        <f t="array" ref="DT10">IF(DT$5&lt;=$DG10,INDEX($AC10:$AN10,1,_xlfn.XMATCH(DT$5,$CC10:$CN10)),"na")</f>
        <v>na</v>
      </c>
      <c r="DU10" s="47" t="str" cm="1">
        <f t="array" ref="DU10">IF(DU$5&lt;=$DG10,INDEX($AP10:$BA10,1,_xlfn.XMATCH(DU$5,$CC10:$CN10)),"na")</f>
        <v>na</v>
      </c>
      <c r="DV10" s="44" t="str" cm="1">
        <f t="array" ref="DV10">IF(DV$5&lt;=$DG10,INDEX($BC10:$BN10,1,_xlfn.XMATCH(DV$5,$CC10:$CN10)),"na")</f>
        <v>na</v>
      </c>
      <c r="DW10" s="45" t="str" cm="1">
        <f t="array" ref="DW10">IF(DW$5&lt;=$DH10,INDEX($BP10:$CA10,1,_xlfn.XMATCH(DW$5,$CP10:$DA10)),"na")</f>
        <v>na</v>
      </c>
      <c r="DX10" s="46" t="str" cm="1">
        <f t="array" ref="DX10">IF(DX$5&lt;=$DG10,INDEX($AC10:$AN10,1,_xlfn.XMATCH(DX$5,$CC10:$CN10)),"na")</f>
        <v>na</v>
      </c>
      <c r="DY10" s="47" t="str" cm="1">
        <f t="array" ref="DY10">IF(DY$5&lt;=$DG10,INDEX($AP10:$BA10,1,_xlfn.XMATCH(DY$5,$CC10:$CN10)),"na")</f>
        <v>na</v>
      </c>
      <c r="DZ10" s="44" t="str" cm="1">
        <f t="array" ref="DZ10">IF(DZ$5&lt;=$DG10,INDEX($BC10:$BN10,1,_xlfn.XMATCH(DZ$5,$CC10:$CN10)),"na")</f>
        <v>na</v>
      </c>
      <c r="EA10" s="45" t="str" cm="1">
        <f t="array" ref="EA10">IF(EA$5&lt;=$DH10,INDEX($BP10:$CA10,1,_xlfn.XMATCH(EA$5,$CP10:$DA10)),"na")</f>
        <v>na</v>
      </c>
      <c r="EB10" s="46" t="str" cm="1">
        <f t="array" ref="EB10">IF(EB$5&lt;=$DG10,INDEX($AC10:$AN10,1,_xlfn.XMATCH(EB$5,$CC10:$CN10)),"na")</f>
        <v>na</v>
      </c>
      <c r="EC10" s="47" t="str" cm="1">
        <f t="array" ref="EC10">IF(EC$5&lt;=$DG10,INDEX($AP10:$BA10,1,_xlfn.XMATCH(EC$5,$CC10:$CN10)),"na")</f>
        <v>na</v>
      </c>
      <c r="ED10" s="44" t="str" cm="1">
        <f t="array" ref="ED10">IF(ED$5&lt;=$DG10,INDEX($BC10:$BN10,1,_xlfn.XMATCH(ED$5,$CC10:$CN10)),"na")</f>
        <v>na</v>
      </c>
      <c r="EE10" s="45" t="str" cm="1">
        <f t="array" ref="EE10">IF(EE$5&lt;=$DH10,INDEX($BP10:$CA10,1,_xlfn.XMATCH(EE$5,$CP10:$DA10)),"na")</f>
        <v>na</v>
      </c>
      <c r="EF10" s="46" t="str" cm="1">
        <f t="array" ref="EF10">IF(EF$5&lt;=$DG10,INDEX($AC10:$AN10,1,_xlfn.XMATCH(EF$5,$CC10:$CN10)),"na")</f>
        <v>na</v>
      </c>
      <c r="EG10" s="47" t="str" cm="1">
        <f t="array" ref="EG10">IF(EG$5&lt;=$DG10,INDEX($AP10:$BA10,1,_xlfn.XMATCH(EG$5,$CC10:$CN10)),"na")</f>
        <v>na</v>
      </c>
      <c r="EH10" s="44" t="str" cm="1">
        <f t="array" ref="EH10">IF(EH$5&lt;=$DG10,INDEX($BC10:$BN10,1,_xlfn.XMATCH(EH$5,$CC10:$CN10)),"na")</f>
        <v>na</v>
      </c>
      <c r="EI10" s="45" t="str" cm="1">
        <f t="array" ref="EI10">IF(EI$5&lt;=$DH10,INDEX($BP10:$CA10,1,_xlfn.XMATCH(EI$5,$CP10:$DA10)),"na")</f>
        <v>na</v>
      </c>
      <c r="EJ10" s="46" t="str" cm="1">
        <f t="array" ref="EJ10">IF(EJ$5&lt;=$DG10,INDEX($AC10:$AN10,1,_xlfn.XMATCH(EJ$5,$CC10:$CN10)),"na")</f>
        <v>na</v>
      </c>
      <c r="EK10" s="47" t="str" cm="1">
        <f t="array" ref="EK10">IF(EK$5&lt;=$DG10,INDEX($AP10:$BA10,1,_xlfn.XMATCH(EK$5,$CC10:$CN10)),"na")</f>
        <v>na</v>
      </c>
      <c r="EL10" s="44" t="str" cm="1">
        <f t="array" ref="EL10">IF(EL$5&lt;=$DG10,INDEX($BC10:$BN10,1,_xlfn.XMATCH(EL$5,$CC10:$CN10)),"na")</f>
        <v>na</v>
      </c>
      <c r="EM10" s="45" t="str" cm="1">
        <f t="array" ref="EM10">IF(EM$5&lt;=$DH10,INDEX($BP10:$CA10,1,_xlfn.XMATCH(EM$5,$CP10:$DA10)),"na")</f>
        <v>na</v>
      </c>
      <c r="EN10" s="46" t="str" cm="1">
        <f t="array" ref="EN10">IF(EN$5&lt;=$DG10,INDEX($AC10:$AN10,1,_xlfn.XMATCH(EN$5,$CC10:$CN10)),"na")</f>
        <v>na</v>
      </c>
      <c r="EO10" s="47" t="str" cm="1">
        <f t="array" ref="EO10">IF(EO$5&lt;=$DG10,INDEX($AP10:$BA10,1,_xlfn.XMATCH(EO$5,$CC10:$CN10)),"na")</f>
        <v>na</v>
      </c>
      <c r="EP10" s="44" t="str" cm="1">
        <f t="array" ref="EP10">IF(EP$5&lt;=$DG10,INDEX($BC10:$BN10,1,_xlfn.XMATCH(EP$5,$CC10:$CN10)),"na")</f>
        <v>na</v>
      </c>
      <c r="EQ10" s="45" t="str" cm="1">
        <f t="array" ref="EQ10">IF(EQ$5&lt;=$DH10,INDEX($BP10:$CA10,1,_xlfn.XMATCH(EQ$5,$CP10:$DA10)),"na")</f>
        <v>na</v>
      </c>
      <c r="ER10" s="46" t="str" cm="1">
        <f t="array" ref="ER10">IF(ER$5&lt;=$DG10,INDEX($AC10:$AN10,1,_xlfn.XMATCH(ER$5,$CC10:$CN10)),"na")</f>
        <v>na</v>
      </c>
      <c r="ES10" s="47" t="str" cm="1">
        <f t="array" ref="ES10">IF(ES$5&lt;=$DG10,INDEX($AP10:$BA10,1,_xlfn.XMATCH(ES$5,$CC10:$CN10)),"na")</f>
        <v>na</v>
      </c>
      <c r="ET10" s="44" t="str" cm="1">
        <f t="array" ref="ET10">IF(ET$5&lt;=$DG10,INDEX($BC10:$BN10,1,_xlfn.XMATCH(ET$5,$CC10:$CN10)),"na")</f>
        <v>na</v>
      </c>
      <c r="EU10" s="45" t="str" cm="1">
        <f t="array" ref="EU10">IF(EU$5&lt;=$DH10,INDEX($BP10:$CA10,1,_xlfn.XMATCH(EU$5,$CP10:$DA10)),"na")</f>
        <v>na</v>
      </c>
      <c r="EV10" s="46" t="str" cm="1">
        <f t="array" ref="EV10">IF(EV$5&lt;=$DG10,INDEX($AC10:$AN10,1,_xlfn.XMATCH(EV$5,$CC10:$CN10)),"na")</f>
        <v>na</v>
      </c>
      <c r="EW10" s="47" t="str" cm="1">
        <f t="array" ref="EW10">IF(EW$5&lt;=$DG10,INDEX($AP10:$BA10,1,_xlfn.XMATCH(EW$5,$CC10:$CN10)),"na")</f>
        <v>na</v>
      </c>
      <c r="EX10" s="44" t="str" cm="1">
        <f t="array" ref="EX10">IF(EX$5&lt;=$DG10,INDEX($BC10:$BN10,1,_xlfn.XMATCH(EX$5,$CC10:$CN10)),"na")</f>
        <v>na</v>
      </c>
      <c r="EY10" s="45" t="str" cm="1">
        <f t="array" ref="EY10">IF(EY$5&lt;=$DH10,INDEX($BP10:$CA10,1,_xlfn.XMATCH(EY$5,$CP10:$DA10)),"na")</f>
        <v>na</v>
      </c>
      <c r="EZ10" s="46" t="str" cm="1">
        <f t="array" ref="EZ10">IF(EZ$5&lt;=$DG10,INDEX($AC10:$AN10,1,_xlfn.XMATCH(EZ$5,$CC10:$CN10)),"na")</f>
        <v>na</v>
      </c>
      <c r="FA10" s="47" t="str" cm="1">
        <f t="array" ref="FA10">IF(FA$5&lt;=$DG10,INDEX($AP10:$BA10,1,_xlfn.XMATCH(FA$5,$CC10:$CN10)),"na")</f>
        <v>na</v>
      </c>
      <c r="FB10" s="44" t="str" cm="1">
        <f t="array" ref="FB10">IF(FB$5&lt;=$DG10,INDEX($BC10:$BN10,1,_xlfn.XMATCH(FB$5,$CC10:$CN10)),"na")</f>
        <v>na</v>
      </c>
      <c r="FC10" s="45" t="str" cm="1">
        <f t="array" ref="FC10">IF(FC$5&lt;=$DH10,INDEX($BP10:$CA10,1,_xlfn.XMATCH(FC$5,$CP10:$DA10)),"na")</f>
        <v>na</v>
      </c>
      <c r="FD10" s="46" t="str" cm="1">
        <f t="array" ref="FD10">IF(FD$5&lt;=$DG10,INDEX($AC10:$AN10,1,_xlfn.XMATCH(FD$5,$CC10:$CN10)),"na")</f>
        <v>na</v>
      </c>
      <c r="FE10" s="47" t="str" cm="1">
        <f t="array" ref="FE10">IF(FE$5&lt;=$DG10,INDEX($AP10:$BA10,1,_xlfn.XMATCH(FE$5,$CC10:$CN10)),"na")</f>
        <v>na</v>
      </c>
    </row>
    <row r="11" spans="2:161" x14ac:dyDescent="0.25">
      <c r="B11" s="10" t="s">
        <v>72</v>
      </c>
      <c r="C11" s="8">
        <v>2015</v>
      </c>
      <c r="D11" s="8">
        <v>1820</v>
      </c>
      <c r="E11" s="8">
        <v>2015</v>
      </c>
      <c r="F11" s="8">
        <v>1950</v>
      </c>
      <c r="G11" s="8">
        <v>2015</v>
      </c>
      <c r="H11" s="8">
        <v>1950</v>
      </c>
      <c r="I11" s="8">
        <v>2015</v>
      </c>
      <c r="J11" s="8">
        <v>2015</v>
      </c>
      <c r="K11" s="8">
        <v>1950</v>
      </c>
      <c r="L11" s="8">
        <v>2015</v>
      </c>
      <c r="M11" s="8">
        <v>1950</v>
      </c>
      <c r="N11" s="8">
        <v>2015</v>
      </c>
      <c r="O11" s="8"/>
      <c r="P11" s="8">
        <v>1767</v>
      </c>
      <c r="Q11" s="8">
        <v>1596</v>
      </c>
      <c r="R11" s="8">
        <v>1767</v>
      </c>
      <c r="S11" s="8">
        <v>1710</v>
      </c>
      <c r="T11" s="8">
        <v>1767</v>
      </c>
      <c r="U11" s="8">
        <v>1710</v>
      </c>
      <c r="V11" s="8">
        <v>1798</v>
      </c>
      <c r="W11" s="8">
        <v>1798</v>
      </c>
      <c r="X11" s="8">
        <v>1740</v>
      </c>
      <c r="Y11" s="8">
        <v>1798</v>
      </c>
      <c r="Z11" s="8">
        <v>1740</v>
      </c>
      <c r="AA11" s="8">
        <v>1798</v>
      </c>
      <c r="AC11" s="14">
        <f>C11/_xlfn.XLOOKUP(AC$5,'OC-Days'!$G:$G,'OC-Days'!$B:$B)</f>
        <v>65</v>
      </c>
      <c r="AD11" s="14">
        <f>D11/_xlfn.XLOOKUP(AD$5,'OC-Days'!$G:$G,'OC-Days'!$B:$B)</f>
        <v>65</v>
      </c>
      <c r="AE11" s="14">
        <f>E11/_xlfn.XLOOKUP(AE$5,'OC-Days'!$G:$G,'OC-Days'!$B:$B)</f>
        <v>65</v>
      </c>
      <c r="AF11" s="14">
        <f>F11/_xlfn.XLOOKUP(AF$5,'OC-Days'!$G:$G,'OC-Days'!$B:$B)</f>
        <v>65</v>
      </c>
      <c r="AG11" s="14">
        <f>G11/_xlfn.XLOOKUP(AG$5,'OC-Days'!$G:$G,'OC-Days'!$B:$B)</f>
        <v>65</v>
      </c>
      <c r="AH11" s="14">
        <f>H11/_xlfn.XLOOKUP(AH$5,'OC-Days'!$G:$G,'OC-Days'!$B:$B)</f>
        <v>65</v>
      </c>
      <c r="AI11" s="14">
        <f>I11/_xlfn.XLOOKUP(AI$5,'OC-Days'!$G:$G,'OC-Days'!$B:$B)</f>
        <v>65</v>
      </c>
      <c r="AJ11" s="14">
        <f>J11/_xlfn.XLOOKUP(AJ$5,'OC-Days'!$G:$G,'OC-Days'!$B:$B)</f>
        <v>65</v>
      </c>
      <c r="AK11" s="14">
        <f>K11/_xlfn.XLOOKUP(AK$5,'OC-Days'!$G:$G,'OC-Days'!$B:$B)</f>
        <v>65</v>
      </c>
      <c r="AL11" s="14">
        <f>L11/_xlfn.XLOOKUP(AL$5,'OC-Days'!$G:$G,'OC-Days'!$B:$B)</f>
        <v>65</v>
      </c>
      <c r="AM11" s="14">
        <f>M11/_xlfn.XLOOKUP(AM$5,'OC-Days'!$G:$G,'OC-Days'!$B:$B)</f>
        <v>65</v>
      </c>
      <c r="AN11" s="14">
        <f>N11/_xlfn.XLOOKUP(AN$5,'OC-Days'!$G:$G,'OC-Days'!$B:$B)</f>
        <v>65</v>
      </c>
      <c r="AP11" s="14">
        <f>P11/_xlfn.XLOOKUP(AP$5,'OC-Days'!$G:$G,'OC-Days'!$B:$B)</f>
        <v>57</v>
      </c>
      <c r="AQ11" s="14">
        <f>Q11/_xlfn.XLOOKUP(AQ$5,'OC-Days'!$G:$G,'OC-Days'!$B:$B)</f>
        <v>57</v>
      </c>
      <c r="AR11" s="14">
        <f>R11/_xlfn.XLOOKUP(AR$5,'OC-Days'!$G:$G,'OC-Days'!$B:$B)</f>
        <v>57</v>
      </c>
      <c r="AS11" s="14">
        <f>S11/_xlfn.XLOOKUP(AS$5,'OC-Days'!$G:$G,'OC-Days'!$B:$B)</f>
        <v>57</v>
      </c>
      <c r="AT11" s="14">
        <f>T11/_xlfn.XLOOKUP(AT$5,'OC-Days'!$G:$G,'OC-Days'!$B:$B)</f>
        <v>57</v>
      </c>
      <c r="AU11" s="14">
        <f>U11/_xlfn.XLOOKUP(AU$5,'OC-Days'!$G:$G,'OC-Days'!$B:$B)</f>
        <v>57</v>
      </c>
      <c r="AV11" s="14">
        <f>V11/_xlfn.XLOOKUP(AV$5,'OC-Days'!$G:$G,'OC-Days'!$B:$B)</f>
        <v>58</v>
      </c>
      <c r="AW11" s="14">
        <f>W11/_xlfn.XLOOKUP(AW$5,'OC-Days'!$G:$G,'OC-Days'!$B:$B)</f>
        <v>58</v>
      </c>
      <c r="AX11" s="14">
        <f>X11/_xlfn.XLOOKUP(AX$5,'OC-Days'!$G:$G,'OC-Days'!$B:$B)</f>
        <v>58</v>
      </c>
      <c r="AY11" s="14">
        <f>Y11/_xlfn.XLOOKUP(AY$5,'OC-Days'!$G:$G,'OC-Days'!$B:$B)</f>
        <v>58</v>
      </c>
      <c r="AZ11" s="14">
        <f>Z11/_xlfn.XLOOKUP(AZ$5,'OC-Days'!$G:$G,'OC-Days'!$B:$B)</f>
        <v>58</v>
      </c>
      <c r="BA11" s="14">
        <f>AA11/_xlfn.XLOOKUP(BA$5,'OC-Days'!$G:$G,'OC-Days'!$B:$B)</f>
        <v>58</v>
      </c>
      <c r="BC11" s="33">
        <f>_xlfn.XLOOKUP(BC$5,'OC-Days'!$G:$G,'OC-Days'!$F:$F)</f>
        <v>45658</v>
      </c>
      <c r="BD11" s="34" t="str">
        <f>IF(AQ11=AP11,"na",_xlfn.XLOOKUP(BD$5,'OC-Days'!$G:$G,'OC-Days'!$F:$F))</f>
        <v>na</v>
      </c>
      <c r="BE11" s="34" t="str">
        <f>IF(AR11=AQ11,"na",_xlfn.XLOOKUP(BE$5,'OC-Days'!$G:$G,'OC-Days'!$F:$F))</f>
        <v>na</v>
      </c>
      <c r="BF11" s="34" t="str">
        <f>IF(AS11=AR11,"na",_xlfn.XLOOKUP(BF$5,'OC-Days'!$G:$G,'OC-Days'!$F:$F))</f>
        <v>na</v>
      </c>
      <c r="BG11" s="34" t="str">
        <f>IF(AT11=AS11,"na",_xlfn.XLOOKUP(BG$5,'OC-Days'!$G:$G,'OC-Days'!$F:$F))</f>
        <v>na</v>
      </c>
      <c r="BH11" s="34" t="str">
        <f>IF(AU11=AT11,"na",_xlfn.XLOOKUP(BH$5,'OC-Days'!$G:$G,'OC-Days'!$F:$F))</f>
        <v>na</v>
      </c>
      <c r="BI11" s="34">
        <f>IF(AV11=AU11,"na",_xlfn.XLOOKUP(BI$5,'OC-Days'!$G:$G,'OC-Days'!$F:$F))</f>
        <v>45839</v>
      </c>
      <c r="BJ11" s="34" t="str">
        <f>IF(AW11=AV11,"na",_xlfn.XLOOKUP(BJ$5,'OC-Days'!$G:$G,'OC-Days'!$F:$F))</f>
        <v>na</v>
      </c>
      <c r="BK11" s="34" t="str">
        <f>IF(AX11=AW11,"na",_xlfn.XLOOKUP(BK$5,'OC-Days'!$G:$G,'OC-Days'!$F:$F))</f>
        <v>na</v>
      </c>
      <c r="BL11" s="34" t="str">
        <f>IF(AY11=AX11,"na",_xlfn.XLOOKUP(BL$5,'OC-Days'!$G:$G,'OC-Days'!$F:$F))</f>
        <v>na</v>
      </c>
      <c r="BM11" s="34" t="str">
        <f>IF(AZ11=AY11,"na",_xlfn.XLOOKUP(BM$5,'OC-Days'!$G:$G,'OC-Days'!$F:$F))</f>
        <v>na</v>
      </c>
      <c r="BN11" s="34" t="str">
        <f>IF(BA11=AZ11,"na",_xlfn.XLOOKUP(BN$5,'OC-Days'!$G:$G,'OC-Days'!$F:$F))</f>
        <v>na</v>
      </c>
      <c r="BP11" s="36" t="str">
        <f t="shared" si="35"/>
        <v>na</v>
      </c>
      <c r="BQ11" s="36" t="str">
        <f t="shared" si="36"/>
        <v>na</v>
      </c>
      <c r="BR11" s="36" t="str">
        <f t="shared" si="37"/>
        <v>na</v>
      </c>
      <c r="BS11" s="36" t="str">
        <f t="shared" si="38"/>
        <v>na</v>
      </c>
      <c r="BT11" s="36" t="str">
        <f t="shared" si="39"/>
        <v>na</v>
      </c>
      <c r="BU11" s="36">
        <f t="shared" si="40"/>
        <v>45838</v>
      </c>
      <c r="BV11" s="36" t="str">
        <f t="shared" si="41"/>
        <v>na</v>
      </c>
      <c r="BW11" s="36" t="str">
        <f t="shared" si="42"/>
        <v>na</v>
      </c>
      <c r="BX11" s="36" t="str">
        <f t="shared" si="43"/>
        <v>na</v>
      </c>
      <c r="BY11" s="36" t="str">
        <f t="shared" si="44"/>
        <v>na</v>
      </c>
      <c r="BZ11" s="36" t="str">
        <f t="shared" si="45"/>
        <v>na</v>
      </c>
      <c r="CA11" s="43">
        <f t="shared" si="46"/>
        <v>46022</v>
      </c>
      <c r="CC11" s="8">
        <f>COUNT($BC11:BC11)</f>
        <v>1</v>
      </c>
      <c r="CD11" s="8">
        <f>COUNT($BC11:BD11)</f>
        <v>1</v>
      </c>
      <c r="CE11" s="8">
        <f>COUNT($BC11:BE11)</f>
        <v>1</v>
      </c>
      <c r="CF11" s="8">
        <f>COUNT($BC11:BF11)</f>
        <v>1</v>
      </c>
      <c r="CG11" s="8">
        <f>COUNT($BC11:BG11)</f>
        <v>1</v>
      </c>
      <c r="CH11" s="8">
        <f>COUNT($BC11:BH11)</f>
        <v>1</v>
      </c>
      <c r="CI11" s="8">
        <f>COUNT($BC11:BI11)</f>
        <v>2</v>
      </c>
      <c r="CJ11" s="8">
        <f>COUNT($BC11:BJ11)</f>
        <v>2</v>
      </c>
      <c r="CK11" s="8">
        <f>COUNT($BC11:BK11)</f>
        <v>2</v>
      </c>
      <c r="CL11" s="8">
        <f>COUNT($BC11:BL11)</f>
        <v>2</v>
      </c>
      <c r="CM11" s="8">
        <f>COUNT($BC11:BM11)</f>
        <v>2</v>
      </c>
      <c r="CN11" s="8">
        <f>COUNT($BC11:BN11)</f>
        <v>2</v>
      </c>
      <c r="CO11" s="8"/>
      <c r="CP11" s="8">
        <f>COUNT($BP11:BP11)</f>
        <v>0</v>
      </c>
      <c r="CQ11" s="8">
        <f>COUNT($BP11:BQ11)</f>
        <v>0</v>
      </c>
      <c r="CR11" s="8">
        <f>COUNT($BP11:BR11)</f>
        <v>0</v>
      </c>
      <c r="CS11" s="8">
        <f>COUNT($BP11:BS11)</f>
        <v>0</v>
      </c>
      <c r="CT11" s="8">
        <f>COUNT($BP11:BT11)</f>
        <v>0</v>
      </c>
      <c r="CU11" s="8">
        <f>COUNT($BP11:BU11)</f>
        <v>1</v>
      </c>
      <c r="CV11" s="8">
        <f>COUNT($BP11:BV11)</f>
        <v>1</v>
      </c>
      <c r="CW11" s="8">
        <f>COUNT($BP11:BW11)</f>
        <v>1</v>
      </c>
      <c r="CX11" s="8">
        <f>COUNT($BP11:BX11)</f>
        <v>1</v>
      </c>
      <c r="CY11" s="8">
        <f>COUNT($BP11:BY11)</f>
        <v>1</v>
      </c>
      <c r="CZ11" s="8">
        <f>COUNT($BP11:BZ11)</f>
        <v>1</v>
      </c>
      <c r="DA11" s="8">
        <f>COUNT($BP11:CA11)</f>
        <v>2</v>
      </c>
      <c r="DC11">
        <f t="shared" si="47"/>
        <v>100</v>
      </c>
      <c r="DD11">
        <f t="shared" si="48"/>
        <v>34</v>
      </c>
      <c r="DE11" t="str">
        <f t="shared" si="49"/>
        <v>100-34</v>
      </c>
      <c r="DG11">
        <f t="shared" si="50"/>
        <v>2</v>
      </c>
      <c r="DH11">
        <f t="shared" si="51"/>
        <v>2</v>
      </c>
      <c r="DJ11" s="44" cm="1">
        <f t="array" ref="DJ11">IF(DJ$5&lt;=$DG11,INDEX($BC11:$BN11,1,_xlfn.XMATCH(DJ$5,$CC11:$CN11)),"na")</f>
        <v>45658</v>
      </c>
      <c r="DK11" s="45" cm="1">
        <f t="array" ref="DK11">IF(DK$5&lt;=$DH11,INDEX($BP11:$CA11,1,_xlfn.XMATCH(DK$5,$CP11:$DA11)),"na")</f>
        <v>45838</v>
      </c>
      <c r="DL11" s="46" cm="1">
        <f t="array" ref="DL11">IF(DL$5&lt;=$DG11,INDEX($AC11:$AN11,1,_xlfn.XMATCH(DL$5,$CC11:$CN11)),"na")</f>
        <v>65</v>
      </c>
      <c r="DM11" s="47" cm="1">
        <f t="array" ref="DM11">IF(DM$5&lt;=$DG11,INDEX($AP11:$BA11,1,_xlfn.XMATCH(DM$5,$CC11:$CN11)),"na")</f>
        <v>57</v>
      </c>
      <c r="DN11" s="44" cm="1">
        <f t="array" ref="DN11">IF(DN$5&lt;=$DG11,INDEX($BC11:$BN11,1,_xlfn.XMATCH(DN$5,$CC11:$CN11)),"na")</f>
        <v>45839</v>
      </c>
      <c r="DO11" s="45" cm="1">
        <f t="array" ref="DO11">IF(DO$5&lt;=$DH11,INDEX($BP11:$CA11,1,_xlfn.XMATCH(DO$5,$CP11:$DA11)),"na")</f>
        <v>46022</v>
      </c>
      <c r="DP11" s="46" cm="1">
        <f t="array" ref="DP11">IF(DP$5&lt;=$DG11,INDEX($AC11:$AN11,1,_xlfn.XMATCH(DP$5,$CC11:$CN11)),"na")</f>
        <v>65</v>
      </c>
      <c r="DQ11" s="47" cm="1">
        <f t="array" ref="DQ11">IF(DQ$5&lt;=$DG11,INDEX($AP11:$BA11,1,_xlfn.XMATCH(DQ$5,$CC11:$CN11)),"na")</f>
        <v>58</v>
      </c>
      <c r="DR11" s="44" t="str" cm="1">
        <f t="array" ref="DR11">IF(DR$5&lt;=$DG11,INDEX($BC11:$BN11,1,_xlfn.XMATCH(DR$5,$CC11:$CN11)),"na")</f>
        <v>na</v>
      </c>
      <c r="DS11" s="45" t="str" cm="1">
        <f t="array" ref="DS11">IF(DS$5&lt;=$DH11,INDEX($BP11:$CA11,1,_xlfn.XMATCH(DS$5,$CP11:$DA11)),"na")</f>
        <v>na</v>
      </c>
      <c r="DT11" s="46" t="str" cm="1">
        <f t="array" ref="DT11">IF(DT$5&lt;=$DG11,INDEX($AC11:$AN11,1,_xlfn.XMATCH(DT$5,$CC11:$CN11)),"na")</f>
        <v>na</v>
      </c>
      <c r="DU11" s="47" t="str" cm="1">
        <f t="array" ref="DU11">IF(DU$5&lt;=$DG11,INDEX($AP11:$BA11,1,_xlfn.XMATCH(DU$5,$CC11:$CN11)),"na")</f>
        <v>na</v>
      </c>
      <c r="DV11" s="44" t="str" cm="1">
        <f t="array" ref="DV11">IF(DV$5&lt;=$DG11,INDEX($BC11:$BN11,1,_xlfn.XMATCH(DV$5,$CC11:$CN11)),"na")</f>
        <v>na</v>
      </c>
      <c r="DW11" s="45" t="str" cm="1">
        <f t="array" ref="DW11">IF(DW$5&lt;=$DH11,INDEX($BP11:$CA11,1,_xlfn.XMATCH(DW$5,$CP11:$DA11)),"na")</f>
        <v>na</v>
      </c>
      <c r="DX11" s="46" t="str" cm="1">
        <f t="array" ref="DX11">IF(DX$5&lt;=$DG11,INDEX($AC11:$AN11,1,_xlfn.XMATCH(DX$5,$CC11:$CN11)),"na")</f>
        <v>na</v>
      </c>
      <c r="DY11" s="47" t="str" cm="1">
        <f t="array" ref="DY11">IF(DY$5&lt;=$DG11,INDEX($AP11:$BA11,1,_xlfn.XMATCH(DY$5,$CC11:$CN11)),"na")</f>
        <v>na</v>
      </c>
      <c r="DZ11" s="44" t="str" cm="1">
        <f t="array" ref="DZ11">IF(DZ$5&lt;=$DG11,INDEX($BC11:$BN11,1,_xlfn.XMATCH(DZ$5,$CC11:$CN11)),"na")</f>
        <v>na</v>
      </c>
      <c r="EA11" s="45" t="str" cm="1">
        <f t="array" ref="EA11">IF(EA$5&lt;=$DH11,INDEX($BP11:$CA11,1,_xlfn.XMATCH(EA$5,$CP11:$DA11)),"na")</f>
        <v>na</v>
      </c>
      <c r="EB11" s="46" t="str" cm="1">
        <f t="array" ref="EB11">IF(EB$5&lt;=$DG11,INDEX($AC11:$AN11,1,_xlfn.XMATCH(EB$5,$CC11:$CN11)),"na")</f>
        <v>na</v>
      </c>
      <c r="EC11" s="47" t="str" cm="1">
        <f t="array" ref="EC11">IF(EC$5&lt;=$DG11,INDEX($AP11:$BA11,1,_xlfn.XMATCH(EC$5,$CC11:$CN11)),"na")</f>
        <v>na</v>
      </c>
      <c r="ED11" s="44" t="str" cm="1">
        <f t="array" ref="ED11">IF(ED$5&lt;=$DG11,INDEX($BC11:$BN11,1,_xlfn.XMATCH(ED$5,$CC11:$CN11)),"na")</f>
        <v>na</v>
      </c>
      <c r="EE11" s="45" t="str" cm="1">
        <f t="array" ref="EE11">IF(EE$5&lt;=$DH11,INDEX($BP11:$CA11,1,_xlfn.XMATCH(EE$5,$CP11:$DA11)),"na")</f>
        <v>na</v>
      </c>
      <c r="EF11" s="46" t="str" cm="1">
        <f t="array" ref="EF11">IF(EF$5&lt;=$DG11,INDEX($AC11:$AN11,1,_xlfn.XMATCH(EF$5,$CC11:$CN11)),"na")</f>
        <v>na</v>
      </c>
      <c r="EG11" s="47" t="str" cm="1">
        <f t="array" ref="EG11">IF(EG$5&lt;=$DG11,INDEX($AP11:$BA11,1,_xlfn.XMATCH(EG$5,$CC11:$CN11)),"na")</f>
        <v>na</v>
      </c>
      <c r="EH11" s="44" t="str" cm="1">
        <f t="array" ref="EH11">IF(EH$5&lt;=$DG11,INDEX($BC11:$BN11,1,_xlfn.XMATCH(EH$5,$CC11:$CN11)),"na")</f>
        <v>na</v>
      </c>
      <c r="EI11" s="45" t="str" cm="1">
        <f t="array" ref="EI11">IF(EI$5&lt;=$DH11,INDEX($BP11:$CA11,1,_xlfn.XMATCH(EI$5,$CP11:$DA11)),"na")</f>
        <v>na</v>
      </c>
      <c r="EJ11" s="46" t="str" cm="1">
        <f t="array" ref="EJ11">IF(EJ$5&lt;=$DG11,INDEX($AC11:$AN11,1,_xlfn.XMATCH(EJ$5,$CC11:$CN11)),"na")</f>
        <v>na</v>
      </c>
      <c r="EK11" s="47" t="str" cm="1">
        <f t="array" ref="EK11">IF(EK$5&lt;=$DG11,INDEX($AP11:$BA11,1,_xlfn.XMATCH(EK$5,$CC11:$CN11)),"na")</f>
        <v>na</v>
      </c>
      <c r="EL11" s="44" t="str" cm="1">
        <f t="array" ref="EL11">IF(EL$5&lt;=$DG11,INDEX($BC11:$BN11,1,_xlfn.XMATCH(EL$5,$CC11:$CN11)),"na")</f>
        <v>na</v>
      </c>
      <c r="EM11" s="45" t="str" cm="1">
        <f t="array" ref="EM11">IF(EM$5&lt;=$DH11,INDEX($BP11:$CA11,1,_xlfn.XMATCH(EM$5,$CP11:$DA11)),"na")</f>
        <v>na</v>
      </c>
      <c r="EN11" s="46" t="str" cm="1">
        <f t="array" ref="EN11">IF(EN$5&lt;=$DG11,INDEX($AC11:$AN11,1,_xlfn.XMATCH(EN$5,$CC11:$CN11)),"na")</f>
        <v>na</v>
      </c>
      <c r="EO11" s="47" t="str" cm="1">
        <f t="array" ref="EO11">IF(EO$5&lt;=$DG11,INDEX($AP11:$BA11,1,_xlfn.XMATCH(EO$5,$CC11:$CN11)),"na")</f>
        <v>na</v>
      </c>
      <c r="EP11" s="44" t="str" cm="1">
        <f t="array" ref="EP11">IF(EP$5&lt;=$DG11,INDEX($BC11:$BN11,1,_xlfn.XMATCH(EP$5,$CC11:$CN11)),"na")</f>
        <v>na</v>
      </c>
      <c r="EQ11" s="45" t="str" cm="1">
        <f t="array" ref="EQ11">IF(EQ$5&lt;=$DH11,INDEX($BP11:$CA11,1,_xlfn.XMATCH(EQ$5,$CP11:$DA11)),"na")</f>
        <v>na</v>
      </c>
      <c r="ER11" s="46" t="str" cm="1">
        <f t="array" ref="ER11">IF(ER$5&lt;=$DG11,INDEX($AC11:$AN11,1,_xlfn.XMATCH(ER$5,$CC11:$CN11)),"na")</f>
        <v>na</v>
      </c>
      <c r="ES11" s="47" t="str" cm="1">
        <f t="array" ref="ES11">IF(ES$5&lt;=$DG11,INDEX($AP11:$BA11,1,_xlfn.XMATCH(ES$5,$CC11:$CN11)),"na")</f>
        <v>na</v>
      </c>
      <c r="ET11" s="44" t="str" cm="1">
        <f t="array" ref="ET11">IF(ET$5&lt;=$DG11,INDEX($BC11:$BN11,1,_xlfn.XMATCH(ET$5,$CC11:$CN11)),"na")</f>
        <v>na</v>
      </c>
      <c r="EU11" s="45" t="str" cm="1">
        <f t="array" ref="EU11">IF(EU$5&lt;=$DH11,INDEX($BP11:$CA11,1,_xlfn.XMATCH(EU$5,$CP11:$DA11)),"na")</f>
        <v>na</v>
      </c>
      <c r="EV11" s="46" t="str" cm="1">
        <f t="array" ref="EV11">IF(EV$5&lt;=$DG11,INDEX($AC11:$AN11,1,_xlfn.XMATCH(EV$5,$CC11:$CN11)),"na")</f>
        <v>na</v>
      </c>
      <c r="EW11" s="47" t="str" cm="1">
        <f t="array" ref="EW11">IF(EW$5&lt;=$DG11,INDEX($AP11:$BA11,1,_xlfn.XMATCH(EW$5,$CC11:$CN11)),"na")</f>
        <v>na</v>
      </c>
      <c r="EX11" s="44" t="str" cm="1">
        <f t="array" ref="EX11">IF(EX$5&lt;=$DG11,INDEX($BC11:$BN11,1,_xlfn.XMATCH(EX$5,$CC11:$CN11)),"na")</f>
        <v>na</v>
      </c>
      <c r="EY11" s="45" t="str" cm="1">
        <f t="array" ref="EY11">IF(EY$5&lt;=$DH11,INDEX($BP11:$CA11,1,_xlfn.XMATCH(EY$5,$CP11:$DA11)),"na")</f>
        <v>na</v>
      </c>
      <c r="EZ11" s="46" t="str" cm="1">
        <f t="array" ref="EZ11">IF(EZ$5&lt;=$DG11,INDEX($AC11:$AN11,1,_xlfn.XMATCH(EZ$5,$CC11:$CN11)),"na")</f>
        <v>na</v>
      </c>
      <c r="FA11" s="47" t="str" cm="1">
        <f t="array" ref="FA11">IF(FA$5&lt;=$DG11,INDEX($AP11:$BA11,1,_xlfn.XMATCH(FA$5,$CC11:$CN11)),"na")</f>
        <v>na</v>
      </c>
      <c r="FB11" s="44" t="str" cm="1">
        <f t="array" ref="FB11">IF(FB$5&lt;=$DG11,INDEX($BC11:$BN11,1,_xlfn.XMATCH(FB$5,$CC11:$CN11)),"na")</f>
        <v>na</v>
      </c>
      <c r="FC11" s="45" t="str" cm="1">
        <f t="array" ref="FC11">IF(FC$5&lt;=$DH11,INDEX($BP11:$CA11,1,_xlfn.XMATCH(FC$5,$CP11:$DA11)),"na")</f>
        <v>na</v>
      </c>
      <c r="FD11" s="46" t="str" cm="1">
        <f t="array" ref="FD11">IF(FD$5&lt;=$DG11,INDEX($AC11:$AN11,1,_xlfn.XMATCH(FD$5,$CC11:$CN11)),"na")</f>
        <v>na</v>
      </c>
      <c r="FE11" s="47" t="str" cm="1">
        <f t="array" ref="FE11">IF(FE$5&lt;=$DG11,INDEX($AP11:$BA11,1,_xlfn.XMATCH(FE$5,$CC11:$CN11)),"na")</f>
        <v>na</v>
      </c>
    </row>
    <row r="12" spans="2:161" x14ac:dyDescent="0.25">
      <c r="B12" s="10" t="s">
        <v>73</v>
      </c>
      <c r="C12" s="8">
        <v>3906</v>
      </c>
      <c r="D12" s="8">
        <v>3528</v>
      </c>
      <c r="E12" s="8">
        <v>3906</v>
      </c>
      <c r="F12" s="8">
        <v>3780</v>
      </c>
      <c r="G12" s="8">
        <v>3906</v>
      </c>
      <c r="H12" s="8">
        <v>3780</v>
      </c>
      <c r="I12" s="8">
        <v>3906</v>
      </c>
      <c r="J12" s="8">
        <v>3906</v>
      </c>
      <c r="K12" s="8">
        <v>3780</v>
      </c>
      <c r="L12" s="8">
        <v>3906</v>
      </c>
      <c r="M12" s="8">
        <v>3780</v>
      </c>
      <c r="N12" s="8">
        <v>3906</v>
      </c>
      <c r="O12" s="8"/>
      <c r="P12" s="8">
        <v>3007</v>
      </c>
      <c r="Q12" s="8">
        <v>2716</v>
      </c>
      <c r="R12" s="8">
        <v>3007</v>
      </c>
      <c r="S12" s="8">
        <v>2940</v>
      </c>
      <c r="T12" s="8">
        <v>3038</v>
      </c>
      <c r="U12" s="8">
        <v>2940</v>
      </c>
      <c r="V12" s="8">
        <v>3069</v>
      </c>
      <c r="W12" s="8">
        <v>3069</v>
      </c>
      <c r="X12" s="8">
        <v>2970</v>
      </c>
      <c r="Y12" s="8">
        <v>3100</v>
      </c>
      <c r="Z12" s="8">
        <v>3000</v>
      </c>
      <c r="AA12" s="8">
        <v>3100</v>
      </c>
      <c r="AC12" s="14">
        <f>C12/_xlfn.XLOOKUP(AC$5,'OC-Days'!$G:$G,'OC-Days'!$B:$B)</f>
        <v>126</v>
      </c>
      <c r="AD12" s="14">
        <f>D12/_xlfn.XLOOKUP(AD$5,'OC-Days'!$G:$G,'OC-Days'!$B:$B)</f>
        <v>126</v>
      </c>
      <c r="AE12" s="14">
        <f>E12/_xlfn.XLOOKUP(AE$5,'OC-Days'!$G:$G,'OC-Days'!$B:$B)</f>
        <v>126</v>
      </c>
      <c r="AF12" s="14">
        <f>F12/_xlfn.XLOOKUP(AF$5,'OC-Days'!$G:$G,'OC-Days'!$B:$B)</f>
        <v>126</v>
      </c>
      <c r="AG12" s="14">
        <f>G12/_xlfn.XLOOKUP(AG$5,'OC-Days'!$G:$G,'OC-Days'!$B:$B)</f>
        <v>126</v>
      </c>
      <c r="AH12" s="14">
        <f>H12/_xlfn.XLOOKUP(AH$5,'OC-Days'!$G:$G,'OC-Days'!$B:$B)</f>
        <v>126</v>
      </c>
      <c r="AI12" s="14">
        <f>I12/_xlfn.XLOOKUP(AI$5,'OC-Days'!$G:$G,'OC-Days'!$B:$B)</f>
        <v>126</v>
      </c>
      <c r="AJ12" s="14">
        <f>J12/_xlfn.XLOOKUP(AJ$5,'OC-Days'!$G:$G,'OC-Days'!$B:$B)</f>
        <v>126</v>
      </c>
      <c r="AK12" s="14">
        <f>K12/_xlfn.XLOOKUP(AK$5,'OC-Days'!$G:$G,'OC-Days'!$B:$B)</f>
        <v>126</v>
      </c>
      <c r="AL12" s="14">
        <f>L12/_xlfn.XLOOKUP(AL$5,'OC-Days'!$G:$G,'OC-Days'!$B:$B)</f>
        <v>126</v>
      </c>
      <c r="AM12" s="14">
        <f>M12/_xlfn.XLOOKUP(AM$5,'OC-Days'!$G:$G,'OC-Days'!$B:$B)</f>
        <v>126</v>
      </c>
      <c r="AN12" s="14">
        <f>N12/_xlfn.XLOOKUP(AN$5,'OC-Days'!$G:$G,'OC-Days'!$B:$B)</f>
        <v>126</v>
      </c>
      <c r="AP12" s="14">
        <f>P12/_xlfn.XLOOKUP(AP$5,'OC-Days'!$G:$G,'OC-Days'!$B:$B)</f>
        <v>97</v>
      </c>
      <c r="AQ12" s="14">
        <f>Q12/_xlfn.XLOOKUP(AQ$5,'OC-Days'!$G:$G,'OC-Days'!$B:$B)</f>
        <v>97</v>
      </c>
      <c r="AR12" s="14">
        <f>R12/_xlfn.XLOOKUP(AR$5,'OC-Days'!$G:$G,'OC-Days'!$B:$B)</f>
        <v>97</v>
      </c>
      <c r="AS12" s="14">
        <f>S12/_xlfn.XLOOKUP(AS$5,'OC-Days'!$G:$G,'OC-Days'!$B:$B)</f>
        <v>98</v>
      </c>
      <c r="AT12" s="14">
        <f>T12/_xlfn.XLOOKUP(AT$5,'OC-Days'!$G:$G,'OC-Days'!$B:$B)</f>
        <v>98</v>
      </c>
      <c r="AU12" s="14">
        <f>U12/_xlfn.XLOOKUP(AU$5,'OC-Days'!$G:$G,'OC-Days'!$B:$B)</f>
        <v>98</v>
      </c>
      <c r="AV12" s="14">
        <f>V12/_xlfn.XLOOKUP(AV$5,'OC-Days'!$G:$G,'OC-Days'!$B:$B)</f>
        <v>99</v>
      </c>
      <c r="AW12" s="14">
        <f>W12/_xlfn.XLOOKUP(AW$5,'OC-Days'!$G:$G,'OC-Days'!$B:$B)</f>
        <v>99</v>
      </c>
      <c r="AX12" s="14">
        <f>X12/_xlfn.XLOOKUP(AX$5,'OC-Days'!$G:$G,'OC-Days'!$B:$B)</f>
        <v>99</v>
      </c>
      <c r="AY12" s="14">
        <f>Y12/_xlfn.XLOOKUP(AY$5,'OC-Days'!$G:$G,'OC-Days'!$B:$B)</f>
        <v>100</v>
      </c>
      <c r="AZ12" s="14">
        <f>Z12/_xlfn.XLOOKUP(AZ$5,'OC-Days'!$G:$G,'OC-Days'!$B:$B)</f>
        <v>100</v>
      </c>
      <c r="BA12" s="14">
        <f>AA12/_xlfn.XLOOKUP(BA$5,'OC-Days'!$G:$G,'OC-Days'!$B:$B)</f>
        <v>100</v>
      </c>
      <c r="BC12" s="33">
        <f>_xlfn.XLOOKUP(BC$5,'OC-Days'!$G:$G,'OC-Days'!$F:$F)</f>
        <v>45658</v>
      </c>
      <c r="BD12" s="34" t="str">
        <f>IF(AQ12=AP12,"na",_xlfn.XLOOKUP(BD$5,'OC-Days'!$G:$G,'OC-Days'!$F:$F))</f>
        <v>na</v>
      </c>
      <c r="BE12" s="34" t="str">
        <f>IF(AR12=AQ12,"na",_xlfn.XLOOKUP(BE$5,'OC-Days'!$G:$G,'OC-Days'!$F:$F))</f>
        <v>na</v>
      </c>
      <c r="BF12" s="34">
        <f>IF(AS12=AR12,"na",_xlfn.XLOOKUP(BF$5,'OC-Days'!$G:$G,'OC-Days'!$F:$F))</f>
        <v>45748</v>
      </c>
      <c r="BG12" s="34" t="str">
        <f>IF(AT12=AS12,"na",_xlfn.XLOOKUP(BG$5,'OC-Days'!$G:$G,'OC-Days'!$F:$F))</f>
        <v>na</v>
      </c>
      <c r="BH12" s="34" t="str">
        <f>IF(AU12=AT12,"na",_xlfn.XLOOKUP(BH$5,'OC-Days'!$G:$G,'OC-Days'!$F:$F))</f>
        <v>na</v>
      </c>
      <c r="BI12" s="34">
        <f>IF(AV12=AU12,"na",_xlfn.XLOOKUP(BI$5,'OC-Days'!$G:$G,'OC-Days'!$F:$F))</f>
        <v>45839</v>
      </c>
      <c r="BJ12" s="34" t="str">
        <f>IF(AW12=AV12,"na",_xlfn.XLOOKUP(BJ$5,'OC-Days'!$G:$G,'OC-Days'!$F:$F))</f>
        <v>na</v>
      </c>
      <c r="BK12" s="34" t="str">
        <f>IF(AX12=AW12,"na",_xlfn.XLOOKUP(BK$5,'OC-Days'!$G:$G,'OC-Days'!$F:$F))</f>
        <v>na</v>
      </c>
      <c r="BL12" s="34">
        <f>IF(AY12=AX12,"na",_xlfn.XLOOKUP(BL$5,'OC-Days'!$G:$G,'OC-Days'!$F:$F))</f>
        <v>45931</v>
      </c>
      <c r="BM12" s="34" t="str">
        <f>IF(AZ12=AY12,"na",_xlfn.XLOOKUP(BM$5,'OC-Days'!$G:$G,'OC-Days'!$F:$F))</f>
        <v>na</v>
      </c>
      <c r="BN12" s="34" t="str">
        <f>IF(BA12=AZ12,"na",_xlfn.XLOOKUP(BN$5,'OC-Days'!$G:$G,'OC-Days'!$F:$F))</f>
        <v>na</v>
      </c>
      <c r="BP12" s="36" t="str">
        <f t="shared" si="35"/>
        <v>na</v>
      </c>
      <c r="BQ12" s="36" t="str">
        <f t="shared" si="36"/>
        <v>na</v>
      </c>
      <c r="BR12" s="36">
        <f t="shared" si="37"/>
        <v>45747</v>
      </c>
      <c r="BS12" s="36" t="str">
        <f t="shared" si="38"/>
        <v>na</v>
      </c>
      <c r="BT12" s="36" t="str">
        <f t="shared" si="39"/>
        <v>na</v>
      </c>
      <c r="BU12" s="36">
        <f t="shared" si="40"/>
        <v>45838</v>
      </c>
      <c r="BV12" s="36" t="str">
        <f t="shared" si="41"/>
        <v>na</v>
      </c>
      <c r="BW12" s="36" t="str">
        <f t="shared" si="42"/>
        <v>na</v>
      </c>
      <c r="BX12" s="36">
        <f t="shared" si="43"/>
        <v>45930</v>
      </c>
      <c r="BY12" s="36" t="str">
        <f t="shared" si="44"/>
        <v>na</v>
      </c>
      <c r="BZ12" s="36" t="str">
        <f t="shared" si="45"/>
        <v>na</v>
      </c>
      <c r="CA12" s="43">
        <f t="shared" si="46"/>
        <v>46022</v>
      </c>
      <c r="CC12" s="8">
        <f>COUNT($BC12:BC12)</f>
        <v>1</v>
      </c>
      <c r="CD12" s="8">
        <f>COUNT($BC12:BD12)</f>
        <v>1</v>
      </c>
      <c r="CE12" s="8">
        <f>COUNT($BC12:BE12)</f>
        <v>1</v>
      </c>
      <c r="CF12" s="8">
        <f>COUNT($BC12:BF12)</f>
        <v>2</v>
      </c>
      <c r="CG12" s="8">
        <f>COUNT($BC12:BG12)</f>
        <v>2</v>
      </c>
      <c r="CH12" s="8">
        <f>COUNT($BC12:BH12)</f>
        <v>2</v>
      </c>
      <c r="CI12" s="8">
        <f>COUNT($BC12:BI12)</f>
        <v>3</v>
      </c>
      <c r="CJ12" s="8">
        <f>COUNT($BC12:BJ12)</f>
        <v>3</v>
      </c>
      <c r="CK12" s="8">
        <f>COUNT($BC12:BK12)</f>
        <v>3</v>
      </c>
      <c r="CL12" s="8">
        <f>COUNT($BC12:BL12)</f>
        <v>4</v>
      </c>
      <c r="CM12" s="8">
        <f>COUNT($BC12:BM12)</f>
        <v>4</v>
      </c>
      <c r="CN12" s="8">
        <f>COUNT($BC12:BN12)</f>
        <v>4</v>
      </c>
      <c r="CO12" s="8"/>
      <c r="CP12" s="8">
        <f>COUNT($BP12:BP12)</f>
        <v>0</v>
      </c>
      <c r="CQ12" s="8">
        <f>COUNT($BP12:BQ12)</f>
        <v>0</v>
      </c>
      <c r="CR12" s="8">
        <f>COUNT($BP12:BR12)</f>
        <v>1</v>
      </c>
      <c r="CS12" s="8">
        <f>COUNT($BP12:BS12)</f>
        <v>1</v>
      </c>
      <c r="CT12" s="8">
        <f>COUNT($BP12:BT12)</f>
        <v>1</v>
      </c>
      <c r="CU12" s="8">
        <f>COUNT($BP12:BU12)</f>
        <v>2</v>
      </c>
      <c r="CV12" s="8">
        <f>COUNT($BP12:BV12)</f>
        <v>2</v>
      </c>
      <c r="CW12" s="8">
        <f>COUNT($BP12:BW12)</f>
        <v>2</v>
      </c>
      <c r="CX12" s="8">
        <f>COUNT($BP12:BX12)</f>
        <v>3</v>
      </c>
      <c r="CY12" s="8">
        <f>COUNT($BP12:BY12)</f>
        <v>3</v>
      </c>
      <c r="CZ12" s="8">
        <f>COUNT($BP12:BZ12)</f>
        <v>3</v>
      </c>
      <c r="DA12" s="8">
        <f>COUNT($BP12:CA12)</f>
        <v>4</v>
      </c>
      <c r="DC12">
        <f t="shared" si="47"/>
        <v>100</v>
      </c>
      <c r="DD12">
        <f t="shared" si="48"/>
        <v>35</v>
      </c>
      <c r="DE12" t="str">
        <f t="shared" si="49"/>
        <v>100-35</v>
      </c>
      <c r="DG12">
        <f t="shared" si="50"/>
        <v>4</v>
      </c>
      <c r="DH12">
        <f t="shared" si="51"/>
        <v>4</v>
      </c>
      <c r="DJ12" s="44" cm="1">
        <f t="array" ref="DJ12">IF(DJ$5&lt;=$DG12,INDEX($BC12:$BN12,1,_xlfn.XMATCH(DJ$5,$CC12:$CN12)),"na")</f>
        <v>45658</v>
      </c>
      <c r="DK12" s="45" cm="1">
        <f t="array" ref="DK12">IF(DK$5&lt;=$DH12,INDEX($BP12:$CA12,1,_xlfn.XMATCH(DK$5,$CP12:$DA12)),"na")</f>
        <v>45747</v>
      </c>
      <c r="DL12" s="46" cm="1">
        <f t="array" ref="DL12">IF(DL$5&lt;=$DG12,INDEX($AC12:$AN12,1,_xlfn.XMATCH(DL$5,$CC12:$CN12)),"na")</f>
        <v>126</v>
      </c>
      <c r="DM12" s="47" cm="1">
        <f t="array" ref="DM12">IF(DM$5&lt;=$DG12,INDEX($AP12:$BA12,1,_xlfn.XMATCH(DM$5,$CC12:$CN12)),"na")</f>
        <v>97</v>
      </c>
      <c r="DN12" s="44" cm="1">
        <f t="array" ref="DN12">IF(DN$5&lt;=$DG12,INDEX($BC12:$BN12,1,_xlfn.XMATCH(DN$5,$CC12:$CN12)),"na")</f>
        <v>45748</v>
      </c>
      <c r="DO12" s="45" cm="1">
        <f t="array" ref="DO12">IF(DO$5&lt;=$DH12,INDEX($BP12:$CA12,1,_xlfn.XMATCH(DO$5,$CP12:$DA12)),"na")</f>
        <v>45838</v>
      </c>
      <c r="DP12" s="46" cm="1">
        <f t="array" ref="DP12">IF(DP$5&lt;=$DG12,INDEX($AC12:$AN12,1,_xlfn.XMATCH(DP$5,$CC12:$CN12)),"na")</f>
        <v>126</v>
      </c>
      <c r="DQ12" s="47" cm="1">
        <f t="array" ref="DQ12">IF(DQ$5&lt;=$DG12,INDEX($AP12:$BA12,1,_xlfn.XMATCH(DQ$5,$CC12:$CN12)),"na")</f>
        <v>98</v>
      </c>
      <c r="DR12" s="44" cm="1">
        <f t="array" ref="DR12">IF(DR$5&lt;=$DG12,INDEX($BC12:$BN12,1,_xlfn.XMATCH(DR$5,$CC12:$CN12)),"na")</f>
        <v>45839</v>
      </c>
      <c r="DS12" s="45" cm="1">
        <f t="array" ref="DS12">IF(DS$5&lt;=$DH12,INDEX($BP12:$CA12,1,_xlfn.XMATCH(DS$5,$CP12:$DA12)),"na")</f>
        <v>45930</v>
      </c>
      <c r="DT12" s="46" cm="1">
        <f t="array" ref="DT12">IF(DT$5&lt;=$DG12,INDEX($AC12:$AN12,1,_xlfn.XMATCH(DT$5,$CC12:$CN12)),"na")</f>
        <v>126</v>
      </c>
      <c r="DU12" s="47" cm="1">
        <f t="array" ref="DU12">IF(DU$5&lt;=$DG12,INDEX($AP12:$BA12,1,_xlfn.XMATCH(DU$5,$CC12:$CN12)),"na")</f>
        <v>99</v>
      </c>
      <c r="DV12" s="44" cm="1">
        <f t="array" ref="DV12">IF(DV$5&lt;=$DG12,INDEX($BC12:$BN12,1,_xlfn.XMATCH(DV$5,$CC12:$CN12)),"na")</f>
        <v>45931</v>
      </c>
      <c r="DW12" s="45" cm="1">
        <f t="array" ref="DW12">IF(DW$5&lt;=$DH12,INDEX($BP12:$CA12,1,_xlfn.XMATCH(DW$5,$CP12:$DA12)),"na")</f>
        <v>46022</v>
      </c>
      <c r="DX12" s="46" cm="1">
        <f t="array" ref="DX12">IF(DX$5&lt;=$DG12,INDEX($AC12:$AN12,1,_xlfn.XMATCH(DX$5,$CC12:$CN12)),"na")</f>
        <v>126</v>
      </c>
      <c r="DY12" s="47" cm="1">
        <f t="array" ref="DY12">IF(DY$5&lt;=$DG12,INDEX($AP12:$BA12,1,_xlfn.XMATCH(DY$5,$CC12:$CN12)),"na")</f>
        <v>100</v>
      </c>
      <c r="DZ12" s="44" t="str" cm="1">
        <f t="array" ref="DZ12">IF(DZ$5&lt;=$DG12,INDEX($BC12:$BN12,1,_xlfn.XMATCH(DZ$5,$CC12:$CN12)),"na")</f>
        <v>na</v>
      </c>
      <c r="EA12" s="45" t="str" cm="1">
        <f t="array" ref="EA12">IF(EA$5&lt;=$DH12,INDEX($BP12:$CA12,1,_xlfn.XMATCH(EA$5,$CP12:$DA12)),"na")</f>
        <v>na</v>
      </c>
      <c r="EB12" s="46" t="str" cm="1">
        <f t="array" ref="EB12">IF(EB$5&lt;=$DG12,INDEX($AC12:$AN12,1,_xlfn.XMATCH(EB$5,$CC12:$CN12)),"na")</f>
        <v>na</v>
      </c>
      <c r="EC12" s="47" t="str" cm="1">
        <f t="array" ref="EC12">IF(EC$5&lt;=$DG12,INDEX($AP12:$BA12,1,_xlfn.XMATCH(EC$5,$CC12:$CN12)),"na")</f>
        <v>na</v>
      </c>
      <c r="ED12" s="44" t="str" cm="1">
        <f t="array" ref="ED12">IF(ED$5&lt;=$DG12,INDEX($BC12:$BN12,1,_xlfn.XMATCH(ED$5,$CC12:$CN12)),"na")</f>
        <v>na</v>
      </c>
      <c r="EE12" s="45" t="str" cm="1">
        <f t="array" ref="EE12">IF(EE$5&lt;=$DH12,INDEX($BP12:$CA12,1,_xlfn.XMATCH(EE$5,$CP12:$DA12)),"na")</f>
        <v>na</v>
      </c>
      <c r="EF12" s="46" t="str" cm="1">
        <f t="array" ref="EF12">IF(EF$5&lt;=$DG12,INDEX($AC12:$AN12,1,_xlfn.XMATCH(EF$5,$CC12:$CN12)),"na")</f>
        <v>na</v>
      </c>
      <c r="EG12" s="47" t="str" cm="1">
        <f t="array" ref="EG12">IF(EG$5&lt;=$DG12,INDEX($AP12:$BA12,1,_xlfn.XMATCH(EG$5,$CC12:$CN12)),"na")</f>
        <v>na</v>
      </c>
      <c r="EH12" s="44" t="str" cm="1">
        <f t="array" ref="EH12">IF(EH$5&lt;=$DG12,INDEX($BC12:$BN12,1,_xlfn.XMATCH(EH$5,$CC12:$CN12)),"na")</f>
        <v>na</v>
      </c>
      <c r="EI12" s="45" t="str" cm="1">
        <f t="array" ref="EI12">IF(EI$5&lt;=$DH12,INDEX($BP12:$CA12,1,_xlfn.XMATCH(EI$5,$CP12:$DA12)),"na")</f>
        <v>na</v>
      </c>
      <c r="EJ12" s="46" t="str" cm="1">
        <f t="array" ref="EJ12">IF(EJ$5&lt;=$DG12,INDEX($AC12:$AN12,1,_xlfn.XMATCH(EJ$5,$CC12:$CN12)),"na")</f>
        <v>na</v>
      </c>
      <c r="EK12" s="47" t="str" cm="1">
        <f t="array" ref="EK12">IF(EK$5&lt;=$DG12,INDEX($AP12:$BA12,1,_xlfn.XMATCH(EK$5,$CC12:$CN12)),"na")</f>
        <v>na</v>
      </c>
      <c r="EL12" s="44" t="str" cm="1">
        <f t="array" ref="EL12">IF(EL$5&lt;=$DG12,INDEX($BC12:$BN12,1,_xlfn.XMATCH(EL$5,$CC12:$CN12)),"na")</f>
        <v>na</v>
      </c>
      <c r="EM12" s="45" t="str" cm="1">
        <f t="array" ref="EM12">IF(EM$5&lt;=$DH12,INDEX($BP12:$CA12,1,_xlfn.XMATCH(EM$5,$CP12:$DA12)),"na")</f>
        <v>na</v>
      </c>
      <c r="EN12" s="46" t="str" cm="1">
        <f t="array" ref="EN12">IF(EN$5&lt;=$DG12,INDEX($AC12:$AN12,1,_xlfn.XMATCH(EN$5,$CC12:$CN12)),"na")</f>
        <v>na</v>
      </c>
      <c r="EO12" s="47" t="str" cm="1">
        <f t="array" ref="EO12">IF(EO$5&lt;=$DG12,INDEX($AP12:$BA12,1,_xlfn.XMATCH(EO$5,$CC12:$CN12)),"na")</f>
        <v>na</v>
      </c>
      <c r="EP12" s="44" t="str" cm="1">
        <f t="array" ref="EP12">IF(EP$5&lt;=$DG12,INDEX($BC12:$BN12,1,_xlfn.XMATCH(EP$5,$CC12:$CN12)),"na")</f>
        <v>na</v>
      </c>
      <c r="EQ12" s="45" t="str" cm="1">
        <f t="array" ref="EQ12">IF(EQ$5&lt;=$DH12,INDEX($BP12:$CA12,1,_xlfn.XMATCH(EQ$5,$CP12:$DA12)),"na")</f>
        <v>na</v>
      </c>
      <c r="ER12" s="46" t="str" cm="1">
        <f t="array" ref="ER12">IF(ER$5&lt;=$DG12,INDEX($AC12:$AN12,1,_xlfn.XMATCH(ER$5,$CC12:$CN12)),"na")</f>
        <v>na</v>
      </c>
      <c r="ES12" s="47" t="str" cm="1">
        <f t="array" ref="ES12">IF(ES$5&lt;=$DG12,INDEX($AP12:$BA12,1,_xlfn.XMATCH(ES$5,$CC12:$CN12)),"na")</f>
        <v>na</v>
      </c>
      <c r="ET12" s="44" t="str" cm="1">
        <f t="array" ref="ET12">IF(ET$5&lt;=$DG12,INDEX($BC12:$BN12,1,_xlfn.XMATCH(ET$5,$CC12:$CN12)),"na")</f>
        <v>na</v>
      </c>
      <c r="EU12" s="45" t="str" cm="1">
        <f t="array" ref="EU12">IF(EU$5&lt;=$DH12,INDEX($BP12:$CA12,1,_xlfn.XMATCH(EU$5,$CP12:$DA12)),"na")</f>
        <v>na</v>
      </c>
      <c r="EV12" s="46" t="str" cm="1">
        <f t="array" ref="EV12">IF(EV$5&lt;=$DG12,INDEX($AC12:$AN12,1,_xlfn.XMATCH(EV$5,$CC12:$CN12)),"na")</f>
        <v>na</v>
      </c>
      <c r="EW12" s="47" t="str" cm="1">
        <f t="array" ref="EW12">IF(EW$5&lt;=$DG12,INDEX($AP12:$BA12,1,_xlfn.XMATCH(EW$5,$CC12:$CN12)),"na")</f>
        <v>na</v>
      </c>
      <c r="EX12" s="44" t="str" cm="1">
        <f t="array" ref="EX12">IF(EX$5&lt;=$DG12,INDEX($BC12:$BN12,1,_xlfn.XMATCH(EX$5,$CC12:$CN12)),"na")</f>
        <v>na</v>
      </c>
      <c r="EY12" s="45" t="str" cm="1">
        <f t="array" ref="EY12">IF(EY$5&lt;=$DH12,INDEX($BP12:$CA12,1,_xlfn.XMATCH(EY$5,$CP12:$DA12)),"na")</f>
        <v>na</v>
      </c>
      <c r="EZ12" s="46" t="str" cm="1">
        <f t="array" ref="EZ12">IF(EZ$5&lt;=$DG12,INDEX($AC12:$AN12,1,_xlfn.XMATCH(EZ$5,$CC12:$CN12)),"na")</f>
        <v>na</v>
      </c>
      <c r="FA12" s="47" t="str" cm="1">
        <f t="array" ref="FA12">IF(FA$5&lt;=$DG12,INDEX($AP12:$BA12,1,_xlfn.XMATCH(FA$5,$CC12:$CN12)),"na")</f>
        <v>na</v>
      </c>
      <c r="FB12" s="44" t="str" cm="1">
        <f t="array" ref="FB12">IF(FB$5&lt;=$DG12,INDEX($BC12:$BN12,1,_xlfn.XMATCH(FB$5,$CC12:$CN12)),"na")</f>
        <v>na</v>
      </c>
      <c r="FC12" s="45" t="str" cm="1">
        <f t="array" ref="FC12">IF(FC$5&lt;=$DH12,INDEX($BP12:$CA12,1,_xlfn.XMATCH(FC$5,$CP12:$DA12)),"na")</f>
        <v>na</v>
      </c>
      <c r="FD12" s="46" t="str" cm="1">
        <f t="array" ref="FD12">IF(FD$5&lt;=$DG12,INDEX($AC12:$AN12,1,_xlfn.XMATCH(FD$5,$CC12:$CN12)),"na")</f>
        <v>na</v>
      </c>
      <c r="FE12" s="47" t="str" cm="1">
        <f t="array" ref="FE12">IF(FE$5&lt;=$DG12,INDEX($AP12:$BA12,1,_xlfn.XMATCH(FE$5,$CC12:$CN12)),"na")</f>
        <v>na</v>
      </c>
    </row>
    <row r="13" spans="2:161" x14ac:dyDescent="0.25">
      <c r="B13" s="10" t="s">
        <v>74</v>
      </c>
      <c r="C13" s="8">
        <v>3906</v>
      </c>
      <c r="D13" s="8">
        <v>3528</v>
      </c>
      <c r="E13" s="8">
        <v>3906</v>
      </c>
      <c r="F13" s="8">
        <v>3780</v>
      </c>
      <c r="G13" s="8">
        <v>3906</v>
      </c>
      <c r="H13" s="8">
        <v>3780</v>
      </c>
      <c r="I13" s="8">
        <v>3906</v>
      </c>
      <c r="J13" s="8">
        <v>3906</v>
      </c>
      <c r="K13" s="8">
        <v>3780</v>
      </c>
      <c r="L13" s="8">
        <v>3906</v>
      </c>
      <c r="M13" s="8">
        <v>3780</v>
      </c>
      <c r="N13" s="8">
        <v>3906</v>
      </c>
      <c r="O13" s="8"/>
      <c r="P13" s="8">
        <v>2480</v>
      </c>
      <c r="Q13" s="8">
        <v>2240</v>
      </c>
      <c r="R13" s="8">
        <v>2511</v>
      </c>
      <c r="S13" s="8">
        <v>2430</v>
      </c>
      <c r="T13" s="8">
        <v>2542</v>
      </c>
      <c r="U13" s="8">
        <v>2460</v>
      </c>
      <c r="V13" s="8">
        <v>2573</v>
      </c>
      <c r="W13" s="8">
        <v>2573</v>
      </c>
      <c r="X13" s="8">
        <v>2520</v>
      </c>
      <c r="Y13" s="8">
        <v>2604</v>
      </c>
      <c r="Z13" s="8">
        <v>2550</v>
      </c>
      <c r="AA13" s="8">
        <v>2635</v>
      </c>
      <c r="AC13" s="14">
        <f>C13/_xlfn.XLOOKUP(AC$5,'OC-Days'!$G:$G,'OC-Days'!$B:$B)</f>
        <v>126</v>
      </c>
      <c r="AD13" s="14">
        <f>D13/_xlfn.XLOOKUP(AD$5,'OC-Days'!$G:$G,'OC-Days'!$B:$B)</f>
        <v>126</v>
      </c>
      <c r="AE13" s="14">
        <f>E13/_xlfn.XLOOKUP(AE$5,'OC-Days'!$G:$G,'OC-Days'!$B:$B)</f>
        <v>126</v>
      </c>
      <c r="AF13" s="14">
        <f>F13/_xlfn.XLOOKUP(AF$5,'OC-Days'!$G:$G,'OC-Days'!$B:$B)</f>
        <v>126</v>
      </c>
      <c r="AG13" s="14">
        <f>G13/_xlfn.XLOOKUP(AG$5,'OC-Days'!$G:$G,'OC-Days'!$B:$B)</f>
        <v>126</v>
      </c>
      <c r="AH13" s="14">
        <f>H13/_xlfn.XLOOKUP(AH$5,'OC-Days'!$G:$G,'OC-Days'!$B:$B)</f>
        <v>126</v>
      </c>
      <c r="AI13" s="14">
        <f>I13/_xlfn.XLOOKUP(AI$5,'OC-Days'!$G:$G,'OC-Days'!$B:$B)</f>
        <v>126</v>
      </c>
      <c r="AJ13" s="14">
        <f>J13/_xlfn.XLOOKUP(AJ$5,'OC-Days'!$G:$G,'OC-Days'!$B:$B)</f>
        <v>126</v>
      </c>
      <c r="AK13" s="14">
        <f>K13/_xlfn.XLOOKUP(AK$5,'OC-Days'!$G:$G,'OC-Days'!$B:$B)</f>
        <v>126</v>
      </c>
      <c r="AL13" s="14">
        <f>L13/_xlfn.XLOOKUP(AL$5,'OC-Days'!$G:$G,'OC-Days'!$B:$B)</f>
        <v>126</v>
      </c>
      <c r="AM13" s="14">
        <f>M13/_xlfn.XLOOKUP(AM$5,'OC-Days'!$G:$G,'OC-Days'!$B:$B)</f>
        <v>126</v>
      </c>
      <c r="AN13" s="14">
        <f>N13/_xlfn.XLOOKUP(AN$5,'OC-Days'!$G:$G,'OC-Days'!$B:$B)</f>
        <v>126</v>
      </c>
      <c r="AP13" s="14">
        <f>P13/_xlfn.XLOOKUP(AP$5,'OC-Days'!$G:$G,'OC-Days'!$B:$B)</f>
        <v>80</v>
      </c>
      <c r="AQ13" s="14">
        <f>Q13/_xlfn.XLOOKUP(AQ$5,'OC-Days'!$G:$G,'OC-Days'!$B:$B)</f>
        <v>80</v>
      </c>
      <c r="AR13" s="14">
        <f>R13/_xlfn.XLOOKUP(AR$5,'OC-Days'!$G:$G,'OC-Days'!$B:$B)</f>
        <v>81</v>
      </c>
      <c r="AS13" s="14">
        <f>S13/_xlfn.XLOOKUP(AS$5,'OC-Days'!$G:$G,'OC-Days'!$B:$B)</f>
        <v>81</v>
      </c>
      <c r="AT13" s="14">
        <f>T13/_xlfn.XLOOKUP(AT$5,'OC-Days'!$G:$G,'OC-Days'!$B:$B)</f>
        <v>82</v>
      </c>
      <c r="AU13" s="14">
        <f>U13/_xlfn.XLOOKUP(AU$5,'OC-Days'!$G:$G,'OC-Days'!$B:$B)</f>
        <v>82</v>
      </c>
      <c r="AV13" s="14">
        <f>V13/_xlfn.XLOOKUP(AV$5,'OC-Days'!$G:$G,'OC-Days'!$B:$B)</f>
        <v>83</v>
      </c>
      <c r="AW13" s="14">
        <f>W13/_xlfn.XLOOKUP(AW$5,'OC-Days'!$G:$G,'OC-Days'!$B:$B)</f>
        <v>83</v>
      </c>
      <c r="AX13" s="14">
        <f>X13/_xlfn.XLOOKUP(AX$5,'OC-Days'!$G:$G,'OC-Days'!$B:$B)</f>
        <v>84</v>
      </c>
      <c r="AY13" s="14">
        <f>Y13/_xlfn.XLOOKUP(AY$5,'OC-Days'!$G:$G,'OC-Days'!$B:$B)</f>
        <v>84</v>
      </c>
      <c r="AZ13" s="14">
        <f>Z13/_xlfn.XLOOKUP(AZ$5,'OC-Days'!$G:$G,'OC-Days'!$B:$B)</f>
        <v>85</v>
      </c>
      <c r="BA13" s="14">
        <f>AA13/_xlfn.XLOOKUP(BA$5,'OC-Days'!$G:$G,'OC-Days'!$B:$B)</f>
        <v>85</v>
      </c>
      <c r="BC13" s="33">
        <f>_xlfn.XLOOKUP(BC$5,'OC-Days'!$G:$G,'OC-Days'!$F:$F)</f>
        <v>45658</v>
      </c>
      <c r="BD13" s="34" t="str">
        <f>IF(AQ13=AP13,"na",_xlfn.XLOOKUP(BD$5,'OC-Days'!$G:$G,'OC-Days'!$F:$F))</f>
        <v>na</v>
      </c>
      <c r="BE13" s="34">
        <f>IF(AR13=AQ13,"na",_xlfn.XLOOKUP(BE$5,'OC-Days'!$G:$G,'OC-Days'!$F:$F))</f>
        <v>45717</v>
      </c>
      <c r="BF13" s="34" t="str">
        <f>IF(AS13=AR13,"na",_xlfn.XLOOKUP(BF$5,'OC-Days'!$G:$G,'OC-Days'!$F:$F))</f>
        <v>na</v>
      </c>
      <c r="BG13" s="34">
        <f>IF(AT13=AS13,"na",_xlfn.XLOOKUP(BG$5,'OC-Days'!$G:$G,'OC-Days'!$F:$F))</f>
        <v>45778</v>
      </c>
      <c r="BH13" s="34" t="str">
        <f>IF(AU13=AT13,"na",_xlfn.XLOOKUP(BH$5,'OC-Days'!$G:$G,'OC-Days'!$F:$F))</f>
        <v>na</v>
      </c>
      <c r="BI13" s="34">
        <f>IF(AV13=AU13,"na",_xlfn.XLOOKUP(BI$5,'OC-Days'!$G:$G,'OC-Days'!$F:$F))</f>
        <v>45839</v>
      </c>
      <c r="BJ13" s="34" t="str">
        <f>IF(AW13=AV13,"na",_xlfn.XLOOKUP(BJ$5,'OC-Days'!$G:$G,'OC-Days'!$F:$F))</f>
        <v>na</v>
      </c>
      <c r="BK13" s="34">
        <f>IF(AX13=AW13,"na",_xlfn.XLOOKUP(BK$5,'OC-Days'!$G:$G,'OC-Days'!$F:$F))</f>
        <v>45901</v>
      </c>
      <c r="BL13" s="34" t="str">
        <f>IF(AY13=AX13,"na",_xlfn.XLOOKUP(BL$5,'OC-Days'!$G:$G,'OC-Days'!$F:$F))</f>
        <v>na</v>
      </c>
      <c r="BM13" s="34">
        <f>IF(AZ13=AY13,"na",_xlfn.XLOOKUP(BM$5,'OC-Days'!$G:$G,'OC-Days'!$F:$F))</f>
        <v>45962</v>
      </c>
      <c r="BN13" s="34" t="str">
        <f>IF(BA13=AZ13,"na",_xlfn.XLOOKUP(BN$5,'OC-Days'!$G:$G,'OC-Days'!$F:$F))</f>
        <v>na</v>
      </c>
      <c r="BP13" s="36" t="str">
        <f t="shared" si="35"/>
        <v>na</v>
      </c>
      <c r="BQ13" s="36">
        <f t="shared" si="36"/>
        <v>45716</v>
      </c>
      <c r="BR13" s="36" t="str">
        <f t="shared" si="37"/>
        <v>na</v>
      </c>
      <c r="BS13" s="36">
        <f t="shared" si="38"/>
        <v>45777</v>
      </c>
      <c r="BT13" s="36" t="str">
        <f t="shared" si="39"/>
        <v>na</v>
      </c>
      <c r="BU13" s="36">
        <f t="shared" si="40"/>
        <v>45838</v>
      </c>
      <c r="BV13" s="36" t="str">
        <f t="shared" si="41"/>
        <v>na</v>
      </c>
      <c r="BW13" s="36">
        <f t="shared" si="42"/>
        <v>45900</v>
      </c>
      <c r="BX13" s="36" t="str">
        <f t="shared" si="43"/>
        <v>na</v>
      </c>
      <c r="BY13" s="36">
        <f t="shared" si="44"/>
        <v>45961</v>
      </c>
      <c r="BZ13" s="36" t="str">
        <f t="shared" si="45"/>
        <v>na</v>
      </c>
      <c r="CA13" s="43">
        <f t="shared" si="46"/>
        <v>46022</v>
      </c>
      <c r="CC13" s="8">
        <f>COUNT($BC13:BC13)</f>
        <v>1</v>
      </c>
      <c r="CD13" s="8">
        <f>COUNT($BC13:BD13)</f>
        <v>1</v>
      </c>
      <c r="CE13" s="8">
        <f>COUNT($BC13:BE13)</f>
        <v>2</v>
      </c>
      <c r="CF13" s="8">
        <f>COUNT($BC13:BF13)</f>
        <v>2</v>
      </c>
      <c r="CG13" s="8">
        <f>COUNT($BC13:BG13)</f>
        <v>3</v>
      </c>
      <c r="CH13" s="8">
        <f>COUNT($BC13:BH13)</f>
        <v>3</v>
      </c>
      <c r="CI13" s="8">
        <f>COUNT($BC13:BI13)</f>
        <v>4</v>
      </c>
      <c r="CJ13" s="8">
        <f>COUNT($BC13:BJ13)</f>
        <v>4</v>
      </c>
      <c r="CK13" s="8">
        <f>COUNT($BC13:BK13)</f>
        <v>5</v>
      </c>
      <c r="CL13" s="8">
        <f>COUNT($BC13:BL13)</f>
        <v>5</v>
      </c>
      <c r="CM13" s="8">
        <f>COUNT($BC13:BM13)</f>
        <v>6</v>
      </c>
      <c r="CN13" s="8">
        <f>COUNT($BC13:BN13)</f>
        <v>6</v>
      </c>
      <c r="CO13" s="8"/>
      <c r="CP13" s="8">
        <f>COUNT($BP13:BP13)</f>
        <v>0</v>
      </c>
      <c r="CQ13" s="8">
        <f>COUNT($BP13:BQ13)</f>
        <v>1</v>
      </c>
      <c r="CR13" s="8">
        <f>COUNT($BP13:BR13)</f>
        <v>1</v>
      </c>
      <c r="CS13" s="8">
        <f>COUNT($BP13:BS13)</f>
        <v>2</v>
      </c>
      <c r="CT13" s="8">
        <f>COUNT($BP13:BT13)</f>
        <v>2</v>
      </c>
      <c r="CU13" s="8">
        <f>COUNT($BP13:BU13)</f>
        <v>3</v>
      </c>
      <c r="CV13" s="8">
        <f>COUNT($BP13:BV13)</f>
        <v>3</v>
      </c>
      <c r="CW13" s="8">
        <f>COUNT($BP13:BW13)</f>
        <v>4</v>
      </c>
      <c r="CX13" s="8">
        <f>COUNT($BP13:BX13)</f>
        <v>4</v>
      </c>
      <c r="CY13" s="8">
        <f>COUNT($BP13:BY13)</f>
        <v>5</v>
      </c>
      <c r="CZ13" s="8">
        <f>COUNT($BP13:BZ13)</f>
        <v>5</v>
      </c>
      <c r="DA13" s="8">
        <f>COUNT($BP13:CA13)</f>
        <v>6</v>
      </c>
      <c r="DC13">
        <f t="shared" si="47"/>
        <v>100</v>
      </c>
      <c r="DD13">
        <f t="shared" si="48"/>
        <v>36</v>
      </c>
      <c r="DE13" t="str">
        <f t="shared" si="49"/>
        <v>100-36</v>
      </c>
      <c r="DG13">
        <f t="shared" si="50"/>
        <v>6</v>
      </c>
      <c r="DH13">
        <f t="shared" si="51"/>
        <v>6</v>
      </c>
      <c r="DJ13" s="44" cm="1">
        <f t="array" ref="DJ13">IF(DJ$5&lt;=$DG13,INDEX($BC13:$BN13,1,_xlfn.XMATCH(DJ$5,$CC13:$CN13)),"na")</f>
        <v>45658</v>
      </c>
      <c r="DK13" s="45" cm="1">
        <f t="array" ref="DK13">IF(DK$5&lt;=$DH13,INDEX($BP13:$CA13,1,_xlfn.XMATCH(DK$5,$CP13:$DA13)),"na")</f>
        <v>45716</v>
      </c>
      <c r="DL13" s="46" cm="1">
        <f t="array" ref="DL13">IF(DL$5&lt;=$DG13,INDEX($AC13:$AN13,1,_xlfn.XMATCH(DL$5,$CC13:$CN13)),"na")</f>
        <v>126</v>
      </c>
      <c r="DM13" s="47" cm="1">
        <f t="array" ref="DM13">IF(DM$5&lt;=$DG13,INDEX($AP13:$BA13,1,_xlfn.XMATCH(DM$5,$CC13:$CN13)),"na")</f>
        <v>80</v>
      </c>
      <c r="DN13" s="44" cm="1">
        <f t="array" ref="DN13">IF(DN$5&lt;=$DG13,INDEX($BC13:$BN13,1,_xlfn.XMATCH(DN$5,$CC13:$CN13)),"na")</f>
        <v>45717</v>
      </c>
      <c r="DO13" s="45" cm="1">
        <f t="array" ref="DO13">IF(DO$5&lt;=$DH13,INDEX($BP13:$CA13,1,_xlfn.XMATCH(DO$5,$CP13:$DA13)),"na")</f>
        <v>45777</v>
      </c>
      <c r="DP13" s="46" cm="1">
        <f t="array" ref="DP13">IF(DP$5&lt;=$DG13,INDEX($AC13:$AN13,1,_xlfn.XMATCH(DP$5,$CC13:$CN13)),"na")</f>
        <v>126</v>
      </c>
      <c r="DQ13" s="47" cm="1">
        <f t="array" ref="DQ13">IF(DQ$5&lt;=$DG13,INDEX($AP13:$BA13,1,_xlfn.XMATCH(DQ$5,$CC13:$CN13)),"na")</f>
        <v>81</v>
      </c>
      <c r="DR13" s="44" cm="1">
        <f t="array" ref="DR13">IF(DR$5&lt;=$DG13,INDEX($BC13:$BN13,1,_xlfn.XMATCH(DR$5,$CC13:$CN13)),"na")</f>
        <v>45778</v>
      </c>
      <c r="DS13" s="45" cm="1">
        <f t="array" ref="DS13">IF(DS$5&lt;=$DH13,INDEX($BP13:$CA13,1,_xlfn.XMATCH(DS$5,$CP13:$DA13)),"na")</f>
        <v>45838</v>
      </c>
      <c r="DT13" s="46" cm="1">
        <f t="array" ref="DT13">IF(DT$5&lt;=$DG13,INDEX($AC13:$AN13,1,_xlfn.XMATCH(DT$5,$CC13:$CN13)),"na")</f>
        <v>126</v>
      </c>
      <c r="DU13" s="47" cm="1">
        <f t="array" ref="DU13">IF(DU$5&lt;=$DG13,INDEX($AP13:$BA13,1,_xlfn.XMATCH(DU$5,$CC13:$CN13)),"na")</f>
        <v>82</v>
      </c>
      <c r="DV13" s="44" cm="1">
        <f t="array" ref="DV13">IF(DV$5&lt;=$DG13,INDEX($BC13:$BN13,1,_xlfn.XMATCH(DV$5,$CC13:$CN13)),"na")</f>
        <v>45839</v>
      </c>
      <c r="DW13" s="45" cm="1">
        <f t="array" ref="DW13">IF(DW$5&lt;=$DH13,INDEX($BP13:$CA13,1,_xlfn.XMATCH(DW$5,$CP13:$DA13)),"na")</f>
        <v>45900</v>
      </c>
      <c r="DX13" s="46" cm="1">
        <f t="array" ref="DX13">IF(DX$5&lt;=$DG13,INDEX($AC13:$AN13,1,_xlfn.XMATCH(DX$5,$CC13:$CN13)),"na")</f>
        <v>126</v>
      </c>
      <c r="DY13" s="47" cm="1">
        <f t="array" ref="DY13">IF(DY$5&lt;=$DG13,INDEX($AP13:$BA13,1,_xlfn.XMATCH(DY$5,$CC13:$CN13)),"na")</f>
        <v>83</v>
      </c>
      <c r="DZ13" s="44" cm="1">
        <f t="array" ref="DZ13">IF(DZ$5&lt;=$DG13,INDEX($BC13:$BN13,1,_xlfn.XMATCH(DZ$5,$CC13:$CN13)),"na")</f>
        <v>45901</v>
      </c>
      <c r="EA13" s="45" cm="1">
        <f t="array" ref="EA13">IF(EA$5&lt;=$DH13,INDEX($BP13:$CA13,1,_xlfn.XMATCH(EA$5,$CP13:$DA13)),"na")</f>
        <v>45961</v>
      </c>
      <c r="EB13" s="46" cm="1">
        <f t="array" ref="EB13">IF(EB$5&lt;=$DG13,INDEX($AC13:$AN13,1,_xlfn.XMATCH(EB$5,$CC13:$CN13)),"na")</f>
        <v>126</v>
      </c>
      <c r="EC13" s="47" cm="1">
        <f t="array" ref="EC13">IF(EC$5&lt;=$DG13,INDEX($AP13:$BA13,1,_xlfn.XMATCH(EC$5,$CC13:$CN13)),"na")</f>
        <v>84</v>
      </c>
      <c r="ED13" s="44" cm="1">
        <f t="array" ref="ED13">IF(ED$5&lt;=$DG13,INDEX($BC13:$BN13,1,_xlfn.XMATCH(ED$5,$CC13:$CN13)),"na")</f>
        <v>45962</v>
      </c>
      <c r="EE13" s="45" cm="1">
        <f t="array" ref="EE13">IF(EE$5&lt;=$DH13,INDEX($BP13:$CA13,1,_xlfn.XMATCH(EE$5,$CP13:$DA13)),"na")</f>
        <v>46022</v>
      </c>
      <c r="EF13" s="46" cm="1">
        <f t="array" ref="EF13">IF(EF$5&lt;=$DG13,INDEX($AC13:$AN13,1,_xlfn.XMATCH(EF$5,$CC13:$CN13)),"na")</f>
        <v>126</v>
      </c>
      <c r="EG13" s="47" cm="1">
        <f t="array" ref="EG13">IF(EG$5&lt;=$DG13,INDEX($AP13:$BA13,1,_xlfn.XMATCH(EG$5,$CC13:$CN13)),"na")</f>
        <v>85</v>
      </c>
      <c r="EH13" s="44" t="str" cm="1">
        <f t="array" ref="EH13">IF(EH$5&lt;=$DG13,INDEX($BC13:$BN13,1,_xlfn.XMATCH(EH$5,$CC13:$CN13)),"na")</f>
        <v>na</v>
      </c>
      <c r="EI13" s="45" t="str" cm="1">
        <f t="array" ref="EI13">IF(EI$5&lt;=$DH13,INDEX($BP13:$CA13,1,_xlfn.XMATCH(EI$5,$CP13:$DA13)),"na")</f>
        <v>na</v>
      </c>
      <c r="EJ13" s="46" t="str" cm="1">
        <f t="array" ref="EJ13">IF(EJ$5&lt;=$DG13,INDEX($AC13:$AN13,1,_xlfn.XMATCH(EJ$5,$CC13:$CN13)),"na")</f>
        <v>na</v>
      </c>
      <c r="EK13" s="47" t="str" cm="1">
        <f t="array" ref="EK13">IF(EK$5&lt;=$DG13,INDEX($AP13:$BA13,1,_xlfn.XMATCH(EK$5,$CC13:$CN13)),"na")</f>
        <v>na</v>
      </c>
      <c r="EL13" s="44" t="str" cm="1">
        <f t="array" ref="EL13">IF(EL$5&lt;=$DG13,INDEX($BC13:$BN13,1,_xlfn.XMATCH(EL$5,$CC13:$CN13)),"na")</f>
        <v>na</v>
      </c>
      <c r="EM13" s="45" t="str" cm="1">
        <f t="array" ref="EM13">IF(EM$5&lt;=$DH13,INDEX($BP13:$CA13,1,_xlfn.XMATCH(EM$5,$CP13:$DA13)),"na")</f>
        <v>na</v>
      </c>
      <c r="EN13" s="46" t="str" cm="1">
        <f t="array" ref="EN13">IF(EN$5&lt;=$DG13,INDEX($AC13:$AN13,1,_xlfn.XMATCH(EN$5,$CC13:$CN13)),"na")</f>
        <v>na</v>
      </c>
      <c r="EO13" s="47" t="str" cm="1">
        <f t="array" ref="EO13">IF(EO$5&lt;=$DG13,INDEX($AP13:$BA13,1,_xlfn.XMATCH(EO$5,$CC13:$CN13)),"na")</f>
        <v>na</v>
      </c>
      <c r="EP13" s="44" t="str" cm="1">
        <f t="array" ref="EP13">IF(EP$5&lt;=$DG13,INDEX($BC13:$BN13,1,_xlfn.XMATCH(EP$5,$CC13:$CN13)),"na")</f>
        <v>na</v>
      </c>
      <c r="EQ13" s="45" t="str" cm="1">
        <f t="array" ref="EQ13">IF(EQ$5&lt;=$DH13,INDEX($BP13:$CA13,1,_xlfn.XMATCH(EQ$5,$CP13:$DA13)),"na")</f>
        <v>na</v>
      </c>
      <c r="ER13" s="46" t="str" cm="1">
        <f t="array" ref="ER13">IF(ER$5&lt;=$DG13,INDEX($AC13:$AN13,1,_xlfn.XMATCH(ER$5,$CC13:$CN13)),"na")</f>
        <v>na</v>
      </c>
      <c r="ES13" s="47" t="str" cm="1">
        <f t="array" ref="ES13">IF(ES$5&lt;=$DG13,INDEX($AP13:$BA13,1,_xlfn.XMATCH(ES$5,$CC13:$CN13)),"na")</f>
        <v>na</v>
      </c>
      <c r="ET13" s="44" t="str" cm="1">
        <f t="array" ref="ET13">IF(ET$5&lt;=$DG13,INDEX($BC13:$BN13,1,_xlfn.XMATCH(ET$5,$CC13:$CN13)),"na")</f>
        <v>na</v>
      </c>
      <c r="EU13" s="45" t="str" cm="1">
        <f t="array" ref="EU13">IF(EU$5&lt;=$DH13,INDEX($BP13:$CA13,1,_xlfn.XMATCH(EU$5,$CP13:$DA13)),"na")</f>
        <v>na</v>
      </c>
      <c r="EV13" s="46" t="str" cm="1">
        <f t="array" ref="EV13">IF(EV$5&lt;=$DG13,INDEX($AC13:$AN13,1,_xlfn.XMATCH(EV$5,$CC13:$CN13)),"na")</f>
        <v>na</v>
      </c>
      <c r="EW13" s="47" t="str" cm="1">
        <f t="array" ref="EW13">IF(EW$5&lt;=$DG13,INDEX($AP13:$BA13,1,_xlfn.XMATCH(EW$5,$CC13:$CN13)),"na")</f>
        <v>na</v>
      </c>
      <c r="EX13" s="44" t="str" cm="1">
        <f t="array" ref="EX13">IF(EX$5&lt;=$DG13,INDEX($BC13:$BN13,1,_xlfn.XMATCH(EX$5,$CC13:$CN13)),"na")</f>
        <v>na</v>
      </c>
      <c r="EY13" s="45" t="str" cm="1">
        <f t="array" ref="EY13">IF(EY$5&lt;=$DH13,INDEX($BP13:$CA13,1,_xlfn.XMATCH(EY$5,$CP13:$DA13)),"na")</f>
        <v>na</v>
      </c>
      <c r="EZ13" s="46" t="str" cm="1">
        <f t="array" ref="EZ13">IF(EZ$5&lt;=$DG13,INDEX($AC13:$AN13,1,_xlfn.XMATCH(EZ$5,$CC13:$CN13)),"na")</f>
        <v>na</v>
      </c>
      <c r="FA13" s="47" t="str" cm="1">
        <f t="array" ref="FA13">IF(FA$5&lt;=$DG13,INDEX($AP13:$BA13,1,_xlfn.XMATCH(FA$5,$CC13:$CN13)),"na")</f>
        <v>na</v>
      </c>
      <c r="FB13" s="44" t="str" cm="1">
        <f t="array" ref="FB13">IF(FB$5&lt;=$DG13,INDEX($BC13:$BN13,1,_xlfn.XMATCH(FB$5,$CC13:$CN13)),"na")</f>
        <v>na</v>
      </c>
      <c r="FC13" s="45" t="str" cm="1">
        <f t="array" ref="FC13">IF(FC$5&lt;=$DH13,INDEX($BP13:$CA13,1,_xlfn.XMATCH(FC$5,$CP13:$DA13)),"na")</f>
        <v>na</v>
      </c>
      <c r="FD13" s="46" t="str" cm="1">
        <f t="array" ref="FD13">IF(FD$5&lt;=$DG13,INDEX($AC13:$AN13,1,_xlfn.XMATCH(FD$5,$CC13:$CN13)),"na")</f>
        <v>na</v>
      </c>
      <c r="FE13" s="47" t="str" cm="1">
        <f t="array" ref="FE13">IF(FE$5&lt;=$DG13,INDEX($AP13:$BA13,1,_xlfn.XMATCH(FE$5,$CC13:$CN13)),"na")</f>
        <v>na</v>
      </c>
    </row>
    <row r="14" spans="2:161" x14ac:dyDescent="0.25">
      <c r="B14" s="10" t="s">
        <v>75</v>
      </c>
      <c r="C14" s="8">
        <v>4123</v>
      </c>
      <c r="D14" s="8">
        <v>3724</v>
      </c>
      <c r="E14" s="8">
        <v>4123</v>
      </c>
      <c r="F14" s="8">
        <v>3990</v>
      </c>
      <c r="G14" s="8">
        <v>4123</v>
      </c>
      <c r="H14" s="8">
        <v>3990</v>
      </c>
      <c r="I14" s="8">
        <v>4123</v>
      </c>
      <c r="J14" s="8">
        <v>4123</v>
      </c>
      <c r="K14" s="8">
        <v>3990</v>
      </c>
      <c r="L14" s="8">
        <v>4123</v>
      </c>
      <c r="M14" s="8">
        <v>3990</v>
      </c>
      <c r="N14" s="8">
        <v>4123</v>
      </c>
      <c r="O14" s="8"/>
      <c r="P14" s="8">
        <v>3844</v>
      </c>
      <c r="Q14" s="8">
        <v>3472</v>
      </c>
      <c r="R14" s="8">
        <v>3844</v>
      </c>
      <c r="S14" s="8">
        <v>3720</v>
      </c>
      <c r="T14" s="8">
        <v>3844</v>
      </c>
      <c r="U14" s="8">
        <v>3720</v>
      </c>
      <c r="V14" s="8">
        <v>3844</v>
      </c>
      <c r="W14" s="8">
        <v>3844</v>
      </c>
      <c r="X14" s="8">
        <v>3720</v>
      </c>
      <c r="Y14" s="8">
        <v>3844</v>
      </c>
      <c r="Z14" s="8">
        <v>3720</v>
      </c>
      <c r="AA14" s="8">
        <v>3844</v>
      </c>
      <c r="AC14" s="14">
        <f>C14/_xlfn.XLOOKUP(AC$5,'OC-Days'!$G:$G,'OC-Days'!$B:$B)</f>
        <v>133</v>
      </c>
      <c r="AD14" s="14">
        <f>D14/_xlfn.XLOOKUP(AD$5,'OC-Days'!$G:$G,'OC-Days'!$B:$B)</f>
        <v>133</v>
      </c>
      <c r="AE14" s="14">
        <f>E14/_xlfn.XLOOKUP(AE$5,'OC-Days'!$G:$G,'OC-Days'!$B:$B)</f>
        <v>133</v>
      </c>
      <c r="AF14" s="14">
        <f>F14/_xlfn.XLOOKUP(AF$5,'OC-Days'!$G:$G,'OC-Days'!$B:$B)</f>
        <v>133</v>
      </c>
      <c r="AG14" s="14">
        <f>G14/_xlfn.XLOOKUP(AG$5,'OC-Days'!$G:$G,'OC-Days'!$B:$B)</f>
        <v>133</v>
      </c>
      <c r="AH14" s="14">
        <f>H14/_xlfn.XLOOKUP(AH$5,'OC-Days'!$G:$G,'OC-Days'!$B:$B)</f>
        <v>133</v>
      </c>
      <c r="AI14" s="14">
        <f>I14/_xlfn.XLOOKUP(AI$5,'OC-Days'!$G:$G,'OC-Days'!$B:$B)</f>
        <v>133</v>
      </c>
      <c r="AJ14" s="14">
        <f>J14/_xlfn.XLOOKUP(AJ$5,'OC-Days'!$G:$G,'OC-Days'!$B:$B)</f>
        <v>133</v>
      </c>
      <c r="AK14" s="14">
        <f>K14/_xlfn.XLOOKUP(AK$5,'OC-Days'!$G:$G,'OC-Days'!$B:$B)</f>
        <v>133</v>
      </c>
      <c r="AL14" s="14">
        <f>L14/_xlfn.XLOOKUP(AL$5,'OC-Days'!$G:$G,'OC-Days'!$B:$B)</f>
        <v>133</v>
      </c>
      <c r="AM14" s="14">
        <f>M14/_xlfn.XLOOKUP(AM$5,'OC-Days'!$G:$G,'OC-Days'!$B:$B)</f>
        <v>133</v>
      </c>
      <c r="AN14" s="14">
        <f>N14/_xlfn.XLOOKUP(AN$5,'OC-Days'!$G:$G,'OC-Days'!$B:$B)</f>
        <v>133</v>
      </c>
      <c r="AP14" s="14">
        <f>P14/_xlfn.XLOOKUP(AP$5,'OC-Days'!$G:$G,'OC-Days'!$B:$B)</f>
        <v>124</v>
      </c>
      <c r="AQ14" s="14">
        <f>Q14/_xlfn.XLOOKUP(AQ$5,'OC-Days'!$G:$G,'OC-Days'!$B:$B)</f>
        <v>124</v>
      </c>
      <c r="AR14" s="14">
        <f>R14/_xlfn.XLOOKUP(AR$5,'OC-Days'!$G:$G,'OC-Days'!$B:$B)</f>
        <v>124</v>
      </c>
      <c r="AS14" s="14">
        <f>S14/_xlfn.XLOOKUP(AS$5,'OC-Days'!$G:$G,'OC-Days'!$B:$B)</f>
        <v>124</v>
      </c>
      <c r="AT14" s="14">
        <f>T14/_xlfn.XLOOKUP(AT$5,'OC-Days'!$G:$G,'OC-Days'!$B:$B)</f>
        <v>124</v>
      </c>
      <c r="AU14" s="14">
        <f>U14/_xlfn.XLOOKUP(AU$5,'OC-Days'!$G:$G,'OC-Days'!$B:$B)</f>
        <v>124</v>
      </c>
      <c r="AV14" s="14">
        <f>V14/_xlfn.XLOOKUP(AV$5,'OC-Days'!$G:$G,'OC-Days'!$B:$B)</f>
        <v>124</v>
      </c>
      <c r="AW14" s="14">
        <f>W14/_xlfn.XLOOKUP(AW$5,'OC-Days'!$G:$G,'OC-Days'!$B:$B)</f>
        <v>124</v>
      </c>
      <c r="AX14" s="14">
        <f>X14/_xlfn.XLOOKUP(AX$5,'OC-Days'!$G:$G,'OC-Days'!$B:$B)</f>
        <v>124</v>
      </c>
      <c r="AY14" s="14">
        <f>Y14/_xlfn.XLOOKUP(AY$5,'OC-Days'!$G:$G,'OC-Days'!$B:$B)</f>
        <v>124</v>
      </c>
      <c r="AZ14" s="14">
        <f>Z14/_xlfn.XLOOKUP(AZ$5,'OC-Days'!$G:$G,'OC-Days'!$B:$B)</f>
        <v>124</v>
      </c>
      <c r="BA14" s="14">
        <f>AA14/_xlfn.XLOOKUP(BA$5,'OC-Days'!$G:$G,'OC-Days'!$B:$B)</f>
        <v>124</v>
      </c>
      <c r="BC14" s="33">
        <f>_xlfn.XLOOKUP(BC$5,'OC-Days'!$G:$G,'OC-Days'!$F:$F)</f>
        <v>45658</v>
      </c>
      <c r="BD14" s="34" t="str">
        <f>IF(AQ14=AP14,"na",_xlfn.XLOOKUP(BD$5,'OC-Days'!$G:$G,'OC-Days'!$F:$F))</f>
        <v>na</v>
      </c>
      <c r="BE14" s="34" t="str">
        <f>IF(AR14=AQ14,"na",_xlfn.XLOOKUP(BE$5,'OC-Days'!$G:$G,'OC-Days'!$F:$F))</f>
        <v>na</v>
      </c>
      <c r="BF14" s="34" t="str">
        <f>IF(AS14=AR14,"na",_xlfn.XLOOKUP(BF$5,'OC-Days'!$G:$G,'OC-Days'!$F:$F))</f>
        <v>na</v>
      </c>
      <c r="BG14" s="34" t="str">
        <f>IF(AT14=AS14,"na",_xlfn.XLOOKUP(BG$5,'OC-Days'!$G:$G,'OC-Days'!$F:$F))</f>
        <v>na</v>
      </c>
      <c r="BH14" s="34" t="str">
        <f>IF(AU14=AT14,"na",_xlfn.XLOOKUP(BH$5,'OC-Days'!$G:$G,'OC-Days'!$F:$F))</f>
        <v>na</v>
      </c>
      <c r="BI14" s="34" t="str">
        <f>IF(AV14=AU14,"na",_xlfn.XLOOKUP(BI$5,'OC-Days'!$G:$G,'OC-Days'!$F:$F))</f>
        <v>na</v>
      </c>
      <c r="BJ14" s="34" t="str">
        <f>IF(AW14=AV14,"na",_xlfn.XLOOKUP(BJ$5,'OC-Days'!$G:$G,'OC-Days'!$F:$F))</f>
        <v>na</v>
      </c>
      <c r="BK14" s="34" t="str">
        <f>IF(AX14=AW14,"na",_xlfn.XLOOKUP(BK$5,'OC-Days'!$G:$G,'OC-Days'!$F:$F))</f>
        <v>na</v>
      </c>
      <c r="BL14" s="34" t="str">
        <f>IF(AY14=AX14,"na",_xlfn.XLOOKUP(BL$5,'OC-Days'!$G:$G,'OC-Days'!$F:$F))</f>
        <v>na</v>
      </c>
      <c r="BM14" s="34" t="str">
        <f>IF(AZ14=AY14,"na",_xlfn.XLOOKUP(BM$5,'OC-Days'!$G:$G,'OC-Days'!$F:$F))</f>
        <v>na</v>
      </c>
      <c r="BN14" s="34" t="str">
        <f>IF(BA14=AZ14,"na",_xlfn.XLOOKUP(BN$5,'OC-Days'!$G:$G,'OC-Days'!$F:$F))</f>
        <v>na</v>
      </c>
      <c r="BP14" s="36" t="str">
        <f t="shared" si="35"/>
        <v>na</v>
      </c>
      <c r="BQ14" s="36" t="str">
        <f t="shared" si="36"/>
        <v>na</v>
      </c>
      <c r="BR14" s="36" t="str">
        <f t="shared" si="37"/>
        <v>na</v>
      </c>
      <c r="BS14" s="36" t="str">
        <f t="shared" si="38"/>
        <v>na</v>
      </c>
      <c r="BT14" s="36" t="str">
        <f t="shared" si="39"/>
        <v>na</v>
      </c>
      <c r="BU14" s="36" t="str">
        <f t="shared" si="40"/>
        <v>na</v>
      </c>
      <c r="BV14" s="36" t="str">
        <f t="shared" si="41"/>
        <v>na</v>
      </c>
      <c r="BW14" s="36" t="str">
        <f t="shared" si="42"/>
        <v>na</v>
      </c>
      <c r="BX14" s="36" t="str">
        <f t="shared" si="43"/>
        <v>na</v>
      </c>
      <c r="BY14" s="36" t="str">
        <f t="shared" si="44"/>
        <v>na</v>
      </c>
      <c r="BZ14" s="36" t="str">
        <f t="shared" si="45"/>
        <v>na</v>
      </c>
      <c r="CA14" s="43">
        <f t="shared" si="46"/>
        <v>46022</v>
      </c>
      <c r="CC14" s="8">
        <f>COUNT($BC14:BC14)</f>
        <v>1</v>
      </c>
      <c r="CD14" s="8">
        <f>COUNT($BC14:BD14)</f>
        <v>1</v>
      </c>
      <c r="CE14" s="8">
        <f>COUNT($BC14:BE14)</f>
        <v>1</v>
      </c>
      <c r="CF14" s="8">
        <f>COUNT($BC14:BF14)</f>
        <v>1</v>
      </c>
      <c r="CG14" s="8">
        <f>COUNT($BC14:BG14)</f>
        <v>1</v>
      </c>
      <c r="CH14" s="8">
        <f>COUNT($BC14:BH14)</f>
        <v>1</v>
      </c>
      <c r="CI14" s="8">
        <f>COUNT($BC14:BI14)</f>
        <v>1</v>
      </c>
      <c r="CJ14" s="8">
        <f>COUNT($BC14:BJ14)</f>
        <v>1</v>
      </c>
      <c r="CK14" s="8">
        <f>COUNT($BC14:BK14)</f>
        <v>1</v>
      </c>
      <c r="CL14" s="8">
        <f>COUNT($BC14:BL14)</f>
        <v>1</v>
      </c>
      <c r="CM14" s="8">
        <f>COUNT($BC14:BM14)</f>
        <v>1</v>
      </c>
      <c r="CN14" s="8">
        <f>COUNT($BC14:BN14)</f>
        <v>1</v>
      </c>
      <c r="CO14" s="8"/>
      <c r="CP14" s="8">
        <f>COUNT($BP14:BP14)</f>
        <v>0</v>
      </c>
      <c r="CQ14" s="8">
        <f>COUNT($BP14:BQ14)</f>
        <v>0</v>
      </c>
      <c r="CR14" s="8">
        <f>COUNT($BP14:BR14)</f>
        <v>0</v>
      </c>
      <c r="CS14" s="8">
        <f>COUNT($BP14:BS14)</f>
        <v>0</v>
      </c>
      <c r="CT14" s="8">
        <f>COUNT($BP14:BT14)</f>
        <v>0</v>
      </c>
      <c r="CU14" s="8">
        <f>COUNT($BP14:BU14)</f>
        <v>0</v>
      </c>
      <c r="CV14" s="8">
        <f>COUNT($BP14:BV14)</f>
        <v>0</v>
      </c>
      <c r="CW14" s="8">
        <f>COUNT($BP14:BW14)</f>
        <v>0</v>
      </c>
      <c r="CX14" s="8">
        <f>COUNT($BP14:BX14)</f>
        <v>0</v>
      </c>
      <c r="CY14" s="8">
        <f>COUNT($BP14:BY14)</f>
        <v>0</v>
      </c>
      <c r="CZ14" s="8">
        <f>COUNT($BP14:BZ14)</f>
        <v>0</v>
      </c>
      <c r="DA14" s="8">
        <f>COUNT($BP14:CA14)</f>
        <v>1</v>
      </c>
      <c r="DC14">
        <f t="shared" si="47"/>
        <v>100</v>
      </c>
      <c r="DD14">
        <f t="shared" si="48"/>
        <v>51</v>
      </c>
      <c r="DE14" t="str">
        <f t="shared" si="49"/>
        <v>100-51</v>
      </c>
      <c r="DG14">
        <f t="shared" si="50"/>
        <v>1</v>
      </c>
      <c r="DH14">
        <f t="shared" si="51"/>
        <v>1</v>
      </c>
      <c r="DJ14" s="44" cm="1">
        <f t="array" ref="DJ14">IF(DJ$5&lt;=$DG14,INDEX($BC14:$BN14,1,_xlfn.XMATCH(DJ$5,$CC14:$CN14)),"na")</f>
        <v>45658</v>
      </c>
      <c r="DK14" s="45" cm="1">
        <f t="array" ref="DK14">IF(DK$5&lt;=$DH14,INDEX($BP14:$CA14,1,_xlfn.XMATCH(DK$5,$CP14:$DA14)),"na")</f>
        <v>46022</v>
      </c>
      <c r="DL14" s="46" cm="1">
        <f t="array" ref="DL14">IF(DL$5&lt;=$DG14,INDEX($AC14:$AN14,1,_xlfn.XMATCH(DL$5,$CC14:$CN14)),"na")</f>
        <v>133</v>
      </c>
      <c r="DM14" s="47" cm="1">
        <f t="array" ref="DM14">IF(DM$5&lt;=$DG14,INDEX($AP14:$BA14,1,_xlfn.XMATCH(DM$5,$CC14:$CN14)),"na")</f>
        <v>124</v>
      </c>
      <c r="DN14" s="44" t="str" cm="1">
        <f t="array" ref="DN14">IF(DN$5&lt;=$DG14,INDEX($BC14:$BN14,1,_xlfn.XMATCH(DN$5,$CC14:$CN14)),"na")</f>
        <v>na</v>
      </c>
      <c r="DO14" s="45" t="str" cm="1">
        <f t="array" ref="DO14">IF(DO$5&lt;=$DH14,INDEX($BP14:$CA14,1,_xlfn.XMATCH(DO$5,$CP14:$DA14)),"na")</f>
        <v>na</v>
      </c>
      <c r="DP14" s="46" t="str" cm="1">
        <f t="array" ref="DP14">IF(DP$5&lt;=$DG14,INDEX($AC14:$AN14,1,_xlfn.XMATCH(DP$5,$CC14:$CN14)),"na")</f>
        <v>na</v>
      </c>
      <c r="DQ14" s="47" t="str" cm="1">
        <f t="array" ref="DQ14">IF(DQ$5&lt;=$DG14,INDEX($AP14:$BA14,1,_xlfn.XMATCH(DQ$5,$CC14:$CN14)),"na")</f>
        <v>na</v>
      </c>
      <c r="DR14" s="44" t="str" cm="1">
        <f t="array" ref="DR14">IF(DR$5&lt;=$DG14,INDEX($BC14:$BN14,1,_xlfn.XMATCH(DR$5,$CC14:$CN14)),"na")</f>
        <v>na</v>
      </c>
      <c r="DS14" s="45" t="str" cm="1">
        <f t="array" ref="DS14">IF(DS$5&lt;=$DH14,INDEX($BP14:$CA14,1,_xlfn.XMATCH(DS$5,$CP14:$DA14)),"na")</f>
        <v>na</v>
      </c>
      <c r="DT14" s="46" t="str" cm="1">
        <f t="array" ref="DT14">IF(DT$5&lt;=$DG14,INDEX($AC14:$AN14,1,_xlfn.XMATCH(DT$5,$CC14:$CN14)),"na")</f>
        <v>na</v>
      </c>
      <c r="DU14" s="47" t="str" cm="1">
        <f t="array" ref="DU14">IF(DU$5&lt;=$DG14,INDEX($AP14:$BA14,1,_xlfn.XMATCH(DU$5,$CC14:$CN14)),"na")</f>
        <v>na</v>
      </c>
      <c r="DV14" s="44" t="str" cm="1">
        <f t="array" ref="DV14">IF(DV$5&lt;=$DG14,INDEX($BC14:$BN14,1,_xlfn.XMATCH(DV$5,$CC14:$CN14)),"na")</f>
        <v>na</v>
      </c>
      <c r="DW14" s="45" t="str" cm="1">
        <f t="array" ref="DW14">IF(DW$5&lt;=$DH14,INDEX($BP14:$CA14,1,_xlfn.XMATCH(DW$5,$CP14:$DA14)),"na")</f>
        <v>na</v>
      </c>
      <c r="DX14" s="46" t="str" cm="1">
        <f t="array" ref="DX14">IF(DX$5&lt;=$DG14,INDEX($AC14:$AN14,1,_xlfn.XMATCH(DX$5,$CC14:$CN14)),"na")</f>
        <v>na</v>
      </c>
      <c r="DY14" s="47" t="str" cm="1">
        <f t="array" ref="DY14">IF(DY$5&lt;=$DG14,INDEX($AP14:$BA14,1,_xlfn.XMATCH(DY$5,$CC14:$CN14)),"na")</f>
        <v>na</v>
      </c>
      <c r="DZ14" s="44" t="str" cm="1">
        <f t="array" ref="DZ14">IF(DZ$5&lt;=$DG14,INDEX($BC14:$BN14,1,_xlfn.XMATCH(DZ$5,$CC14:$CN14)),"na")</f>
        <v>na</v>
      </c>
      <c r="EA14" s="45" t="str" cm="1">
        <f t="array" ref="EA14">IF(EA$5&lt;=$DH14,INDEX($BP14:$CA14,1,_xlfn.XMATCH(EA$5,$CP14:$DA14)),"na")</f>
        <v>na</v>
      </c>
      <c r="EB14" s="46" t="str" cm="1">
        <f t="array" ref="EB14">IF(EB$5&lt;=$DG14,INDEX($AC14:$AN14,1,_xlfn.XMATCH(EB$5,$CC14:$CN14)),"na")</f>
        <v>na</v>
      </c>
      <c r="EC14" s="47" t="str" cm="1">
        <f t="array" ref="EC14">IF(EC$5&lt;=$DG14,INDEX($AP14:$BA14,1,_xlfn.XMATCH(EC$5,$CC14:$CN14)),"na")</f>
        <v>na</v>
      </c>
      <c r="ED14" s="44" t="str" cm="1">
        <f t="array" ref="ED14">IF(ED$5&lt;=$DG14,INDEX($BC14:$BN14,1,_xlfn.XMATCH(ED$5,$CC14:$CN14)),"na")</f>
        <v>na</v>
      </c>
      <c r="EE14" s="45" t="str" cm="1">
        <f t="array" ref="EE14">IF(EE$5&lt;=$DH14,INDEX($BP14:$CA14,1,_xlfn.XMATCH(EE$5,$CP14:$DA14)),"na")</f>
        <v>na</v>
      </c>
      <c r="EF14" s="46" t="str" cm="1">
        <f t="array" ref="EF14">IF(EF$5&lt;=$DG14,INDEX($AC14:$AN14,1,_xlfn.XMATCH(EF$5,$CC14:$CN14)),"na")</f>
        <v>na</v>
      </c>
      <c r="EG14" s="47" t="str" cm="1">
        <f t="array" ref="EG14">IF(EG$5&lt;=$DG14,INDEX($AP14:$BA14,1,_xlfn.XMATCH(EG$5,$CC14:$CN14)),"na")</f>
        <v>na</v>
      </c>
      <c r="EH14" s="44" t="str" cm="1">
        <f t="array" ref="EH14">IF(EH$5&lt;=$DG14,INDEX($BC14:$BN14,1,_xlfn.XMATCH(EH$5,$CC14:$CN14)),"na")</f>
        <v>na</v>
      </c>
      <c r="EI14" s="45" t="str" cm="1">
        <f t="array" ref="EI14">IF(EI$5&lt;=$DH14,INDEX($BP14:$CA14,1,_xlfn.XMATCH(EI$5,$CP14:$DA14)),"na")</f>
        <v>na</v>
      </c>
      <c r="EJ14" s="46" t="str" cm="1">
        <f t="array" ref="EJ14">IF(EJ$5&lt;=$DG14,INDEX($AC14:$AN14,1,_xlfn.XMATCH(EJ$5,$CC14:$CN14)),"na")</f>
        <v>na</v>
      </c>
      <c r="EK14" s="47" t="str" cm="1">
        <f t="array" ref="EK14">IF(EK$5&lt;=$DG14,INDEX($AP14:$BA14,1,_xlfn.XMATCH(EK$5,$CC14:$CN14)),"na")</f>
        <v>na</v>
      </c>
      <c r="EL14" s="44" t="str" cm="1">
        <f t="array" ref="EL14">IF(EL$5&lt;=$DG14,INDEX($BC14:$BN14,1,_xlfn.XMATCH(EL$5,$CC14:$CN14)),"na")</f>
        <v>na</v>
      </c>
      <c r="EM14" s="45" t="str" cm="1">
        <f t="array" ref="EM14">IF(EM$5&lt;=$DH14,INDEX($BP14:$CA14,1,_xlfn.XMATCH(EM$5,$CP14:$DA14)),"na")</f>
        <v>na</v>
      </c>
      <c r="EN14" s="46" t="str" cm="1">
        <f t="array" ref="EN14">IF(EN$5&lt;=$DG14,INDEX($AC14:$AN14,1,_xlfn.XMATCH(EN$5,$CC14:$CN14)),"na")</f>
        <v>na</v>
      </c>
      <c r="EO14" s="47" t="str" cm="1">
        <f t="array" ref="EO14">IF(EO$5&lt;=$DG14,INDEX($AP14:$BA14,1,_xlfn.XMATCH(EO$5,$CC14:$CN14)),"na")</f>
        <v>na</v>
      </c>
      <c r="EP14" s="44" t="str" cm="1">
        <f t="array" ref="EP14">IF(EP$5&lt;=$DG14,INDEX($BC14:$BN14,1,_xlfn.XMATCH(EP$5,$CC14:$CN14)),"na")</f>
        <v>na</v>
      </c>
      <c r="EQ14" s="45" t="str" cm="1">
        <f t="array" ref="EQ14">IF(EQ$5&lt;=$DH14,INDEX($BP14:$CA14,1,_xlfn.XMATCH(EQ$5,$CP14:$DA14)),"na")</f>
        <v>na</v>
      </c>
      <c r="ER14" s="46" t="str" cm="1">
        <f t="array" ref="ER14">IF(ER$5&lt;=$DG14,INDEX($AC14:$AN14,1,_xlfn.XMATCH(ER$5,$CC14:$CN14)),"na")</f>
        <v>na</v>
      </c>
      <c r="ES14" s="47" t="str" cm="1">
        <f t="array" ref="ES14">IF(ES$5&lt;=$DG14,INDEX($AP14:$BA14,1,_xlfn.XMATCH(ES$5,$CC14:$CN14)),"na")</f>
        <v>na</v>
      </c>
      <c r="ET14" s="44" t="str" cm="1">
        <f t="array" ref="ET14">IF(ET$5&lt;=$DG14,INDEX($BC14:$BN14,1,_xlfn.XMATCH(ET$5,$CC14:$CN14)),"na")</f>
        <v>na</v>
      </c>
      <c r="EU14" s="45" t="str" cm="1">
        <f t="array" ref="EU14">IF(EU$5&lt;=$DH14,INDEX($BP14:$CA14,1,_xlfn.XMATCH(EU$5,$CP14:$DA14)),"na")</f>
        <v>na</v>
      </c>
      <c r="EV14" s="46" t="str" cm="1">
        <f t="array" ref="EV14">IF(EV$5&lt;=$DG14,INDEX($AC14:$AN14,1,_xlfn.XMATCH(EV$5,$CC14:$CN14)),"na")</f>
        <v>na</v>
      </c>
      <c r="EW14" s="47" t="str" cm="1">
        <f t="array" ref="EW14">IF(EW$5&lt;=$DG14,INDEX($AP14:$BA14,1,_xlfn.XMATCH(EW$5,$CC14:$CN14)),"na")</f>
        <v>na</v>
      </c>
      <c r="EX14" s="44" t="str" cm="1">
        <f t="array" ref="EX14">IF(EX$5&lt;=$DG14,INDEX($BC14:$BN14,1,_xlfn.XMATCH(EX$5,$CC14:$CN14)),"na")</f>
        <v>na</v>
      </c>
      <c r="EY14" s="45" t="str" cm="1">
        <f t="array" ref="EY14">IF(EY$5&lt;=$DH14,INDEX($BP14:$CA14,1,_xlfn.XMATCH(EY$5,$CP14:$DA14)),"na")</f>
        <v>na</v>
      </c>
      <c r="EZ14" s="46" t="str" cm="1">
        <f t="array" ref="EZ14">IF(EZ$5&lt;=$DG14,INDEX($AC14:$AN14,1,_xlfn.XMATCH(EZ$5,$CC14:$CN14)),"na")</f>
        <v>na</v>
      </c>
      <c r="FA14" s="47" t="str" cm="1">
        <f t="array" ref="FA14">IF(FA$5&lt;=$DG14,INDEX($AP14:$BA14,1,_xlfn.XMATCH(FA$5,$CC14:$CN14)),"na")</f>
        <v>na</v>
      </c>
      <c r="FB14" s="44" t="str" cm="1">
        <f t="array" ref="FB14">IF(FB$5&lt;=$DG14,INDEX($BC14:$BN14,1,_xlfn.XMATCH(FB$5,$CC14:$CN14)),"na")</f>
        <v>na</v>
      </c>
      <c r="FC14" s="45" t="str" cm="1">
        <f t="array" ref="FC14">IF(FC$5&lt;=$DH14,INDEX($BP14:$CA14,1,_xlfn.XMATCH(FC$5,$CP14:$DA14)),"na")</f>
        <v>na</v>
      </c>
      <c r="FD14" s="46" t="str" cm="1">
        <f t="array" ref="FD14">IF(FD$5&lt;=$DG14,INDEX($AC14:$AN14,1,_xlfn.XMATCH(FD$5,$CC14:$CN14)),"na")</f>
        <v>na</v>
      </c>
      <c r="FE14" s="47" t="str" cm="1">
        <f t="array" ref="FE14">IF(FE$5&lt;=$DG14,INDEX($AP14:$BA14,1,_xlfn.XMATCH(FE$5,$CC14:$CN14)),"na")</f>
        <v>na</v>
      </c>
    </row>
    <row r="15" spans="2:161" x14ac:dyDescent="0.25">
      <c r="B15" s="10" t="s">
        <v>76</v>
      </c>
      <c r="C15" s="8">
        <v>4309</v>
      </c>
      <c r="D15" s="8">
        <v>3892</v>
      </c>
      <c r="E15" s="8">
        <v>4309</v>
      </c>
      <c r="F15" s="8">
        <v>4170</v>
      </c>
      <c r="G15" s="8">
        <v>4309</v>
      </c>
      <c r="H15" s="8">
        <v>4170</v>
      </c>
      <c r="I15" s="8">
        <v>4309</v>
      </c>
      <c r="J15" s="8">
        <v>4309</v>
      </c>
      <c r="K15" s="8">
        <v>4170</v>
      </c>
      <c r="L15" s="8">
        <v>4309</v>
      </c>
      <c r="M15" s="8">
        <v>4170</v>
      </c>
      <c r="N15" s="8">
        <v>4309</v>
      </c>
      <c r="O15" s="8"/>
      <c r="P15" s="8">
        <v>4123</v>
      </c>
      <c r="Q15" s="8">
        <v>3724</v>
      </c>
      <c r="R15" s="8">
        <v>4123</v>
      </c>
      <c r="S15" s="8">
        <v>3990</v>
      </c>
      <c r="T15" s="8">
        <v>4123</v>
      </c>
      <c r="U15" s="8">
        <v>3990</v>
      </c>
      <c r="V15" s="8">
        <v>4123</v>
      </c>
      <c r="W15" s="8">
        <v>4123</v>
      </c>
      <c r="X15" s="8">
        <v>3990</v>
      </c>
      <c r="Y15" s="8">
        <v>4123</v>
      </c>
      <c r="Z15" s="8">
        <v>3990</v>
      </c>
      <c r="AA15" s="8">
        <v>4123</v>
      </c>
      <c r="AC15" s="14">
        <f>C15/_xlfn.XLOOKUP(AC$5,'OC-Days'!$G:$G,'OC-Days'!$B:$B)</f>
        <v>139</v>
      </c>
      <c r="AD15" s="14">
        <f>D15/_xlfn.XLOOKUP(AD$5,'OC-Days'!$G:$G,'OC-Days'!$B:$B)</f>
        <v>139</v>
      </c>
      <c r="AE15" s="14">
        <f>E15/_xlfn.XLOOKUP(AE$5,'OC-Days'!$G:$G,'OC-Days'!$B:$B)</f>
        <v>139</v>
      </c>
      <c r="AF15" s="14">
        <f>F15/_xlfn.XLOOKUP(AF$5,'OC-Days'!$G:$G,'OC-Days'!$B:$B)</f>
        <v>139</v>
      </c>
      <c r="AG15" s="14">
        <f>G15/_xlfn.XLOOKUP(AG$5,'OC-Days'!$G:$G,'OC-Days'!$B:$B)</f>
        <v>139</v>
      </c>
      <c r="AH15" s="14">
        <f>H15/_xlfn.XLOOKUP(AH$5,'OC-Days'!$G:$G,'OC-Days'!$B:$B)</f>
        <v>139</v>
      </c>
      <c r="AI15" s="14">
        <f>I15/_xlfn.XLOOKUP(AI$5,'OC-Days'!$G:$G,'OC-Days'!$B:$B)</f>
        <v>139</v>
      </c>
      <c r="AJ15" s="14">
        <f>J15/_xlfn.XLOOKUP(AJ$5,'OC-Days'!$G:$G,'OC-Days'!$B:$B)</f>
        <v>139</v>
      </c>
      <c r="AK15" s="14">
        <f>K15/_xlfn.XLOOKUP(AK$5,'OC-Days'!$G:$G,'OC-Days'!$B:$B)</f>
        <v>139</v>
      </c>
      <c r="AL15" s="14">
        <f>L15/_xlfn.XLOOKUP(AL$5,'OC-Days'!$G:$G,'OC-Days'!$B:$B)</f>
        <v>139</v>
      </c>
      <c r="AM15" s="14">
        <f>M15/_xlfn.XLOOKUP(AM$5,'OC-Days'!$G:$G,'OC-Days'!$B:$B)</f>
        <v>139</v>
      </c>
      <c r="AN15" s="14">
        <f>N15/_xlfn.XLOOKUP(AN$5,'OC-Days'!$G:$G,'OC-Days'!$B:$B)</f>
        <v>139</v>
      </c>
      <c r="AP15" s="14">
        <f>P15/_xlfn.XLOOKUP(AP$5,'OC-Days'!$G:$G,'OC-Days'!$B:$B)</f>
        <v>133</v>
      </c>
      <c r="AQ15" s="14">
        <f>Q15/_xlfn.XLOOKUP(AQ$5,'OC-Days'!$G:$G,'OC-Days'!$B:$B)</f>
        <v>133</v>
      </c>
      <c r="AR15" s="14">
        <f>R15/_xlfn.XLOOKUP(AR$5,'OC-Days'!$G:$G,'OC-Days'!$B:$B)</f>
        <v>133</v>
      </c>
      <c r="AS15" s="14">
        <f>S15/_xlfn.XLOOKUP(AS$5,'OC-Days'!$G:$G,'OC-Days'!$B:$B)</f>
        <v>133</v>
      </c>
      <c r="AT15" s="14">
        <f>T15/_xlfn.XLOOKUP(AT$5,'OC-Days'!$G:$G,'OC-Days'!$B:$B)</f>
        <v>133</v>
      </c>
      <c r="AU15" s="14">
        <f>U15/_xlfn.XLOOKUP(AU$5,'OC-Days'!$G:$G,'OC-Days'!$B:$B)</f>
        <v>133</v>
      </c>
      <c r="AV15" s="14">
        <f>V15/_xlfn.XLOOKUP(AV$5,'OC-Days'!$G:$G,'OC-Days'!$B:$B)</f>
        <v>133</v>
      </c>
      <c r="AW15" s="14">
        <f>W15/_xlfn.XLOOKUP(AW$5,'OC-Days'!$G:$G,'OC-Days'!$B:$B)</f>
        <v>133</v>
      </c>
      <c r="AX15" s="14">
        <f>X15/_xlfn.XLOOKUP(AX$5,'OC-Days'!$G:$G,'OC-Days'!$B:$B)</f>
        <v>133</v>
      </c>
      <c r="AY15" s="14">
        <f>Y15/_xlfn.XLOOKUP(AY$5,'OC-Days'!$G:$G,'OC-Days'!$B:$B)</f>
        <v>133</v>
      </c>
      <c r="AZ15" s="14">
        <f>Z15/_xlfn.XLOOKUP(AZ$5,'OC-Days'!$G:$G,'OC-Days'!$B:$B)</f>
        <v>133</v>
      </c>
      <c r="BA15" s="14">
        <f>AA15/_xlfn.XLOOKUP(BA$5,'OC-Days'!$G:$G,'OC-Days'!$B:$B)</f>
        <v>133</v>
      </c>
      <c r="BC15" s="33">
        <f>_xlfn.XLOOKUP(BC$5,'OC-Days'!$G:$G,'OC-Days'!$F:$F)</f>
        <v>45658</v>
      </c>
      <c r="BD15" s="34" t="str">
        <f>IF(AQ15=AP15,"na",_xlfn.XLOOKUP(BD$5,'OC-Days'!$G:$G,'OC-Days'!$F:$F))</f>
        <v>na</v>
      </c>
      <c r="BE15" s="34" t="str">
        <f>IF(AR15=AQ15,"na",_xlfn.XLOOKUP(BE$5,'OC-Days'!$G:$G,'OC-Days'!$F:$F))</f>
        <v>na</v>
      </c>
      <c r="BF15" s="34" t="str">
        <f>IF(AS15=AR15,"na",_xlfn.XLOOKUP(BF$5,'OC-Days'!$G:$G,'OC-Days'!$F:$F))</f>
        <v>na</v>
      </c>
      <c r="BG15" s="34" t="str">
        <f>IF(AT15=AS15,"na",_xlfn.XLOOKUP(BG$5,'OC-Days'!$G:$G,'OC-Days'!$F:$F))</f>
        <v>na</v>
      </c>
      <c r="BH15" s="34" t="str">
        <f>IF(AU15=AT15,"na",_xlfn.XLOOKUP(BH$5,'OC-Days'!$G:$G,'OC-Days'!$F:$F))</f>
        <v>na</v>
      </c>
      <c r="BI15" s="34" t="str">
        <f>IF(AV15=AU15,"na",_xlfn.XLOOKUP(BI$5,'OC-Days'!$G:$G,'OC-Days'!$F:$F))</f>
        <v>na</v>
      </c>
      <c r="BJ15" s="34" t="str">
        <f>IF(AW15=AV15,"na",_xlfn.XLOOKUP(BJ$5,'OC-Days'!$G:$G,'OC-Days'!$F:$F))</f>
        <v>na</v>
      </c>
      <c r="BK15" s="34" t="str">
        <f>IF(AX15=AW15,"na",_xlfn.XLOOKUP(BK$5,'OC-Days'!$G:$G,'OC-Days'!$F:$F))</f>
        <v>na</v>
      </c>
      <c r="BL15" s="34" t="str">
        <f>IF(AY15=AX15,"na",_xlfn.XLOOKUP(BL$5,'OC-Days'!$G:$G,'OC-Days'!$F:$F))</f>
        <v>na</v>
      </c>
      <c r="BM15" s="34" t="str">
        <f>IF(AZ15=AY15,"na",_xlfn.XLOOKUP(BM$5,'OC-Days'!$G:$G,'OC-Days'!$F:$F))</f>
        <v>na</v>
      </c>
      <c r="BN15" s="34" t="str">
        <f>IF(BA15=AZ15,"na",_xlfn.XLOOKUP(BN$5,'OC-Days'!$G:$G,'OC-Days'!$F:$F))</f>
        <v>na</v>
      </c>
      <c r="BP15" s="36" t="str">
        <f t="shared" si="35"/>
        <v>na</v>
      </c>
      <c r="BQ15" s="36" t="str">
        <f t="shared" si="36"/>
        <v>na</v>
      </c>
      <c r="BR15" s="36" t="str">
        <f t="shared" si="37"/>
        <v>na</v>
      </c>
      <c r="BS15" s="36" t="str">
        <f t="shared" si="38"/>
        <v>na</v>
      </c>
      <c r="BT15" s="36" t="str">
        <f t="shared" si="39"/>
        <v>na</v>
      </c>
      <c r="BU15" s="36" t="str">
        <f t="shared" si="40"/>
        <v>na</v>
      </c>
      <c r="BV15" s="36" t="str">
        <f t="shared" si="41"/>
        <v>na</v>
      </c>
      <c r="BW15" s="36" t="str">
        <f t="shared" si="42"/>
        <v>na</v>
      </c>
      <c r="BX15" s="36" t="str">
        <f t="shared" si="43"/>
        <v>na</v>
      </c>
      <c r="BY15" s="36" t="str">
        <f t="shared" si="44"/>
        <v>na</v>
      </c>
      <c r="BZ15" s="36" t="str">
        <f t="shared" si="45"/>
        <v>na</v>
      </c>
      <c r="CA15" s="43">
        <f t="shared" si="46"/>
        <v>46022</v>
      </c>
      <c r="CC15" s="8">
        <f>COUNT($BC15:BC15)</f>
        <v>1</v>
      </c>
      <c r="CD15" s="8">
        <f>COUNT($BC15:BD15)</f>
        <v>1</v>
      </c>
      <c r="CE15" s="8">
        <f>COUNT($BC15:BE15)</f>
        <v>1</v>
      </c>
      <c r="CF15" s="8">
        <f>COUNT($BC15:BF15)</f>
        <v>1</v>
      </c>
      <c r="CG15" s="8">
        <f>COUNT($BC15:BG15)</f>
        <v>1</v>
      </c>
      <c r="CH15" s="8">
        <f>COUNT($BC15:BH15)</f>
        <v>1</v>
      </c>
      <c r="CI15" s="8">
        <f>COUNT($BC15:BI15)</f>
        <v>1</v>
      </c>
      <c r="CJ15" s="8">
        <f>COUNT($BC15:BJ15)</f>
        <v>1</v>
      </c>
      <c r="CK15" s="8">
        <f>COUNT($BC15:BK15)</f>
        <v>1</v>
      </c>
      <c r="CL15" s="8">
        <f>COUNT($BC15:BL15)</f>
        <v>1</v>
      </c>
      <c r="CM15" s="8">
        <f>COUNT($BC15:BM15)</f>
        <v>1</v>
      </c>
      <c r="CN15" s="8">
        <f>COUNT($BC15:BN15)</f>
        <v>1</v>
      </c>
      <c r="CO15" s="8"/>
      <c r="CP15" s="8">
        <f>COUNT($BP15:BP15)</f>
        <v>0</v>
      </c>
      <c r="CQ15" s="8">
        <f>COUNT($BP15:BQ15)</f>
        <v>0</v>
      </c>
      <c r="CR15" s="8">
        <f>COUNT($BP15:BR15)</f>
        <v>0</v>
      </c>
      <c r="CS15" s="8">
        <f>COUNT($BP15:BS15)</f>
        <v>0</v>
      </c>
      <c r="CT15" s="8">
        <f>COUNT($BP15:BT15)</f>
        <v>0</v>
      </c>
      <c r="CU15" s="8">
        <f>COUNT($BP15:BU15)</f>
        <v>0</v>
      </c>
      <c r="CV15" s="8">
        <f>COUNT($BP15:BV15)</f>
        <v>0</v>
      </c>
      <c r="CW15" s="8">
        <f>COUNT($BP15:BW15)</f>
        <v>0</v>
      </c>
      <c r="CX15" s="8">
        <f>COUNT($BP15:BX15)</f>
        <v>0</v>
      </c>
      <c r="CY15" s="8">
        <f>COUNT($BP15:BY15)</f>
        <v>0</v>
      </c>
      <c r="CZ15" s="8">
        <f>COUNT($BP15:BZ15)</f>
        <v>0</v>
      </c>
      <c r="DA15" s="8">
        <f>COUNT($BP15:CA15)</f>
        <v>1</v>
      </c>
      <c r="DC15">
        <f t="shared" si="47"/>
        <v>100</v>
      </c>
      <c r="DD15">
        <f t="shared" si="48"/>
        <v>61</v>
      </c>
      <c r="DE15" t="str">
        <f t="shared" si="49"/>
        <v>100-61</v>
      </c>
      <c r="DG15">
        <f t="shared" si="50"/>
        <v>1</v>
      </c>
      <c r="DH15">
        <f t="shared" si="51"/>
        <v>1</v>
      </c>
      <c r="DJ15" s="44" cm="1">
        <f t="array" ref="DJ15">IF(DJ$5&lt;=$DG15,INDEX($BC15:$BN15,1,_xlfn.XMATCH(DJ$5,$CC15:$CN15)),"na")</f>
        <v>45658</v>
      </c>
      <c r="DK15" s="45" cm="1">
        <f t="array" ref="DK15">IF(DK$5&lt;=$DH15,INDEX($BP15:$CA15,1,_xlfn.XMATCH(DK$5,$CP15:$DA15)),"na")</f>
        <v>46022</v>
      </c>
      <c r="DL15" s="46" cm="1">
        <f t="array" ref="DL15">IF(DL$5&lt;=$DG15,INDEX($AC15:$AN15,1,_xlfn.XMATCH(DL$5,$CC15:$CN15)),"na")</f>
        <v>139</v>
      </c>
      <c r="DM15" s="47" cm="1">
        <f t="array" ref="DM15">IF(DM$5&lt;=$DG15,INDEX($AP15:$BA15,1,_xlfn.XMATCH(DM$5,$CC15:$CN15)),"na")</f>
        <v>133</v>
      </c>
      <c r="DN15" s="44" t="str" cm="1">
        <f t="array" ref="DN15">IF(DN$5&lt;=$DG15,INDEX($BC15:$BN15,1,_xlfn.XMATCH(DN$5,$CC15:$CN15)),"na")</f>
        <v>na</v>
      </c>
      <c r="DO15" s="45" t="str" cm="1">
        <f t="array" ref="DO15">IF(DO$5&lt;=$DH15,INDEX($BP15:$CA15,1,_xlfn.XMATCH(DO$5,$CP15:$DA15)),"na")</f>
        <v>na</v>
      </c>
      <c r="DP15" s="46" t="str" cm="1">
        <f t="array" ref="DP15">IF(DP$5&lt;=$DG15,INDEX($AC15:$AN15,1,_xlfn.XMATCH(DP$5,$CC15:$CN15)),"na")</f>
        <v>na</v>
      </c>
      <c r="DQ15" s="47" t="str" cm="1">
        <f t="array" ref="DQ15">IF(DQ$5&lt;=$DG15,INDEX($AP15:$BA15,1,_xlfn.XMATCH(DQ$5,$CC15:$CN15)),"na")</f>
        <v>na</v>
      </c>
      <c r="DR15" s="44" t="str" cm="1">
        <f t="array" ref="DR15">IF(DR$5&lt;=$DG15,INDEX($BC15:$BN15,1,_xlfn.XMATCH(DR$5,$CC15:$CN15)),"na")</f>
        <v>na</v>
      </c>
      <c r="DS15" s="45" t="str" cm="1">
        <f t="array" ref="DS15">IF(DS$5&lt;=$DH15,INDEX($BP15:$CA15,1,_xlfn.XMATCH(DS$5,$CP15:$DA15)),"na")</f>
        <v>na</v>
      </c>
      <c r="DT15" s="46" t="str" cm="1">
        <f t="array" ref="DT15">IF(DT$5&lt;=$DG15,INDEX($AC15:$AN15,1,_xlfn.XMATCH(DT$5,$CC15:$CN15)),"na")</f>
        <v>na</v>
      </c>
      <c r="DU15" s="47" t="str" cm="1">
        <f t="array" ref="DU15">IF(DU$5&lt;=$DG15,INDEX($AP15:$BA15,1,_xlfn.XMATCH(DU$5,$CC15:$CN15)),"na")</f>
        <v>na</v>
      </c>
      <c r="DV15" s="44" t="str" cm="1">
        <f t="array" ref="DV15">IF(DV$5&lt;=$DG15,INDEX($BC15:$BN15,1,_xlfn.XMATCH(DV$5,$CC15:$CN15)),"na")</f>
        <v>na</v>
      </c>
      <c r="DW15" s="45" t="str" cm="1">
        <f t="array" ref="DW15">IF(DW$5&lt;=$DH15,INDEX($BP15:$CA15,1,_xlfn.XMATCH(DW$5,$CP15:$DA15)),"na")</f>
        <v>na</v>
      </c>
      <c r="DX15" s="46" t="str" cm="1">
        <f t="array" ref="DX15">IF(DX$5&lt;=$DG15,INDEX($AC15:$AN15,1,_xlfn.XMATCH(DX$5,$CC15:$CN15)),"na")</f>
        <v>na</v>
      </c>
      <c r="DY15" s="47" t="str" cm="1">
        <f t="array" ref="DY15">IF(DY$5&lt;=$DG15,INDEX($AP15:$BA15,1,_xlfn.XMATCH(DY$5,$CC15:$CN15)),"na")</f>
        <v>na</v>
      </c>
      <c r="DZ15" s="44" t="str" cm="1">
        <f t="array" ref="DZ15">IF(DZ$5&lt;=$DG15,INDEX($BC15:$BN15,1,_xlfn.XMATCH(DZ$5,$CC15:$CN15)),"na")</f>
        <v>na</v>
      </c>
      <c r="EA15" s="45" t="str" cm="1">
        <f t="array" ref="EA15">IF(EA$5&lt;=$DH15,INDEX($BP15:$CA15,1,_xlfn.XMATCH(EA$5,$CP15:$DA15)),"na")</f>
        <v>na</v>
      </c>
      <c r="EB15" s="46" t="str" cm="1">
        <f t="array" ref="EB15">IF(EB$5&lt;=$DG15,INDEX($AC15:$AN15,1,_xlfn.XMATCH(EB$5,$CC15:$CN15)),"na")</f>
        <v>na</v>
      </c>
      <c r="EC15" s="47" t="str" cm="1">
        <f t="array" ref="EC15">IF(EC$5&lt;=$DG15,INDEX($AP15:$BA15,1,_xlfn.XMATCH(EC$5,$CC15:$CN15)),"na")</f>
        <v>na</v>
      </c>
      <c r="ED15" s="44" t="str" cm="1">
        <f t="array" ref="ED15">IF(ED$5&lt;=$DG15,INDEX($BC15:$BN15,1,_xlfn.XMATCH(ED$5,$CC15:$CN15)),"na")</f>
        <v>na</v>
      </c>
      <c r="EE15" s="45" t="str" cm="1">
        <f t="array" ref="EE15">IF(EE$5&lt;=$DH15,INDEX($BP15:$CA15,1,_xlfn.XMATCH(EE$5,$CP15:$DA15)),"na")</f>
        <v>na</v>
      </c>
      <c r="EF15" s="46" t="str" cm="1">
        <f t="array" ref="EF15">IF(EF$5&lt;=$DG15,INDEX($AC15:$AN15,1,_xlfn.XMATCH(EF$5,$CC15:$CN15)),"na")</f>
        <v>na</v>
      </c>
      <c r="EG15" s="47" t="str" cm="1">
        <f t="array" ref="EG15">IF(EG$5&lt;=$DG15,INDEX($AP15:$BA15,1,_xlfn.XMATCH(EG$5,$CC15:$CN15)),"na")</f>
        <v>na</v>
      </c>
      <c r="EH15" s="44" t="str" cm="1">
        <f t="array" ref="EH15">IF(EH$5&lt;=$DG15,INDEX($BC15:$BN15,1,_xlfn.XMATCH(EH$5,$CC15:$CN15)),"na")</f>
        <v>na</v>
      </c>
      <c r="EI15" s="45" t="str" cm="1">
        <f t="array" ref="EI15">IF(EI$5&lt;=$DH15,INDEX($BP15:$CA15,1,_xlfn.XMATCH(EI$5,$CP15:$DA15)),"na")</f>
        <v>na</v>
      </c>
      <c r="EJ15" s="46" t="str" cm="1">
        <f t="array" ref="EJ15">IF(EJ$5&lt;=$DG15,INDEX($AC15:$AN15,1,_xlfn.XMATCH(EJ$5,$CC15:$CN15)),"na")</f>
        <v>na</v>
      </c>
      <c r="EK15" s="47" t="str" cm="1">
        <f t="array" ref="EK15">IF(EK$5&lt;=$DG15,INDEX($AP15:$BA15,1,_xlfn.XMATCH(EK$5,$CC15:$CN15)),"na")</f>
        <v>na</v>
      </c>
      <c r="EL15" s="44" t="str" cm="1">
        <f t="array" ref="EL15">IF(EL$5&lt;=$DG15,INDEX($BC15:$BN15,1,_xlfn.XMATCH(EL$5,$CC15:$CN15)),"na")</f>
        <v>na</v>
      </c>
      <c r="EM15" s="45" t="str" cm="1">
        <f t="array" ref="EM15">IF(EM$5&lt;=$DH15,INDEX($BP15:$CA15,1,_xlfn.XMATCH(EM$5,$CP15:$DA15)),"na")</f>
        <v>na</v>
      </c>
      <c r="EN15" s="46" t="str" cm="1">
        <f t="array" ref="EN15">IF(EN$5&lt;=$DG15,INDEX($AC15:$AN15,1,_xlfn.XMATCH(EN$5,$CC15:$CN15)),"na")</f>
        <v>na</v>
      </c>
      <c r="EO15" s="47" t="str" cm="1">
        <f t="array" ref="EO15">IF(EO$5&lt;=$DG15,INDEX($AP15:$BA15,1,_xlfn.XMATCH(EO$5,$CC15:$CN15)),"na")</f>
        <v>na</v>
      </c>
      <c r="EP15" s="44" t="str" cm="1">
        <f t="array" ref="EP15">IF(EP$5&lt;=$DG15,INDEX($BC15:$BN15,1,_xlfn.XMATCH(EP$5,$CC15:$CN15)),"na")</f>
        <v>na</v>
      </c>
      <c r="EQ15" s="45" t="str" cm="1">
        <f t="array" ref="EQ15">IF(EQ$5&lt;=$DH15,INDEX($BP15:$CA15,1,_xlfn.XMATCH(EQ$5,$CP15:$DA15)),"na")</f>
        <v>na</v>
      </c>
      <c r="ER15" s="46" t="str" cm="1">
        <f t="array" ref="ER15">IF(ER$5&lt;=$DG15,INDEX($AC15:$AN15,1,_xlfn.XMATCH(ER$5,$CC15:$CN15)),"na")</f>
        <v>na</v>
      </c>
      <c r="ES15" s="47" t="str" cm="1">
        <f t="array" ref="ES15">IF(ES$5&lt;=$DG15,INDEX($AP15:$BA15,1,_xlfn.XMATCH(ES$5,$CC15:$CN15)),"na")</f>
        <v>na</v>
      </c>
      <c r="ET15" s="44" t="str" cm="1">
        <f t="array" ref="ET15">IF(ET$5&lt;=$DG15,INDEX($BC15:$BN15,1,_xlfn.XMATCH(ET$5,$CC15:$CN15)),"na")</f>
        <v>na</v>
      </c>
      <c r="EU15" s="45" t="str" cm="1">
        <f t="array" ref="EU15">IF(EU$5&lt;=$DH15,INDEX($BP15:$CA15,1,_xlfn.XMATCH(EU$5,$CP15:$DA15)),"na")</f>
        <v>na</v>
      </c>
      <c r="EV15" s="46" t="str" cm="1">
        <f t="array" ref="EV15">IF(EV$5&lt;=$DG15,INDEX($AC15:$AN15,1,_xlfn.XMATCH(EV$5,$CC15:$CN15)),"na")</f>
        <v>na</v>
      </c>
      <c r="EW15" s="47" t="str" cm="1">
        <f t="array" ref="EW15">IF(EW$5&lt;=$DG15,INDEX($AP15:$BA15,1,_xlfn.XMATCH(EW$5,$CC15:$CN15)),"na")</f>
        <v>na</v>
      </c>
      <c r="EX15" s="44" t="str" cm="1">
        <f t="array" ref="EX15">IF(EX$5&lt;=$DG15,INDEX($BC15:$BN15,1,_xlfn.XMATCH(EX$5,$CC15:$CN15)),"na")</f>
        <v>na</v>
      </c>
      <c r="EY15" s="45" t="str" cm="1">
        <f t="array" ref="EY15">IF(EY$5&lt;=$DH15,INDEX($BP15:$CA15,1,_xlfn.XMATCH(EY$5,$CP15:$DA15)),"na")</f>
        <v>na</v>
      </c>
      <c r="EZ15" s="46" t="str" cm="1">
        <f t="array" ref="EZ15">IF(EZ$5&lt;=$DG15,INDEX($AC15:$AN15,1,_xlfn.XMATCH(EZ$5,$CC15:$CN15)),"na")</f>
        <v>na</v>
      </c>
      <c r="FA15" s="47" t="str" cm="1">
        <f t="array" ref="FA15">IF(FA$5&lt;=$DG15,INDEX($AP15:$BA15,1,_xlfn.XMATCH(FA$5,$CC15:$CN15)),"na")</f>
        <v>na</v>
      </c>
      <c r="FB15" s="44" t="str" cm="1">
        <f t="array" ref="FB15">IF(FB$5&lt;=$DG15,INDEX($BC15:$BN15,1,_xlfn.XMATCH(FB$5,$CC15:$CN15)),"na")</f>
        <v>na</v>
      </c>
      <c r="FC15" s="45" t="str" cm="1">
        <f t="array" ref="FC15">IF(FC$5&lt;=$DH15,INDEX($BP15:$CA15,1,_xlfn.XMATCH(FC$5,$CP15:$DA15)),"na")</f>
        <v>na</v>
      </c>
      <c r="FD15" s="46" t="str" cm="1">
        <f t="array" ref="FD15">IF(FD$5&lt;=$DG15,INDEX($AC15:$AN15,1,_xlfn.XMATCH(FD$5,$CC15:$CN15)),"na")</f>
        <v>na</v>
      </c>
      <c r="FE15" s="47" t="str" cm="1">
        <f t="array" ref="FE15">IF(FE$5&lt;=$DG15,INDEX($AP15:$BA15,1,_xlfn.XMATCH(FE$5,$CC15:$CN15)),"na")</f>
        <v>na</v>
      </c>
    </row>
    <row r="16" spans="2:161" x14ac:dyDescent="0.25">
      <c r="B16" s="10" t="s">
        <v>77</v>
      </c>
      <c r="C16" s="8">
        <v>1426</v>
      </c>
      <c r="D16" s="8">
        <v>1288</v>
      </c>
      <c r="E16" s="8">
        <v>1426</v>
      </c>
      <c r="F16" s="8">
        <v>1380</v>
      </c>
      <c r="G16" s="8">
        <v>1426</v>
      </c>
      <c r="H16" s="8">
        <v>1380</v>
      </c>
      <c r="I16" s="8">
        <v>1426</v>
      </c>
      <c r="J16" s="8">
        <v>1426</v>
      </c>
      <c r="K16" s="8">
        <v>1380</v>
      </c>
      <c r="L16" s="8">
        <v>1426</v>
      </c>
      <c r="M16" s="8">
        <v>1380</v>
      </c>
      <c r="N16" s="8">
        <v>1426</v>
      </c>
      <c r="O16" s="8"/>
      <c r="P16" s="8">
        <v>1395</v>
      </c>
      <c r="Q16" s="8">
        <v>1260</v>
      </c>
      <c r="R16" s="8">
        <v>1395</v>
      </c>
      <c r="S16" s="8">
        <v>1350</v>
      </c>
      <c r="T16" s="8">
        <v>1395</v>
      </c>
      <c r="U16" s="8">
        <v>1350</v>
      </c>
      <c r="V16" s="8">
        <v>1395</v>
      </c>
      <c r="W16" s="8">
        <v>1395</v>
      </c>
      <c r="X16" s="8">
        <v>1350</v>
      </c>
      <c r="Y16" s="8">
        <v>1395</v>
      </c>
      <c r="Z16" s="8">
        <v>1350</v>
      </c>
      <c r="AA16" s="8">
        <v>1395</v>
      </c>
      <c r="AC16" s="14">
        <f>C16/_xlfn.XLOOKUP(AC$5,'OC-Days'!$G:$G,'OC-Days'!$B:$B)</f>
        <v>46</v>
      </c>
      <c r="AD16" s="14">
        <f>D16/_xlfn.XLOOKUP(AD$5,'OC-Days'!$G:$G,'OC-Days'!$B:$B)</f>
        <v>46</v>
      </c>
      <c r="AE16" s="14">
        <f>E16/_xlfn.XLOOKUP(AE$5,'OC-Days'!$G:$G,'OC-Days'!$B:$B)</f>
        <v>46</v>
      </c>
      <c r="AF16" s="14">
        <f>F16/_xlfn.XLOOKUP(AF$5,'OC-Days'!$G:$G,'OC-Days'!$B:$B)</f>
        <v>46</v>
      </c>
      <c r="AG16" s="14">
        <f>G16/_xlfn.XLOOKUP(AG$5,'OC-Days'!$G:$G,'OC-Days'!$B:$B)</f>
        <v>46</v>
      </c>
      <c r="AH16" s="14">
        <f>H16/_xlfn.XLOOKUP(AH$5,'OC-Days'!$G:$G,'OC-Days'!$B:$B)</f>
        <v>46</v>
      </c>
      <c r="AI16" s="14">
        <f>I16/_xlfn.XLOOKUP(AI$5,'OC-Days'!$G:$G,'OC-Days'!$B:$B)</f>
        <v>46</v>
      </c>
      <c r="AJ16" s="14">
        <f>J16/_xlfn.XLOOKUP(AJ$5,'OC-Days'!$G:$G,'OC-Days'!$B:$B)</f>
        <v>46</v>
      </c>
      <c r="AK16" s="14">
        <f>K16/_xlfn.XLOOKUP(AK$5,'OC-Days'!$G:$G,'OC-Days'!$B:$B)</f>
        <v>46</v>
      </c>
      <c r="AL16" s="14">
        <f>L16/_xlfn.XLOOKUP(AL$5,'OC-Days'!$G:$G,'OC-Days'!$B:$B)</f>
        <v>46</v>
      </c>
      <c r="AM16" s="14">
        <f>M16/_xlfn.XLOOKUP(AM$5,'OC-Days'!$G:$G,'OC-Days'!$B:$B)</f>
        <v>46</v>
      </c>
      <c r="AN16" s="14">
        <f>N16/_xlfn.XLOOKUP(AN$5,'OC-Days'!$G:$G,'OC-Days'!$B:$B)</f>
        <v>46</v>
      </c>
      <c r="AP16" s="14">
        <f>P16/_xlfn.XLOOKUP(AP$5,'OC-Days'!$G:$G,'OC-Days'!$B:$B)</f>
        <v>45</v>
      </c>
      <c r="AQ16" s="14">
        <f>Q16/_xlfn.XLOOKUP(AQ$5,'OC-Days'!$G:$G,'OC-Days'!$B:$B)</f>
        <v>45</v>
      </c>
      <c r="AR16" s="14">
        <f>R16/_xlfn.XLOOKUP(AR$5,'OC-Days'!$G:$G,'OC-Days'!$B:$B)</f>
        <v>45</v>
      </c>
      <c r="AS16" s="14">
        <f>S16/_xlfn.XLOOKUP(AS$5,'OC-Days'!$G:$G,'OC-Days'!$B:$B)</f>
        <v>45</v>
      </c>
      <c r="AT16" s="14">
        <f>T16/_xlfn.XLOOKUP(AT$5,'OC-Days'!$G:$G,'OC-Days'!$B:$B)</f>
        <v>45</v>
      </c>
      <c r="AU16" s="14">
        <f>U16/_xlfn.XLOOKUP(AU$5,'OC-Days'!$G:$G,'OC-Days'!$B:$B)</f>
        <v>45</v>
      </c>
      <c r="AV16" s="14">
        <f>V16/_xlfn.XLOOKUP(AV$5,'OC-Days'!$G:$G,'OC-Days'!$B:$B)</f>
        <v>45</v>
      </c>
      <c r="AW16" s="14">
        <f>W16/_xlfn.XLOOKUP(AW$5,'OC-Days'!$G:$G,'OC-Days'!$B:$B)</f>
        <v>45</v>
      </c>
      <c r="AX16" s="14">
        <f>X16/_xlfn.XLOOKUP(AX$5,'OC-Days'!$G:$G,'OC-Days'!$B:$B)</f>
        <v>45</v>
      </c>
      <c r="AY16" s="14">
        <f>Y16/_xlfn.XLOOKUP(AY$5,'OC-Days'!$G:$G,'OC-Days'!$B:$B)</f>
        <v>45</v>
      </c>
      <c r="AZ16" s="14">
        <f>Z16/_xlfn.XLOOKUP(AZ$5,'OC-Days'!$G:$G,'OC-Days'!$B:$B)</f>
        <v>45</v>
      </c>
      <c r="BA16" s="14">
        <f>AA16/_xlfn.XLOOKUP(BA$5,'OC-Days'!$G:$G,'OC-Days'!$B:$B)</f>
        <v>45</v>
      </c>
      <c r="BC16" s="33">
        <f>_xlfn.XLOOKUP(BC$5,'OC-Days'!$G:$G,'OC-Days'!$F:$F)</f>
        <v>45658</v>
      </c>
      <c r="BD16" s="34" t="str">
        <f>IF(AQ16=AP16,"na",_xlfn.XLOOKUP(BD$5,'OC-Days'!$G:$G,'OC-Days'!$F:$F))</f>
        <v>na</v>
      </c>
      <c r="BE16" s="34" t="str">
        <f>IF(AR16=AQ16,"na",_xlfn.XLOOKUP(BE$5,'OC-Days'!$G:$G,'OC-Days'!$F:$F))</f>
        <v>na</v>
      </c>
      <c r="BF16" s="34" t="str">
        <f>IF(AS16=AR16,"na",_xlfn.XLOOKUP(BF$5,'OC-Days'!$G:$G,'OC-Days'!$F:$F))</f>
        <v>na</v>
      </c>
      <c r="BG16" s="34" t="str">
        <f>IF(AT16=AS16,"na",_xlfn.XLOOKUP(BG$5,'OC-Days'!$G:$G,'OC-Days'!$F:$F))</f>
        <v>na</v>
      </c>
      <c r="BH16" s="34" t="str">
        <f>IF(AU16=AT16,"na",_xlfn.XLOOKUP(BH$5,'OC-Days'!$G:$G,'OC-Days'!$F:$F))</f>
        <v>na</v>
      </c>
      <c r="BI16" s="34" t="str">
        <f>IF(AV16=AU16,"na",_xlfn.XLOOKUP(BI$5,'OC-Days'!$G:$G,'OC-Days'!$F:$F))</f>
        <v>na</v>
      </c>
      <c r="BJ16" s="34" t="str">
        <f>IF(AW16=AV16,"na",_xlfn.XLOOKUP(BJ$5,'OC-Days'!$G:$G,'OC-Days'!$F:$F))</f>
        <v>na</v>
      </c>
      <c r="BK16" s="34" t="str">
        <f>IF(AX16=AW16,"na",_xlfn.XLOOKUP(BK$5,'OC-Days'!$G:$G,'OC-Days'!$F:$F))</f>
        <v>na</v>
      </c>
      <c r="BL16" s="34" t="str">
        <f>IF(AY16=AX16,"na",_xlfn.XLOOKUP(BL$5,'OC-Days'!$G:$G,'OC-Days'!$F:$F))</f>
        <v>na</v>
      </c>
      <c r="BM16" s="34" t="str">
        <f>IF(AZ16=AY16,"na",_xlfn.XLOOKUP(BM$5,'OC-Days'!$G:$G,'OC-Days'!$F:$F))</f>
        <v>na</v>
      </c>
      <c r="BN16" s="34" t="str">
        <f>IF(BA16=AZ16,"na",_xlfn.XLOOKUP(BN$5,'OC-Days'!$G:$G,'OC-Days'!$F:$F))</f>
        <v>na</v>
      </c>
      <c r="BP16" s="36" t="str">
        <f t="shared" si="35"/>
        <v>na</v>
      </c>
      <c r="BQ16" s="36" t="str">
        <f t="shared" si="36"/>
        <v>na</v>
      </c>
      <c r="BR16" s="36" t="str">
        <f t="shared" si="37"/>
        <v>na</v>
      </c>
      <c r="BS16" s="36" t="str">
        <f t="shared" si="38"/>
        <v>na</v>
      </c>
      <c r="BT16" s="36" t="str">
        <f t="shared" si="39"/>
        <v>na</v>
      </c>
      <c r="BU16" s="36" t="str">
        <f t="shared" si="40"/>
        <v>na</v>
      </c>
      <c r="BV16" s="36" t="str">
        <f t="shared" si="41"/>
        <v>na</v>
      </c>
      <c r="BW16" s="36" t="str">
        <f t="shared" si="42"/>
        <v>na</v>
      </c>
      <c r="BX16" s="36" t="str">
        <f t="shared" si="43"/>
        <v>na</v>
      </c>
      <c r="BY16" s="36" t="str">
        <f t="shared" si="44"/>
        <v>na</v>
      </c>
      <c r="BZ16" s="36" t="str">
        <f t="shared" si="45"/>
        <v>na</v>
      </c>
      <c r="CA16" s="43">
        <f t="shared" si="46"/>
        <v>46022</v>
      </c>
      <c r="CC16" s="8">
        <f>COUNT($BC16:BC16)</f>
        <v>1</v>
      </c>
      <c r="CD16" s="8">
        <f>COUNT($BC16:BD16)</f>
        <v>1</v>
      </c>
      <c r="CE16" s="8">
        <f>COUNT($BC16:BE16)</f>
        <v>1</v>
      </c>
      <c r="CF16" s="8">
        <f>COUNT($BC16:BF16)</f>
        <v>1</v>
      </c>
      <c r="CG16" s="8">
        <f>COUNT($BC16:BG16)</f>
        <v>1</v>
      </c>
      <c r="CH16" s="8">
        <f>COUNT($BC16:BH16)</f>
        <v>1</v>
      </c>
      <c r="CI16" s="8">
        <f>COUNT($BC16:BI16)</f>
        <v>1</v>
      </c>
      <c r="CJ16" s="8">
        <f>COUNT($BC16:BJ16)</f>
        <v>1</v>
      </c>
      <c r="CK16" s="8">
        <f>COUNT($BC16:BK16)</f>
        <v>1</v>
      </c>
      <c r="CL16" s="8">
        <f>COUNT($BC16:BL16)</f>
        <v>1</v>
      </c>
      <c r="CM16" s="8">
        <f>COUNT($BC16:BM16)</f>
        <v>1</v>
      </c>
      <c r="CN16" s="8">
        <f>COUNT($BC16:BN16)</f>
        <v>1</v>
      </c>
      <c r="CO16" s="8"/>
      <c r="CP16" s="8">
        <f>COUNT($BP16:BP16)</f>
        <v>0</v>
      </c>
      <c r="CQ16" s="8">
        <f>COUNT($BP16:BQ16)</f>
        <v>0</v>
      </c>
      <c r="CR16" s="8">
        <f>COUNT($BP16:BR16)</f>
        <v>0</v>
      </c>
      <c r="CS16" s="8">
        <f>COUNT($BP16:BS16)</f>
        <v>0</v>
      </c>
      <c r="CT16" s="8">
        <f>COUNT($BP16:BT16)</f>
        <v>0</v>
      </c>
      <c r="CU16" s="8">
        <f>COUNT($BP16:BU16)</f>
        <v>0</v>
      </c>
      <c r="CV16" s="8">
        <f>COUNT($BP16:BV16)</f>
        <v>0</v>
      </c>
      <c r="CW16" s="8">
        <f>COUNT($BP16:BW16)</f>
        <v>0</v>
      </c>
      <c r="CX16" s="8">
        <f>COUNT($BP16:BX16)</f>
        <v>0</v>
      </c>
      <c r="CY16" s="8">
        <f>COUNT($BP16:BY16)</f>
        <v>0</v>
      </c>
      <c r="CZ16" s="8">
        <f>COUNT($BP16:BZ16)</f>
        <v>0</v>
      </c>
      <c r="DA16" s="8">
        <f>COUNT($BP16:CA16)</f>
        <v>1</v>
      </c>
      <c r="DC16">
        <f t="shared" si="47"/>
        <v>100</v>
      </c>
      <c r="DD16">
        <f t="shared" si="48"/>
        <v>62</v>
      </c>
      <c r="DE16" t="str">
        <f t="shared" si="49"/>
        <v>100-62</v>
      </c>
      <c r="DG16">
        <f t="shared" si="50"/>
        <v>1</v>
      </c>
      <c r="DH16">
        <f t="shared" si="51"/>
        <v>1</v>
      </c>
      <c r="DJ16" s="44" cm="1">
        <f t="array" ref="DJ16">IF(DJ$5&lt;=$DG16,INDEX($BC16:$BN16,1,_xlfn.XMATCH(DJ$5,$CC16:$CN16)),"na")</f>
        <v>45658</v>
      </c>
      <c r="DK16" s="45" cm="1">
        <f t="array" ref="DK16">IF(DK$5&lt;=$DH16,INDEX($BP16:$CA16,1,_xlfn.XMATCH(DK$5,$CP16:$DA16)),"na")</f>
        <v>46022</v>
      </c>
      <c r="DL16" s="46" cm="1">
        <f t="array" ref="DL16">IF(DL$5&lt;=$DG16,INDEX($AC16:$AN16,1,_xlfn.XMATCH(DL$5,$CC16:$CN16)),"na")</f>
        <v>46</v>
      </c>
      <c r="DM16" s="47" cm="1">
        <f t="array" ref="DM16">IF(DM$5&lt;=$DG16,INDEX($AP16:$BA16,1,_xlfn.XMATCH(DM$5,$CC16:$CN16)),"na")</f>
        <v>45</v>
      </c>
      <c r="DN16" s="44" t="str" cm="1">
        <f t="array" ref="DN16">IF(DN$5&lt;=$DG16,INDEX($BC16:$BN16,1,_xlfn.XMATCH(DN$5,$CC16:$CN16)),"na")</f>
        <v>na</v>
      </c>
      <c r="DO16" s="45" t="str" cm="1">
        <f t="array" ref="DO16">IF(DO$5&lt;=$DH16,INDEX($BP16:$CA16,1,_xlfn.XMATCH(DO$5,$CP16:$DA16)),"na")</f>
        <v>na</v>
      </c>
      <c r="DP16" s="46" t="str" cm="1">
        <f t="array" ref="DP16">IF(DP$5&lt;=$DG16,INDEX($AC16:$AN16,1,_xlfn.XMATCH(DP$5,$CC16:$CN16)),"na")</f>
        <v>na</v>
      </c>
      <c r="DQ16" s="47" t="str" cm="1">
        <f t="array" ref="DQ16">IF(DQ$5&lt;=$DG16,INDEX($AP16:$BA16,1,_xlfn.XMATCH(DQ$5,$CC16:$CN16)),"na")</f>
        <v>na</v>
      </c>
      <c r="DR16" s="44" t="str" cm="1">
        <f t="array" ref="DR16">IF(DR$5&lt;=$DG16,INDEX($BC16:$BN16,1,_xlfn.XMATCH(DR$5,$CC16:$CN16)),"na")</f>
        <v>na</v>
      </c>
      <c r="DS16" s="45" t="str" cm="1">
        <f t="array" ref="DS16">IF(DS$5&lt;=$DH16,INDEX($BP16:$CA16,1,_xlfn.XMATCH(DS$5,$CP16:$DA16)),"na")</f>
        <v>na</v>
      </c>
      <c r="DT16" s="46" t="str" cm="1">
        <f t="array" ref="DT16">IF(DT$5&lt;=$DG16,INDEX($AC16:$AN16,1,_xlfn.XMATCH(DT$5,$CC16:$CN16)),"na")</f>
        <v>na</v>
      </c>
      <c r="DU16" s="47" t="str" cm="1">
        <f t="array" ref="DU16">IF(DU$5&lt;=$DG16,INDEX($AP16:$BA16,1,_xlfn.XMATCH(DU$5,$CC16:$CN16)),"na")</f>
        <v>na</v>
      </c>
      <c r="DV16" s="44" t="str" cm="1">
        <f t="array" ref="DV16">IF(DV$5&lt;=$DG16,INDEX($BC16:$BN16,1,_xlfn.XMATCH(DV$5,$CC16:$CN16)),"na")</f>
        <v>na</v>
      </c>
      <c r="DW16" s="45" t="str" cm="1">
        <f t="array" ref="DW16">IF(DW$5&lt;=$DH16,INDEX($BP16:$CA16,1,_xlfn.XMATCH(DW$5,$CP16:$DA16)),"na")</f>
        <v>na</v>
      </c>
      <c r="DX16" s="46" t="str" cm="1">
        <f t="array" ref="DX16">IF(DX$5&lt;=$DG16,INDEX($AC16:$AN16,1,_xlfn.XMATCH(DX$5,$CC16:$CN16)),"na")</f>
        <v>na</v>
      </c>
      <c r="DY16" s="47" t="str" cm="1">
        <f t="array" ref="DY16">IF(DY$5&lt;=$DG16,INDEX($AP16:$BA16,1,_xlfn.XMATCH(DY$5,$CC16:$CN16)),"na")</f>
        <v>na</v>
      </c>
      <c r="DZ16" s="44" t="str" cm="1">
        <f t="array" ref="DZ16">IF(DZ$5&lt;=$DG16,INDEX($BC16:$BN16,1,_xlfn.XMATCH(DZ$5,$CC16:$CN16)),"na")</f>
        <v>na</v>
      </c>
      <c r="EA16" s="45" t="str" cm="1">
        <f t="array" ref="EA16">IF(EA$5&lt;=$DH16,INDEX($BP16:$CA16,1,_xlfn.XMATCH(EA$5,$CP16:$DA16)),"na")</f>
        <v>na</v>
      </c>
      <c r="EB16" s="46" t="str" cm="1">
        <f t="array" ref="EB16">IF(EB$5&lt;=$DG16,INDEX($AC16:$AN16,1,_xlfn.XMATCH(EB$5,$CC16:$CN16)),"na")</f>
        <v>na</v>
      </c>
      <c r="EC16" s="47" t="str" cm="1">
        <f t="array" ref="EC16">IF(EC$5&lt;=$DG16,INDEX($AP16:$BA16,1,_xlfn.XMATCH(EC$5,$CC16:$CN16)),"na")</f>
        <v>na</v>
      </c>
      <c r="ED16" s="44" t="str" cm="1">
        <f t="array" ref="ED16">IF(ED$5&lt;=$DG16,INDEX($BC16:$BN16,1,_xlfn.XMATCH(ED$5,$CC16:$CN16)),"na")</f>
        <v>na</v>
      </c>
      <c r="EE16" s="45" t="str" cm="1">
        <f t="array" ref="EE16">IF(EE$5&lt;=$DH16,INDEX($BP16:$CA16,1,_xlfn.XMATCH(EE$5,$CP16:$DA16)),"na")</f>
        <v>na</v>
      </c>
      <c r="EF16" s="46" t="str" cm="1">
        <f t="array" ref="EF16">IF(EF$5&lt;=$DG16,INDEX($AC16:$AN16,1,_xlfn.XMATCH(EF$5,$CC16:$CN16)),"na")</f>
        <v>na</v>
      </c>
      <c r="EG16" s="47" t="str" cm="1">
        <f t="array" ref="EG16">IF(EG$5&lt;=$DG16,INDEX($AP16:$BA16,1,_xlfn.XMATCH(EG$5,$CC16:$CN16)),"na")</f>
        <v>na</v>
      </c>
      <c r="EH16" s="44" t="str" cm="1">
        <f t="array" ref="EH16">IF(EH$5&lt;=$DG16,INDEX($BC16:$BN16,1,_xlfn.XMATCH(EH$5,$CC16:$CN16)),"na")</f>
        <v>na</v>
      </c>
      <c r="EI16" s="45" t="str" cm="1">
        <f t="array" ref="EI16">IF(EI$5&lt;=$DH16,INDEX($BP16:$CA16,1,_xlfn.XMATCH(EI$5,$CP16:$DA16)),"na")</f>
        <v>na</v>
      </c>
      <c r="EJ16" s="46" t="str" cm="1">
        <f t="array" ref="EJ16">IF(EJ$5&lt;=$DG16,INDEX($AC16:$AN16,1,_xlfn.XMATCH(EJ$5,$CC16:$CN16)),"na")</f>
        <v>na</v>
      </c>
      <c r="EK16" s="47" t="str" cm="1">
        <f t="array" ref="EK16">IF(EK$5&lt;=$DG16,INDEX($AP16:$BA16,1,_xlfn.XMATCH(EK$5,$CC16:$CN16)),"na")</f>
        <v>na</v>
      </c>
      <c r="EL16" s="44" t="str" cm="1">
        <f t="array" ref="EL16">IF(EL$5&lt;=$DG16,INDEX($BC16:$BN16,1,_xlfn.XMATCH(EL$5,$CC16:$CN16)),"na")</f>
        <v>na</v>
      </c>
      <c r="EM16" s="45" t="str" cm="1">
        <f t="array" ref="EM16">IF(EM$5&lt;=$DH16,INDEX($BP16:$CA16,1,_xlfn.XMATCH(EM$5,$CP16:$DA16)),"na")</f>
        <v>na</v>
      </c>
      <c r="EN16" s="46" t="str" cm="1">
        <f t="array" ref="EN16">IF(EN$5&lt;=$DG16,INDEX($AC16:$AN16,1,_xlfn.XMATCH(EN$5,$CC16:$CN16)),"na")</f>
        <v>na</v>
      </c>
      <c r="EO16" s="47" t="str" cm="1">
        <f t="array" ref="EO16">IF(EO$5&lt;=$DG16,INDEX($AP16:$BA16,1,_xlfn.XMATCH(EO$5,$CC16:$CN16)),"na")</f>
        <v>na</v>
      </c>
      <c r="EP16" s="44" t="str" cm="1">
        <f t="array" ref="EP16">IF(EP$5&lt;=$DG16,INDEX($BC16:$BN16,1,_xlfn.XMATCH(EP$5,$CC16:$CN16)),"na")</f>
        <v>na</v>
      </c>
      <c r="EQ16" s="45" t="str" cm="1">
        <f t="array" ref="EQ16">IF(EQ$5&lt;=$DH16,INDEX($BP16:$CA16,1,_xlfn.XMATCH(EQ$5,$CP16:$DA16)),"na")</f>
        <v>na</v>
      </c>
      <c r="ER16" s="46" t="str" cm="1">
        <f t="array" ref="ER16">IF(ER$5&lt;=$DG16,INDEX($AC16:$AN16,1,_xlfn.XMATCH(ER$5,$CC16:$CN16)),"na")</f>
        <v>na</v>
      </c>
      <c r="ES16" s="47" t="str" cm="1">
        <f t="array" ref="ES16">IF(ES$5&lt;=$DG16,INDEX($AP16:$BA16,1,_xlfn.XMATCH(ES$5,$CC16:$CN16)),"na")</f>
        <v>na</v>
      </c>
      <c r="ET16" s="44" t="str" cm="1">
        <f t="array" ref="ET16">IF(ET$5&lt;=$DG16,INDEX($BC16:$BN16,1,_xlfn.XMATCH(ET$5,$CC16:$CN16)),"na")</f>
        <v>na</v>
      </c>
      <c r="EU16" s="45" t="str" cm="1">
        <f t="array" ref="EU16">IF(EU$5&lt;=$DH16,INDEX($BP16:$CA16,1,_xlfn.XMATCH(EU$5,$CP16:$DA16)),"na")</f>
        <v>na</v>
      </c>
      <c r="EV16" s="46" t="str" cm="1">
        <f t="array" ref="EV16">IF(EV$5&lt;=$DG16,INDEX($AC16:$AN16,1,_xlfn.XMATCH(EV$5,$CC16:$CN16)),"na")</f>
        <v>na</v>
      </c>
      <c r="EW16" s="47" t="str" cm="1">
        <f t="array" ref="EW16">IF(EW$5&lt;=$DG16,INDEX($AP16:$BA16,1,_xlfn.XMATCH(EW$5,$CC16:$CN16)),"na")</f>
        <v>na</v>
      </c>
      <c r="EX16" s="44" t="str" cm="1">
        <f t="array" ref="EX16">IF(EX$5&lt;=$DG16,INDEX($BC16:$BN16,1,_xlfn.XMATCH(EX$5,$CC16:$CN16)),"na")</f>
        <v>na</v>
      </c>
      <c r="EY16" s="45" t="str" cm="1">
        <f t="array" ref="EY16">IF(EY$5&lt;=$DH16,INDEX($BP16:$CA16,1,_xlfn.XMATCH(EY$5,$CP16:$DA16)),"na")</f>
        <v>na</v>
      </c>
      <c r="EZ16" s="46" t="str" cm="1">
        <f t="array" ref="EZ16">IF(EZ$5&lt;=$DG16,INDEX($AC16:$AN16,1,_xlfn.XMATCH(EZ$5,$CC16:$CN16)),"na")</f>
        <v>na</v>
      </c>
      <c r="FA16" s="47" t="str" cm="1">
        <f t="array" ref="FA16">IF(FA$5&lt;=$DG16,INDEX($AP16:$BA16,1,_xlfn.XMATCH(FA$5,$CC16:$CN16)),"na")</f>
        <v>na</v>
      </c>
      <c r="FB16" s="44" t="str" cm="1">
        <f t="array" ref="FB16">IF(FB$5&lt;=$DG16,INDEX($BC16:$BN16,1,_xlfn.XMATCH(FB$5,$CC16:$CN16)),"na")</f>
        <v>na</v>
      </c>
      <c r="FC16" s="45" t="str" cm="1">
        <f t="array" ref="FC16">IF(FC$5&lt;=$DH16,INDEX($BP16:$CA16,1,_xlfn.XMATCH(FC$5,$CP16:$DA16)),"na")</f>
        <v>na</v>
      </c>
      <c r="FD16" s="46" t="str" cm="1">
        <f t="array" ref="FD16">IF(FD$5&lt;=$DG16,INDEX($AC16:$AN16,1,_xlfn.XMATCH(FD$5,$CC16:$CN16)),"na")</f>
        <v>na</v>
      </c>
      <c r="FE16" s="47" t="str" cm="1">
        <f t="array" ref="FE16">IF(FE$5&lt;=$DG16,INDEX($AP16:$BA16,1,_xlfn.XMATCH(FE$5,$CC16:$CN16)),"na")</f>
        <v>na</v>
      </c>
    </row>
    <row r="17" spans="2:161" hidden="1" x14ac:dyDescent="0.25">
      <c r="B17" s="9" t="s">
        <v>78</v>
      </c>
      <c r="C17" s="8">
        <v>35433</v>
      </c>
      <c r="D17" s="8">
        <v>32004</v>
      </c>
      <c r="E17" s="8">
        <v>35433</v>
      </c>
      <c r="F17" s="8">
        <v>34290</v>
      </c>
      <c r="G17" s="8">
        <v>35433</v>
      </c>
      <c r="H17" s="8">
        <v>34290</v>
      </c>
      <c r="I17" s="8">
        <v>35433</v>
      </c>
      <c r="J17" s="8">
        <v>35433</v>
      </c>
      <c r="K17" s="8">
        <v>34290</v>
      </c>
      <c r="L17" s="8">
        <v>35433</v>
      </c>
      <c r="M17" s="8">
        <v>34290</v>
      </c>
      <c r="N17" s="8">
        <v>35433</v>
      </c>
      <c r="O17" s="8"/>
      <c r="P17" s="8">
        <v>29713.5</v>
      </c>
      <c r="Q17" s="8">
        <v>26866</v>
      </c>
      <c r="R17" s="8">
        <v>29837.5</v>
      </c>
      <c r="S17" s="8">
        <v>28935</v>
      </c>
      <c r="T17" s="8">
        <v>29992.5</v>
      </c>
      <c r="U17" s="8">
        <v>29055</v>
      </c>
      <c r="V17" s="8">
        <v>30209.5</v>
      </c>
      <c r="W17" s="8">
        <v>30240.5</v>
      </c>
      <c r="X17" s="8">
        <v>29355</v>
      </c>
      <c r="Y17" s="8">
        <v>30395.5</v>
      </c>
      <c r="Z17" s="8">
        <v>29505</v>
      </c>
      <c r="AA17" s="8">
        <v>30519.5</v>
      </c>
      <c r="AC17" s="14">
        <f>C17/_xlfn.XLOOKUP(AC$5,'OC-Days'!$G:$G,'OC-Days'!$B:$B)</f>
        <v>1143</v>
      </c>
      <c r="AD17" s="14">
        <f>D17/_xlfn.XLOOKUP(AD$5,'OC-Days'!$G:$G,'OC-Days'!$B:$B)</f>
        <v>1143</v>
      </c>
      <c r="AE17" s="14">
        <f>E17/_xlfn.XLOOKUP(AE$5,'OC-Days'!$G:$G,'OC-Days'!$B:$B)</f>
        <v>1143</v>
      </c>
      <c r="AF17" s="14">
        <f>F17/_xlfn.XLOOKUP(AF$5,'OC-Days'!$G:$G,'OC-Days'!$B:$B)</f>
        <v>1143</v>
      </c>
      <c r="AG17" s="14">
        <f>G17/_xlfn.XLOOKUP(AG$5,'OC-Days'!$G:$G,'OC-Days'!$B:$B)</f>
        <v>1143</v>
      </c>
      <c r="AH17" s="14">
        <f>H17/_xlfn.XLOOKUP(AH$5,'OC-Days'!$G:$G,'OC-Days'!$B:$B)</f>
        <v>1143</v>
      </c>
      <c r="AI17" s="14">
        <f>I17/_xlfn.XLOOKUP(AI$5,'OC-Days'!$G:$G,'OC-Days'!$B:$B)</f>
        <v>1143</v>
      </c>
      <c r="AJ17" s="14">
        <f>J17/_xlfn.XLOOKUP(AJ$5,'OC-Days'!$G:$G,'OC-Days'!$B:$B)</f>
        <v>1143</v>
      </c>
      <c r="AK17" s="14">
        <f>K17/_xlfn.XLOOKUP(AK$5,'OC-Days'!$G:$G,'OC-Days'!$B:$B)</f>
        <v>1143</v>
      </c>
      <c r="AL17" s="14">
        <f>L17/_xlfn.XLOOKUP(AL$5,'OC-Days'!$G:$G,'OC-Days'!$B:$B)</f>
        <v>1143</v>
      </c>
      <c r="AM17" s="14">
        <f>M17/_xlfn.XLOOKUP(AM$5,'OC-Days'!$G:$G,'OC-Days'!$B:$B)</f>
        <v>1143</v>
      </c>
      <c r="AN17" s="14">
        <f>N17/_xlfn.XLOOKUP(AN$5,'OC-Days'!$G:$G,'OC-Days'!$B:$B)</f>
        <v>1143</v>
      </c>
      <c r="AP17" s="14">
        <f>P17/_xlfn.XLOOKUP(AP$5,'OC-Days'!$G:$G,'OC-Days'!$B:$B)</f>
        <v>958.5</v>
      </c>
      <c r="AQ17" s="14">
        <f>Q17/_xlfn.XLOOKUP(AQ$5,'OC-Days'!$G:$G,'OC-Days'!$B:$B)</f>
        <v>959.5</v>
      </c>
      <c r="AR17" s="14">
        <f>R17/_xlfn.XLOOKUP(AR$5,'OC-Days'!$G:$G,'OC-Days'!$B:$B)</f>
        <v>962.5</v>
      </c>
      <c r="AS17" s="14">
        <f>S17/_xlfn.XLOOKUP(AS$5,'OC-Days'!$G:$G,'OC-Days'!$B:$B)</f>
        <v>964.5</v>
      </c>
      <c r="AT17" s="14">
        <f>T17/_xlfn.XLOOKUP(AT$5,'OC-Days'!$G:$G,'OC-Days'!$B:$B)</f>
        <v>967.5</v>
      </c>
      <c r="AU17" s="14">
        <f>U17/_xlfn.XLOOKUP(AU$5,'OC-Days'!$G:$G,'OC-Days'!$B:$B)</f>
        <v>968.5</v>
      </c>
      <c r="AV17" s="14">
        <f>V17/_xlfn.XLOOKUP(AV$5,'OC-Days'!$G:$G,'OC-Days'!$B:$B)</f>
        <v>974.5</v>
      </c>
      <c r="AW17" s="14">
        <f>W17/_xlfn.XLOOKUP(AW$5,'OC-Days'!$G:$G,'OC-Days'!$B:$B)</f>
        <v>975.5</v>
      </c>
      <c r="AX17" s="14">
        <f>X17/_xlfn.XLOOKUP(AX$5,'OC-Days'!$G:$G,'OC-Days'!$B:$B)</f>
        <v>978.5</v>
      </c>
      <c r="AY17" s="14">
        <f>Y17/_xlfn.XLOOKUP(AY$5,'OC-Days'!$G:$G,'OC-Days'!$B:$B)</f>
        <v>980.5</v>
      </c>
      <c r="AZ17" s="14">
        <f>Z17/_xlfn.XLOOKUP(AZ$5,'OC-Days'!$G:$G,'OC-Days'!$B:$B)</f>
        <v>983.5</v>
      </c>
      <c r="BA17" s="14">
        <f>AA17/_xlfn.XLOOKUP(BA$5,'OC-Days'!$G:$G,'OC-Days'!$B:$B)</f>
        <v>984.5</v>
      </c>
      <c r="BC17" s="33">
        <f>_xlfn.XLOOKUP(BC$5,'OC-Days'!$G:$G,'OC-Days'!$F:$F)</f>
        <v>45658</v>
      </c>
      <c r="BD17" s="34">
        <f>IF(AQ17=AP17,"na",_xlfn.XLOOKUP(BD$5,'OC-Days'!$G:$G,'OC-Days'!$F:$F))</f>
        <v>45689</v>
      </c>
      <c r="BE17" s="34">
        <f>IF(AR17=AQ17,"na",_xlfn.XLOOKUP(BE$5,'OC-Days'!$G:$G,'OC-Days'!$F:$F))</f>
        <v>45717</v>
      </c>
      <c r="BF17" s="34">
        <f>IF(AS17=AR17,"na",_xlfn.XLOOKUP(BF$5,'OC-Days'!$G:$G,'OC-Days'!$F:$F))</f>
        <v>45748</v>
      </c>
      <c r="BG17" s="34">
        <f>IF(AT17=AS17,"na",_xlfn.XLOOKUP(BG$5,'OC-Days'!$G:$G,'OC-Days'!$F:$F))</f>
        <v>45778</v>
      </c>
      <c r="BH17" s="34">
        <f>IF(AU17=AT17,"na",_xlfn.XLOOKUP(BH$5,'OC-Days'!$G:$G,'OC-Days'!$F:$F))</f>
        <v>45809</v>
      </c>
      <c r="BI17" s="34">
        <f>IF(AV17=AU17,"na",_xlfn.XLOOKUP(BI$5,'OC-Days'!$G:$G,'OC-Days'!$F:$F))</f>
        <v>45839</v>
      </c>
      <c r="BJ17" s="34">
        <f>IF(AW17=AV17,"na",_xlfn.XLOOKUP(BJ$5,'OC-Days'!$G:$G,'OC-Days'!$F:$F))</f>
        <v>45870</v>
      </c>
      <c r="BK17" s="34">
        <f>IF(AX17=AW17,"na",_xlfn.XLOOKUP(BK$5,'OC-Days'!$G:$G,'OC-Days'!$F:$F))</f>
        <v>45901</v>
      </c>
      <c r="BL17" s="34">
        <f>IF(AY17=AX17,"na",_xlfn.XLOOKUP(BL$5,'OC-Days'!$G:$G,'OC-Days'!$F:$F))</f>
        <v>45931</v>
      </c>
      <c r="BM17" s="34">
        <f>IF(AZ17=AY17,"na",_xlfn.XLOOKUP(BM$5,'OC-Days'!$G:$G,'OC-Days'!$F:$F))</f>
        <v>45962</v>
      </c>
      <c r="BN17" s="34">
        <f>IF(BA17=AZ17,"na",_xlfn.XLOOKUP(BN$5,'OC-Days'!$G:$G,'OC-Days'!$F:$F))</f>
        <v>45992</v>
      </c>
      <c r="BP17" s="36">
        <f t="shared" si="35"/>
        <v>45688</v>
      </c>
      <c r="BQ17" s="36">
        <f t="shared" si="36"/>
        <v>45716</v>
      </c>
      <c r="BR17" s="36">
        <f t="shared" si="37"/>
        <v>45747</v>
      </c>
      <c r="BS17" s="36">
        <f t="shared" si="38"/>
        <v>45777</v>
      </c>
      <c r="BT17" s="36">
        <f t="shared" si="39"/>
        <v>45808</v>
      </c>
      <c r="BU17" s="36">
        <f t="shared" si="40"/>
        <v>45838</v>
      </c>
      <c r="BV17" s="36">
        <f t="shared" si="41"/>
        <v>45869</v>
      </c>
      <c r="BW17" s="36">
        <f t="shared" si="42"/>
        <v>45900</v>
      </c>
      <c r="BX17" s="36">
        <f t="shared" si="43"/>
        <v>45930</v>
      </c>
      <c r="BY17" s="36">
        <f t="shared" si="44"/>
        <v>45961</v>
      </c>
      <c r="BZ17" s="36">
        <f t="shared" si="45"/>
        <v>45991</v>
      </c>
      <c r="CA17" s="43">
        <f t="shared" si="46"/>
        <v>46022</v>
      </c>
      <c r="CC17" s="8">
        <f>COUNT($BC17:BC17)</f>
        <v>1</v>
      </c>
      <c r="CD17" s="8">
        <f>COUNT($BC17:BD17)</f>
        <v>2</v>
      </c>
      <c r="CE17" s="8">
        <f>COUNT($BC17:BE17)</f>
        <v>3</v>
      </c>
      <c r="CF17" s="8">
        <f>COUNT($BC17:BF17)</f>
        <v>4</v>
      </c>
      <c r="CG17" s="8">
        <f>COUNT($BC17:BG17)</f>
        <v>5</v>
      </c>
      <c r="CH17" s="8">
        <f>COUNT($BC17:BH17)</f>
        <v>6</v>
      </c>
      <c r="CI17" s="8">
        <f>COUNT($BC17:BI17)</f>
        <v>7</v>
      </c>
      <c r="CJ17" s="8">
        <f>COUNT($BC17:BJ17)</f>
        <v>8</v>
      </c>
      <c r="CK17" s="8">
        <f>COUNT($BC17:BK17)</f>
        <v>9</v>
      </c>
      <c r="CL17" s="8">
        <f>COUNT($BC17:BL17)</f>
        <v>10</v>
      </c>
      <c r="CM17" s="8">
        <f>COUNT($BC17:BM17)</f>
        <v>11</v>
      </c>
      <c r="CN17" s="8">
        <f>COUNT($BC17:BN17)</f>
        <v>12</v>
      </c>
      <c r="CO17" s="8"/>
      <c r="CP17" s="8">
        <f>COUNT($BP17:BP17)</f>
        <v>1</v>
      </c>
      <c r="CQ17" s="8">
        <f>COUNT($BP17:BQ17)</f>
        <v>2</v>
      </c>
      <c r="CR17" s="8">
        <f>COUNT($BP17:BR17)</f>
        <v>3</v>
      </c>
      <c r="CS17" s="8">
        <f>COUNT($BP17:BS17)</f>
        <v>4</v>
      </c>
      <c r="CT17" s="8">
        <f>COUNT($BP17:BT17)</f>
        <v>5</v>
      </c>
      <c r="CU17" s="8">
        <f>COUNT($BP17:BU17)</f>
        <v>6</v>
      </c>
      <c r="CV17" s="8">
        <f>COUNT($BP17:BV17)</f>
        <v>7</v>
      </c>
      <c r="CW17" s="8">
        <f>COUNT($BP17:BW17)</f>
        <v>8</v>
      </c>
      <c r="CX17" s="8">
        <f>COUNT($BP17:BX17)</f>
        <v>9</v>
      </c>
      <c r="CY17" s="8">
        <f>COUNT($BP17:BY17)</f>
        <v>10</v>
      </c>
      <c r="CZ17" s="8">
        <f>COUNT($BP17:BZ17)</f>
        <v>11</v>
      </c>
      <c r="DA17" s="8">
        <f>COUNT($BP17:CA17)</f>
        <v>12</v>
      </c>
      <c r="DC17">
        <f t="shared" si="47"/>
        <v>100</v>
      </c>
      <c r="DD17" t="str">
        <f t="shared" si="48"/>
        <v>Rollup</v>
      </c>
      <c r="DE17" t="str">
        <f t="shared" si="49"/>
        <v>100-Rollup</v>
      </c>
      <c r="DG17">
        <f t="shared" si="50"/>
        <v>12</v>
      </c>
      <c r="DH17">
        <f t="shared" si="51"/>
        <v>12</v>
      </c>
    </row>
    <row r="18" spans="2:161" x14ac:dyDescent="0.25">
      <c r="B18" s="10" t="s">
        <v>79</v>
      </c>
      <c r="C18" s="8">
        <v>2232</v>
      </c>
      <c r="D18" s="8">
        <v>2016</v>
      </c>
      <c r="E18" s="8">
        <v>2232</v>
      </c>
      <c r="F18" s="8">
        <v>2160</v>
      </c>
      <c r="G18" s="8">
        <v>2232</v>
      </c>
      <c r="H18" s="8">
        <v>2160</v>
      </c>
      <c r="I18" s="8">
        <v>2232</v>
      </c>
      <c r="J18" s="8">
        <v>2232</v>
      </c>
      <c r="K18" s="8">
        <v>2160</v>
      </c>
      <c r="L18" s="8">
        <v>2232</v>
      </c>
      <c r="M18" s="8">
        <v>2160</v>
      </c>
      <c r="N18" s="8">
        <v>2232</v>
      </c>
      <c r="O18" s="8"/>
      <c r="P18" s="8">
        <v>2201</v>
      </c>
      <c r="Q18" s="8">
        <v>1988</v>
      </c>
      <c r="R18" s="8">
        <v>2201</v>
      </c>
      <c r="S18" s="8">
        <v>2130</v>
      </c>
      <c r="T18" s="8">
        <v>2201</v>
      </c>
      <c r="U18" s="8">
        <v>2130</v>
      </c>
      <c r="V18" s="8">
        <v>2201</v>
      </c>
      <c r="W18" s="8">
        <v>2201</v>
      </c>
      <c r="X18" s="8">
        <v>2130</v>
      </c>
      <c r="Y18" s="8">
        <v>2201</v>
      </c>
      <c r="Z18" s="8">
        <v>2130</v>
      </c>
      <c r="AA18" s="8">
        <v>2201</v>
      </c>
      <c r="AC18" s="14">
        <f>C18/_xlfn.XLOOKUP(AC$5,'OC-Days'!$G:$G,'OC-Days'!$B:$B)</f>
        <v>72</v>
      </c>
      <c r="AD18" s="14">
        <f>D18/_xlfn.XLOOKUP(AD$5,'OC-Days'!$G:$G,'OC-Days'!$B:$B)</f>
        <v>72</v>
      </c>
      <c r="AE18" s="14">
        <f>E18/_xlfn.XLOOKUP(AE$5,'OC-Days'!$G:$G,'OC-Days'!$B:$B)</f>
        <v>72</v>
      </c>
      <c r="AF18" s="14">
        <f>F18/_xlfn.XLOOKUP(AF$5,'OC-Days'!$G:$G,'OC-Days'!$B:$B)</f>
        <v>72</v>
      </c>
      <c r="AG18" s="14">
        <f>G18/_xlfn.XLOOKUP(AG$5,'OC-Days'!$G:$G,'OC-Days'!$B:$B)</f>
        <v>72</v>
      </c>
      <c r="AH18" s="14">
        <f>H18/_xlfn.XLOOKUP(AH$5,'OC-Days'!$G:$G,'OC-Days'!$B:$B)</f>
        <v>72</v>
      </c>
      <c r="AI18" s="14">
        <f>I18/_xlfn.XLOOKUP(AI$5,'OC-Days'!$G:$G,'OC-Days'!$B:$B)</f>
        <v>72</v>
      </c>
      <c r="AJ18" s="14">
        <f>J18/_xlfn.XLOOKUP(AJ$5,'OC-Days'!$G:$G,'OC-Days'!$B:$B)</f>
        <v>72</v>
      </c>
      <c r="AK18" s="14">
        <f>K18/_xlfn.XLOOKUP(AK$5,'OC-Days'!$G:$G,'OC-Days'!$B:$B)</f>
        <v>72</v>
      </c>
      <c r="AL18" s="14">
        <f>L18/_xlfn.XLOOKUP(AL$5,'OC-Days'!$G:$G,'OC-Days'!$B:$B)</f>
        <v>72</v>
      </c>
      <c r="AM18" s="14">
        <f>M18/_xlfn.XLOOKUP(AM$5,'OC-Days'!$G:$G,'OC-Days'!$B:$B)</f>
        <v>72</v>
      </c>
      <c r="AN18" s="14">
        <f>N18/_xlfn.XLOOKUP(AN$5,'OC-Days'!$G:$G,'OC-Days'!$B:$B)</f>
        <v>72</v>
      </c>
      <c r="AP18" s="14">
        <f>P18/_xlfn.XLOOKUP(AP$5,'OC-Days'!$G:$G,'OC-Days'!$B:$B)</f>
        <v>71</v>
      </c>
      <c r="AQ18" s="14">
        <f>Q18/_xlfn.XLOOKUP(AQ$5,'OC-Days'!$G:$G,'OC-Days'!$B:$B)</f>
        <v>71</v>
      </c>
      <c r="AR18" s="14">
        <f>R18/_xlfn.XLOOKUP(AR$5,'OC-Days'!$G:$G,'OC-Days'!$B:$B)</f>
        <v>71</v>
      </c>
      <c r="AS18" s="14">
        <f>S18/_xlfn.XLOOKUP(AS$5,'OC-Days'!$G:$G,'OC-Days'!$B:$B)</f>
        <v>71</v>
      </c>
      <c r="AT18" s="14">
        <f>T18/_xlfn.XLOOKUP(AT$5,'OC-Days'!$G:$G,'OC-Days'!$B:$B)</f>
        <v>71</v>
      </c>
      <c r="AU18" s="14">
        <f>U18/_xlfn.XLOOKUP(AU$5,'OC-Days'!$G:$G,'OC-Days'!$B:$B)</f>
        <v>71</v>
      </c>
      <c r="AV18" s="14">
        <f>V18/_xlfn.XLOOKUP(AV$5,'OC-Days'!$G:$G,'OC-Days'!$B:$B)</f>
        <v>71</v>
      </c>
      <c r="AW18" s="14">
        <f>W18/_xlfn.XLOOKUP(AW$5,'OC-Days'!$G:$G,'OC-Days'!$B:$B)</f>
        <v>71</v>
      </c>
      <c r="AX18" s="14">
        <f>X18/_xlfn.XLOOKUP(AX$5,'OC-Days'!$G:$G,'OC-Days'!$B:$B)</f>
        <v>71</v>
      </c>
      <c r="AY18" s="14">
        <f>Y18/_xlfn.XLOOKUP(AY$5,'OC-Days'!$G:$G,'OC-Days'!$B:$B)</f>
        <v>71</v>
      </c>
      <c r="AZ18" s="14">
        <f>Z18/_xlfn.XLOOKUP(AZ$5,'OC-Days'!$G:$G,'OC-Days'!$B:$B)</f>
        <v>71</v>
      </c>
      <c r="BA18" s="14">
        <f>AA18/_xlfn.XLOOKUP(BA$5,'OC-Days'!$G:$G,'OC-Days'!$B:$B)</f>
        <v>71</v>
      </c>
      <c r="BC18" s="33">
        <f>_xlfn.XLOOKUP(BC$5,'OC-Days'!$G:$G,'OC-Days'!$F:$F)</f>
        <v>45658</v>
      </c>
      <c r="BD18" s="34" t="str">
        <f>IF(AQ18=AP18,"na",_xlfn.XLOOKUP(BD$5,'OC-Days'!$G:$G,'OC-Days'!$F:$F))</f>
        <v>na</v>
      </c>
      <c r="BE18" s="34" t="str">
        <f>IF(AR18=AQ18,"na",_xlfn.XLOOKUP(BE$5,'OC-Days'!$G:$G,'OC-Days'!$F:$F))</f>
        <v>na</v>
      </c>
      <c r="BF18" s="34" t="str">
        <f>IF(AS18=AR18,"na",_xlfn.XLOOKUP(BF$5,'OC-Days'!$G:$G,'OC-Days'!$F:$F))</f>
        <v>na</v>
      </c>
      <c r="BG18" s="34" t="str">
        <f>IF(AT18=AS18,"na",_xlfn.XLOOKUP(BG$5,'OC-Days'!$G:$G,'OC-Days'!$F:$F))</f>
        <v>na</v>
      </c>
      <c r="BH18" s="34" t="str">
        <f>IF(AU18=AT18,"na",_xlfn.XLOOKUP(BH$5,'OC-Days'!$G:$G,'OC-Days'!$F:$F))</f>
        <v>na</v>
      </c>
      <c r="BI18" s="34" t="str">
        <f>IF(AV18=AU18,"na",_xlfn.XLOOKUP(BI$5,'OC-Days'!$G:$G,'OC-Days'!$F:$F))</f>
        <v>na</v>
      </c>
      <c r="BJ18" s="34" t="str">
        <f>IF(AW18=AV18,"na",_xlfn.XLOOKUP(BJ$5,'OC-Days'!$G:$G,'OC-Days'!$F:$F))</f>
        <v>na</v>
      </c>
      <c r="BK18" s="34" t="str">
        <f>IF(AX18=AW18,"na",_xlfn.XLOOKUP(BK$5,'OC-Days'!$G:$G,'OC-Days'!$F:$F))</f>
        <v>na</v>
      </c>
      <c r="BL18" s="34" t="str">
        <f>IF(AY18=AX18,"na",_xlfn.XLOOKUP(BL$5,'OC-Days'!$G:$G,'OC-Days'!$F:$F))</f>
        <v>na</v>
      </c>
      <c r="BM18" s="34" t="str">
        <f>IF(AZ18=AY18,"na",_xlfn.XLOOKUP(BM$5,'OC-Days'!$G:$G,'OC-Days'!$F:$F))</f>
        <v>na</v>
      </c>
      <c r="BN18" s="34" t="str">
        <f>IF(BA18=AZ18,"na",_xlfn.XLOOKUP(BN$5,'OC-Days'!$G:$G,'OC-Days'!$F:$F))</f>
        <v>na</v>
      </c>
      <c r="BP18" s="36" t="str">
        <f t="shared" si="35"/>
        <v>na</v>
      </c>
      <c r="BQ18" s="36" t="str">
        <f t="shared" si="36"/>
        <v>na</v>
      </c>
      <c r="BR18" s="36" t="str">
        <f t="shared" si="37"/>
        <v>na</v>
      </c>
      <c r="BS18" s="36" t="str">
        <f t="shared" si="38"/>
        <v>na</v>
      </c>
      <c r="BT18" s="36" t="str">
        <f t="shared" si="39"/>
        <v>na</v>
      </c>
      <c r="BU18" s="36" t="str">
        <f t="shared" si="40"/>
        <v>na</v>
      </c>
      <c r="BV18" s="36" t="str">
        <f t="shared" si="41"/>
        <v>na</v>
      </c>
      <c r="BW18" s="36" t="str">
        <f t="shared" si="42"/>
        <v>na</v>
      </c>
      <c r="BX18" s="36" t="str">
        <f t="shared" si="43"/>
        <v>na</v>
      </c>
      <c r="BY18" s="36" t="str">
        <f t="shared" si="44"/>
        <v>na</v>
      </c>
      <c r="BZ18" s="36" t="str">
        <f t="shared" si="45"/>
        <v>na</v>
      </c>
      <c r="CA18" s="43">
        <f t="shared" si="46"/>
        <v>46022</v>
      </c>
      <c r="CC18" s="8">
        <f>COUNT($BC18:BC18)</f>
        <v>1</v>
      </c>
      <c r="CD18" s="8">
        <f>COUNT($BC18:BD18)</f>
        <v>1</v>
      </c>
      <c r="CE18" s="8">
        <f>COUNT($BC18:BE18)</f>
        <v>1</v>
      </c>
      <c r="CF18" s="8">
        <f>COUNT($BC18:BF18)</f>
        <v>1</v>
      </c>
      <c r="CG18" s="8">
        <f>COUNT($BC18:BG18)</f>
        <v>1</v>
      </c>
      <c r="CH18" s="8">
        <f>COUNT($BC18:BH18)</f>
        <v>1</v>
      </c>
      <c r="CI18" s="8">
        <f>COUNT($BC18:BI18)</f>
        <v>1</v>
      </c>
      <c r="CJ18" s="8">
        <f>COUNT($BC18:BJ18)</f>
        <v>1</v>
      </c>
      <c r="CK18" s="8">
        <f>COUNT($BC18:BK18)</f>
        <v>1</v>
      </c>
      <c r="CL18" s="8">
        <f>COUNT($BC18:BL18)</f>
        <v>1</v>
      </c>
      <c r="CM18" s="8">
        <f>COUNT($BC18:BM18)</f>
        <v>1</v>
      </c>
      <c r="CN18" s="8">
        <f>COUNT($BC18:BN18)</f>
        <v>1</v>
      </c>
      <c r="CO18" s="8"/>
      <c r="CP18" s="8">
        <f>COUNT($BP18:BP18)</f>
        <v>0</v>
      </c>
      <c r="CQ18" s="8">
        <f>COUNT($BP18:BQ18)</f>
        <v>0</v>
      </c>
      <c r="CR18" s="8">
        <f>COUNT($BP18:BR18)</f>
        <v>0</v>
      </c>
      <c r="CS18" s="8">
        <f>COUNT($BP18:BS18)</f>
        <v>0</v>
      </c>
      <c r="CT18" s="8">
        <f>COUNT($BP18:BT18)</f>
        <v>0</v>
      </c>
      <c r="CU18" s="8">
        <f>COUNT($BP18:BU18)</f>
        <v>0</v>
      </c>
      <c r="CV18" s="8">
        <f>COUNT($BP18:BV18)</f>
        <v>0</v>
      </c>
      <c r="CW18" s="8">
        <f>COUNT($BP18:BW18)</f>
        <v>0</v>
      </c>
      <c r="CX18" s="8">
        <f>COUNT($BP18:BX18)</f>
        <v>0</v>
      </c>
      <c r="CY18" s="8">
        <f>COUNT($BP18:BY18)</f>
        <v>0</v>
      </c>
      <c r="CZ18" s="8">
        <f>COUNT($BP18:BZ18)</f>
        <v>0</v>
      </c>
      <c r="DA18" s="8">
        <f>COUNT($BP18:CA18)</f>
        <v>1</v>
      </c>
      <c r="DC18">
        <f t="shared" si="47"/>
        <v>200</v>
      </c>
      <c r="DD18">
        <f t="shared" si="48"/>
        <v>21</v>
      </c>
      <c r="DE18" t="str">
        <f t="shared" si="49"/>
        <v>200-21</v>
      </c>
      <c r="DG18">
        <f t="shared" si="50"/>
        <v>1</v>
      </c>
      <c r="DH18">
        <f t="shared" si="51"/>
        <v>1</v>
      </c>
      <c r="DJ18" s="44" cm="1">
        <f t="array" ref="DJ18">IF(DJ$5&lt;=$DG18,INDEX($BC18:$BN18,1,_xlfn.XMATCH(DJ$5,$CC18:$CN18)),"na")</f>
        <v>45658</v>
      </c>
      <c r="DK18" s="45" cm="1">
        <f t="array" ref="DK18">IF(DK$5&lt;=$DH18,INDEX($BP18:$CA18,1,_xlfn.XMATCH(DK$5,$CP18:$DA18)),"na")</f>
        <v>46022</v>
      </c>
      <c r="DL18" s="46" cm="1">
        <f t="array" ref="DL18">IF(DL$5&lt;=$DG18,INDEX($AC18:$AN18,1,_xlfn.XMATCH(DL$5,$CC18:$CN18)),"na")</f>
        <v>72</v>
      </c>
      <c r="DM18" s="47" cm="1">
        <f t="array" ref="DM18">IF(DM$5&lt;=$DG18,INDEX($AP18:$BA18,1,_xlfn.XMATCH(DM$5,$CC18:$CN18)),"na")</f>
        <v>71</v>
      </c>
      <c r="DN18" s="44" t="str" cm="1">
        <f t="array" ref="DN18">IF(DN$5&lt;=$DG18,INDEX($BC18:$BN18,1,_xlfn.XMATCH(DN$5,$CC18:$CN18)),"na")</f>
        <v>na</v>
      </c>
      <c r="DO18" s="45" t="str" cm="1">
        <f t="array" ref="DO18">IF(DO$5&lt;=$DH18,INDEX($BP18:$CA18,1,_xlfn.XMATCH(DO$5,$CP18:$DA18)),"na")</f>
        <v>na</v>
      </c>
      <c r="DP18" s="46" t="str" cm="1">
        <f t="array" ref="DP18">IF(DP$5&lt;=$DG18,INDEX($AC18:$AN18,1,_xlfn.XMATCH(DP$5,$CC18:$CN18)),"na")</f>
        <v>na</v>
      </c>
      <c r="DQ18" s="47" t="str" cm="1">
        <f t="array" ref="DQ18">IF(DQ$5&lt;=$DG18,INDEX($AP18:$BA18,1,_xlfn.XMATCH(DQ$5,$CC18:$CN18)),"na")</f>
        <v>na</v>
      </c>
      <c r="DR18" s="44" t="str" cm="1">
        <f t="array" ref="DR18">IF(DR$5&lt;=$DG18,INDEX($BC18:$BN18,1,_xlfn.XMATCH(DR$5,$CC18:$CN18)),"na")</f>
        <v>na</v>
      </c>
      <c r="DS18" s="45" t="str" cm="1">
        <f t="array" ref="DS18">IF(DS$5&lt;=$DH18,INDEX($BP18:$CA18,1,_xlfn.XMATCH(DS$5,$CP18:$DA18)),"na")</f>
        <v>na</v>
      </c>
      <c r="DT18" s="46" t="str" cm="1">
        <f t="array" ref="DT18">IF(DT$5&lt;=$DG18,INDEX($AC18:$AN18,1,_xlfn.XMATCH(DT$5,$CC18:$CN18)),"na")</f>
        <v>na</v>
      </c>
      <c r="DU18" s="47" t="str" cm="1">
        <f t="array" ref="DU18">IF(DU$5&lt;=$DG18,INDEX($AP18:$BA18,1,_xlfn.XMATCH(DU$5,$CC18:$CN18)),"na")</f>
        <v>na</v>
      </c>
      <c r="DV18" s="44" t="str" cm="1">
        <f t="array" ref="DV18">IF(DV$5&lt;=$DG18,INDEX($BC18:$BN18,1,_xlfn.XMATCH(DV$5,$CC18:$CN18)),"na")</f>
        <v>na</v>
      </c>
      <c r="DW18" s="45" t="str" cm="1">
        <f t="array" ref="DW18">IF(DW$5&lt;=$DH18,INDEX($BP18:$CA18,1,_xlfn.XMATCH(DW$5,$CP18:$DA18)),"na")</f>
        <v>na</v>
      </c>
      <c r="DX18" s="46" t="str" cm="1">
        <f t="array" ref="DX18">IF(DX$5&lt;=$DG18,INDEX($AC18:$AN18,1,_xlfn.XMATCH(DX$5,$CC18:$CN18)),"na")</f>
        <v>na</v>
      </c>
      <c r="DY18" s="47" t="str" cm="1">
        <f t="array" ref="DY18">IF(DY$5&lt;=$DG18,INDEX($AP18:$BA18,1,_xlfn.XMATCH(DY$5,$CC18:$CN18)),"na")</f>
        <v>na</v>
      </c>
      <c r="DZ18" s="44" t="str" cm="1">
        <f t="array" ref="DZ18">IF(DZ$5&lt;=$DG18,INDEX($BC18:$BN18,1,_xlfn.XMATCH(DZ$5,$CC18:$CN18)),"na")</f>
        <v>na</v>
      </c>
      <c r="EA18" s="45" t="str" cm="1">
        <f t="array" ref="EA18">IF(EA$5&lt;=$DH18,INDEX($BP18:$CA18,1,_xlfn.XMATCH(EA$5,$CP18:$DA18)),"na")</f>
        <v>na</v>
      </c>
      <c r="EB18" s="46" t="str" cm="1">
        <f t="array" ref="EB18">IF(EB$5&lt;=$DG18,INDEX($AC18:$AN18,1,_xlfn.XMATCH(EB$5,$CC18:$CN18)),"na")</f>
        <v>na</v>
      </c>
      <c r="EC18" s="47" t="str" cm="1">
        <f t="array" ref="EC18">IF(EC$5&lt;=$DG18,INDEX($AP18:$BA18,1,_xlfn.XMATCH(EC$5,$CC18:$CN18)),"na")</f>
        <v>na</v>
      </c>
      <c r="ED18" s="44" t="str" cm="1">
        <f t="array" ref="ED18">IF(ED$5&lt;=$DG18,INDEX($BC18:$BN18,1,_xlfn.XMATCH(ED$5,$CC18:$CN18)),"na")</f>
        <v>na</v>
      </c>
      <c r="EE18" s="45" t="str" cm="1">
        <f t="array" ref="EE18">IF(EE$5&lt;=$DH18,INDEX($BP18:$CA18,1,_xlfn.XMATCH(EE$5,$CP18:$DA18)),"na")</f>
        <v>na</v>
      </c>
      <c r="EF18" s="46" t="str" cm="1">
        <f t="array" ref="EF18">IF(EF$5&lt;=$DG18,INDEX($AC18:$AN18,1,_xlfn.XMATCH(EF$5,$CC18:$CN18)),"na")</f>
        <v>na</v>
      </c>
      <c r="EG18" s="47" t="str" cm="1">
        <f t="array" ref="EG18">IF(EG$5&lt;=$DG18,INDEX($AP18:$BA18,1,_xlfn.XMATCH(EG$5,$CC18:$CN18)),"na")</f>
        <v>na</v>
      </c>
      <c r="EH18" s="44" t="str" cm="1">
        <f t="array" ref="EH18">IF(EH$5&lt;=$DG18,INDEX($BC18:$BN18,1,_xlfn.XMATCH(EH$5,$CC18:$CN18)),"na")</f>
        <v>na</v>
      </c>
      <c r="EI18" s="45" t="str" cm="1">
        <f t="array" ref="EI18">IF(EI$5&lt;=$DH18,INDEX($BP18:$CA18,1,_xlfn.XMATCH(EI$5,$CP18:$DA18)),"na")</f>
        <v>na</v>
      </c>
      <c r="EJ18" s="46" t="str" cm="1">
        <f t="array" ref="EJ18">IF(EJ$5&lt;=$DG18,INDEX($AC18:$AN18,1,_xlfn.XMATCH(EJ$5,$CC18:$CN18)),"na")</f>
        <v>na</v>
      </c>
      <c r="EK18" s="47" t="str" cm="1">
        <f t="array" ref="EK18">IF(EK$5&lt;=$DG18,INDEX($AP18:$BA18,1,_xlfn.XMATCH(EK$5,$CC18:$CN18)),"na")</f>
        <v>na</v>
      </c>
      <c r="EL18" s="44" t="str" cm="1">
        <f t="array" ref="EL18">IF(EL$5&lt;=$DG18,INDEX($BC18:$BN18,1,_xlfn.XMATCH(EL$5,$CC18:$CN18)),"na")</f>
        <v>na</v>
      </c>
      <c r="EM18" s="45" t="str" cm="1">
        <f t="array" ref="EM18">IF(EM$5&lt;=$DH18,INDEX($BP18:$CA18,1,_xlfn.XMATCH(EM$5,$CP18:$DA18)),"na")</f>
        <v>na</v>
      </c>
      <c r="EN18" s="46" t="str" cm="1">
        <f t="array" ref="EN18">IF(EN$5&lt;=$DG18,INDEX($AC18:$AN18,1,_xlfn.XMATCH(EN$5,$CC18:$CN18)),"na")</f>
        <v>na</v>
      </c>
      <c r="EO18" s="47" t="str" cm="1">
        <f t="array" ref="EO18">IF(EO$5&lt;=$DG18,INDEX($AP18:$BA18,1,_xlfn.XMATCH(EO$5,$CC18:$CN18)),"na")</f>
        <v>na</v>
      </c>
      <c r="EP18" s="44" t="str" cm="1">
        <f t="array" ref="EP18">IF(EP$5&lt;=$DG18,INDEX($BC18:$BN18,1,_xlfn.XMATCH(EP$5,$CC18:$CN18)),"na")</f>
        <v>na</v>
      </c>
      <c r="EQ18" s="45" t="str" cm="1">
        <f t="array" ref="EQ18">IF(EQ$5&lt;=$DH18,INDEX($BP18:$CA18,1,_xlfn.XMATCH(EQ$5,$CP18:$DA18)),"na")</f>
        <v>na</v>
      </c>
      <c r="ER18" s="46" t="str" cm="1">
        <f t="array" ref="ER18">IF(ER$5&lt;=$DG18,INDEX($AC18:$AN18,1,_xlfn.XMATCH(ER$5,$CC18:$CN18)),"na")</f>
        <v>na</v>
      </c>
      <c r="ES18" s="47" t="str" cm="1">
        <f t="array" ref="ES18">IF(ES$5&lt;=$DG18,INDEX($AP18:$BA18,1,_xlfn.XMATCH(ES$5,$CC18:$CN18)),"na")</f>
        <v>na</v>
      </c>
      <c r="ET18" s="44" t="str" cm="1">
        <f t="array" ref="ET18">IF(ET$5&lt;=$DG18,INDEX($BC18:$BN18,1,_xlfn.XMATCH(ET$5,$CC18:$CN18)),"na")</f>
        <v>na</v>
      </c>
      <c r="EU18" s="45" t="str" cm="1">
        <f t="array" ref="EU18">IF(EU$5&lt;=$DH18,INDEX($BP18:$CA18,1,_xlfn.XMATCH(EU$5,$CP18:$DA18)),"na")</f>
        <v>na</v>
      </c>
      <c r="EV18" s="46" t="str" cm="1">
        <f t="array" ref="EV18">IF(EV$5&lt;=$DG18,INDEX($AC18:$AN18,1,_xlfn.XMATCH(EV$5,$CC18:$CN18)),"na")</f>
        <v>na</v>
      </c>
      <c r="EW18" s="47" t="str" cm="1">
        <f t="array" ref="EW18">IF(EW$5&lt;=$DG18,INDEX($AP18:$BA18,1,_xlfn.XMATCH(EW$5,$CC18:$CN18)),"na")</f>
        <v>na</v>
      </c>
      <c r="EX18" s="44" t="str" cm="1">
        <f t="array" ref="EX18">IF(EX$5&lt;=$DG18,INDEX($BC18:$BN18,1,_xlfn.XMATCH(EX$5,$CC18:$CN18)),"na")</f>
        <v>na</v>
      </c>
      <c r="EY18" s="45" t="str" cm="1">
        <f t="array" ref="EY18">IF(EY$5&lt;=$DH18,INDEX($BP18:$CA18,1,_xlfn.XMATCH(EY$5,$CP18:$DA18)),"na")</f>
        <v>na</v>
      </c>
      <c r="EZ18" s="46" t="str" cm="1">
        <f t="array" ref="EZ18">IF(EZ$5&lt;=$DG18,INDEX($AC18:$AN18,1,_xlfn.XMATCH(EZ$5,$CC18:$CN18)),"na")</f>
        <v>na</v>
      </c>
      <c r="FA18" s="47" t="str" cm="1">
        <f t="array" ref="FA18">IF(FA$5&lt;=$DG18,INDEX($AP18:$BA18,1,_xlfn.XMATCH(FA$5,$CC18:$CN18)),"na")</f>
        <v>na</v>
      </c>
      <c r="FB18" s="44" t="str" cm="1">
        <f t="array" ref="FB18">IF(FB$5&lt;=$DG18,INDEX($BC18:$BN18,1,_xlfn.XMATCH(FB$5,$CC18:$CN18)),"na")</f>
        <v>na</v>
      </c>
      <c r="FC18" s="45" t="str" cm="1">
        <f t="array" ref="FC18">IF(FC$5&lt;=$DH18,INDEX($BP18:$CA18,1,_xlfn.XMATCH(FC$5,$CP18:$DA18)),"na")</f>
        <v>na</v>
      </c>
      <c r="FD18" s="46" t="str" cm="1">
        <f t="array" ref="FD18">IF(FD$5&lt;=$DG18,INDEX($AC18:$AN18,1,_xlfn.XMATCH(FD$5,$CC18:$CN18)),"na")</f>
        <v>na</v>
      </c>
      <c r="FE18" s="47" t="str" cm="1">
        <f t="array" ref="FE18">IF(FE$5&lt;=$DG18,INDEX($AP18:$BA18,1,_xlfn.XMATCH(FE$5,$CC18:$CN18)),"na")</f>
        <v>na</v>
      </c>
    </row>
    <row r="19" spans="2:161" x14ac:dyDescent="0.25">
      <c r="B19" s="10" t="s">
        <v>80</v>
      </c>
      <c r="C19" s="8">
        <v>4402</v>
      </c>
      <c r="D19" s="8">
        <v>3976</v>
      </c>
      <c r="E19" s="8">
        <v>4402</v>
      </c>
      <c r="F19" s="8">
        <v>4260</v>
      </c>
      <c r="G19" s="8">
        <v>4402</v>
      </c>
      <c r="H19" s="8">
        <v>4260</v>
      </c>
      <c r="I19" s="8">
        <v>4402</v>
      </c>
      <c r="J19" s="8">
        <v>4402</v>
      </c>
      <c r="K19" s="8">
        <v>4260</v>
      </c>
      <c r="L19" s="8">
        <v>4402</v>
      </c>
      <c r="M19" s="8">
        <v>4260</v>
      </c>
      <c r="N19" s="8">
        <v>4402</v>
      </c>
      <c r="O19" s="8"/>
      <c r="P19" s="8">
        <v>4154</v>
      </c>
      <c r="Q19" s="8">
        <v>3752</v>
      </c>
      <c r="R19" s="8">
        <v>4154</v>
      </c>
      <c r="S19" s="8">
        <v>4020</v>
      </c>
      <c r="T19" s="8">
        <v>4154</v>
      </c>
      <c r="U19" s="8">
        <v>4020</v>
      </c>
      <c r="V19" s="8">
        <v>4154</v>
      </c>
      <c r="W19" s="8">
        <v>4154</v>
      </c>
      <c r="X19" s="8">
        <v>4020</v>
      </c>
      <c r="Y19" s="8">
        <v>4154</v>
      </c>
      <c r="Z19" s="8">
        <v>4020</v>
      </c>
      <c r="AA19" s="8">
        <v>4154</v>
      </c>
      <c r="AC19" s="14">
        <f>C19/_xlfn.XLOOKUP(AC$5,'OC-Days'!$G:$G,'OC-Days'!$B:$B)</f>
        <v>142</v>
      </c>
      <c r="AD19" s="14">
        <f>D19/_xlfn.XLOOKUP(AD$5,'OC-Days'!$G:$G,'OC-Days'!$B:$B)</f>
        <v>142</v>
      </c>
      <c r="AE19" s="14">
        <f>E19/_xlfn.XLOOKUP(AE$5,'OC-Days'!$G:$G,'OC-Days'!$B:$B)</f>
        <v>142</v>
      </c>
      <c r="AF19" s="14">
        <f>F19/_xlfn.XLOOKUP(AF$5,'OC-Days'!$G:$G,'OC-Days'!$B:$B)</f>
        <v>142</v>
      </c>
      <c r="AG19" s="14">
        <f>G19/_xlfn.XLOOKUP(AG$5,'OC-Days'!$G:$G,'OC-Days'!$B:$B)</f>
        <v>142</v>
      </c>
      <c r="AH19" s="14">
        <f>H19/_xlfn.XLOOKUP(AH$5,'OC-Days'!$G:$G,'OC-Days'!$B:$B)</f>
        <v>142</v>
      </c>
      <c r="AI19" s="14">
        <f>I19/_xlfn.XLOOKUP(AI$5,'OC-Days'!$G:$G,'OC-Days'!$B:$B)</f>
        <v>142</v>
      </c>
      <c r="AJ19" s="14">
        <f>J19/_xlfn.XLOOKUP(AJ$5,'OC-Days'!$G:$G,'OC-Days'!$B:$B)</f>
        <v>142</v>
      </c>
      <c r="AK19" s="14">
        <f>K19/_xlfn.XLOOKUP(AK$5,'OC-Days'!$G:$G,'OC-Days'!$B:$B)</f>
        <v>142</v>
      </c>
      <c r="AL19" s="14">
        <f>L19/_xlfn.XLOOKUP(AL$5,'OC-Days'!$G:$G,'OC-Days'!$B:$B)</f>
        <v>142</v>
      </c>
      <c r="AM19" s="14">
        <f>M19/_xlfn.XLOOKUP(AM$5,'OC-Days'!$G:$G,'OC-Days'!$B:$B)</f>
        <v>142</v>
      </c>
      <c r="AN19" s="14">
        <f>N19/_xlfn.XLOOKUP(AN$5,'OC-Days'!$G:$G,'OC-Days'!$B:$B)</f>
        <v>142</v>
      </c>
      <c r="AP19" s="14">
        <f>P19/_xlfn.XLOOKUP(AP$5,'OC-Days'!$G:$G,'OC-Days'!$B:$B)</f>
        <v>134</v>
      </c>
      <c r="AQ19" s="14">
        <f>Q19/_xlfn.XLOOKUP(AQ$5,'OC-Days'!$G:$G,'OC-Days'!$B:$B)</f>
        <v>134</v>
      </c>
      <c r="AR19" s="14">
        <f>R19/_xlfn.XLOOKUP(AR$5,'OC-Days'!$G:$G,'OC-Days'!$B:$B)</f>
        <v>134</v>
      </c>
      <c r="AS19" s="14">
        <f>S19/_xlfn.XLOOKUP(AS$5,'OC-Days'!$G:$G,'OC-Days'!$B:$B)</f>
        <v>134</v>
      </c>
      <c r="AT19" s="14">
        <f>T19/_xlfn.XLOOKUP(AT$5,'OC-Days'!$G:$G,'OC-Days'!$B:$B)</f>
        <v>134</v>
      </c>
      <c r="AU19" s="14">
        <f>U19/_xlfn.XLOOKUP(AU$5,'OC-Days'!$G:$G,'OC-Days'!$B:$B)</f>
        <v>134</v>
      </c>
      <c r="AV19" s="14">
        <f>V19/_xlfn.XLOOKUP(AV$5,'OC-Days'!$G:$G,'OC-Days'!$B:$B)</f>
        <v>134</v>
      </c>
      <c r="AW19" s="14">
        <f>W19/_xlfn.XLOOKUP(AW$5,'OC-Days'!$G:$G,'OC-Days'!$B:$B)</f>
        <v>134</v>
      </c>
      <c r="AX19" s="14">
        <f>X19/_xlfn.XLOOKUP(AX$5,'OC-Days'!$G:$G,'OC-Days'!$B:$B)</f>
        <v>134</v>
      </c>
      <c r="AY19" s="14">
        <f>Y19/_xlfn.XLOOKUP(AY$5,'OC-Days'!$G:$G,'OC-Days'!$B:$B)</f>
        <v>134</v>
      </c>
      <c r="AZ19" s="14">
        <f>Z19/_xlfn.XLOOKUP(AZ$5,'OC-Days'!$G:$G,'OC-Days'!$B:$B)</f>
        <v>134</v>
      </c>
      <c r="BA19" s="14">
        <f>AA19/_xlfn.XLOOKUP(BA$5,'OC-Days'!$G:$G,'OC-Days'!$B:$B)</f>
        <v>134</v>
      </c>
      <c r="BC19" s="33">
        <f>_xlfn.XLOOKUP(BC$5,'OC-Days'!$G:$G,'OC-Days'!$F:$F)</f>
        <v>45658</v>
      </c>
      <c r="BD19" s="34" t="str">
        <f>IF(AQ19=AP19,"na",_xlfn.XLOOKUP(BD$5,'OC-Days'!$G:$G,'OC-Days'!$F:$F))</f>
        <v>na</v>
      </c>
      <c r="BE19" s="34" t="str">
        <f>IF(AR19=AQ19,"na",_xlfn.XLOOKUP(BE$5,'OC-Days'!$G:$G,'OC-Days'!$F:$F))</f>
        <v>na</v>
      </c>
      <c r="BF19" s="34" t="str">
        <f>IF(AS19=AR19,"na",_xlfn.XLOOKUP(BF$5,'OC-Days'!$G:$G,'OC-Days'!$F:$F))</f>
        <v>na</v>
      </c>
      <c r="BG19" s="34" t="str">
        <f>IF(AT19=AS19,"na",_xlfn.XLOOKUP(BG$5,'OC-Days'!$G:$G,'OC-Days'!$F:$F))</f>
        <v>na</v>
      </c>
      <c r="BH19" s="34" t="str">
        <f>IF(AU19=AT19,"na",_xlfn.XLOOKUP(BH$5,'OC-Days'!$G:$G,'OC-Days'!$F:$F))</f>
        <v>na</v>
      </c>
      <c r="BI19" s="34" t="str">
        <f>IF(AV19=AU19,"na",_xlfn.XLOOKUP(BI$5,'OC-Days'!$G:$G,'OC-Days'!$F:$F))</f>
        <v>na</v>
      </c>
      <c r="BJ19" s="34" t="str">
        <f>IF(AW19=AV19,"na",_xlfn.XLOOKUP(BJ$5,'OC-Days'!$G:$G,'OC-Days'!$F:$F))</f>
        <v>na</v>
      </c>
      <c r="BK19" s="34" t="str">
        <f>IF(AX19=AW19,"na",_xlfn.XLOOKUP(BK$5,'OC-Days'!$G:$G,'OC-Days'!$F:$F))</f>
        <v>na</v>
      </c>
      <c r="BL19" s="34" t="str">
        <f>IF(AY19=AX19,"na",_xlfn.XLOOKUP(BL$5,'OC-Days'!$G:$G,'OC-Days'!$F:$F))</f>
        <v>na</v>
      </c>
      <c r="BM19" s="34" t="str">
        <f>IF(AZ19=AY19,"na",_xlfn.XLOOKUP(BM$5,'OC-Days'!$G:$G,'OC-Days'!$F:$F))</f>
        <v>na</v>
      </c>
      <c r="BN19" s="34" t="str">
        <f>IF(BA19=AZ19,"na",_xlfn.XLOOKUP(BN$5,'OC-Days'!$G:$G,'OC-Days'!$F:$F))</f>
        <v>na</v>
      </c>
      <c r="BP19" s="36" t="str">
        <f t="shared" si="35"/>
        <v>na</v>
      </c>
      <c r="BQ19" s="36" t="str">
        <f t="shared" si="36"/>
        <v>na</v>
      </c>
      <c r="BR19" s="36" t="str">
        <f t="shared" si="37"/>
        <v>na</v>
      </c>
      <c r="BS19" s="36" t="str">
        <f t="shared" si="38"/>
        <v>na</v>
      </c>
      <c r="BT19" s="36" t="str">
        <f t="shared" si="39"/>
        <v>na</v>
      </c>
      <c r="BU19" s="36" t="str">
        <f t="shared" si="40"/>
        <v>na</v>
      </c>
      <c r="BV19" s="36" t="str">
        <f t="shared" si="41"/>
        <v>na</v>
      </c>
      <c r="BW19" s="36" t="str">
        <f t="shared" si="42"/>
        <v>na</v>
      </c>
      <c r="BX19" s="36" t="str">
        <f t="shared" si="43"/>
        <v>na</v>
      </c>
      <c r="BY19" s="36" t="str">
        <f t="shared" si="44"/>
        <v>na</v>
      </c>
      <c r="BZ19" s="36" t="str">
        <f t="shared" si="45"/>
        <v>na</v>
      </c>
      <c r="CA19" s="43">
        <f t="shared" si="46"/>
        <v>46022</v>
      </c>
      <c r="CC19" s="8">
        <f>COUNT($BC19:BC19)</f>
        <v>1</v>
      </c>
      <c r="CD19" s="8">
        <f>COUNT($BC19:BD19)</f>
        <v>1</v>
      </c>
      <c r="CE19" s="8">
        <f>COUNT($BC19:BE19)</f>
        <v>1</v>
      </c>
      <c r="CF19" s="8">
        <f>COUNT($BC19:BF19)</f>
        <v>1</v>
      </c>
      <c r="CG19" s="8">
        <f>COUNT($BC19:BG19)</f>
        <v>1</v>
      </c>
      <c r="CH19" s="8">
        <f>COUNT($BC19:BH19)</f>
        <v>1</v>
      </c>
      <c r="CI19" s="8">
        <f>COUNT($BC19:BI19)</f>
        <v>1</v>
      </c>
      <c r="CJ19" s="8">
        <f>COUNT($BC19:BJ19)</f>
        <v>1</v>
      </c>
      <c r="CK19" s="8">
        <f>COUNT($BC19:BK19)</f>
        <v>1</v>
      </c>
      <c r="CL19" s="8">
        <f>COUNT($BC19:BL19)</f>
        <v>1</v>
      </c>
      <c r="CM19" s="8">
        <f>COUNT($BC19:BM19)</f>
        <v>1</v>
      </c>
      <c r="CN19" s="8">
        <f>COUNT($BC19:BN19)</f>
        <v>1</v>
      </c>
      <c r="CO19" s="8"/>
      <c r="CP19" s="8">
        <f>COUNT($BP19:BP19)</f>
        <v>0</v>
      </c>
      <c r="CQ19" s="8">
        <f>COUNT($BP19:BQ19)</f>
        <v>0</v>
      </c>
      <c r="CR19" s="8">
        <f>COUNT($BP19:BR19)</f>
        <v>0</v>
      </c>
      <c r="CS19" s="8">
        <f>COUNT($BP19:BS19)</f>
        <v>0</v>
      </c>
      <c r="CT19" s="8">
        <f>COUNT($BP19:BT19)</f>
        <v>0</v>
      </c>
      <c r="CU19" s="8">
        <f>COUNT($BP19:BU19)</f>
        <v>0</v>
      </c>
      <c r="CV19" s="8">
        <f>COUNT($BP19:BV19)</f>
        <v>0</v>
      </c>
      <c r="CW19" s="8">
        <f>COUNT($BP19:BW19)</f>
        <v>0</v>
      </c>
      <c r="CX19" s="8">
        <f>COUNT($BP19:BX19)</f>
        <v>0</v>
      </c>
      <c r="CY19" s="8">
        <f>COUNT($BP19:BY19)</f>
        <v>0</v>
      </c>
      <c r="CZ19" s="8">
        <f>COUNT($BP19:BZ19)</f>
        <v>0</v>
      </c>
      <c r="DA19" s="8">
        <f>COUNT($BP19:CA19)</f>
        <v>1</v>
      </c>
      <c r="DC19">
        <f t="shared" si="47"/>
        <v>200</v>
      </c>
      <c r="DD19">
        <f t="shared" si="48"/>
        <v>31</v>
      </c>
      <c r="DE19" t="str">
        <f t="shared" si="49"/>
        <v>200-31</v>
      </c>
      <c r="DG19">
        <f t="shared" si="50"/>
        <v>1</v>
      </c>
      <c r="DH19">
        <f t="shared" si="51"/>
        <v>1</v>
      </c>
      <c r="DJ19" s="44" cm="1">
        <f t="array" ref="DJ19">IF(DJ$5&lt;=$DG19,INDEX($BC19:$BN19,1,_xlfn.XMATCH(DJ$5,$CC19:$CN19)),"na")</f>
        <v>45658</v>
      </c>
      <c r="DK19" s="45" cm="1">
        <f t="array" ref="DK19">IF(DK$5&lt;=$DH19,INDEX($BP19:$CA19,1,_xlfn.XMATCH(DK$5,$CP19:$DA19)),"na")</f>
        <v>46022</v>
      </c>
      <c r="DL19" s="46" cm="1">
        <f t="array" ref="DL19">IF(DL$5&lt;=$DG19,INDEX($AC19:$AN19,1,_xlfn.XMATCH(DL$5,$CC19:$CN19)),"na")</f>
        <v>142</v>
      </c>
      <c r="DM19" s="47" cm="1">
        <f t="array" ref="DM19">IF(DM$5&lt;=$DG19,INDEX($AP19:$BA19,1,_xlfn.XMATCH(DM$5,$CC19:$CN19)),"na")</f>
        <v>134</v>
      </c>
      <c r="DN19" s="44" t="str" cm="1">
        <f t="array" ref="DN19">IF(DN$5&lt;=$DG19,INDEX($BC19:$BN19,1,_xlfn.XMATCH(DN$5,$CC19:$CN19)),"na")</f>
        <v>na</v>
      </c>
      <c r="DO19" s="45" t="str" cm="1">
        <f t="array" ref="DO19">IF(DO$5&lt;=$DH19,INDEX($BP19:$CA19,1,_xlfn.XMATCH(DO$5,$CP19:$DA19)),"na")</f>
        <v>na</v>
      </c>
      <c r="DP19" s="46" t="str" cm="1">
        <f t="array" ref="DP19">IF(DP$5&lt;=$DG19,INDEX($AC19:$AN19,1,_xlfn.XMATCH(DP$5,$CC19:$CN19)),"na")</f>
        <v>na</v>
      </c>
      <c r="DQ19" s="47" t="str" cm="1">
        <f t="array" ref="DQ19">IF(DQ$5&lt;=$DG19,INDEX($AP19:$BA19,1,_xlfn.XMATCH(DQ$5,$CC19:$CN19)),"na")</f>
        <v>na</v>
      </c>
      <c r="DR19" s="44" t="str" cm="1">
        <f t="array" ref="DR19">IF(DR$5&lt;=$DG19,INDEX($BC19:$BN19,1,_xlfn.XMATCH(DR$5,$CC19:$CN19)),"na")</f>
        <v>na</v>
      </c>
      <c r="DS19" s="45" t="str" cm="1">
        <f t="array" ref="DS19">IF(DS$5&lt;=$DH19,INDEX($BP19:$CA19,1,_xlfn.XMATCH(DS$5,$CP19:$DA19)),"na")</f>
        <v>na</v>
      </c>
      <c r="DT19" s="46" t="str" cm="1">
        <f t="array" ref="DT19">IF(DT$5&lt;=$DG19,INDEX($AC19:$AN19,1,_xlfn.XMATCH(DT$5,$CC19:$CN19)),"na")</f>
        <v>na</v>
      </c>
      <c r="DU19" s="47" t="str" cm="1">
        <f t="array" ref="DU19">IF(DU$5&lt;=$DG19,INDEX($AP19:$BA19,1,_xlfn.XMATCH(DU$5,$CC19:$CN19)),"na")</f>
        <v>na</v>
      </c>
      <c r="DV19" s="44" t="str" cm="1">
        <f t="array" ref="DV19">IF(DV$5&lt;=$DG19,INDEX($BC19:$BN19,1,_xlfn.XMATCH(DV$5,$CC19:$CN19)),"na")</f>
        <v>na</v>
      </c>
      <c r="DW19" s="45" t="str" cm="1">
        <f t="array" ref="DW19">IF(DW$5&lt;=$DH19,INDEX($BP19:$CA19,1,_xlfn.XMATCH(DW$5,$CP19:$DA19)),"na")</f>
        <v>na</v>
      </c>
      <c r="DX19" s="46" t="str" cm="1">
        <f t="array" ref="DX19">IF(DX$5&lt;=$DG19,INDEX($AC19:$AN19,1,_xlfn.XMATCH(DX$5,$CC19:$CN19)),"na")</f>
        <v>na</v>
      </c>
      <c r="DY19" s="47" t="str" cm="1">
        <f t="array" ref="DY19">IF(DY$5&lt;=$DG19,INDEX($AP19:$BA19,1,_xlfn.XMATCH(DY$5,$CC19:$CN19)),"na")</f>
        <v>na</v>
      </c>
      <c r="DZ19" s="44" t="str" cm="1">
        <f t="array" ref="DZ19">IF(DZ$5&lt;=$DG19,INDEX($BC19:$BN19,1,_xlfn.XMATCH(DZ$5,$CC19:$CN19)),"na")</f>
        <v>na</v>
      </c>
      <c r="EA19" s="45" t="str" cm="1">
        <f t="array" ref="EA19">IF(EA$5&lt;=$DH19,INDEX($BP19:$CA19,1,_xlfn.XMATCH(EA$5,$CP19:$DA19)),"na")</f>
        <v>na</v>
      </c>
      <c r="EB19" s="46" t="str" cm="1">
        <f t="array" ref="EB19">IF(EB$5&lt;=$DG19,INDEX($AC19:$AN19,1,_xlfn.XMATCH(EB$5,$CC19:$CN19)),"na")</f>
        <v>na</v>
      </c>
      <c r="EC19" s="47" t="str" cm="1">
        <f t="array" ref="EC19">IF(EC$5&lt;=$DG19,INDEX($AP19:$BA19,1,_xlfn.XMATCH(EC$5,$CC19:$CN19)),"na")</f>
        <v>na</v>
      </c>
      <c r="ED19" s="44" t="str" cm="1">
        <f t="array" ref="ED19">IF(ED$5&lt;=$DG19,INDEX($BC19:$BN19,1,_xlfn.XMATCH(ED$5,$CC19:$CN19)),"na")</f>
        <v>na</v>
      </c>
      <c r="EE19" s="45" t="str" cm="1">
        <f t="array" ref="EE19">IF(EE$5&lt;=$DH19,INDEX($BP19:$CA19,1,_xlfn.XMATCH(EE$5,$CP19:$DA19)),"na")</f>
        <v>na</v>
      </c>
      <c r="EF19" s="46" t="str" cm="1">
        <f t="array" ref="EF19">IF(EF$5&lt;=$DG19,INDEX($AC19:$AN19,1,_xlfn.XMATCH(EF$5,$CC19:$CN19)),"na")</f>
        <v>na</v>
      </c>
      <c r="EG19" s="47" t="str" cm="1">
        <f t="array" ref="EG19">IF(EG$5&lt;=$DG19,INDEX($AP19:$BA19,1,_xlfn.XMATCH(EG$5,$CC19:$CN19)),"na")</f>
        <v>na</v>
      </c>
      <c r="EH19" s="44" t="str" cm="1">
        <f t="array" ref="EH19">IF(EH$5&lt;=$DG19,INDEX($BC19:$BN19,1,_xlfn.XMATCH(EH$5,$CC19:$CN19)),"na")</f>
        <v>na</v>
      </c>
      <c r="EI19" s="45" t="str" cm="1">
        <f t="array" ref="EI19">IF(EI$5&lt;=$DH19,INDEX($BP19:$CA19,1,_xlfn.XMATCH(EI$5,$CP19:$DA19)),"na")</f>
        <v>na</v>
      </c>
      <c r="EJ19" s="46" t="str" cm="1">
        <f t="array" ref="EJ19">IF(EJ$5&lt;=$DG19,INDEX($AC19:$AN19,1,_xlfn.XMATCH(EJ$5,$CC19:$CN19)),"na")</f>
        <v>na</v>
      </c>
      <c r="EK19" s="47" t="str" cm="1">
        <f t="array" ref="EK19">IF(EK$5&lt;=$DG19,INDEX($AP19:$BA19,1,_xlfn.XMATCH(EK$5,$CC19:$CN19)),"na")</f>
        <v>na</v>
      </c>
      <c r="EL19" s="44" t="str" cm="1">
        <f t="array" ref="EL19">IF(EL$5&lt;=$DG19,INDEX($BC19:$BN19,1,_xlfn.XMATCH(EL$5,$CC19:$CN19)),"na")</f>
        <v>na</v>
      </c>
      <c r="EM19" s="45" t="str" cm="1">
        <f t="array" ref="EM19">IF(EM$5&lt;=$DH19,INDEX($BP19:$CA19,1,_xlfn.XMATCH(EM$5,$CP19:$DA19)),"na")</f>
        <v>na</v>
      </c>
      <c r="EN19" s="46" t="str" cm="1">
        <f t="array" ref="EN19">IF(EN$5&lt;=$DG19,INDEX($AC19:$AN19,1,_xlfn.XMATCH(EN$5,$CC19:$CN19)),"na")</f>
        <v>na</v>
      </c>
      <c r="EO19" s="47" t="str" cm="1">
        <f t="array" ref="EO19">IF(EO$5&lt;=$DG19,INDEX($AP19:$BA19,1,_xlfn.XMATCH(EO$5,$CC19:$CN19)),"na")</f>
        <v>na</v>
      </c>
      <c r="EP19" s="44" t="str" cm="1">
        <f t="array" ref="EP19">IF(EP$5&lt;=$DG19,INDEX($BC19:$BN19,1,_xlfn.XMATCH(EP$5,$CC19:$CN19)),"na")</f>
        <v>na</v>
      </c>
      <c r="EQ19" s="45" t="str" cm="1">
        <f t="array" ref="EQ19">IF(EQ$5&lt;=$DH19,INDEX($BP19:$CA19,1,_xlfn.XMATCH(EQ$5,$CP19:$DA19)),"na")</f>
        <v>na</v>
      </c>
      <c r="ER19" s="46" t="str" cm="1">
        <f t="array" ref="ER19">IF(ER$5&lt;=$DG19,INDEX($AC19:$AN19,1,_xlfn.XMATCH(ER$5,$CC19:$CN19)),"na")</f>
        <v>na</v>
      </c>
      <c r="ES19" s="47" t="str" cm="1">
        <f t="array" ref="ES19">IF(ES$5&lt;=$DG19,INDEX($AP19:$BA19,1,_xlfn.XMATCH(ES$5,$CC19:$CN19)),"na")</f>
        <v>na</v>
      </c>
      <c r="ET19" s="44" t="str" cm="1">
        <f t="array" ref="ET19">IF(ET$5&lt;=$DG19,INDEX($BC19:$BN19,1,_xlfn.XMATCH(ET$5,$CC19:$CN19)),"na")</f>
        <v>na</v>
      </c>
      <c r="EU19" s="45" t="str" cm="1">
        <f t="array" ref="EU19">IF(EU$5&lt;=$DH19,INDEX($BP19:$CA19,1,_xlfn.XMATCH(EU$5,$CP19:$DA19)),"na")</f>
        <v>na</v>
      </c>
      <c r="EV19" s="46" t="str" cm="1">
        <f t="array" ref="EV19">IF(EV$5&lt;=$DG19,INDEX($AC19:$AN19,1,_xlfn.XMATCH(EV$5,$CC19:$CN19)),"na")</f>
        <v>na</v>
      </c>
      <c r="EW19" s="47" t="str" cm="1">
        <f t="array" ref="EW19">IF(EW$5&lt;=$DG19,INDEX($AP19:$BA19,1,_xlfn.XMATCH(EW$5,$CC19:$CN19)),"na")</f>
        <v>na</v>
      </c>
      <c r="EX19" s="44" t="str" cm="1">
        <f t="array" ref="EX19">IF(EX$5&lt;=$DG19,INDEX($BC19:$BN19,1,_xlfn.XMATCH(EX$5,$CC19:$CN19)),"na")</f>
        <v>na</v>
      </c>
      <c r="EY19" s="45" t="str" cm="1">
        <f t="array" ref="EY19">IF(EY$5&lt;=$DH19,INDEX($BP19:$CA19,1,_xlfn.XMATCH(EY$5,$CP19:$DA19)),"na")</f>
        <v>na</v>
      </c>
      <c r="EZ19" s="46" t="str" cm="1">
        <f t="array" ref="EZ19">IF(EZ$5&lt;=$DG19,INDEX($AC19:$AN19,1,_xlfn.XMATCH(EZ$5,$CC19:$CN19)),"na")</f>
        <v>na</v>
      </c>
      <c r="FA19" s="47" t="str" cm="1">
        <f t="array" ref="FA19">IF(FA$5&lt;=$DG19,INDEX($AP19:$BA19,1,_xlfn.XMATCH(FA$5,$CC19:$CN19)),"na")</f>
        <v>na</v>
      </c>
      <c r="FB19" s="44" t="str" cm="1">
        <f t="array" ref="FB19">IF(FB$5&lt;=$DG19,INDEX($BC19:$BN19,1,_xlfn.XMATCH(FB$5,$CC19:$CN19)),"na")</f>
        <v>na</v>
      </c>
      <c r="FC19" s="45" t="str" cm="1">
        <f t="array" ref="FC19">IF(FC$5&lt;=$DH19,INDEX($BP19:$CA19,1,_xlfn.XMATCH(FC$5,$CP19:$DA19)),"na")</f>
        <v>na</v>
      </c>
      <c r="FD19" s="46" t="str" cm="1">
        <f t="array" ref="FD19">IF(FD$5&lt;=$DG19,INDEX($AC19:$AN19,1,_xlfn.XMATCH(FD$5,$CC19:$CN19)),"na")</f>
        <v>na</v>
      </c>
      <c r="FE19" s="47" t="str" cm="1">
        <f t="array" ref="FE19">IF(FE$5&lt;=$DG19,INDEX($AP19:$BA19,1,_xlfn.XMATCH(FE$5,$CC19:$CN19)),"na")</f>
        <v>na</v>
      </c>
    </row>
    <row r="20" spans="2:161" x14ac:dyDescent="0.25">
      <c r="B20" s="10" t="s">
        <v>81</v>
      </c>
      <c r="C20" s="8">
        <v>2666</v>
      </c>
      <c r="D20" s="8">
        <v>2408</v>
      </c>
      <c r="E20" s="8">
        <v>2666</v>
      </c>
      <c r="F20" s="8">
        <v>2580</v>
      </c>
      <c r="G20" s="8">
        <v>2666</v>
      </c>
      <c r="H20" s="8">
        <v>2580</v>
      </c>
      <c r="I20" s="8">
        <v>2666</v>
      </c>
      <c r="J20" s="8">
        <v>2666</v>
      </c>
      <c r="K20" s="8">
        <v>2580</v>
      </c>
      <c r="L20" s="8">
        <v>2666</v>
      </c>
      <c r="M20" s="8">
        <v>2580</v>
      </c>
      <c r="N20" s="8">
        <v>2666</v>
      </c>
      <c r="O20" s="8"/>
      <c r="P20" s="8">
        <v>2573</v>
      </c>
      <c r="Q20" s="8">
        <v>2324</v>
      </c>
      <c r="R20" s="8">
        <v>2573</v>
      </c>
      <c r="S20" s="8">
        <v>2490</v>
      </c>
      <c r="T20" s="8">
        <v>2573</v>
      </c>
      <c r="U20" s="8">
        <v>2490</v>
      </c>
      <c r="V20" s="8">
        <v>2573</v>
      </c>
      <c r="W20" s="8">
        <v>2573</v>
      </c>
      <c r="X20" s="8">
        <v>2490</v>
      </c>
      <c r="Y20" s="8">
        <v>2573</v>
      </c>
      <c r="Z20" s="8">
        <v>2490</v>
      </c>
      <c r="AA20" s="8">
        <v>2573</v>
      </c>
      <c r="AC20" s="14">
        <f>C20/_xlfn.XLOOKUP(AC$5,'OC-Days'!$G:$G,'OC-Days'!$B:$B)</f>
        <v>86</v>
      </c>
      <c r="AD20" s="14">
        <f>D20/_xlfn.XLOOKUP(AD$5,'OC-Days'!$G:$G,'OC-Days'!$B:$B)</f>
        <v>86</v>
      </c>
      <c r="AE20" s="14">
        <f>E20/_xlfn.XLOOKUP(AE$5,'OC-Days'!$G:$G,'OC-Days'!$B:$B)</f>
        <v>86</v>
      </c>
      <c r="AF20" s="14">
        <f>F20/_xlfn.XLOOKUP(AF$5,'OC-Days'!$G:$G,'OC-Days'!$B:$B)</f>
        <v>86</v>
      </c>
      <c r="AG20" s="14">
        <f>G20/_xlfn.XLOOKUP(AG$5,'OC-Days'!$G:$G,'OC-Days'!$B:$B)</f>
        <v>86</v>
      </c>
      <c r="AH20" s="14">
        <f>H20/_xlfn.XLOOKUP(AH$5,'OC-Days'!$G:$G,'OC-Days'!$B:$B)</f>
        <v>86</v>
      </c>
      <c r="AI20" s="14">
        <f>I20/_xlfn.XLOOKUP(AI$5,'OC-Days'!$G:$G,'OC-Days'!$B:$B)</f>
        <v>86</v>
      </c>
      <c r="AJ20" s="14">
        <f>J20/_xlfn.XLOOKUP(AJ$5,'OC-Days'!$G:$G,'OC-Days'!$B:$B)</f>
        <v>86</v>
      </c>
      <c r="AK20" s="14">
        <f>K20/_xlfn.XLOOKUP(AK$5,'OC-Days'!$G:$G,'OC-Days'!$B:$B)</f>
        <v>86</v>
      </c>
      <c r="AL20" s="14">
        <f>L20/_xlfn.XLOOKUP(AL$5,'OC-Days'!$G:$G,'OC-Days'!$B:$B)</f>
        <v>86</v>
      </c>
      <c r="AM20" s="14">
        <f>M20/_xlfn.XLOOKUP(AM$5,'OC-Days'!$G:$G,'OC-Days'!$B:$B)</f>
        <v>86</v>
      </c>
      <c r="AN20" s="14">
        <f>N20/_xlfn.XLOOKUP(AN$5,'OC-Days'!$G:$G,'OC-Days'!$B:$B)</f>
        <v>86</v>
      </c>
      <c r="AP20" s="14">
        <f>P20/_xlfn.XLOOKUP(AP$5,'OC-Days'!$G:$G,'OC-Days'!$B:$B)</f>
        <v>83</v>
      </c>
      <c r="AQ20" s="14">
        <f>Q20/_xlfn.XLOOKUP(AQ$5,'OC-Days'!$G:$G,'OC-Days'!$B:$B)</f>
        <v>83</v>
      </c>
      <c r="AR20" s="14">
        <f>R20/_xlfn.XLOOKUP(AR$5,'OC-Days'!$G:$G,'OC-Days'!$B:$B)</f>
        <v>83</v>
      </c>
      <c r="AS20" s="14">
        <f>S20/_xlfn.XLOOKUP(AS$5,'OC-Days'!$G:$G,'OC-Days'!$B:$B)</f>
        <v>83</v>
      </c>
      <c r="AT20" s="14">
        <f>T20/_xlfn.XLOOKUP(AT$5,'OC-Days'!$G:$G,'OC-Days'!$B:$B)</f>
        <v>83</v>
      </c>
      <c r="AU20" s="14">
        <f>U20/_xlfn.XLOOKUP(AU$5,'OC-Days'!$G:$G,'OC-Days'!$B:$B)</f>
        <v>83</v>
      </c>
      <c r="AV20" s="14">
        <f>V20/_xlfn.XLOOKUP(AV$5,'OC-Days'!$G:$G,'OC-Days'!$B:$B)</f>
        <v>83</v>
      </c>
      <c r="AW20" s="14">
        <f>W20/_xlfn.XLOOKUP(AW$5,'OC-Days'!$G:$G,'OC-Days'!$B:$B)</f>
        <v>83</v>
      </c>
      <c r="AX20" s="14">
        <f>X20/_xlfn.XLOOKUP(AX$5,'OC-Days'!$G:$G,'OC-Days'!$B:$B)</f>
        <v>83</v>
      </c>
      <c r="AY20" s="14">
        <f>Y20/_xlfn.XLOOKUP(AY$5,'OC-Days'!$G:$G,'OC-Days'!$B:$B)</f>
        <v>83</v>
      </c>
      <c r="AZ20" s="14">
        <f>Z20/_xlfn.XLOOKUP(AZ$5,'OC-Days'!$G:$G,'OC-Days'!$B:$B)</f>
        <v>83</v>
      </c>
      <c r="BA20" s="14">
        <f>AA20/_xlfn.XLOOKUP(BA$5,'OC-Days'!$G:$G,'OC-Days'!$B:$B)</f>
        <v>83</v>
      </c>
      <c r="BC20" s="33">
        <f>_xlfn.XLOOKUP(BC$5,'OC-Days'!$G:$G,'OC-Days'!$F:$F)</f>
        <v>45658</v>
      </c>
      <c r="BD20" s="34" t="str">
        <f>IF(AQ20=AP20,"na",_xlfn.XLOOKUP(BD$5,'OC-Days'!$G:$G,'OC-Days'!$F:$F))</f>
        <v>na</v>
      </c>
      <c r="BE20" s="34" t="str">
        <f>IF(AR20=AQ20,"na",_xlfn.XLOOKUP(BE$5,'OC-Days'!$G:$G,'OC-Days'!$F:$F))</f>
        <v>na</v>
      </c>
      <c r="BF20" s="34" t="str">
        <f>IF(AS20=AR20,"na",_xlfn.XLOOKUP(BF$5,'OC-Days'!$G:$G,'OC-Days'!$F:$F))</f>
        <v>na</v>
      </c>
      <c r="BG20" s="34" t="str">
        <f>IF(AT20=AS20,"na",_xlfn.XLOOKUP(BG$5,'OC-Days'!$G:$G,'OC-Days'!$F:$F))</f>
        <v>na</v>
      </c>
      <c r="BH20" s="34" t="str">
        <f>IF(AU20=AT20,"na",_xlfn.XLOOKUP(BH$5,'OC-Days'!$G:$G,'OC-Days'!$F:$F))</f>
        <v>na</v>
      </c>
      <c r="BI20" s="34" t="str">
        <f>IF(AV20=AU20,"na",_xlfn.XLOOKUP(BI$5,'OC-Days'!$G:$G,'OC-Days'!$F:$F))</f>
        <v>na</v>
      </c>
      <c r="BJ20" s="34" t="str">
        <f>IF(AW20=AV20,"na",_xlfn.XLOOKUP(BJ$5,'OC-Days'!$G:$G,'OC-Days'!$F:$F))</f>
        <v>na</v>
      </c>
      <c r="BK20" s="34" t="str">
        <f>IF(AX20=AW20,"na",_xlfn.XLOOKUP(BK$5,'OC-Days'!$G:$G,'OC-Days'!$F:$F))</f>
        <v>na</v>
      </c>
      <c r="BL20" s="34" t="str">
        <f>IF(AY20=AX20,"na",_xlfn.XLOOKUP(BL$5,'OC-Days'!$G:$G,'OC-Days'!$F:$F))</f>
        <v>na</v>
      </c>
      <c r="BM20" s="34" t="str">
        <f>IF(AZ20=AY20,"na",_xlfn.XLOOKUP(BM$5,'OC-Days'!$G:$G,'OC-Days'!$F:$F))</f>
        <v>na</v>
      </c>
      <c r="BN20" s="34" t="str">
        <f>IF(BA20=AZ20,"na",_xlfn.XLOOKUP(BN$5,'OC-Days'!$G:$G,'OC-Days'!$F:$F))</f>
        <v>na</v>
      </c>
      <c r="BP20" s="36" t="str">
        <f t="shared" si="35"/>
        <v>na</v>
      </c>
      <c r="BQ20" s="36" t="str">
        <f t="shared" si="36"/>
        <v>na</v>
      </c>
      <c r="BR20" s="36" t="str">
        <f t="shared" si="37"/>
        <v>na</v>
      </c>
      <c r="BS20" s="36" t="str">
        <f t="shared" si="38"/>
        <v>na</v>
      </c>
      <c r="BT20" s="36" t="str">
        <f t="shared" si="39"/>
        <v>na</v>
      </c>
      <c r="BU20" s="36" t="str">
        <f t="shared" si="40"/>
        <v>na</v>
      </c>
      <c r="BV20" s="36" t="str">
        <f t="shared" si="41"/>
        <v>na</v>
      </c>
      <c r="BW20" s="36" t="str">
        <f t="shared" si="42"/>
        <v>na</v>
      </c>
      <c r="BX20" s="36" t="str">
        <f t="shared" si="43"/>
        <v>na</v>
      </c>
      <c r="BY20" s="36" t="str">
        <f t="shared" si="44"/>
        <v>na</v>
      </c>
      <c r="BZ20" s="36" t="str">
        <f t="shared" si="45"/>
        <v>na</v>
      </c>
      <c r="CA20" s="43">
        <f t="shared" si="46"/>
        <v>46022</v>
      </c>
      <c r="CC20" s="8">
        <f>COUNT($BC20:BC20)</f>
        <v>1</v>
      </c>
      <c r="CD20" s="8">
        <f>COUNT($BC20:BD20)</f>
        <v>1</v>
      </c>
      <c r="CE20" s="8">
        <f>COUNT($BC20:BE20)</f>
        <v>1</v>
      </c>
      <c r="CF20" s="8">
        <f>COUNT($BC20:BF20)</f>
        <v>1</v>
      </c>
      <c r="CG20" s="8">
        <f>COUNT($BC20:BG20)</f>
        <v>1</v>
      </c>
      <c r="CH20" s="8">
        <f>COUNT($BC20:BH20)</f>
        <v>1</v>
      </c>
      <c r="CI20" s="8">
        <f>COUNT($BC20:BI20)</f>
        <v>1</v>
      </c>
      <c r="CJ20" s="8">
        <f>COUNT($BC20:BJ20)</f>
        <v>1</v>
      </c>
      <c r="CK20" s="8">
        <f>COUNT($BC20:BK20)</f>
        <v>1</v>
      </c>
      <c r="CL20" s="8">
        <f>COUNT($BC20:BL20)</f>
        <v>1</v>
      </c>
      <c r="CM20" s="8">
        <f>COUNT($BC20:BM20)</f>
        <v>1</v>
      </c>
      <c r="CN20" s="8">
        <f>COUNT($BC20:BN20)</f>
        <v>1</v>
      </c>
      <c r="CO20" s="8"/>
      <c r="CP20" s="8">
        <f>COUNT($BP20:BP20)</f>
        <v>0</v>
      </c>
      <c r="CQ20" s="8">
        <f>COUNT($BP20:BQ20)</f>
        <v>0</v>
      </c>
      <c r="CR20" s="8">
        <f>COUNT($BP20:BR20)</f>
        <v>0</v>
      </c>
      <c r="CS20" s="8">
        <f>COUNT($BP20:BS20)</f>
        <v>0</v>
      </c>
      <c r="CT20" s="8">
        <f>COUNT($BP20:BT20)</f>
        <v>0</v>
      </c>
      <c r="CU20" s="8">
        <f>COUNT($BP20:BU20)</f>
        <v>0</v>
      </c>
      <c r="CV20" s="8">
        <f>COUNT($BP20:BV20)</f>
        <v>0</v>
      </c>
      <c r="CW20" s="8">
        <f>COUNT($BP20:BW20)</f>
        <v>0</v>
      </c>
      <c r="CX20" s="8">
        <f>COUNT($BP20:BX20)</f>
        <v>0</v>
      </c>
      <c r="CY20" s="8">
        <f>COUNT($BP20:BY20)</f>
        <v>0</v>
      </c>
      <c r="CZ20" s="8">
        <f>COUNT($BP20:BZ20)</f>
        <v>0</v>
      </c>
      <c r="DA20" s="8">
        <f>COUNT($BP20:CA20)</f>
        <v>1</v>
      </c>
      <c r="DC20">
        <f t="shared" si="47"/>
        <v>200</v>
      </c>
      <c r="DD20">
        <f t="shared" si="48"/>
        <v>32</v>
      </c>
      <c r="DE20" t="str">
        <f t="shared" si="49"/>
        <v>200-32</v>
      </c>
      <c r="DG20">
        <f t="shared" si="50"/>
        <v>1</v>
      </c>
      <c r="DH20">
        <f t="shared" si="51"/>
        <v>1</v>
      </c>
      <c r="DJ20" s="44" cm="1">
        <f t="array" ref="DJ20">IF(DJ$5&lt;=$DG20,INDEX($BC20:$BN20,1,_xlfn.XMATCH(DJ$5,$CC20:$CN20)),"na")</f>
        <v>45658</v>
      </c>
      <c r="DK20" s="45" cm="1">
        <f t="array" ref="DK20">IF(DK$5&lt;=$DH20,INDEX($BP20:$CA20,1,_xlfn.XMATCH(DK$5,$CP20:$DA20)),"na")</f>
        <v>46022</v>
      </c>
      <c r="DL20" s="46" cm="1">
        <f t="array" ref="DL20">IF(DL$5&lt;=$DG20,INDEX($AC20:$AN20,1,_xlfn.XMATCH(DL$5,$CC20:$CN20)),"na")</f>
        <v>86</v>
      </c>
      <c r="DM20" s="47" cm="1">
        <f t="array" ref="DM20">IF(DM$5&lt;=$DG20,INDEX($AP20:$BA20,1,_xlfn.XMATCH(DM$5,$CC20:$CN20)),"na")</f>
        <v>83</v>
      </c>
      <c r="DN20" s="44" t="str" cm="1">
        <f t="array" ref="DN20">IF(DN$5&lt;=$DG20,INDEX($BC20:$BN20,1,_xlfn.XMATCH(DN$5,$CC20:$CN20)),"na")</f>
        <v>na</v>
      </c>
      <c r="DO20" s="45" t="str" cm="1">
        <f t="array" ref="DO20">IF(DO$5&lt;=$DH20,INDEX($BP20:$CA20,1,_xlfn.XMATCH(DO$5,$CP20:$DA20)),"na")</f>
        <v>na</v>
      </c>
      <c r="DP20" s="46" t="str" cm="1">
        <f t="array" ref="DP20">IF(DP$5&lt;=$DG20,INDEX($AC20:$AN20,1,_xlfn.XMATCH(DP$5,$CC20:$CN20)),"na")</f>
        <v>na</v>
      </c>
      <c r="DQ20" s="47" t="str" cm="1">
        <f t="array" ref="DQ20">IF(DQ$5&lt;=$DG20,INDEX($AP20:$BA20,1,_xlfn.XMATCH(DQ$5,$CC20:$CN20)),"na")</f>
        <v>na</v>
      </c>
      <c r="DR20" s="44" t="str" cm="1">
        <f t="array" ref="DR20">IF(DR$5&lt;=$DG20,INDEX($BC20:$BN20,1,_xlfn.XMATCH(DR$5,$CC20:$CN20)),"na")</f>
        <v>na</v>
      </c>
      <c r="DS20" s="45" t="str" cm="1">
        <f t="array" ref="DS20">IF(DS$5&lt;=$DH20,INDEX($BP20:$CA20,1,_xlfn.XMATCH(DS$5,$CP20:$DA20)),"na")</f>
        <v>na</v>
      </c>
      <c r="DT20" s="46" t="str" cm="1">
        <f t="array" ref="DT20">IF(DT$5&lt;=$DG20,INDEX($AC20:$AN20,1,_xlfn.XMATCH(DT$5,$CC20:$CN20)),"na")</f>
        <v>na</v>
      </c>
      <c r="DU20" s="47" t="str" cm="1">
        <f t="array" ref="DU20">IF(DU$5&lt;=$DG20,INDEX($AP20:$BA20,1,_xlfn.XMATCH(DU$5,$CC20:$CN20)),"na")</f>
        <v>na</v>
      </c>
      <c r="DV20" s="44" t="str" cm="1">
        <f t="array" ref="DV20">IF(DV$5&lt;=$DG20,INDEX($BC20:$BN20,1,_xlfn.XMATCH(DV$5,$CC20:$CN20)),"na")</f>
        <v>na</v>
      </c>
      <c r="DW20" s="45" t="str" cm="1">
        <f t="array" ref="DW20">IF(DW$5&lt;=$DH20,INDEX($BP20:$CA20,1,_xlfn.XMATCH(DW$5,$CP20:$DA20)),"na")</f>
        <v>na</v>
      </c>
      <c r="DX20" s="46" t="str" cm="1">
        <f t="array" ref="DX20">IF(DX$5&lt;=$DG20,INDEX($AC20:$AN20,1,_xlfn.XMATCH(DX$5,$CC20:$CN20)),"na")</f>
        <v>na</v>
      </c>
      <c r="DY20" s="47" t="str" cm="1">
        <f t="array" ref="DY20">IF(DY$5&lt;=$DG20,INDEX($AP20:$BA20,1,_xlfn.XMATCH(DY$5,$CC20:$CN20)),"na")</f>
        <v>na</v>
      </c>
      <c r="DZ20" s="44" t="str" cm="1">
        <f t="array" ref="DZ20">IF(DZ$5&lt;=$DG20,INDEX($BC20:$BN20,1,_xlfn.XMATCH(DZ$5,$CC20:$CN20)),"na")</f>
        <v>na</v>
      </c>
      <c r="EA20" s="45" t="str" cm="1">
        <f t="array" ref="EA20">IF(EA$5&lt;=$DH20,INDEX($BP20:$CA20,1,_xlfn.XMATCH(EA$5,$CP20:$DA20)),"na")</f>
        <v>na</v>
      </c>
      <c r="EB20" s="46" t="str" cm="1">
        <f t="array" ref="EB20">IF(EB$5&lt;=$DG20,INDEX($AC20:$AN20,1,_xlfn.XMATCH(EB$5,$CC20:$CN20)),"na")</f>
        <v>na</v>
      </c>
      <c r="EC20" s="47" t="str" cm="1">
        <f t="array" ref="EC20">IF(EC$5&lt;=$DG20,INDEX($AP20:$BA20,1,_xlfn.XMATCH(EC$5,$CC20:$CN20)),"na")</f>
        <v>na</v>
      </c>
      <c r="ED20" s="44" t="str" cm="1">
        <f t="array" ref="ED20">IF(ED$5&lt;=$DG20,INDEX($BC20:$BN20,1,_xlfn.XMATCH(ED$5,$CC20:$CN20)),"na")</f>
        <v>na</v>
      </c>
      <c r="EE20" s="45" t="str" cm="1">
        <f t="array" ref="EE20">IF(EE$5&lt;=$DH20,INDEX($BP20:$CA20,1,_xlfn.XMATCH(EE$5,$CP20:$DA20)),"na")</f>
        <v>na</v>
      </c>
      <c r="EF20" s="46" t="str" cm="1">
        <f t="array" ref="EF20">IF(EF$5&lt;=$DG20,INDEX($AC20:$AN20,1,_xlfn.XMATCH(EF$5,$CC20:$CN20)),"na")</f>
        <v>na</v>
      </c>
      <c r="EG20" s="47" t="str" cm="1">
        <f t="array" ref="EG20">IF(EG$5&lt;=$DG20,INDEX($AP20:$BA20,1,_xlfn.XMATCH(EG$5,$CC20:$CN20)),"na")</f>
        <v>na</v>
      </c>
      <c r="EH20" s="44" t="str" cm="1">
        <f t="array" ref="EH20">IF(EH$5&lt;=$DG20,INDEX($BC20:$BN20,1,_xlfn.XMATCH(EH$5,$CC20:$CN20)),"na")</f>
        <v>na</v>
      </c>
      <c r="EI20" s="45" t="str" cm="1">
        <f t="array" ref="EI20">IF(EI$5&lt;=$DH20,INDEX($BP20:$CA20,1,_xlfn.XMATCH(EI$5,$CP20:$DA20)),"na")</f>
        <v>na</v>
      </c>
      <c r="EJ20" s="46" t="str" cm="1">
        <f t="array" ref="EJ20">IF(EJ$5&lt;=$DG20,INDEX($AC20:$AN20,1,_xlfn.XMATCH(EJ$5,$CC20:$CN20)),"na")</f>
        <v>na</v>
      </c>
      <c r="EK20" s="47" t="str" cm="1">
        <f t="array" ref="EK20">IF(EK$5&lt;=$DG20,INDEX($AP20:$BA20,1,_xlfn.XMATCH(EK$5,$CC20:$CN20)),"na")</f>
        <v>na</v>
      </c>
      <c r="EL20" s="44" t="str" cm="1">
        <f t="array" ref="EL20">IF(EL$5&lt;=$DG20,INDEX($BC20:$BN20,1,_xlfn.XMATCH(EL$5,$CC20:$CN20)),"na")</f>
        <v>na</v>
      </c>
      <c r="EM20" s="45" t="str" cm="1">
        <f t="array" ref="EM20">IF(EM$5&lt;=$DH20,INDEX($BP20:$CA20,1,_xlfn.XMATCH(EM$5,$CP20:$DA20)),"na")</f>
        <v>na</v>
      </c>
      <c r="EN20" s="46" t="str" cm="1">
        <f t="array" ref="EN20">IF(EN$5&lt;=$DG20,INDEX($AC20:$AN20,1,_xlfn.XMATCH(EN$5,$CC20:$CN20)),"na")</f>
        <v>na</v>
      </c>
      <c r="EO20" s="47" t="str" cm="1">
        <f t="array" ref="EO20">IF(EO$5&lt;=$DG20,INDEX($AP20:$BA20,1,_xlfn.XMATCH(EO$5,$CC20:$CN20)),"na")</f>
        <v>na</v>
      </c>
      <c r="EP20" s="44" t="str" cm="1">
        <f t="array" ref="EP20">IF(EP$5&lt;=$DG20,INDEX($BC20:$BN20,1,_xlfn.XMATCH(EP$5,$CC20:$CN20)),"na")</f>
        <v>na</v>
      </c>
      <c r="EQ20" s="45" t="str" cm="1">
        <f t="array" ref="EQ20">IF(EQ$5&lt;=$DH20,INDEX($BP20:$CA20,1,_xlfn.XMATCH(EQ$5,$CP20:$DA20)),"na")</f>
        <v>na</v>
      </c>
      <c r="ER20" s="46" t="str" cm="1">
        <f t="array" ref="ER20">IF(ER$5&lt;=$DG20,INDEX($AC20:$AN20,1,_xlfn.XMATCH(ER$5,$CC20:$CN20)),"na")</f>
        <v>na</v>
      </c>
      <c r="ES20" s="47" t="str" cm="1">
        <f t="array" ref="ES20">IF(ES$5&lt;=$DG20,INDEX($AP20:$BA20,1,_xlfn.XMATCH(ES$5,$CC20:$CN20)),"na")</f>
        <v>na</v>
      </c>
      <c r="ET20" s="44" t="str" cm="1">
        <f t="array" ref="ET20">IF(ET$5&lt;=$DG20,INDEX($BC20:$BN20,1,_xlfn.XMATCH(ET$5,$CC20:$CN20)),"na")</f>
        <v>na</v>
      </c>
      <c r="EU20" s="45" t="str" cm="1">
        <f t="array" ref="EU20">IF(EU$5&lt;=$DH20,INDEX($BP20:$CA20,1,_xlfn.XMATCH(EU$5,$CP20:$DA20)),"na")</f>
        <v>na</v>
      </c>
      <c r="EV20" s="46" t="str" cm="1">
        <f t="array" ref="EV20">IF(EV$5&lt;=$DG20,INDEX($AC20:$AN20,1,_xlfn.XMATCH(EV$5,$CC20:$CN20)),"na")</f>
        <v>na</v>
      </c>
      <c r="EW20" s="47" t="str" cm="1">
        <f t="array" ref="EW20">IF(EW$5&lt;=$DG20,INDEX($AP20:$BA20,1,_xlfn.XMATCH(EW$5,$CC20:$CN20)),"na")</f>
        <v>na</v>
      </c>
      <c r="EX20" s="44" t="str" cm="1">
        <f t="array" ref="EX20">IF(EX$5&lt;=$DG20,INDEX($BC20:$BN20,1,_xlfn.XMATCH(EX$5,$CC20:$CN20)),"na")</f>
        <v>na</v>
      </c>
      <c r="EY20" s="45" t="str" cm="1">
        <f t="array" ref="EY20">IF(EY$5&lt;=$DH20,INDEX($BP20:$CA20,1,_xlfn.XMATCH(EY$5,$CP20:$DA20)),"na")</f>
        <v>na</v>
      </c>
      <c r="EZ20" s="46" t="str" cm="1">
        <f t="array" ref="EZ20">IF(EZ$5&lt;=$DG20,INDEX($AC20:$AN20,1,_xlfn.XMATCH(EZ$5,$CC20:$CN20)),"na")</f>
        <v>na</v>
      </c>
      <c r="FA20" s="47" t="str" cm="1">
        <f t="array" ref="FA20">IF(FA$5&lt;=$DG20,INDEX($AP20:$BA20,1,_xlfn.XMATCH(FA$5,$CC20:$CN20)),"na")</f>
        <v>na</v>
      </c>
      <c r="FB20" s="44" t="str" cm="1">
        <f t="array" ref="FB20">IF(FB$5&lt;=$DG20,INDEX($BC20:$BN20,1,_xlfn.XMATCH(FB$5,$CC20:$CN20)),"na")</f>
        <v>na</v>
      </c>
      <c r="FC20" s="45" t="str" cm="1">
        <f t="array" ref="FC20">IF(FC$5&lt;=$DH20,INDEX($BP20:$CA20,1,_xlfn.XMATCH(FC$5,$CP20:$DA20)),"na")</f>
        <v>na</v>
      </c>
      <c r="FD20" s="46" t="str" cm="1">
        <f t="array" ref="FD20">IF(FD$5&lt;=$DG20,INDEX($AC20:$AN20,1,_xlfn.XMATCH(FD$5,$CC20:$CN20)),"na")</f>
        <v>na</v>
      </c>
      <c r="FE20" s="47" t="str" cm="1">
        <f t="array" ref="FE20">IF(FE$5&lt;=$DG20,INDEX($AP20:$BA20,1,_xlfn.XMATCH(FE$5,$CC20:$CN20)),"na")</f>
        <v>na</v>
      </c>
    </row>
    <row r="21" spans="2:161" x14ac:dyDescent="0.25">
      <c r="B21" s="10" t="s">
        <v>82</v>
      </c>
      <c r="C21" s="8">
        <v>744</v>
      </c>
      <c r="D21" s="8">
        <v>672</v>
      </c>
      <c r="E21" s="8">
        <v>744</v>
      </c>
      <c r="F21" s="8">
        <v>720</v>
      </c>
      <c r="G21" s="8">
        <v>744</v>
      </c>
      <c r="H21" s="8">
        <v>720</v>
      </c>
      <c r="I21" s="8">
        <v>744</v>
      </c>
      <c r="J21" s="8">
        <v>744</v>
      </c>
      <c r="K21" s="8">
        <v>720</v>
      </c>
      <c r="L21" s="8">
        <v>744</v>
      </c>
      <c r="M21" s="8">
        <v>720</v>
      </c>
      <c r="N21" s="8">
        <v>744</v>
      </c>
      <c r="O21" s="8"/>
      <c r="P21" s="8">
        <v>728.5</v>
      </c>
      <c r="Q21" s="8">
        <v>658</v>
      </c>
      <c r="R21" s="8">
        <v>728.5</v>
      </c>
      <c r="S21" s="8">
        <v>705</v>
      </c>
      <c r="T21" s="8">
        <v>728.5</v>
      </c>
      <c r="U21" s="8">
        <v>705</v>
      </c>
      <c r="V21" s="8">
        <v>728.5</v>
      </c>
      <c r="W21" s="8">
        <v>728.5</v>
      </c>
      <c r="X21" s="8">
        <v>705</v>
      </c>
      <c r="Y21" s="8">
        <v>728.5</v>
      </c>
      <c r="Z21" s="8">
        <v>705</v>
      </c>
      <c r="AA21" s="8">
        <v>728.5</v>
      </c>
      <c r="AC21" s="14">
        <f>C21/_xlfn.XLOOKUP(AC$5,'OC-Days'!$G:$G,'OC-Days'!$B:$B)</f>
        <v>24</v>
      </c>
      <c r="AD21" s="14">
        <f>D21/_xlfn.XLOOKUP(AD$5,'OC-Days'!$G:$G,'OC-Days'!$B:$B)</f>
        <v>24</v>
      </c>
      <c r="AE21" s="14">
        <f>E21/_xlfn.XLOOKUP(AE$5,'OC-Days'!$G:$G,'OC-Days'!$B:$B)</f>
        <v>24</v>
      </c>
      <c r="AF21" s="14">
        <f>F21/_xlfn.XLOOKUP(AF$5,'OC-Days'!$G:$G,'OC-Days'!$B:$B)</f>
        <v>24</v>
      </c>
      <c r="AG21" s="14">
        <f>G21/_xlfn.XLOOKUP(AG$5,'OC-Days'!$G:$G,'OC-Days'!$B:$B)</f>
        <v>24</v>
      </c>
      <c r="AH21" s="14">
        <f>H21/_xlfn.XLOOKUP(AH$5,'OC-Days'!$G:$G,'OC-Days'!$B:$B)</f>
        <v>24</v>
      </c>
      <c r="AI21" s="14">
        <f>I21/_xlfn.XLOOKUP(AI$5,'OC-Days'!$G:$G,'OC-Days'!$B:$B)</f>
        <v>24</v>
      </c>
      <c r="AJ21" s="14">
        <f>J21/_xlfn.XLOOKUP(AJ$5,'OC-Days'!$G:$G,'OC-Days'!$B:$B)</f>
        <v>24</v>
      </c>
      <c r="AK21" s="14">
        <f>K21/_xlfn.XLOOKUP(AK$5,'OC-Days'!$G:$G,'OC-Days'!$B:$B)</f>
        <v>24</v>
      </c>
      <c r="AL21" s="14">
        <f>L21/_xlfn.XLOOKUP(AL$5,'OC-Days'!$G:$G,'OC-Days'!$B:$B)</f>
        <v>24</v>
      </c>
      <c r="AM21" s="14">
        <f>M21/_xlfn.XLOOKUP(AM$5,'OC-Days'!$G:$G,'OC-Days'!$B:$B)</f>
        <v>24</v>
      </c>
      <c r="AN21" s="14">
        <f>N21/_xlfn.XLOOKUP(AN$5,'OC-Days'!$G:$G,'OC-Days'!$B:$B)</f>
        <v>24</v>
      </c>
      <c r="AP21" s="14">
        <f>P21/_xlfn.XLOOKUP(AP$5,'OC-Days'!$G:$G,'OC-Days'!$B:$B)</f>
        <v>23.5</v>
      </c>
      <c r="AQ21" s="14">
        <f>Q21/_xlfn.XLOOKUP(AQ$5,'OC-Days'!$G:$G,'OC-Days'!$B:$B)</f>
        <v>23.5</v>
      </c>
      <c r="AR21" s="14">
        <f>R21/_xlfn.XLOOKUP(AR$5,'OC-Days'!$G:$G,'OC-Days'!$B:$B)</f>
        <v>23.5</v>
      </c>
      <c r="AS21" s="14">
        <f>S21/_xlfn.XLOOKUP(AS$5,'OC-Days'!$G:$G,'OC-Days'!$B:$B)</f>
        <v>23.5</v>
      </c>
      <c r="AT21" s="14">
        <f>T21/_xlfn.XLOOKUP(AT$5,'OC-Days'!$G:$G,'OC-Days'!$B:$B)</f>
        <v>23.5</v>
      </c>
      <c r="AU21" s="14">
        <f>U21/_xlfn.XLOOKUP(AU$5,'OC-Days'!$G:$G,'OC-Days'!$B:$B)</f>
        <v>23.5</v>
      </c>
      <c r="AV21" s="14">
        <f>V21/_xlfn.XLOOKUP(AV$5,'OC-Days'!$G:$G,'OC-Days'!$B:$B)</f>
        <v>23.5</v>
      </c>
      <c r="AW21" s="14">
        <f>W21/_xlfn.XLOOKUP(AW$5,'OC-Days'!$G:$G,'OC-Days'!$B:$B)</f>
        <v>23.5</v>
      </c>
      <c r="AX21" s="14">
        <f>X21/_xlfn.XLOOKUP(AX$5,'OC-Days'!$G:$G,'OC-Days'!$B:$B)</f>
        <v>23.5</v>
      </c>
      <c r="AY21" s="14">
        <f>Y21/_xlfn.XLOOKUP(AY$5,'OC-Days'!$G:$G,'OC-Days'!$B:$B)</f>
        <v>23.5</v>
      </c>
      <c r="AZ21" s="14">
        <f>Z21/_xlfn.XLOOKUP(AZ$5,'OC-Days'!$G:$G,'OC-Days'!$B:$B)</f>
        <v>23.5</v>
      </c>
      <c r="BA21" s="14">
        <f>AA21/_xlfn.XLOOKUP(BA$5,'OC-Days'!$G:$G,'OC-Days'!$B:$B)</f>
        <v>23.5</v>
      </c>
      <c r="BC21" s="33">
        <f>_xlfn.XLOOKUP(BC$5,'OC-Days'!$G:$G,'OC-Days'!$F:$F)</f>
        <v>45658</v>
      </c>
      <c r="BD21" s="34" t="str">
        <f>IF(AQ21=AP21,"na",_xlfn.XLOOKUP(BD$5,'OC-Days'!$G:$G,'OC-Days'!$F:$F))</f>
        <v>na</v>
      </c>
      <c r="BE21" s="34" t="str">
        <f>IF(AR21=AQ21,"na",_xlfn.XLOOKUP(BE$5,'OC-Days'!$G:$G,'OC-Days'!$F:$F))</f>
        <v>na</v>
      </c>
      <c r="BF21" s="34" t="str">
        <f>IF(AS21=AR21,"na",_xlfn.XLOOKUP(BF$5,'OC-Days'!$G:$G,'OC-Days'!$F:$F))</f>
        <v>na</v>
      </c>
      <c r="BG21" s="34" t="str">
        <f>IF(AT21=AS21,"na",_xlfn.XLOOKUP(BG$5,'OC-Days'!$G:$G,'OC-Days'!$F:$F))</f>
        <v>na</v>
      </c>
      <c r="BH21" s="34" t="str">
        <f>IF(AU21=AT21,"na",_xlfn.XLOOKUP(BH$5,'OC-Days'!$G:$G,'OC-Days'!$F:$F))</f>
        <v>na</v>
      </c>
      <c r="BI21" s="34" t="str">
        <f>IF(AV21=AU21,"na",_xlfn.XLOOKUP(BI$5,'OC-Days'!$G:$G,'OC-Days'!$F:$F))</f>
        <v>na</v>
      </c>
      <c r="BJ21" s="34" t="str">
        <f>IF(AW21=AV21,"na",_xlfn.XLOOKUP(BJ$5,'OC-Days'!$G:$G,'OC-Days'!$F:$F))</f>
        <v>na</v>
      </c>
      <c r="BK21" s="34" t="str">
        <f>IF(AX21=AW21,"na",_xlfn.XLOOKUP(BK$5,'OC-Days'!$G:$G,'OC-Days'!$F:$F))</f>
        <v>na</v>
      </c>
      <c r="BL21" s="34" t="str">
        <f>IF(AY21=AX21,"na",_xlfn.XLOOKUP(BL$5,'OC-Days'!$G:$G,'OC-Days'!$F:$F))</f>
        <v>na</v>
      </c>
      <c r="BM21" s="34" t="str">
        <f>IF(AZ21=AY21,"na",_xlfn.XLOOKUP(BM$5,'OC-Days'!$G:$G,'OC-Days'!$F:$F))</f>
        <v>na</v>
      </c>
      <c r="BN21" s="34" t="str">
        <f>IF(BA21=AZ21,"na",_xlfn.XLOOKUP(BN$5,'OC-Days'!$G:$G,'OC-Days'!$F:$F))</f>
        <v>na</v>
      </c>
      <c r="BP21" s="36" t="str">
        <f t="shared" si="35"/>
        <v>na</v>
      </c>
      <c r="BQ21" s="36" t="str">
        <f t="shared" si="36"/>
        <v>na</v>
      </c>
      <c r="BR21" s="36" t="str">
        <f t="shared" si="37"/>
        <v>na</v>
      </c>
      <c r="BS21" s="36" t="str">
        <f t="shared" si="38"/>
        <v>na</v>
      </c>
      <c r="BT21" s="36" t="str">
        <f t="shared" si="39"/>
        <v>na</v>
      </c>
      <c r="BU21" s="36" t="str">
        <f t="shared" si="40"/>
        <v>na</v>
      </c>
      <c r="BV21" s="36" t="str">
        <f t="shared" si="41"/>
        <v>na</v>
      </c>
      <c r="BW21" s="36" t="str">
        <f t="shared" si="42"/>
        <v>na</v>
      </c>
      <c r="BX21" s="36" t="str">
        <f t="shared" si="43"/>
        <v>na</v>
      </c>
      <c r="BY21" s="36" t="str">
        <f t="shared" si="44"/>
        <v>na</v>
      </c>
      <c r="BZ21" s="36" t="str">
        <f t="shared" si="45"/>
        <v>na</v>
      </c>
      <c r="CA21" s="43">
        <f t="shared" si="46"/>
        <v>46022</v>
      </c>
      <c r="CC21" s="8">
        <f>COUNT($BC21:BC21)</f>
        <v>1</v>
      </c>
      <c r="CD21" s="8">
        <f>COUNT($BC21:BD21)</f>
        <v>1</v>
      </c>
      <c r="CE21" s="8">
        <f>COUNT($BC21:BE21)</f>
        <v>1</v>
      </c>
      <c r="CF21" s="8">
        <f>COUNT($BC21:BF21)</f>
        <v>1</v>
      </c>
      <c r="CG21" s="8">
        <f>COUNT($BC21:BG21)</f>
        <v>1</v>
      </c>
      <c r="CH21" s="8">
        <f>COUNT($BC21:BH21)</f>
        <v>1</v>
      </c>
      <c r="CI21" s="8">
        <f>COUNT($BC21:BI21)</f>
        <v>1</v>
      </c>
      <c r="CJ21" s="8">
        <f>COUNT($BC21:BJ21)</f>
        <v>1</v>
      </c>
      <c r="CK21" s="8">
        <f>COUNT($BC21:BK21)</f>
        <v>1</v>
      </c>
      <c r="CL21" s="8">
        <f>COUNT($BC21:BL21)</f>
        <v>1</v>
      </c>
      <c r="CM21" s="8">
        <f>COUNT($BC21:BM21)</f>
        <v>1</v>
      </c>
      <c r="CN21" s="8">
        <f>COUNT($BC21:BN21)</f>
        <v>1</v>
      </c>
      <c r="CO21" s="8"/>
      <c r="CP21" s="8">
        <f>COUNT($BP21:BP21)</f>
        <v>0</v>
      </c>
      <c r="CQ21" s="8">
        <f>COUNT($BP21:BQ21)</f>
        <v>0</v>
      </c>
      <c r="CR21" s="8">
        <f>COUNT($BP21:BR21)</f>
        <v>0</v>
      </c>
      <c r="CS21" s="8">
        <f>COUNT($BP21:BS21)</f>
        <v>0</v>
      </c>
      <c r="CT21" s="8">
        <f>COUNT($BP21:BT21)</f>
        <v>0</v>
      </c>
      <c r="CU21" s="8">
        <f>COUNT($BP21:BU21)</f>
        <v>0</v>
      </c>
      <c r="CV21" s="8">
        <f>COUNT($BP21:BV21)</f>
        <v>0</v>
      </c>
      <c r="CW21" s="8">
        <f>COUNT($BP21:BW21)</f>
        <v>0</v>
      </c>
      <c r="CX21" s="8">
        <f>COUNT($BP21:BX21)</f>
        <v>0</v>
      </c>
      <c r="CY21" s="8">
        <f>COUNT($BP21:BY21)</f>
        <v>0</v>
      </c>
      <c r="CZ21" s="8">
        <f>COUNT($BP21:BZ21)</f>
        <v>0</v>
      </c>
      <c r="DA21" s="8">
        <f>COUNT($BP21:CA21)</f>
        <v>1</v>
      </c>
      <c r="DC21">
        <f t="shared" si="47"/>
        <v>200</v>
      </c>
      <c r="DD21">
        <f t="shared" si="48"/>
        <v>51</v>
      </c>
      <c r="DE21" t="str">
        <f t="shared" si="49"/>
        <v>200-51</v>
      </c>
      <c r="DG21">
        <f t="shared" si="50"/>
        <v>1</v>
      </c>
      <c r="DH21">
        <f t="shared" si="51"/>
        <v>1</v>
      </c>
      <c r="DJ21" s="44" cm="1">
        <f t="array" ref="DJ21">IF(DJ$5&lt;=$DG21,INDEX($BC21:$BN21,1,_xlfn.XMATCH(DJ$5,$CC21:$CN21)),"na")</f>
        <v>45658</v>
      </c>
      <c r="DK21" s="45" cm="1">
        <f t="array" ref="DK21">IF(DK$5&lt;=$DH21,INDEX($BP21:$CA21,1,_xlfn.XMATCH(DK$5,$CP21:$DA21)),"na")</f>
        <v>46022</v>
      </c>
      <c r="DL21" s="46" cm="1">
        <f t="array" ref="DL21">IF(DL$5&lt;=$DG21,INDEX($AC21:$AN21,1,_xlfn.XMATCH(DL$5,$CC21:$CN21)),"na")</f>
        <v>24</v>
      </c>
      <c r="DM21" s="47" cm="1">
        <f t="array" ref="DM21">IF(DM$5&lt;=$DG21,INDEX($AP21:$BA21,1,_xlfn.XMATCH(DM$5,$CC21:$CN21)),"na")</f>
        <v>23.5</v>
      </c>
      <c r="DN21" s="44" t="str" cm="1">
        <f t="array" ref="DN21">IF(DN$5&lt;=$DG21,INDEX($BC21:$BN21,1,_xlfn.XMATCH(DN$5,$CC21:$CN21)),"na")</f>
        <v>na</v>
      </c>
      <c r="DO21" s="45" t="str" cm="1">
        <f t="array" ref="DO21">IF(DO$5&lt;=$DH21,INDEX($BP21:$CA21,1,_xlfn.XMATCH(DO$5,$CP21:$DA21)),"na")</f>
        <v>na</v>
      </c>
      <c r="DP21" s="46" t="str" cm="1">
        <f t="array" ref="DP21">IF(DP$5&lt;=$DG21,INDEX($AC21:$AN21,1,_xlfn.XMATCH(DP$5,$CC21:$CN21)),"na")</f>
        <v>na</v>
      </c>
      <c r="DQ21" s="47" t="str" cm="1">
        <f t="array" ref="DQ21">IF(DQ$5&lt;=$DG21,INDEX($AP21:$BA21,1,_xlfn.XMATCH(DQ$5,$CC21:$CN21)),"na")</f>
        <v>na</v>
      </c>
      <c r="DR21" s="44" t="str" cm="1">
        <f t="array" ref="DR21">IF(DR$5&lt;=$DG21,INDEX($BC21:$BN21,1,_xlfn.XMATCH(DR$5,$CC21:$CN21)),"na")</f>
        <v>na</v>
      </c>
      <c r="DS21" s="45" t="str" cm="1">
        <f t="array" ref="DS21">IF(DS$5&lt;=$DH21,INDEX($BP21:$CA21,1,_xlfn.XMATCH(DS$5,$CP21:$DA21)),"na")</f>
        <v>na</v>
      </c>
      <c r="DT21" s="46" t="str" cm="1">
        <f t="array" ref="DT21">IF(DT$5&lt;=$DG21,INDEX($AC21:$AN21,1,_xlfn.XMATCH(DT$5,$CC21:$CN21)),"na")</f>
        <v>na</v>
      </c>
      <c r="DU21" s="47" t="str" cm="1">
        <f t="array" ref="DU21">IF(DU$5&lt;=$DG21,INDEX($AP21:$BA21,1,_xlfn.XMATCH(DU$5,$CC21:$CN21)),"na")</f>
        <v>na</v>
      </c>
      <c r="DV21" s="44" t="str" cm="1">
        <f t="array" ref="DV21">IF(DV$5&lt;=$DG21,INDEX($BC21:$BN21,1,_xlfn.XMATCH(DV$5,$CC21:$CN21)),"na")</f>
        <v>na</v>
      </c>
      <c r="DW21" s="45" t="str" cm="1">
        <f t="array" ref="DW21">IF(DW$5&lt;=$DH21,INDEX($BP21:$CA21,1,_xlfn.XMATCH(DW$5,$CP21:$DA21)),"na")</f>
        <v>na</v>
      </c>
      <c r="DX21" s="46" t="str" cm="1">
        <f t="array" ref="DX21">IF(DX$5&lt;=$DG21,INDEX($AC21:$AN21,1,_xlfn.XMATCH(DX$5,$CC21:$CN21)),"na")</f>
        <v>na</v>
      </c>
      <c r="DY21" s="47" t="str" cm="1">
        <f t="array" ref="DY21">IF(DY$5&lt;=$DG21,INDEX($AP21:$BA21,1,_xlfn.XMATCH(DY$5,$CC21:$CN21)),"na")</f>
        <v>na</v>
      </c>
      <c r="DZ21" s="44" t="str" cm="1">
        <f t="array" ref="DZ21">IF(DZ$5&lt;=$DG21,INDEX($BC21:$BN21,1,_xlfn.XMATCH(DZ$5,$CC21:$CN21)),"na")</f>
        <v>na</v>
      </c>
      <c r="EA21" s="45" t="str" cm="1">
        <f t="array" ref="EA21">IF(EA$5&lt;=$DH21,INDEX($BP21:$CA21,1,_xlfn.XMATCH(EA$5,$CP21:$DA21)),"na")</f>
        <v>na</v>
      </c>
      <c r="EB21" s="46" t="str" cm="1">
        <f t="array" ref="EB21">IF(EB$5&lt;=$DG21,INDEX($AC21:$AN21,1,_xlfn.XMATCH(EB$5,$CC21:$CN21)),"na")</f>
        <v>na</v>
      </c>
      <c r="EC21" s="47" t="str" cm="1">
        <f t="array" ref="EC21">IF(EC$5&lt;=$DG21,INDEX($AP21:$BA21,1,_xlfn.XMATCH(EC$5,$CC21:$CN21)),"na")</f>
        <v>na</v>
      </c>
      <c r="ED21" s="44" t="str" cm="1">
        <f t="array" ref="ED21">IF(ED$5&lt;=$DG21,INDEX($BC21:$BN21,1,_xlfn.XMATCH(ED$5,$CC21:$CN21)),"na")</f>
        <v>na</v>
      </c>
      <c r="EE21" s="45" t="str" cm="1">
        <f t="array" ref="EE21">IF(EE$5&lt;=$DH21,INDEX($BP21:$CA21,1,_xlfn.XMATCH(EE$5,$CP21:$DA21)),"na")</f>
        <v>na</v>
      </c>
      <c r="EF21" s="46" t="str" cm="1">
        <f t="array" ref="EF21">IF(EF$5&lt;=$DG21,INDEX($AC21:$AN21,1,_xlfn.XMATCH(EF$5,$CC21:$CN21)),"na")</f>
        <v>na</v>
      </c>
      <c r="EG21" s="47" t="str" cm="1">
        <f t="array" ref="EG21">IF(EG$5&lt;=$DG21,INDEX($AP21:$BA21,1,_xlfn.XMATCH(EG$5,$CC21:$CN21)),"na")</f>
        <v>na</v>
      </c>
      <c r="EH21" s="44" t="str" cm="1">
        <f t="array" ref="EH21">IF(EH$5&lt;=$DG21,INDEX($BC21:$BN21,1,_xlfn.XMATCH(EH$5,$CC21:$CN21)),"na")</f>
        <v>na</v>
      </c>
      <c r="EI21" s="45" t="str" cm="1">
        <f t="array" ref="EI21">IF(EI$5&lt;=$DH21,INDEX($BP21:$CA21,1,_xlfn.XMATCH(EI$5,$CP21:$DA21)),"na")</f>
        <v>na</v>
      </c>
      <c r="EJ21" s="46" t="str" cm="1">
        <f t="array" ref="EJ21">IF(EJ$5&lt;=$DG21,INDEX($AC21:$AN21,1,_xlfn.XMATCH(EJ$5,$CC21:$CN21)),"na")</f>
        <v>na</v>
      </c>
      <c r="EK21" s="47" t="str" cm="1">
        <f t="array" ref="EK21">IF(EK$5&lt;=$DG21,INDEX($AP21:$BA21,1,_xlfn.XMATCH(EK$5,$CC21:$CN21)),"na")</f>
        <v>na</v>
      </c>
      <c r="EL21" s="44" t="str" cm="1">
        <f t="array" ref="EL21">IF(EL$5&lt;=$DG21,INDEX($BC21:$BN21,1,_xlfn.XMATCH(EL$5,$CC21:$CN21)),"na")</f>
        <v>na</v>
      </c>
      <c r="EM21" s="45" t="str" cm="1">
        <f t="array" ref="EM21">IF(EM$5&lt;=$DH21,INDEX($BP21:$CA21,1,_xlfn.XMATCH(EM$5,$CP21:$DA21)),"na")</f>
        <v>na</v>
      </c>
      <c r="EN21" s="46" t="str" cm="1">
        <f t="array" ref="EN21">IF(EN$5&lt;=$DG21,INDEX($AC21:$AN21,1,_xlfn.XMATCH(EN$5,$CC21:$CN21)),"na")</f>
        <v>na</v>
      </c>
      <c r="EO21" s="47" t="str" cm="1">
        <f t="array" ref="EO21">IF(EO$5&lt;=$DG21,INDEX($AP21:$BA21,1,_xlfn.XMATCH(EO$5,$CC21:$CN21)),"na")</f>
        <v>na</v>
      </c>
      <c r="EP21" s="44" t="str" cm="1">
        <f t="array" ref="EP21">IF(EP$5&lt;=$DG21,INDEX($BC21:$BN21,1,_xlfn.XMATCH(EP$5,$CC21:$CN21)),"na")</f>
        <v>na</v>
      </c>
      <c r="EQ21" s="45" t="str" cm="1">
        <f t="array" ref="EQ21">IF(EQ$5&lt;=$DH21,INDEX($BP21:$CA21,1,_xlfn.XMATCH(EQ$5,$CP21:$DA21)),"na")</f>
        <v>na</v>
      </c>
      <c r="ER21" s="46" t="str" cm="1">
        <f t="array" ref="ER21">IF(ER$5&lt;=$DG21,INDEX($AC21:$AN21,1,_xlfn.XMATCH(ER$5,$CC21:$CN21)),"na")</f>
        <v>na</v>
      </c>
      <c r="ES21" s="47" t="str" cm="1">
        <f t="array" ref="ES21">IF(ES$5&lt;=$DG21,INDEX($AP21:$BA21,1,_xlfn.XMATCH(ES$5,$CC21:$CN21)),"na")</f>
        <v>na</v>
      </c>
      <c r="ET21" s="44" t="str" cm="1">
        <f t="array" ref="ET21">IF(ET$5&lt;=$DG21,INDEX($BC21:$BN21,1,_xlfn.XMATCH(ET$5,$CC21:$CN21)),"na")</f>
        <v>na</v>
      </c>
      <c r="EU21" s="45" t="str" cm="1">
        <f t="array" ref="EU21">IF(EU$5&lt;=$DH21,INDEX($BP21:$CA21,1,_xlfn.XMATCH(EU$5,$CP21:$DA21)),"na")</f>
        <v>na</v>
      </c>
      <c r="EV21" s="46" t="str" cm="1">
        <f t="array" ref="EV21">IF(EV$5&lt;=$DG21,INDEX($AC21:$AN21,1,_xlfn.XMATCH(EV$5,$CC21:$CN21)),"na")</f>
        <v>na</v>
      </c>
      <c r="EW21" s="47" t="str" cm="1">
        <f t="array" ref="EW21">IF(EW$5&lt;=$DG21,INDEX($AP21:$BA21,1,_xlfn.XMATCH(EW$5,$CC21:$CN21)),"na")</f>
        <v>na</v>
      </c>
      <c r="EX21" s="44" t="str" cm="1">
        <f t="array" ref="EX21">IF(EX$5&lt;=$DG21,INDEX($BC21:$BN21,1,_xlfn.XMATCH(EX$5,$CC21:$CN21)),"na")</f>
        <v>na</v>
      </c>
      <c r="EY21" s="45" t="str" cm="1">
        <f t="array" ref="EY21">IF(EY$5&lt;=$DH21,INDEX($BP21:$CA21,1,_xlfn.XMATCH(EY$5,$CP21:$DA21)),"na")</f>
        <v>na</v>
      </c>
      <c r="EZ21" s="46" t="str" cm="1">
        <f t="array" ref="EZ21">IF(EZ$5&lt;=$DG21,INDEX($AC21:$AN21,1,_xlfn.XMATCH(EZ$5,$CC21:$CN21)),"na")</f>
        <v>na</v>
      </c>
      <c r="FA21" s="47" t="str" cm="1">
        <f t="array" ref="FA21">IF(FA$5&lt;=$DG21,INDEX($AP21:$BA21,1,_xlfn.XMATCH(FA$5,$CC21:$CN21)),"na")</f>
        <v>na</v>
      </c>
      <c r="FB21" s="44" t="str" cm="1">
        <f t="array" ref="FB21">IF(FB$5&lt;=$DG21,INDEX($BC21:$BN21,1,_xlfn.XMATCH(FB$5,$CC21:$CN21)),"na")</f>
        <v>na</v>
      </c>
      <c r="FC21" s="45" t="str" cm="1">
        <f t="array" ref="FC21">IF(FC$5&lt;=$DH21,INDEX($BP21:$CA21,1,_xlfn.XMATCH(FC$5,$CP21:$DA21)),"na")</f>
        <v>na</v>
      </c>
      <c r="FD21" s="46" t="str" cm="1">
        <f t="array" ref="FD21">IF(FD$5&lt;=$DG21,INDEX($AC21:$AN21,1,_xlfn.XMATCH(FD$5,$CC21:$CN21)),"na")</f>
        <v>na</v>
      </c>
      <c r="FE21" s="47" t="str" cm="1">
        <f t="array" ref="FE21">IF(FE$5&lt;=$DG21,INDEX($AP21:$BA21,1,_xlfn.XMATCH(FE$5,$CC21:$CN21)),"na")</f>
        <v>na</v>
      </c>
    </row>
    <row r="22" spans="2:161" x14ac:dyDescent="0.25">
      <c r="B22" s="10" t="s">
        <v>83</v>
      </c>
      <c r="C22" s="8">
        <v>1488</v>
      </c>
      <c r="D22" s="8">
        <v>1344</v>
      </c>
      <c r="E22" s="8">
        <v>1488</v>
      </c>
      <c r="F22" s="8">
        <v>1440</v>
      </c>
      <c r="G22" s="8">
        <v>1488</v>
      </c>
      <c r="H22" s="8">
        <v>1440</v>
      </c>
      <c r="I22" s="8">
        <v>1488</v>
      </c>
      <c r="J22" s="8">
        <v>1488</v>
      </c>
      <c r="K22" s="8">
        <v>1440</v>
      </c>
      <c r="L22" s="8">
        <v>1488</v>
      </c>
      <c r="M22" s="8">
        <v>1440</v>
      </c>
      <c r="N22" s="8">
        <v>1488</v>
      </c>
      <c r="O22" s="8"/>
      <c r="P22" s="8">
        <v>1162.5</v>
      </c>
      <c r="Q22" s="8">
        <v>1050</v>
      </c>
      <c r="R22" s="8">
        <v>1162.5</v>
      </c>
      <c r="S22" s="8">
        <v>1125</v>
      </c>
      <c r="T22" s="8">
        <v>1162.5</v>
      </c>
      <c r="U22" s="8">
        <v>1125</v>
      </c>
      <c r="V22" s="8">
        <v>1162.5</v>
      </c>
      <c r="W22" s="8">
        <v>1162.5</v>
      </c>
      <c r="X22" s="8">
        <v>1125</v>
      </c>
      <c r="Y22" s="8">
        <v>1162.5</v>
      </c>
      <c r="Z22" s="8">
        <v>1125</v>
      </c>
      <c r="AA22" s="8">
        <v>1162.5</v>
      </c>
      <c r="AC22" s="14">
        <f>C22/_xlfn.XLOOKUP(AC$5,'OC-Days'!$G:$G,'OC-Days'!$B:$B)</f>
        <v>48</v>
      </c>
      <c r="AD22" s="14">
        <f>D22/_xlfn.XLOOKUP(AD$5,'OC-Days'!$G:$G,'OC-Days'!$B:$B)</f>
        <v>48</v>
      </c>
      <c r="AE22" s="14">
        <f>E22/_xlfn.XLOOKUP(AE$5,'OC-Days'!$G:$G,'OC-Days'!$B:$B)</f>
        <v>48</v>
      </c>
      <c r="AF22" s="14">
        <f>F22/_xlfn.XLOOKUP(AF$5,'OC-Days'!$G:$G,'OC-Days'!$B:$B)</f>
        <v>48</v>
      </c>
      <c r="AG22" s="14">
        <f>G22/_xlfn.XLOOKUP(AG$5,'OC-Days'!$G:$G,'OC-Days'!$B:$B)</f>
        <v>48</v>
      </c>
      <c r="AH22" s="14">
        <f>H22/_xlfn.XLOOKUP(AH$5,'OC-Days'!$G:$G,'OC-Days'!$B:$B)</f>
        <v>48</v>
      </c>
      <c r="AI22" s="14">
        <f>I22/_xlfn.XLOOKUP(AI$5,'OC-Days'!$G:$G,'OC-Days'!$B:$B)</f>
        <v>48</v>
      </c>
      <c r="AJ22" s="14">
        <f>J22/_xlfn.XLOOKUP(AJ$5,'OC-Days'!$G:$G,'OC-Days'!$B:$B)</f>
        <v>48</v>
      </c>
      <c r="AK22" s="14">
        <f>K22/_xlfn.XLOOKUP(AK$5,'OC-Days'!$G:$G,'OC-Days'!$B:$B)</f>
        <v>48</v>
      </c>
      <c r="AL22" s="14">
        <f>L22/_xlfn.XLOOKUP(AL$5,'OC-Days'!$G:$G,'OC-Days'!$B:$B)</f>
        <v>48</v>
      </c>
      <c r="AM22" s="14">
        <f>M22/_xlfn.XLOOKUP(AM$5,'OC-Days'!$G:$G,'OC-Days'!$B:$B)</f>
        <v>48</v>
      </c>
      <c r="AN22" s="14">
        <f>N22/_xlfn.XLOOKUP(AN$5,'OC-Days'!$G:$G,'OC-Days'!$B:$B)</f>
        <v>48</v>
      </c>
      <c r="AP22" s="14">
        <f>P22/_xlfn.XLOOKUP(AP$5,'OC-Days'!$G:$G,'OC-Days'!$B:$B)</f>
        <v>37.5</v>
      </c>
      <c r="AQ22" s="14">
        <f>Q22/_xlfn.XLOOKUP(AQ$5,'OC-Days'!$G:$G,'OC-Days'!$B:$B)</f>
        <v>37.5</v>
      </c>
      <c r="AR22" s="14">
        <f>R22/_xlfn.XLOOKUP(AR$5,'OC-Days'!$G:$G,'OC-Days'!$B:$B)</f>
        <v>37.5</v>
      </c>
      <c r="AS22" s="14">
        <f>S22/_xlfn.XLOOKUP(AS$5,'OC-Days'!$G:$G,'OC-Days'!$B:$B)</f>
        <v>37.5</v>
      </c>
      <c r="AT22" s="14">
        <f>T22/_xlfn.XLOOKUP(AT$5,'OC-Days'!$G:$G,'OC-Days'!$B:$B)</f>
        <v>37.5</v>
      </c>
      <c r="AU22" s="14">
        <f>U22/_xlfn.XLOOKUP(AU$5,'OC-Days'!$G:$G,'OC-Days'!$B:$B)</f>
        <v>37.5</v>
      </c>
      <c r="AV22" s="14">
        <f>V22/_xlfn.XLOOKUP(AV$5,'OC-Days'!$G:$G,'OC-Days'!$B:$B)</f>
        <v>37.5</v>
      </c>
      <c r="AW22" s="14">
        <f>W22/_xlfn.XLOOKUP(AW$5,'OC-Days'!$G:$G,'OC-Days'!$B:$B)</f>
        <v>37.5</v>
      </c>
      <c r="AX22" s="14">
        <f>X22/_xlfn.XLOOKUP(AX$5,'OC-Days'!$G:$G,'OC-Days'!$B:$B)</f>
        <v>37.5</v>
      </c>
      <c r="AY22" s="14">
        <f>Y22/_xlfn.XLOOKUP(AY$5,'OC-Days'!$G:$G,'OC-Days'!$B:$B)</f>
        <v>37.5</v>
      </c>
      <c r="AZ22" s="14">
        <f>Z22/_xlfn.XLOOKUP(AZ$5,'OC-Days'!$G:$G,'OC-Days'!$B:$B)</f>
        <v>37.5</v>
      </c>
      <c r="BA22" s="14">
        <f>AA22/_xlfn.XLOOKUP(BA$5,'OC-Days'!$G:$G,'OC-Days'!$B:$B)</f>
        <v>37.5</v>
      </c>
      <c r="BC22" s="33">
        <f>_xlfn.XLOOKUP(BC$5,'OC-Days'!$G:$G,'OC-Days'!$F:$F)</f>
        <v>45658</v>
      </c>
      <c r="BD22" s="34" t="str">
        <f>IF(AQ22=AP22,"na",_xlfn.XLOOKUP(BD$5,'OC-Days'!$G:$G,'OC-Days'!$F:$F))</f>
        <v>na</v>
      </c>
      <c r="BE22" s="34" t="str">
        <f>IF(AR22=AQ22,"na",_xlfn.XLOOKUP(BE$5,'OC-Days'!$G:$G,'OC-Days'!$F:$F))</f>
        <v>na</v>
      </c>
      <c r="BF22" s="34" t="str">
        <f>IF(AS22=AR22,"na",_xlfn.XLOOKUP(BF$5,'OC-Days'!$G:$G,'OC-Days'!$F:$F))</f>
        <v>na</v>
      </c>
      <c r="BG22" s="34" t="str">
        <f>IF(AT22=AS22,"na",_xlfn.XLOOKUP(BG$5,'OC-Days'!$G:$G,'OC-Days'!$F:$F))</f>
        <v>na</v>
      </c>
      <c r="BH22" s="34" t="str">
        <f>IF(AU22=AT22,"na",_xlfn.XLOOKUP(BH$5,'OC-Days'!$G:$G,'OC-Days'!$F:$F))</f>
        <v>na</v>
      </c>
      <c r="BI22" s="34" t="str">
        <f>IF(AV22=AU22,"na",_xlfn.XLOOKUP(BI$5,'OC-Days'!$G:$G,'OC-Days'!$F:$F))</f>
        <v>na</v>
      </c>
      <c r="BJ22" s="34" t="str">
        <f>IF(AW22=AV22,"na",_xlfn.XLOOKUP(BJ$5,'OC-Days'!$G:$G,'OC-Days'!$F:$F))</f>
        <v>na</v>
      </c>
      <c r="BK22" s="34" t="str">
        <f>IF(AX22=AW22,"na",_xlfn.XLOOKUP(BK$5,'OC-Days'!$G:$G,'OC-Days'!$F:$F))</f>
        <v>na</v>
      </c>
      <c r="BL22" s="34" t="str">
        <f>IF(AY22=AX22,"na",_xlfn.XLOOKUP(BL$5,'OC-Days'!$G:$G,'OC-Days'!$F:$F))</f>
        <v>na</v>
      </c>
      <c r="BM22" s="34" t="str">
        <f>IF(AZ22=AY22,"na",_xlfn.XLOOKUP(BM$5,'OC-Days'!$G:$G,'OC-Days'!$F:$F))</f>
        <v>na</v>
      </c>
      <c r="BN22" s="34" t="str">
        <f>IF(BA22=AZ22,"na",_xlfn.XLOOKUP(BN$5,'OC-Days'!$G:$G,'OC-Days'!$F:$F))</f>
        <v>na</v>
      </c>
      <c r="BP22" s="36" t="str">
        <f t="shared" si="35"/>
        <v>na</v>
      </c>
      <c r="BQ22" s="36" t="str">
        <f t="shared" si="36"/>
        <v>na</v>
      </c>
      <c r="BR22" s="36" t="str">
        <f t="shared" si="37"/>
        <v>na</v>
      </c>
      <c r="BS22" s="36" t="str">
        <f t="shared" si="38"/>
        <v>na</v>
      </c>
      <c r="BT22" s="36" t="str">
        <f t="shared" si="39"/>
        <v>na</v>
      </c>
      <c r="BU22" s="36" t="str">
        <f t="shared" si="40"/>
        <v>na</v>
      </c>
      <c r="BV22" s="36" t="str">
        <f t="shared" si="41"/>
        <v>na</v>
      </c>
      <c r="BW22" s="36" t="str">
        <f t="shared" si="42"/>
        <v>na</v>
      </c>
      <c r="BX22" s="36" t="str">
        <f t="shared" si="43"/>
        <v>na</v>
      </c>
      <c r="BY22" s="36" t="str">
        <f t="shared" si="44"/>
        <v>na</v>
      </c>
      <c r="BZ22" s="36" t="str">
        <f t="shared" si="45"/>
        <v>na</v>
      </c>
      <c r="CA22" s="43">
        <f t="shared" si="46"/>
        <v>46022</v>
      </c>
      <c r="CC22" s="8">
        <f>COUNT($BC22:BC22)</f>
        <v>1</v>
      </c>
      <c r="CD22" s="8">
        <f>COUNT($BC22:BD22)</f>
        <v>1</v>
      </c>
      <c r="CE22" s="8">
        <f>COUNT($BC22:BE22)</f>
        <v>1</v>
      </c>
      <c r="CF22" s="8">
        <f>COUNT($BC22:BF22)</f>
        <v>1</v>
      </c>
      <c r="CG22" s="8">
        <f>COUNT($BC22:BG22)</f>
        <v>1</v>
      </c>
      <c r="CH22" s="8">
        <f>COUNT($BC22:BH22)</f>
        <v>1</v>
      </c>
      <c r="CI22" s="8">
        <f>COUNT($BC22:BI22)</f>
        <v>1</v>
      </c>
      <c r="CJ22" s="8">
        <f>COUNT($BC22:BJ22)</f>
        <v>1</v>
      </c>
      <c r="CK22" s="8">
        <f>COUNT($BC22:BK22)</f>
        <v>1</v>
      </c>
      <c r="CL22" s="8">
        <f>COUNT($BC22:BL22)</f>
        <v>1</v>
      </c>
      <c r="CM22" s="8">
        <f>COUNT($BC22:BM22)</f>
        <v>1</v>
      </c>
      <c r="CN22" s="8">
        <f>COUNT($BC22:BN22)</f>
        <v>1</v>
      </c>
      <c r="CO22" s="8"/>
      <c r="CP22" s="8">
        <f>COUNT($BP22:BP22)</f>
        <v>0</v>
      </c>
      <c r="CQ22" s="8">
        <f>COUNT($BP22:BQ22)</f>
        <v>0</v>
      </c>
      <c r="CR22" s="8">
        <f>COUNT($BP22:BR22)</f>
        <v>0</v>
      </c>
      <c r="CS22" s="8">
        <f>COUNT($BP22:BS22)</f>
        <v>0</v>
      </c>
      <c r="CT22" s="8">
        <f>COUNT($BP22:BT22)</f>
        <v>0</v>
      </c>
      <c r="CU22" s="8">
        <f>COUNT($BP22:BU22)</f>
        <v>0</v>
      </c>
      <c r="CV22" s="8">
        <f>COUNT($BP22:BV22)</f>
        <v>0</v>
      </c>
      <c r="CW22" s="8">
        <f>COUNT($BP22:BW22)</f>
        <v>0</v>
      </c>
      <c r="CX22" s="8">
        <f>COUNT($BP22:BX22)</f>
        <v>0</v>
      </c>
      <c r="CY22" s="8">
        <f>COUNT($BP22:BY22)</f>
        <v>0</v>
      </c>
      <c r="CZ22" s="8">
        <f>COUNT($BP22:BZ22)</f>
        <v>0</v>
      </c>
      <c r="DA22" s="8">
        <f>COUNT($BP22:CA22)</f>
        <v>1</v>
      </c>
      <c r="DC22">
        <f t="shared" si="47"/>
        <v>200</v>
      </c>
      <c r="DD22">
        <f t="shared" si="48"/>
        <v>61</v>
      </c>
      <c r="DE22" t="str">
        <f t="shared" si="49"/>
        <v>200-61</v>
      </c>
      <c r="DG22">
        <f t="shared" si="50"/>
        <v>1</v>
      </c>
      <c r="DH22">
        <f t="shared" si="51"/>
        <v>1</v>
      </c>
      <c r="DJ22" s="44" cm="1">
        <f t="array" ref="DJ22">IF(DJ$5&lt;=$DG22,INDEX($BC22:$BN22,1,_xlfn.XMATCH(DJ$5,$CC22:$CN22)),"na")</f>
        <v>45658</v>
      </c>
      <c r="DK22" s="45" cm="1">
        <f t="array" ref="DK22">IF(DK$5&lt;=$DH22,INDEX($BP22:$CA22,1,_xlfn.XMATCH(DK$5,$CP22:$DA22)),"na")</f>
        <v>46022</v>
      </c>
      <c r="DL22" s="46" cm="1">
        <f t="array" ref="DL22">IF(DL$5&lt;=$DG22,INDEX($AC22:$AN22,1,_xlfn.XMATCH(DL$5,$CC22:$CN22)),"na")</f>
        <v>48</v>
      </c>
      <c r="DM22" s="47" cm="1">
        <f t="array" ref="DM22">IF(DM$5&lt;=$DG22,INDEX($AP22:$BA22,1,_xlfn.XMATCH(DM$5,$CC22:$CN22)),"na")</f>
        <v>37.5</v>
      </c>
      <c r="DN22" s="44" t="str" cm="1">
        <f t="array" ref="DN22">IF(DN$5&lt;=$DG22,INDEX($BC22:$BN22,1,_xlfn.XMATCH(DN$5,$CC22:$CN22)),"na")</f>
        <v>na</v>
      </c>
      <c r="DO22" s="45" t="str" cm="1">
        <f t="array" ref="DO22">IF(DO$5&lt;=$DH22,INDEX($BP22:$CA22,1,_xlfn.XMATCH(DO$5,$CP22:$DA22)),"na")</f>
        <v>na</v>
      </c>
      <c r="DP22" s="46" t="str" cm="1">
        <f t="array" ref="DP22">IF(DP$5&lt;=$DG22,INDEX($AC22:$AN22,1,_xlfn.XMATCH(DP$5,$CC22:$CN22)),"na")</f>
        <v>na</v>
      </c>
      <c r="DQ22" s="47" t="str" cm="1">
        <f t="array" ref="DQ22">IF(DQ$5&lt;=$DG22,INDEX($AP22:$BA22,1,_xlfn.XMATCH(DQ$5,$CC22:$CN22)),"na")</f>
        <v>na</v>
      </c>
      <c r="DR22" s="44" t="str" cm="1">
        <f t="array" ref="DR22">IF(DR$5&lt;=$DG22,INDEX($BC22:$BN22,1,_xlfn.XMATCH(DR$5,$CC22:$CN22)),"na")</f>
        <v>na</v>
      </c>
      <c r="DS22" s="45" t="str" cm="1">
        <f t="array" ref="DS22">IF(DS$5&lt;=$DH22,INDEX($BP22:$CA22,1,_xlfn.XMATCH(DS$5,$CP22:$DA22)),"na")</f>
        <v>na</v>
      </c>
      <c r="DT22" s="46" t="str" cm="1">
        <f t="array" ref="DT22">IF(DT$5&lt;=$DG22,INDEX($AC22:$AN22,1,_xlfn.XMATCH(DT$5,$CC22:$CN22)),"na")</f>
        <v>na</v>
      </c>
      <c r="DU22" s="47" t="str" cm="1">
        <f t="array" ref="DU22">IF(DU$5&lt;=$DG22,INDEX($AP22:$BA22,1,_xlfn.XMATCH(DU$5,$CC22:$CN22)),"na")</f>
        <v>na</v>
      </c>
      <c r="DV22" s="44" t="str" cm="1">
        <f t="array" ref="DV22">IF(DV$5&lt;=$DG22,INDEX($BC22:$BN22,1,_xlfn.XMATCH(DV$5,$CC22:$CN22)),"na")</f>
        <v>na</v>
      </c>
      <c r="DW22" s="45" t="str" cm="1">
        <f t="array" ref="DW22">IF(DW$5&lt;=$DH22,INDEX($BP22:$CA22,1,_xlfn.XMATCH(DW$5,$CP22:$DA22)),"na")</f>
        <v>na</v>
      </c>
      <c r="DX22" s="46" t="str" cm="1">
        <f t="array" ref="DX22">IF(DX$5&lt;=$DG22,INDEX($AC22:$AN22,1,_xlfn.XMATCH(DX$5,$CC22:$CN22)),"na")</f>
        <v>na</v>
      </c>
      <c r="DY22" s="47" t="str" cm="1">
        <f t="array" ref="DY22">IF(DY$5&lt;=$DG22,INDEX($AP22:$BA22,1,_xlfn.XMATCH(DY$5,$CC22:$CN22)),"na")</f>
        <v>na</v>
      </c>
      <c r="DZ22" s="44" t="str" cm="1">
        <f t="array" ref="DZ22">IF(DZ$5&lt;=$DG22,INDEX($BC22:$BN22,1,_xlfn.XMATCH(DZ$5,$CC22:$CN22)),"na")</f>
        <v>na</v>
      </c>
      <c r="EA22" s="45" t="str" cm="1">
        <f t="array" ref="EA22">IF(EA$5&lt;=$DH22,INDEX($BP22:$CA22,1,_xlfn.XMATCH(EA$5,$CP22:$DA22)),"na")</f>
        <v>na</v>
      </c>
      <c r="EB22" s="46" t="str" cm="1">
        <f t="array" ref="EB22">IF(EB$5&lt;=$DG22,INDEX($AC22:$AN22,1,_xlfn.XMATCH(EB$5,$CC22:$CN22)),"na")</f>
        <v>na</v>
      </c>
      <c r="EC22" s="47" t="str" cm="1">
        <f t="array" ref="EC22">IF(EC$5&lt;=$DG22,INDEX($AP22:$BA22,1,_xlfn.XMATCH(EC$5,$CC22:$CN22)),"na")</f>
        <v>na</v>
      </c>
      <c r="ED22" s="44" t="str" cm="1">
        <f t="array" ref="ED22">IF(ED$5&lt;=$DG22,INDEX($BC22:$BN22,1,_xlfn.XMATCH(ED$5,$CC22:$CN22)),"na")</f>
        <v>na</v>
      </c>
      <c r="EE22" s="45" t="str" cm="1">
        <f t="array" ref="EE22">IF(EE$5&lt;=$DH22,INDEX($BP22:$CA22,1,_xlfn.XMATCH(EE$5,$CP22:$DA22)),"na")</f>
        <v>na</v>
      </c>
      <c r="EF22" s="46" t="str" cm="1">
        <f t="array" ref="EF22">IF(EF$5&lt;=$DG22,INDEX($AC22:$AN22,1,_xlfn.XMATCH(EF$5,$CC22:$CN22)),"na")</f>
        <v>na</v>
      </c>
      <c r="EG22" s="47" t="str" cm="1">
        <f t="array" ref="EG22">IF(EG$5&lt;=$DG22,INDEX($AP22:$BA22,1,_xlfn.XMATCH(EG$5,$CC22:$CN22)),"na")</f>
        <v>na</v>
      </c>
      <c r="EH22" s="44" t="str" cm="1">
        <f t="array" ref="EH22">IF(EH$5&lt;=$DG22,INDEX($BC22:$BN22,1,_xlfn.XMATCH(EH$5,$CC22:$CN22)),"na")</f>
        <v>na</v>
      </c>
      <c r="EI22" s="45" t="str" cm="1">
        <f t="array" ref="EI22">IF(EI$5&lt;=$DH22,INDEX($BP22:$CA22,1,_xlfn.XMATCH(EI$5,$CP22:$DA22)),"na")</f>
        <v>na</v>
      </c>
      <c r="EJ22" s="46" t="str" cm="1">
        <f t="array" ref="EJ22">IF(EJ$5&lt;=$DG22,INDEX($AC22:$AN22,1,_xlfn.XMATCH(EJ$5,$CC22:$CN22)),"na")</f>
        <v>na</v>
      </c>
      <c r="EK22" s="47" t="str" cm="1">
        <f t="array" ref="EK22">IF(EK$5&lt;=$DG22,INDEX($AP22:$BA22,1,_xlfn.XMATCH(EK$5,$CC22:$CN22)),"na")</f>
        <v>na</v>
      </c>
      <c r="EL22" s="44" t="str" cm="1">
        <f t="array" ref="EL22">IF(EL$5&lt;=$DG22,INDEX($BC22:$BN22,1,_xlfn.XMATCH(EL$5,$CC22:$CN22)),"na")</f>
        <v>na</v>
      </c>
      <c r="EM22" s="45" t="str" cm="1">
        <f t="array" ref="EM22">IF(EM$5&lt;=$DH22,INDEX($BP22:$CA22,1,_xlfn.XMATCH(EM$5,$CP22:$DA22)),"na")</f>
        <v>na</v>
      </c>
      <c r="EN22" s="46" t="str" cm="1">
        <f t="array" ref="EN22">IF(EN$5&lt;=$DG22,INDEX($AC22:$AN22,1,_xlfn.XMATCH(EN$5,$CC22:$CN22)),"na")</f>
        <v>na</v>
      </c>
      <c r="EO22" s="47" t="str" cm="1">
        <f t="array" ref="EO22">IF(EO$5&lt;=$DG22,INDEX($AP22:$BA22,1,_xlfn.XMATCH(EO$5,$CC22:$CN22)),"na")</f>
        <v>na</v>
      </c>
      <c r="EP22" s="44" t="str" cm="1">
        <f t="array" ref="EP22">IF(EP$5&lt;=$DG22,INDEX($BC22:$BN22,1,_xlfn.XMATCH(EP$5,$CC22:$CN22)),"na")</f>
        <v>na</v>
      </c>
      <c r="EQ22" s="45" t="str" cm="1">
        <f t="array" ref="EQ22">IF(EQ$5&lt;=$DH22,INDEX($BP22:$CA22,1,_xlfn.XMATCH(EQ$5,$CP22:$DA22)),"na")</f>
        <v>na</v>
      </c>
      <c r="ER22" s="46" t="str" cm="1">
        <f t="array" ref="ER22">IF(ER$5&lt;=$DG22,INDEX($AC22:$AN22,1,_xlfn.XMATCH(ER$5,$CC22:$CN22)),"na")</f>
        <v>na</v>
      </c>
      <c r="ES22" s="47" t="str" cm="1">
        <f t="array" ref="ES22">IF(ES$5&lt;=$DG22,INDEX($AP22:$BA22,1,_xlfn.XMATCH(ES$5,$CC22:$CN22)),"na")</f>
        <v>na</v>
      </c>
      <c r="ET22" s="44" t="str" cm="1">
        <f t="array" ref="ET22">IF(ET$5&lt;=$DG22,INDEX($BC22:$BN22,1,_xlfn.XMATCH(ET$5,$CC22:$CN22)),"na")</f>
        <v>na</v>
      </c>
      <c r="EU22" s="45" t="str" cm="1">
        <f t="array" ref="EU22">IF(EU$5&lt;=$DH22,INDEX($BP22:$CA22,1,_xlfn.XMATCH(EU$5,$CP22:$DA22)),"na")</f>
        <v>na</v>
      </c>
      <c r="EV22" s="46" t="str" cm="1">
        <f t="array" ref="EV22">IF(EV$5&lt;=$DG22,INDEX($AC22:$AN22,1,_xlfn.XMATCH(EV$5,$CC22:$CN22)),"na")</f>
        <v>na</v>
      </c>
      <c r="EW22" s="47" t="str" cm="1">
        <f t="array" ref="EW22">IF(EW$5&lt;=$DG22,INDEX($AP22:$BA22,1,_xlfn.XMATCH(EW$5,$CC22:$CN22)),"na")</f>
        <v>na</v>
      </c>
      <c r="EX22" s="44" t="str" cm="1">
        <f t="array" ref="EX22">IF(EX$5&lt;=$DG22,INDEX($BC22:$BN22,1,_xlfn.XMATCH(EX$5,$CC22:$CN22)),"na")</f>
        <v>na</v>
      </c>
      <c r="EY22" s="45" t="str" cm="1">
        <f t="array" ref="EY22">IF(EY$5&lt;=$DH22,INDEX($BP22:$CA22,1,_xlfn.XMATCH(EY$5,$CP22:$DA22)),"na")</f>
        <v>na</v>
      </c>
      <c r="EZ22" s="46" t="str" cm="1">
        <f t="array" ref="EZ22">IF(EZ$5&lt;=$DG22,INDEX($AC22:$AN22,1,_xlfn.XMATCH(EZ$5,$CC22:$CN22)),"na")</f>
        <v>na</v>
      </c>
      <c r="FA22" s="47" t="str" cm="1">
        <f t="array" ref="FA22">IF(FA$5&lt;=$DG22,INDEX($AP22:$BA22,1,_xlfn.XMATCH(FA$5,$CC22:$CN22)),"na")</f>
        <v>na</v>
      </c>
      <c r="FB22" s="44" t="str" cm="1">
        <f t="array" ref="FB22">IF(FB$5&lt;=$DG22,INDEX($BC22:$BN22,1,_xlfn.XMATCH(FB$5,$CC22:$CN22)),"na")</f>
        <v>na</v>
      </c>
      <c r="FC22" s="45" t="str" cm="1">
        <f t="array" ref="FC22">IF(FC$5&lt;=$DH22,INDEX($BP22:$CA22,1,_xlfn.XMATCH(FC$5,$CP22:$DA22)),"na")</f>
        <v>na</v>
      </c>
      <c r="FD22" s="46" t="str" cm="1">
        <f t="array" ref="FD22">IF(FD$5&lt;=$DG22,INDEX($AC22:$AN22,1,_xlfn.XMATCH(FD$5,$CC22:$CN22)),"na")</f>
        <v>na</v>
      </c>
      <c r="FE22" s="47" t="str" cm="1">
        <f t="array" ref="FE22">IF(FE$5&lt;=$DG22,INDEX($AP22:$BA22,1,_xlfn.XMATCH(FE$5,$CC22:$CN22)),"na")</f>
        <v>na</v>
      </c>
    </row>
    <row r="23" spans="2:161" hidden="1" x14ac:dyDescent="0.25">
      <c r="B23" s="9" t="s">
        <v>84</v>
      </c>
      <c r="C23" s="8">
        <v>11532</v>
      </c>
      <c r="D23" s="8">
        <v>10416</v>
      </c>
      <c r="E23" s="8">
        <v>11532</v>
      </c>
      <c r="F23" s="8">
        <v>11160</v>
      </c>
      <c r="G23" s="8">
        <v>11532</v>
      </c>
      <c r="H23" s="8">
        <v>11160</v>
      </c>
      <c r="I23" s="8">
        <v>11532</v>
      </c>
      <c r="J23" s="8">
        <v>11532</v>
      </c>
      <c r="K23" s="8">
        <v>11160</v>
      </c>
      <c r="L23" s="8">
        <v>11532</v>
      </c>
      <c r="M23" s="8">
        <v>11160</v>
      </c>
      <c r="N23" s="8">
        <v>11532</v>
      </c>
      <c r="O23" s="8"/>
      <c r="P23" s="8">
        <v>10819</v>
      </c>
      <c r="Q23" s="8">
        <v>9772</v>
      </c>
      <c r="R23" s="8">
        <v>10819</v>
      </c>
      <c r="S23" s="8">
        <v>10470</v>
      </c>
      <c r="T23" s="8">
        <v>10819</v>
      </c>
      <c r="U23" s="8">
        <v>10470</v>
      </c>
      <c r="V23" s="8">
        <v>10819</v>
      </c>
      <c r="W23" s="8">
        <v>10819</v>
      </c>
      <c r="X23" s="8">
        <v>10470</v>
      </c>
      <c r="Y23" s="8">
        <v>10819</v>
      </c>
      <c r="Z23" s="8">
        <v>10470</v>
      </c>
      <c r="AA23" s="8">
        <v>10819</v>
      </c>
      <c r="AC23" s="14">
        <f>C23/_xlfn.XLOOKUP(AC$5,'OC-Days'!$G:$G,'OC-Days'!$B:$B)</f>
        <v>372</v>
      </c>
      <c r="AD23" s="14">
        <f>D23/_xlfn.XLOOKUP(AD$5,'OC-Days'!$G:$G,'OC-Days'!$B:$B)</f>
        <v>372</v>
      </c>
      <c r="AE23" s="14">
        <f>E23/_xlfn.XLOOKUP(AE$5,'OC-Days'!$G:$G,'OC-Days'!$B:$B)</f>
        <v>372</v>
      </c>
      <c r="AF23" s="14">
        <f>F23/_xlfn.XLOOKUP(AF$5,'OC-Days'!$G:$G,'OC-Days'!$B:$B)</f>
        <v>372</v>
      </c>
      <c r="AG23" s="14">
        <f>G23/_xlfn.XLOOKUP(AG$5,'OC-Days'!$G:$G,'OC-Days'!$B:$B)</f>
        <v>372</v>
      </c>
      <c r="AH23" s="14">
        <f>H23/_xlfn.XLOOKUP(AH$5,'OC-Days'!$G:$G,'OC-Days'!$B:$B)</f>
        <v>372</v>
      </c>
      <c r="AI23" s="14">
        <f>I23/_xlfn.XLOOKUP(AI$5,'OC-Days'!$G:$G,'OC-Days'!$B:$B)</f>
        <v>372</v>
      </c>
      <c r="AJ23" s="14">
        <f>J23/_xlfn.XLOOKUP(AJ$5,'OC-Days'!$G:$G,'OC-Days'!$B:$B)</f>
        <v>372</v>
      </c>
      <c r="AK23" s="14">
        <f>K23/_xlfn.XLOOKUP(AK$5,'OC-Days'!$G:$G,'OC-Days'!$B:$B)</f>
        <v>372</v>
      </c>
      <c r="AL23" s="14">
        <f>L23/_xlfn.XLOOKUP(AL$5,'OC-Days'!$G:$G,'OC-Days'!$B:$B)</f>
        <v>372</v>
      </c>
      <c r="AM23" s="14">
        <f>M23/_xlfn.XLOOKUP(AM$5,'OC-Days'!$G:$G,'OC-Days'!$B:$B)</f>
        <v>372</v>
      </c>
      <c r="AN23" s="14">
        <f>N23/_xlfn.XLOOKUP(AN$5,'OC-Days'!$G:$G,'OC-Days'!$B:$B)</f>
        <v>372</v>
      </c>
      <c r="AP23" s="14">
        <f>P23/_xlfn.XLOOKUP(AP$5,'OC-Days'!$G:$G,'OC-Days'!$B:$B)</f>
        <v>349</v>
      </c>
      <c r="AQ23" s="14">
        <f>Q23/_xlfn.XLOOKUP(AQ$5,'OC-Days'!$G:$G,'OC-Days'!$B:$B)</f>
        <v>349</v>
      </c>
      <c r="AR23" s="14">
        <f>R23/_xlfn.XLOOKUP(AR$5,'OC-Days'!$G:$G,'OC-Days'!$B:$B)</f>
        <v>349</v>
      </c>
      <c r="AS23" s="14">
        <f>S23/_xlfn.XLOOKUP(AS$5,'OC-Days'!$G:$G,'OC-Days'!$B:$B)</f>
        <v>349</v>
      </c>
      <c r="AT23" s="14">
        <f>T23/_xlfn.XLOOKUP(AT$5,'OC-Days'!$G:$G,'OC-Days'!$B:$B)</f>
        <v>349</v>
      </c>
      <c r="AU23" s="14">
        <f>U23/_xlfn.XLOOKUP(AU$5,'OC-Days'!$G:$G,'OC-Days'!$B:$B)</f>
        <v>349</v>
      </c>
      <c r="AV23" s="14">
        <f>V23/_xlfn.XLOOKUP(AV$5,'OC-Days'!$G:$G,'OC-Days'!$B:$B)</f>
        <v>349</v>
      </c>
      <c r="AW23" s="14">
        <f>W23/_xlfn.XLOOKUP(AW$5,'OC-Days'!$G:$G,'OC-Days'!$B:$B)</f>
        <v>349</v>
      </c>
      <c r="AX23" s="14">
        <f>X23/_xlfn.XLOOKUP(AX$5,'OC-Days'!$G:$G,'OC-Days'!$B:$B)</f>
        <v>349</v>
      </c>
      <c r="AY23" s="14">
        <f>Y23/_xlfn.XLOOKUP(AY$5,'OC-Days'!$G:$G,'OC-Days'!$B:$B)</f>
        <v>349</v>
      </c>
      <c r="AZ23" s="14">
        <f>Z23/_xlfn.XLOOKUP(AZ$5,'OC-Days'!$G:$G,'OC-Days'!$B:$B)</f>
        <v>349</v>
      </c>
      <c r="BA23" s="14">
        <f>AA23/_xlfn.XLOOKUP(BA$5,'OC-Days'!$G:$G,'OC-Days'!$B:$B)</f>
        <v>349</v>
      </c>
      <c r="BC23" s="33">
        <f>_xlfn.XLOOKUP(BC$5,'OC-Days'!$G:$G,'OC-Days'!$F:$F)</f>
        <v>45658</v>
      </c>
      <c r="BD23" s="34" t="str">
        <f>IF(AQ23=AP23,"na",_xlfn.XLOOKUP(BD$5,'OC-Days'!$G:$G,'OC-Days'!$F:$F))</f>
        <v>na</v>
      </c>
      <c r="BE23" s="34" t="str">
        <f>IF(AR23=AQ23,"na",_xlfn.XLOOKUP(BE$5,'OC-Days'!$G:$G,'OC-Days'!$F:$F))</f>
        <v>na</v>
      </c>
      <c r="BF23" s="34" t="str">
        <f>IF(AS23=AR23,"na",_xlfn.XLOOKUP(BF$5,'OC-Days'!$G:$G,'OC-Days'!$F:$F))</f>
        <v>na</v>
      </c>
      <c r="BG23" s="34" t="str">
        <f>IF(AT23=AS23,"na",_xlfn.XLOOKUP(BG$5,'OC-Days'!$G:$G,'OC-Days'!$F:$F))</f>
        <v>na</v>
      </c>
      <c r="BH23" s="34" t="str">
        <f>IF(AU23=AT23,"na",_xlfn.XLOOKUP(BH$5,'OC-Days'!$G:$G,'OC-Days'!$F:$F))</f>
        <v>na</v>
      </c>
      <c r="BI23" s="34" t="str">
        <f>IF(AV23=AU23,"na",_xlfn.XLOOKUP(BI$5,'OC-Days'!$G:$G,'OC-Days'!$F:$F))</f>
        <v>na</v>
      </c>
      <c r="BJ23" s="34" t="str">
        <f>IF(AW23=AV23,"na",_xlfn.XLOOKUP(BJ$5,'OC-Days'!$G:$G,'OC-Days'!$F:$F))</f>
        <v>na</v>
      </c>
      <c r="BK23" s="34" t="str">
        <f>IF(AX23=AW23,"na",_xlfn.XLOOKUP(BK$5,'OC-Days'!$G:$G,'OC-Days'!$F:$F))</f>
        <v>na</v>
      </c>
      <c r="BL23" s="34" t="str">
        <f>IF(AY23=AX23,"na",_xlfn.XLOOKUP(BL$5,'OC-Days'!$G:$G,'OC-Days'!$F:$F))</f>
        <v>na</v>
      </c>
      <c r="BM23" s="34" t="str">
        <f>IF(AZ23=AY23,"na",_xlfn.XLOOKUP(BM$5,'OC-Days'!$G:$G,'OC-Days'!$F:$F))</f>
        <v>na</v>
      </c>
      <c r="BN23" s="34" t="str">
        <f>IF(BA23=AZ23,"na",_xlfn.XLOOKUP(BN$5,'OC-Days'!$G:$G,'OC-Days'!$F:$F))</f>
        <v>na</v>
      </c>
      <c r="BP23" s="36" t="str">
        <f t="shared" si="35"/>
        <v>na</v>
      </c>
      <c r="BQ23" s="36" t="str">
        <f t="shared" si="36"/>
        <v>na</v>
      </c>
      <c r="BR23" s="36" t="str">
        <f t="shared" si="37"/>
        <v>na</v>
      </c>
      <c r="BS23" s="36" t="str">
        <f t="shared" si="38"/>
        <v>na</v>
      </c>
      <c r="BT23" s="36" t="str">
        <f t="shared" si="39"/>
        <v>na</v>
      </c>
      <c r="BU23" s="36" t="str">
        <f t="shared" si="40"/>
        <v>na</v>
      </c>
      <c r="BV23" s="36" t="str">
        <f t="shared" si="41"/>
        <v>na</v>
      </c>
      <c r="BW23" s="36" t="str">
        <f t="shared" si="42"/>
        <v>na</v>
      </c>
      <c r="BX23" s="36" t="str">
        <f t="shared" si="43"/>
        <v>na</v>
      </c>
      <c r="BY23" s="36" t="str">
        <f t="shared" si="44"/>
        <v>na</v>
      </c>
      <c r="BZ23" s="36" t="str">
        <f t="shared" si="45"/>
        <v>na</v>
      </c>
      <c r="CA23" s="43">
        <f t="shared" si="46"/>
        <v>46022</v>
      </c>
      <c r="CC23" s="8">
        <f>COUNT($BC23:BC23)</f>
        <v>1</v>
      </c>
      <c r="CD23" s="8">
        <f>COUNT($BC23:BD23)</f>
        <v>1</v>
      </c>
      <c r="CE23" s="8">
        <f>COUNT($BC23:BE23)</f>
        <v>1</v>
      </c>
      <c r="CF23" s="8">
        <f>COUNT($BC23:BF23)</f>
        <v>1</v>
      </c>
      <c r="CG23" s="8">
        <f>COUNT($BC23:BG23)</f>
        <v>1</v>
      </c>
      <c r="CH23" s="8">
        <f>COUNT($BC23:BH23)</f>
        <v>1</v>
      </c>
      <c r="CI23" s="8">
        <f>COUNT($BC23:BI23)</f>
        <v>1</v>
      </c>
      <c r="CJ23" s="8">
        <f>COUNT($BC23:BJ23)</f>
        <v>1</v>
      </c>
      <c r="CK23" s="8">
        <f>COUNT($BC23:BK23)</f>
        <v>1</v>
      </c>
      <c r="CL23" s="8">
        <f>COUNT($BC23:BL23)</f>
        <v>1</v>
      </c>
      <c r="CM23" s="8">
        <f>COUNT($BC23:BM23)</f>
        <v>1</v>
      </c>
      <c r="CN23" s="8">
        <f>COUNT($BC23:BN23)</f>
        <v>1</v>
      </c>
      <c r="CO23" s="8"/>
      <c r="CP23" s="8">
        <f>COUNT($BP23:BP23)</f>
        <v>0</v>
      </c>
      <c r="CQ23" s="8">
        <f>COUNT($BP23:BQ23)</f>
        <v>0</v>
      </c>
      <c r="CR23" s="8">
        <f>COUNT($BP23:BR23)</f>
        <v>0</v>
      </c>
      <c r="CS23" s="8">
        <f>COUNT($BP23:BS23)</f>
        <v>0</v>
      </c>
      <c r="CT23" s="8">
        <f>COUNT($BP23:BT23)</f>
        <v>0</v>
      </c>
      <c r="CU23" s="8">
        <f>COUNT($BP23:BU23)</f>
        <v>0</v>
      </c>
      <c r="CV23" s="8">
        <f>COUNT($BP23:BV23)</f>
        <v>0</v>
      </c>
      <c r="CW23" s="8">
        <f>COUNT($BP23:BW23)</f>
        <v>0</v>
      </c>
      <c r="CX23" s="8">
        <f>COUNT($BP23:BX23)</f>
        <v>0</v>
      </c>
      <c r="CY23" s="8">
        <f>COUNT($BP23:BY23)</f>
        <v>0</v>
      </c>
      <c r="CZ23" s="8">
        <f>COUNT($BP23:BZ23)</f>
        <v>0</v>
      </c>
      <c r="DA23" s="8">
        <f>COUNT($BP23:CA23)</f>
        <v>1</v>
      </c>
      <c r="DC23">
        <f t="shared" si="47"/>
        <v>200</v>
      </c>
      <c r="DD23" t="str">
        <f t="shared" si="48"/>
        <v>Rollup</v>
      </c>
      <c r="DE23" t="str">
        <f t="shared" si="49"/>
        <v>200-Rollup</v>
      </c>
      <c r="DG23">
        <f t="shared" si="50"/>
        <v>1</v>
      </c>
      <c r="DH23">
        <f t="shared" si="51"/>
        <v>1</v>
      </c>
    </row>
    <row r="24" spans="2:161" x14ac:dyDescent="0.25">
      <c r="B24" s="10" t="s">
        <v>85</v>
      </c>
      <c r="C24" s="8">
        <v>1116</v>
      </c>
      <c r="D24" s="8">
        <v>1008</v>
      </c>
      <c r="E24" s="8">
        <v>1116</v>
      </c>
      <c r="F24" s="8">
        <v>1080</v>
      </c>
      <c r="G24" s="8">
        <v>1116</v>
      </c>
      <c r="H24" s="8">
        <v>1080</v>
      </c>
      <c r="I24" s="8">
        <v>1116</v>
      </c>
      <c r="J24" s="8">
        <v>1116</v>
      </c>
      <c r="K24" s="8">
        <v>1080</v>
      </c>
      <c r="L24" s="8">
        <v>1116</v>
      </c>
      <c r="M24" s="8">
        <v>1080</v>
      </c>
      <c r="N24" s="8">
        <v>1116</v>
      </c>
      <c r="O24" s="8"/>
      <c r="P24" s="8">
        <v>1085</v>
      </c>
      <c r="Q24" s="8">
        <v>980</v>
      </c>
      <c r="R24" s="8">
        <v>1085</v>
      </c>
      <c r="S24" s="8">
        <v>1050</v>
      </c>
      <c r="T24" s="8">
        <v>1085</v>
      </c>
      <c r="U24" s="8">
        <v>1050</v>
      </c>
      <c r="V24" s="8">
        <v>1085</v>
      </c>
      <c r="W24" s="8">
        <v>1085</v>
      </c>
      <c r="X24" s="8">
        <v>1050</v>
      </c>
      <c r="Y24" s="8">
        <v>1085</v>
      </c>
      <c r="Z24" s="8">
        <v>1050</v>
      </c>
      <c r="AA24" s="8">
        <v>1085</v>
      </c>
      <c r="AC24" s="14">
        <f>C24/_xlfn.XLOOKUP(AC$5,'OC-Days'!$G:$G,'OC-Days'!$B:$B)</f>
        <v>36</v>
      </c>
      <c r="AD24" s="14">
        <f>D24/_xlfn.XLOOKUP(AD$5,'OC-Days'!$G:$G,'OC-Days'!$B:$B)</f>
        <v>36</v>
      </c>
      <c r="AE24" s="14">
        <f>E24/_xlfn.XLOOKUP(AE$5,'OC-Days'!$G:$G,'OC-Days'!$B:$B)</f>
        <v>36</v>
      </c>
      <c r="AF24" s="14">
        <f>F24/_xlfn.XLOOKUP(AF$5,'OC-Days'!$G:$G,'OC-Days'!$B:$B)</f>
        <v>36</v>
      </c>
      <c r="AG24" s="14">
        <f>G24/_xlfn.XLOOKUP(AG$5,'OC-Days'!$G:$G,'OC-Days'!$B:$B)</f>
        <v>36</v>
      </c>
      <c r="AH24" s="14">
        <f>H24/_xlfn.XLOOKUP(AH$5,'OC-Days'!$G:$G,'OC-Days'!$B:$B)</f>
        <v>36</v>
      </c>
      <c r="AI24" s="14">
        <f>I24/_xlfn.XLOOKUP(AI$5,'OC-Days'!$G:$G,'OC-Days'!$B:$B)</f>
        <v>36</v>
      </c>
      <c r="AJ24" s="14">
        <f>J24/_xlfn.XLOOKUP(AJ$5,'OC-Days'!$G:$G,'OC-Days'!$B:$B)</f>
        <v>36</v>
      </c>
      <c r="AK24" s="14">
        <f>K24/_xlfn.XLOOKUP(AK$5,'OC-Days'!$G:$G,'OC-Days'!$B:$B)</f>
        <v>36</v>
      </c>
      <c r="AL24" s="14">
        <f>L24/_xlfn.XLOOKUP(AL$5,'OC-Days'!$G:$G,'OC-Days'!$B:$B)</f>
        <v>36</v>
      </c>
      <c r="AM24" s="14">
        <f>M24/_xlfn.XLOOKUP(AM$5,'OC-Days'!$G:$G,'OC-Days'!$B:$B)</f>
        <v>36</v>
      </c>
      <c r="AN24" s="14">
        <f>N24/_xlfn.XLOOKUP(AN$5,'OC-Days'!$G:$G,'OC-Days'!$B:$B)</f>
        <v>36</v>
      </c>
      <c r="AP24" s="14">
        <f>P24/_xlfn.XLOOKUP(AP$5,'OC-Days'!$G:$G,'OC-Days'!$B:$B)</f>
        <v>35</v>
      </c>
      <c r="AQ24" s="14">
        <f>Q24/_xlfn.XLOOKUP(AQ$5,'OC-Days'!$G:$G,'OC-Days'!$B:$B)</f>
        <v>35</v>
      </c>
      <c r="AR24" s="14">
        <f>R24/_xlfn.XLOOKUP(AR$5,'OC-Days'!$G:$G,'OC-Days'!$B:$B)</f>
        <v>35</v>
      </c>
      <c r="AS24" s="14">
        <f>S24/_xlfn.XLOOKUP(AS$5,'OC-Days'!$G:$G,'OC-Days'!$B:$B)</f>
        <v>35</v>
      </c>
      <c r="AT24" s="14">
        <f>T24/_xlfn.XLOOKUP(AT$5,'OC-Days'!$G:$G,'OC-Days'!$B:$B)</f>
        <v>35</v>
      </c>
      <c r="AU24" s="14">
        <f>U24/_xlfn.XLOOKUP(AU$5,'OC-Days'!$G:$G,'OC-Days'!$B:$B)</f>
        <v>35</v>
      </c>
      <c r="AV24" s="14">
        <f>V24/_xlfn.XLOOKUP(AV$5,'OC-Days'!$G:$G,'OC-Days'!$B:$B)</f>
        <v>35</v>
      </c>
      <c r="AW24" s="14">
        <f>W24/_xlfn.XLOOKUP(AW$5,'OC-Days'!$G:$G,'OC-Days'!$B:$B)</f>
        <v>35</v>
      </c>
      <c r="AX24" s="14">
        <f>X24/_xlfn.XLOOKUP(AX$5,'OC-Days'!$G:$G,'OC-Days'!$B:$B)</f>
        <v>35</v>
      </c>
      <c r="AY24" s="14">
        <f>Y24/_xlfn.XLOOKUP(AY$5,'OC-Days'!$G:$G,'OC-Days'!$B:$B)</f>
        <v>35</v>
      </c>
      <c r="AZ24" s="14">
        <f>Z24/_xlfn.XLOOKUP(AZ$5,'OC-Days'!$G:$G,'OC-Days'!$B:$B)</f>
        <v>35</v>
      </c>
      <c r="BA24" s="14">
        <f>AA24/_xlfn.XLOOKUP(BA$5,'OC-Days'!$G:$G,'OC-Days'!$B:$B)</f>
        <v>35</v>
      </c>
      <c r="BC24" s="33">
        <f>_xlfn.XLOOKUP(BC$5,'OC-Days'!$G:$G,'OC-Days'!$F:$F)</f>
        <v>45658</v>
      </c>
      <c r="BD24" s="34" t="str">
        <f>IF(AQ24=AP24,"na",_xlfn.XLOOKUP(BD$5,'OC-Days'!$G:$G,'OC-Days'!$F:$F))</f>
        <v>na</v>
      </c>
      <c r="BE24" s="34" t="str">
        <f>IF(AR24=AQ24,"na",_xlfn.XLOOKUP(BE$5,'OC-Days'!$G:$G,'OC-Days'!$F:$F))</f>
        <v>na</v>
      </c>
      <c r="BF24" s="34" t="str">
        <f>IF(AS24=AR24,"na",_xlfn.XLOOKUP(BF$5,'OC-Days'!$G:$G,'OC-Days'!$F:$F))</f>
        <v>na</v>
      </c>
      <c r="BG24" s="34" t="str">
        <f>IF(AT24=AS24,"na",_xlfn.XLOOKUP(BG$5,'OC-Days'!$G:$G,'OC-Days'!$F:$F))</f>
        <v>na</v>
      </c>
      <c r="BH24" s="34" t="str">
        <f>IF(AU24=AT24,"na",_xlfn.XLOOKUP(BH$5,'OC-Days'!$G:$G,'OC-Days'!$F:$F))</f>
        <v>na</v>
      </c>
      <c r="BI24" s="34" t="str">
        <f>IF(AV24=AU24,"na",_xlfn.XLOOKUP(BI$5,'OC-Days'!$G:$G,'OC-Days'!$F:$F))</f>
        <v>na</v>
      </c>
      <c r="BJ24" s="34" t="str">
        <f>IF(AW24=AV24,"na",_xlfn.XLOOKUP(BJ$5,'OC-Days'!$G:$G,'OC-Days'!$F:$F))</f>
        <v>na</v>
      </c>
      <c r="BK24" s="34" t="str">
        <f>IF(AX24=AW24,"na",_xlfn.XLOOKUP(BK$5,'OC-Days'!$G:$G,'OC-Days'!$F:$F))</f>
        <v>na</v>
      </c>
      <c r="BL24" s="34" t="str">
        <f>IF(AY24=AX24,"na",_xlfn.XLOOKUP(BL$5,'OC-Days'!$G:$G,'OC-Days'!$F:$F))</f>
        <v>na</v>
      </c>
      <c r="BM24" s="34" t="str">
        <f>IF(AZ24=AY24,"na",_xlfn.XLOOKUP(BM$5,'OC-Days'!$G:$G,'OC-Days'!$F:$F))</f>
        <v>na</v>
      </c>
      <c r="BN24" s="34" t="str">
        <f>IF(BA24=AZ24,"na",_xlfn.XLOOKUP(BN$5,'OC-Days'!$G:$G,'OC-Days'!$F:$F))</f>
        <v>na</v>
      </c>
      <c r="BP24" s="36" t="str">
        <f t="shared" si="35"/>
        <v>na</v>
      </c>
      <c r="BQ24" s="36" t="str">
        <f t="shared" si="36"/>
        <v>na</v>
      </c>
      <c r="BR24" s="36" t="str">
        <f t="shared" si="37"/>
        <v>na</v>
      </c>
      <c r="BS24" s="36" t="str">
        <f t="shared" si="38"/>
        <v>na</v>
      </c>
      <c r="BT24" s="36" t="str">
        <f t="shared" si="39"/>
        <v>na</v>
      </c>
      <c r="BU24" s="36" t="str">
        <f t="shared" si="40"/>
        <v>na</v>
      </c>
      <c r="BV24" s="36" t="str">
        <f t="shared" si="41"/>
        <v>na</v>
      </c>
      <c r="BW24" s="36" t="str">
        <f t="shared" si="42"/>
        <v>na</v>
      </c>
      <c r="BX24" s="36" t="str">
        <f t="shared" si="43"/>
        <v>na</v>
      </c>
      <c r="BY24" s="36" t="str">
        <f t="shared" si="44"/>
        <v>na</v>
      </c>
      <c r="BZ24" s="36" t="str">
        <f t="shared" si="45"/>
        <v>na</v>
      </c>
      <c r="CA24" s="43">
        <f t="shared" si="46"/>
        <v>46022</v>
      </c>
      <c r="CC24" s="8">
        <f>COUNT($BC24:BC24)</f>
        <v>1</v>
      </c>
      <c r="CD24" s="8">
        <f>COUNT($BC24:BD24)</f>
        <v>1</v>
      </c>
      <c r="CE24" s="8">
        <f>COUNT($BC24:BE24)</f>
        <v>1</v>
      </c>
      <c r="CF24" s="8">
        <f>COUNT($BC24:BF24)</f>
        <v>1</v>
      </c>
      <c r="CG24" s="8">
        <f>COUNT($BC24:BG24)</f>
        <v>1</v>
      </c>
      <c r="CH24" s="8">
        <f>COUNT($BC24:BH24)</f>
        <v>1</v>
      </c>
      <c r="CI24" s="8">
        <f>COUNT($BC24:BI24)</f>
        <v>1</v>
      </c>
      <c r="CJ24" s="8">
        <f>COUNT($BC24:BJ24)</f>
        <v>1</v>
      </c>
      <c r="CK24" s="8">
        <f>COUNT($BC24:BK24)</f>
        <v>1</v>
      </c>
      <c r="CL24" s="8">
        <f>COUNT($BC24:BL24)</f>
        <v>1</v>
      </c>
      <c r="CM24" s="8">
        <f>COUNT($BC24:BM24)</f>
        <v>1</v>
      </c>
      <c r="CN24" s="8">
        <f>COUNT($BC24:BN24)</f>
        <v>1</v>
      </c>
      <c r="CO24" s="8"/>
      <c r="CP24" s="8">
        <f>COUNT($BP24:BP24)</f>
        <v>0</v>
      </c>
      <c r="CQ24" s="8">
        <f>COUNT($BP24:BQ24)</f>
        <v>0</v>
      </c>
      <c r="CR24" s="8">
        <f>COUNT($BP24:BR24)</f>
        <v>0</v>
      </c>
      <c r="CS24" s="8">
        <f>COUNT($BP24:BS24)</f>
        <v>0</v>
      </c>
      <c r="CT24" s="8">
        <f>COUNT($BP24:BT24)</f>
        <v>0</v>
      </c>
      <c r="CU24" s="8">
        <f>COUNT($BP24:BU24)</f>
        <v>0</v>
      </c>
      <c r="CV24" s="8">
        <f>COUNT($BP24:BV24)</f>
        <v>0</v>
      </c>
      <c r="CW24" s="8">
        <f>COUNT($BP24:BW24)</f>
        <v>0</v>
      </c>
      <c r="CX24" s="8">
        <f>COUNT($BP24:BX24)</f>
        <v>0</v>
      </c>
      <c r="CY24" s="8">
        <f>COUNT($BP24:BY24)</f>
        <v>0</v>
      </c>
      <c r="CZ24" s="8">
        <f>COUNT($BP24:BZ24)</f>
        <v>0</v>
      </c>
      <c r="DA24" s="8">
        <f>COUNT($BP24:CA24)</f>
        <v>1</v>
      </c>
      <c r="DC24">
        <f t="shared" si="47"/>
        <v>324</v>
      </c>
      <c r="DD24">
        <f t="shared" si="48"/>
        <v>21</v>
      </c>
      <c r="DE24" t="str">
        <f t="shared" si="49"/>
        <v>324-21</v>
      </c>
      <c r="DG24">
        <f t="shared" si="50"/>
        <v>1</v>
      </c>
      <c r="DH24">
        <f t="shared" si="51"/>
        <v>1</v>
      </c>
      <c r="DJ24" s="44" cm="1">
        <f t="array" ref="DJ24">IF(DJ$5&lt;=$DG24,INDEX($BC24:$BN24,1,_xlfn.XMATCH(DJ$5,$CC24:$CN24)),"na")</f>
        <v>45658</v>
      </c>
      <c r="DK24" s="45" cm="1">
        <f t="array" ref="DK24">IF(DK$5&lt;=$DH24,INDEX($BP24:$CA24,1,_xlfn.XMATCH(DK$5,$CP24:$DA24)),"na")</f>
        <v>46022</v>
      </c>
      <c r="DL24" s="46" cm="1">
        <f t="array" ref="DL24">IF(DL$5&lt;=$DG24,INDEX($AC24:$AN24,1,_xlfn.XMATCH(DL$5,$CC24:$CN24)),"na")</f>
        <v>36</v>
      </c>
      <c r="DM24" s="47" cm="1">
        <f t="array" ref="DM24">IF(DM$5&lt;=$DG24,INDEX($AP24:$BA24,1,_xlfn.XMATCH(DM$5,$CC24:$CN24)),"na")</f>
        <v>35</v>
      </c>
      <c r="DN24" s="44" t="str" cm="1">
        <f t="array" ref="DN24">IF(DN$5&lt;=$DG24,INDEX($BC24:$BN24,1,_xlfn.XMATCH(DN$5,$CC24:$CN24)),"na")</f>
        <v>na</v>
      </c>
      <c r="DO24" s="45" t="str" cm="1">
        <f t="array" ref="DO24">IF(DO$5&lt;=$DH24,INDEX($BP24:$CA24,1,_xlfn.XMATCH(DO$5,$CP24:$DA24)),"na")</f>
        <v>na</v>
      </c>
      <c r="DP24" s="46" t="str" cm="1">
        <f t="array" ref="DP24">IF(DP$5&lt;=$DG24,INDEX($AC24:$AN24,1,_xlfn.XMATCH(DP$5,$CC24:$CN24)),"na")</f>
        <v>na</v>
      </c>
      <c r="DQ24" s="47" t="str" cm="1">
        <f t="array" ref="DQ24">IF(DQ$5&lt;=$DG24,INDEX($AP24:$BA24,1,_xlfn.XMATCH(DQ$5,$CC24:$CN24)),"na")</f>
        <v>na</v>
      </c>
      <c r="DR24" s="44" t="str" cm="1">
        <f t="array" ref="DR24">IF(DR$5&lt;=$DG24,INDEX($BC24:$BN24,1,_xlfn.XMATCH(DR$5,$CC24:$CN24)),"na")</f>
        <v>na</v>
      </c>
      <c r="DS24" s="45" t="str" cm="1">
        <f t="array" ref="DS24">IF(DS$5&lt;=$DH24,INDEX($BP24:$CA24,1,_xlfn.XMATCH(DS$5,$CP24:$DA24)),"na")</f>
        <v>na</v>
      </c>
      <c r="DT24" s="46" t="str" cm="1">
        <f t="array" ref="DT24">IF(DT$5&lt;=$DG24,INDEX($AC24:$AN24,1,_xlfn.XMATCH(DT$5,$CC24:$CN24)),"na")</f>
        <v>na</v>
      </c>
      <c r="DU24" s="47" t="str" cm="1">
        <f t="array" ref="DU24">IF(DU$5&lt;=$DG24,INDEX($AP24:$BA24,1,_xlfn.XMATCH(DU$5,$CC24:$CN24)),"na")</f>
        <v>na</v>
      </c>
      <c r="DV24" s="44" t="str" cm="1">
        <f t="array" ref="DV24">IF(DV$5&lt;=$DG24,INDEX($BC24:$BN24,1,_xlfn.XMATCH(DV$5,$CC24:$CN24)),"na")</f>
        <v>na</v>
      </c>
      <c r="DW24" s="45" t="str" cm="1">
        <f t="array" ref="DW24">IF(DW$5&lt;=$DH24,INDEX($BP24:$CA24,1,_xlfn.XMATCH(DW$5,$CP24:$DA24)),"na")</f>
        <v>na</v>
      </c>
      <c r="DX24" s="46" t="str" cm="1">
        <f t="array" ref="DX24">IF(DX$5&lt;=$DG24,INDEX($AC24:$AN24,1,_xlfn.XMATCH(DX$5,$CC24:$CN24)),"na")</f>
        <v>na</v>
      </c>
      <c r="DY24" s="47" t="str" cm="1">
        <f t="array" ref="DY24">IF(DY$5&lt;=$DG24,INDEX($AP24:$BA24,1,_xlfn.XMATCH(DY$5,$CC24:$CN24)),"na")</f>
        <v>na</v>
      </c>
      <c r="DZ24" s="44" t="str" cm="1">
        <f t="array" ref="DZ24">IF(DZ$5&lt;=$DG24,INDEX($BC24:$BN24,1,_xlfn.XMATCH(DZ$5,$CC24:$CN24)),"na")</f>
        <v>na</v>
      </c>
      <c r="EA24" s="45" t="str" cm="1">
        <f t="array" ref="EA24">IF(EA$5&lt;=$DH24,INDEX($BP24:$CA24,1,_xlfn.XMATCH(EA$5,$CP24:$DA24)),"na")</f>
        <v>na</v>
      </c>
      <c r="EB24" s="46" t="str" cm="1">
        <f t="array" ref="EB24">IF(EB$5&lt;=$DG24,INDEX($AC24:$AN24,1,_xlfn.XMATCH(EB$5,$CC24:$CN24)),"na")</f>
        <v>na</v>
      </c>
      <c r="EC24" s="47" t="str" cm="1">
        <f t="array" ref="EC24">IF(EC$5&lt;=$DG24,INDEX($AP24:$BA24,1,_xlfn.XMATCH(EC$5,$CC24:$CN24)),"na")</f>
        <v>na</v>
      </c>
      <c r="ED24" s="44" t="str" cm="1">
        <f t="array" ref="ED24">IF(ED$5&lt;=$DG24,INDEX($BC24:$BN24,1,_xlfn.XMATCH(ED$5,$CC24:$CN24)),"na")</f>
        <v>na</v>
      </c>
      <c r="EE24" s="45" t="str" cm="1">
        <f t="array" ref="EE24">IF(EE$5&lt;=$DH24,INDEX($BP24:$CA24,1,_xlfn.XMATCH(EE$5,$CP24:$DA24)),"na")</f>
        <v>na</v>
      </c>
      <c r="EF24" s="46" t="str" cm="1">
        <f t="array" ref="EF24">IF(EF$5&lt;=$DG24,INDEX($AC24:$AN24,1,_xlfn.XMATCH(EF$5,$CC24:$CN24)),"na")</f>
        <v>na</v>
      </c>
      <c r="EG24" s="47" t="str" cm="1">
        <f t="array" ref="EG24">IF(EG$5&lt;=$DG24,INDEX($AP24:$BA24,1,_xlfn.XMATCH(EG$5,$CC24:$CN24)),"na")</f>
        <v>na</v>
      </c>
      <c r="EH24" s="44" t="str" cm="1">
        <f t="array" ref="EH24">IF(EH$5&lt;=$DG24,INDEX($BC24:$BN24,1,_xlfn.XMATCH(EH$5,$CC24:$CN24)),"na")</f>
        <v>na</v>
      </c>
      <c r="EI24" s="45" t="str" cm="1">
        <f t="array" ref="EI24">IF(EI$5&lt;=$DH24,INDEX($BP24:$CA24,1,_xlfn.XMATCH(EI$5,$CP24:$DA24)),"na")</f>
        <v>na</v>
      </c>
      <c r="EJ24" s="46" t="str" cm="1">
        <f t="array" ref="EJ24">IF(EJ$5&lt;=$DG24,INDEX($AC24:$AN24,1,_xlfn.XMATCH(EJ$5,$CC24:$CN24)),"na")</f>
        <v>na</v>
      </c>
      <c r="EK24" s="47" t="str" cm="1">
        <f t="array" ref="EK24">IF(EK$5&lt;=$DG24,INDEX($AP24:$BA24,1,_xlfn.XMATCH(EK$5,$CC24:$CN24)),"na")</f>
        <v>na</v>
      </c>
      <c r="EL24" s="44" t="str" cm="1">
        <f t="array" ref="EL24">IF(EL$5&lt;=$DG24,INDEX($BC24:$BN24,1,_xlfn.XMATCH(EL$5,$CC24:$CN24)),"na")</f>
        <v>na</v>
      </c>
      <c r="EM24" s="45" t="str" cm="1">
        <f t="array" ref="EM24">IF(EM$5&lt;=$DH24,INDEX($BP24:$CA24,1,_xlfn.XMATCH(EM$5,$CP24:$DA24)),"na")</f>
        <v>na</v>
      </c>
      <c r="EN24" s="46" t="str" cm="1">
        <f t="array" ref="EN24">IF(EN$5&lt;=$DG24,INDEX($AC24:$AN24,1,_xlfn.XMATCH(EN$5,$CC24:$CN24)),"na")</f>
        <v>na</v>
      </c>
      <c r="EO24" s="47" t="str" cm="1">
        <f t="array" ref="EO24">IF(EO$5&lt;=$DG24,INDEX($AP24:$BA24,1,_xlfn.XMATCH(EO$5,$CC24:$CN24)),"na")</f>
        <v>na</v>
      </c>
      <c r="EP24" s="44" t="str" cm="1">
        <f t="array" ref="EP24">IF(EP$5&lt;=$DG24,INDEX($BC24:$BN24,1,_xlfn.XMATCH(EP$5,$CC24:$CN24)),"na")</f>
        <v>na</v>
      </c>
      <c r="EQ24" s="45" t="str" cm="1">
        <f t="array" ref="EQ24">IF(EQ$5&lt;=$DH24,INDEX($BP24:$CA24,1,_xlfn.XMATCH(EQ$5,$CP24:$DA24)),"na")</f>
        <v>na</v>
      </c>
      <c r="ER24" s="46" t="str" cm="1">
        <f t="array" ref="ER24">IF(ER$5&lt;=$DG24,INDEX($AC24:$AN24,1,_xlfn.XMATCH(ER$5,$CC24:$CN24)),"na")</f>
        <v>na</v>
      </c>
      <c r="ES24" s="47" t="str" cm="1">
        <f t="array" ref="ES24">IF(ES$5&lt;=$DG24,INDEX($AP24:$BA24,1,_xlfn.XMATCH(ES$5,$CC24:$CN24)),"na")</f>
        <v>na</v>
      </c>
      <c r="ET24" s="44" t="str" cm="1">
        <f t="array" ref="ET24">IF(ET$5&lt;=$DG24,INDEX($BC24:$BN24,1,_xlfn.XMATCH(ET$5,$CC24:$CN24)),"na")</f>
        <v>na</v>
      </c>
      <c r="EU24" s="45" t="str" cm="1">
        <f t="array" ref="EU24">IF(EU$5&lt;=$DH24,INDEX($BP24:$CA24,1,_xlfn.XMATCH(EU$5,$CP24:$DA24)),"na")</f>
        <v>na</v>
      </c>
      <c r="EV24" s="46" t="str" cm="1">
        <f t="array" ref="EV24">IF(EV$5&lt;=$DG24,INDEX($AC24:$AN24,1,_xlfn.XMATCH(EV$5,$CC24:$CN24)),"na")</f>
        <v>na</v>
      </c>
      <c r="EW24" s="47" t="str" cm="1">
        <f t="array" ref="EW24">IF(EW$5&lt;=$DG24,INDEX($AP24:$BA24,1,_xlfn.XMATCH(EW$5,$CC24:$CN24)),"na")</f>
        <v>na</v>
      </c>
      <c r="EX24" s="44" t="str" cm="1">
        <f t="array" ref="EX24">IF(EX$5&lt;=$DG24,INDEX($BC24:$BN24,1,_xlfn.XMATCH(EX$5,$CC24:$CN24)),"na")</f>
        <v>na</v>
      </c>
      <c r="EY24" s="45" t="str" cm="1">
        <f t="array" ref="EY24">IF(EY$5&lt;=$DH24,INDEX($BP24:$CA24,1,_xlfn.XMATCH(EY$5,$CP24:$DA24)),"na")</f>
        <v>na</v>
      </c>
      <c r="EZ24" s="46" t="str" cm="1">
        <f t="array" ref="EZ24">IF(EZ$5&lt;=$DG24,INDEX($AC24:$AN24,1,_xlfn.XMATCH(EZ$5,$CC24:$CN24)),"na")</f>
        <v>na</v>
      </c>
      <c r="FA24" s="47" t="str" cm="1">
        <f t="array" ref="FA24">IF(FA$5&lt;=$DG24,INDEX($AP24:$BA24,1,_xlfn.XMATCH(FA$5,$CC24:$CN24)),"na")</f>
        <v>na</v>
      </c>
      <c r="FB24" s="44" t="str" cm="1">
        <f t="array" ref="FB24">IF(FB$5&lt;=$DG24,INDEX($BC24:$BN24,1,_xlfn.XMATCH(FB$5,$CC24:$CN24)),"na")</f>
        <v>na</v>
      </c>
      <c r="FC24" s="45" t="str" cm="1">
        <f t="array" ref="FC24">IF(FC$5&lt;=$DH24,INDEX($BP24:$CA24,1,_xlfn.XMATCH(FC$5,$CP24:$DA24)),"na")</f>
        <v>na</v>
      </c>
      <c r="FD24" s="46" t="str" cm="1">
        <f t="array" ref="FD24">IF(FD$5&lt;=$DG24,INDEX($AC24:$AN24,1,_xlfn.XMATCH(FD$5,$CC24:$CN24)),"na")</f>
        <v>na</v>
      </c>
      <c r="FE24" s="47" t="str" cm="1">
        <f t="array" ref="FE24">IF(FE$5&lt;=$DG24,INDEX($AP24:$BA24,1,_xlfn.XMATCH(FE$5,$CC24:$CN24)),"na")</f>
        <v>na</v>
      </c>
    </row>
    <row r="25" spans="2:161" x14ac:dyDescent="0.25">
      <c r="B25" s="10" t="s">
        <v>86</v>
      </c>
      <c r="C25" s="8">
        <v>3813</v>
      </c>
      <c r="D25" s="8">
        <v>3444</v>
      </c>
      <c r="E25" s="8">
        <v>3813</v>
      </c>
      <c r="F25" s="8">
        <v>3690</v>
      </c>
      <c r="G25" s="8">
        <v>3813</v>
      </c>
      <c r="H25" s="8">
        <v>3690</v>
      </c>
      <c r="I25" s="8">
        <v>3813</v>
      </c>
      <c r="J25" s="8">
        <v>3813</v>
      </c>
      <c r="K25" s="8">
        <v>3690</v>
      </c>
      <c r="L25" s="8">
        <v>3813</v>
      </c>
      <c r="M25" s="8">
        <v>3690</v>
      </c>
      <c r="N25" s="8">
        <v>3813</v>
      </c>
      <c r="O25" s="8"/>
      <c r="P25" s="8">
        <v>3503</v>
      </c>
      <c r="Q25" s="8">
        <v>3164</v>
      </c>
      <c r="R25" s="8">
        <v>3503</v>
      </c>
      <c r="S25" s="8">
        <v>3390</v>
      </c>
      <c r="T25" s="8">
        <v>3503</v>
      </c>
      <c r="U25" s="8">
        <v>3390</v>
      </c>
      <c r="V25" s="8">
        <v>3503</v>
      </c>
      <c r="W25" s="8">
        <v>3503</v>
      </c>
      <c r="X25" s="8">
        <v>3390</v>
      </c>
      <c r="Y25" s="8">
        <v>3503</v>
      </c>
      <c r="Z25" s="8">
        <v>3390</v>
      </c>
      <c r="AA25" s="8">
        <v>3503</v>
      </c>
      <c r="AC25" s="14">
        <f>C25/_xlfn.XLOOKUP(AC$5,'OC-Days'!$G:$G,'OC-Days'!$B:$B)</f>
        <v>123</v>
      </c>
      <c r="AD25" s="14">
        <f>D25/_xlfn.XLOOKUP(AD$5,'OC-Days'!$G:$G,'OC-Days'!$B:$B)</f>
        <v>123</v>
      </c>
      <c r="AE25" s="14">
        <f>E25/_xlfn.XLOOKUP(AE$5,'OC-Days'!$G:$G,'OC-Days'!$B:$B)</f>
        <v>123</v>
      </c>
      <c r="AF25" s="14">
        <f>F25/_xlfn.XLOOKUP(AF$5,'OC-Days'!$G:$G,'OC-Days'!$B:$B)</f>
        <v>123</v>
      </c>
      <c r="AG25" s="14">
        <f>G25/_xlfn.XLOOKUP(AG$5,'OC-Days'!$G:$G,'OC-Days'!$B:$B)</f>
        <v>123</v>
      </c>
      <c r="AH25" s="14">
        <f>H25/_xlfn.XLOOKUP(AH$5,'OC-Days'!$G:$G,'OC-Days'!$B:$B)</f>
        <v>123</v>
      </c>
      <c r="AI25" s="14">
        <f>I25/_xlfn.XLOOKUP(AI$5,'OC-Days'!$G:$G,'OC-Days'!$B:$B)</f>
        <v>123</v>
      </c>
      <c r="AJ25" s="14">
        <f>J25/_xlfn.XLOOKUP(AJ$5,'OC-Days'!$G:$G,'OC-Days'!$B:$B)</f>
        <v>123</v>
      </c>
      <c r="AK25" s="14">
        <f>K25/_xlfn.XLOOKUP(AK$5,'OC-Days'!$G:$G,'OC-Days'!$B:$B)</f>
        <v>123</v>
      </c>
      <c r="AL25" s="14">
        <f>L25/_xlfn.XLOOKUP(AL$5,'OC-Days'!$G:$G,'OC-Days'!$B:$B)</f>
        <v>123</v>
      </c>
      <c r="AM25" s="14">
        <f>M25/_xlfn.XLOOKUP(AM$5,'OC-Days'!$G:$G,'OC-Days'!$B:$B)</f>
        <v>123</v>
      </c>
      <c r="AN25" s="14">
        <f>N25/_xlfn.XLOOKUP(AN$5,'OC-Days'!$G:$G,'OC-Days'!$B:$B)</f>
        <v>123</v>
      </c>
      <c r="AP25" s="14">
        <f>P25/_xlfn.XLOOKUP(AP$5,'OC-Days'!$G:$G,'OC-Days'!$B:$B)</f>
        <v>113</v>
      </c>
      <c r="AQ25" s="14">
        <f>Q25/_xlfn.XLOOKUP(AQ$5,'OC-Days'!$G:$G,'OC-Days'!$B:$B)</f>
        <v>113</v>
      </c>
      <c r="AR25" s="14">
        <f>R25/_xlfn.XLOOKUP(AR$5,'OC-Days'!$G:$G,'OC-Days'!$B:$B)</f>
        <v>113</v>
      </c>
      <c r="AS25" s="14">
        <f>S25/_xlfn.XLOOKUP(AS$5,'OC-Days'!$G:$G,'OC-Days'!$B:$B)</f>
        <v>113</v>
      </c>
      <c r="AT25" s="14">
        <f>T25/_xlfn.XLOOKUP(AT$5,'OC-Days'!$G:$G,'OC-Days'!$B:$B)</f>
        <v>113</v>
      </c>
      <c r="AU25" s="14">
        <f>U25/_xlfn.XLOOKUP(AU$5,'OC-Days'!$G:$G,'OC-Days'!$B:$B)</f>
        <v>113</v>
      </c>
      <c r="AV25" s="14">
        <f>V25/_xlfn.XLOOKUP(AV$5,'OC-Days'!$G:$G,'OC-Days'!$B:$B)</f>
        <v>113</v>
      </c>
      <c r="AW25" s="14">
        <f>W25/_xlfn.XLOOKUP(AW$5,'OC-Days'!$G:$G,'OC-Days'!$B:$B)</f>
        <v>113</v>
      </c>
      <c r="AX25" s="14">
        <f>X25/_xlfn.XLOOKUP(AX$5,'OC-Days'!$G:$G,'OC-Days'!$B:$B)</f>
        <v>113</v>
      </c>
      <c r="AY25" s="14">
        <f>Y25/_xlfn.XLOOKUP(AY$5,'OC-Days'!$G:$G,'OC-Days'!$B:$B)</f>
        <v>113</v>
      </c>
      <c r="AZ25" s="14">
        <f>Z25/_xlfn.XLOOKUP(AZ$5,'OC-Days'!$G:$G,'OC-Days'!$B:$B)</f>
        <v>113</v>
      </c>
      <c r="BA25" s="14">
        <f>AA25/_xlfn.XLOOKUP(BA$5,'OC-Days'!$G:$G,'OC-Days'!$B:$B)</f>
        <v>113</v>
      </c>
      <c r="BC25" s="33">
        <f>_xlfn.XLOOKUP(BC$5,'OC-Days'!$G:$G,'OC-Days'!$F:$F)</f>
        <v>45658</v>
      </c>
      <c r="BD25" s="34" t="str">
        <f>IF(AQ25=AP25,"na",_xlfn.XLOOKUP(BD$5,'OC-Days'!$G:$G,'OC-Days'!$F:$F))</f>
        <v>na</v>
      </c>
      <c r="BE25" s="34" t="str">
        <f>IF(AR25=AQ25,"na",_xlfn.XLOOKUP(BE$5,'OC-Days'!$G:$G,'OC-Days'!$F:$F))</f>
        <v>na</v>
      </c>
      <c r="BF25" s="34" t="str">
        <f>IF(AS25=AR25,"na",_xlfn.XLOOKUP(BF$5,'OC-Days'!$G:$G,'OC-Days'!$F:$F))</f>
        <v>na</v>
      </c>
      <c r="BG25" s="34" t="str">
        <f>IF(AT25=AS25,"na",_xlfn.XLOOKUP(BG$5,'OC-Days'!$G:$G,'OC-Days'!$F:$F))</f>
        <v>na</v>
      </c>
      <c r="BH25" s="34" t="str">
        <f>IF(AU25=AT25,"na",_xlfn.XLOOKUP(BH$5,'OC-Days'!$G:$G,'OC-Days'!$F:$F))</f>
        <v>na</v>
      </c>
      <c r="BI25" s="34" t="str">
        <f>IF(AV25=AU25,"na",_xlfn.XLOOKUP(BI$5,'OC-Days'!$G:$G,'OC-Days'!$F:$F))</f>
        <v>na</v>
      </c>
      <c r="BJ25" s="34" t="str">
        <f>IF(AW25=AV25,"na",_xlfn.XLOOKUP(BJ$5,'OC-Days'!$G:$G,'OC-Days'!$F:$F))</f>
        <v>na</v>
      </c>
      <c r="BK25" s="34" t="str">
        <f>IF(AX25=AW25,"na",_xlfn.XLOOKUP(BK$5,'OC-Days'!$G:$G,'OC-Days'!$F:$F))</f>
        <v>na</v>
      </c>
      <c r="BL25" s="34" t="str">
        <f>IF(AY25=AX25,"na",_xlfn.XLOOKUP(BL$5,'OC-Days'!$G:$G,'OC-Days'!$F:$F))</f>
        <v>na</v>
      </c>
      <c r="BM25" s="34" t="str">
        <f>IF(AZ25=AY25,"na",_xlfn.XLOOKUP(BM$5,'OC-Days'!$G:$G,'OC-Days'!$F:$F))</f>
        <v>na</v>
      </c>
      <c r="BN25" s="34" t="str">
        <f>IF(BA25=AZ25,"na",_xlfn.XLOOKUP(BN$5,'OC-Days'!$G:$G,'OC-Days'!$F:$F))</f>
        <v>na</v>
      </c>
      <c r="BP25" s="36" t="str">
        <f t="shared" si="35"/>
        <v>na</v>
      </c>
      <c r="BQ25" s="36" t="str">
        <f t="shared" si="36"/>
        <v>na</v>
      </c>
      <c r="BR25" s="36" t="str">
        <f t="shared" si="37"/>
        <v>na</v>
      </c>
      <c r="BS25" s="36" t="str">
        <f t="shared" si="38"/>
        <v>na</v>
      </c>
      <c r="BT25" s="36" t="str">
        <f t="shared" si="39"/>
        <v>na</v>
      </c>
      <c r="BU25" s="36" t="str">
        <f t="shared" si="40"/>
        <v>na</v>
      </c>
      <c r="BV25" s="36" t="str">
        <f t="shared" si="41"/>
        <v>na</v>
      </c>
      <c r="BW25" s="36" t="str">
        <f t="shared" si="42"/>
        <v>na</v>
      </c>
      <c r="BX25" s="36" t="str">
        <f t="shared" si="43"/>
        <v>na</v>
      </c>
      <c r="BY25" s="36" t="str">
        <f t="shared" si="44"/>
        <v>na</v>
      </c>
      <c r="BZ25" s="36" t="str">
        <f t="shared" si="45"/>
        <v>na</v>
      </c>
      <c r="CA25" s="43">
        <f t="shared" si="46"/>
        <v>46022</v>
      </c>
      <c r="CC25" s="8">
        <f>COUNT($BC25:BC25)</f>
        <v>1</v>
      </c>
      <c r="CD25" s="8">
        <f>COUNT($BC25:BD25)</f>
        <v>1</v>
      </c>
      <c r="CE25" s="8">
        <f>COUNT($BC25:BE25)</f>
        <v>1</v>
      </c>
      <c r="CF25" s="8">
        <f>COUNT($BC25:BF25)</f>
        <v>1</v>
      </c>
      <c r="CG25" s="8">
        <f>COUNT($BC25:BG25)</f>
        <v>1</v>
      </c>
      <c r="CH25" s="8">
        <f>COUNT($BC25:BH25)</f>
        <v>1</v>
      </c>
      <c r="CI25" s="8">
        <f>COUNT($BC25:BI25)</f>
        <v>1</v>
      </c>
      <c r="CJ25" s="8">
        <f>COUNT($BC25:BJ25)</f>
        <v>1</v>
      </c>
      <c r="CK25" s="8">
        <f>COUNT($BC25:BK25)</f>
        <v>1</v>
      </c>
      <c r="CL25" s="8">
        <f>COUNT($BC25:BL25)</f>
        <v>1</v>
      </c>
      <c r="CM25" s="8">
        <f>COUNT($BC25:BM25)</f>
        <v>1</v>
      </c>
      <c r="CN25" s="8">
        <f>COUNT($BC25:BN25)</f>
        <v>1</v>
      </c>
      <c r="CO25" s="8"/>
      <c r="CP25" s="8">
        <f>COUNT($BP25:BP25)</f>
        <v>0</v>
      </c>
      <c r="CQ25" s="8">
        <f>COUNT($BP25:BQ25)</f>
        <v>0</v>
      </c>
      <c r="CR25" s="8">
        <f>COUNT($BP25:BR25)</f>
        <v>0</v>
      </c>
      <c r="CS25" s="8">
        <f>COUNT($BP25:BS25)</f>
        <v>0</v>
      </c>
      <c r="CT25" s="8">
        <f>COUNT($BP25:BT25)</f>
        <v>0</v>
      </c>
      <c r="CU25" s="8">
        <f>COUNT($BP25:BU25)</f>
        <v>0</v>
      </c>
      <c r="CV25" s="8">
        <f>COUNT($BP25:BV25)</f>
        <v>0</v>
      </c>
      <c r="CW25" s="8">
        <f>COUNT($BP25:BW25)</f>
        <v>0</v>
      </c>
      <c r="CX25" s="8">
        <f>COUNT($BP25:BX25)</f>
        <v>0</v>
      </c>
      <c r="CY25" s="8">
        <f>COUNT($BP25:BY25)</f>
        <v>0</v>
      </c>
      <c r="CZ25" s="8">
        <f>COUNT($BP25:BZ25)</f>
        <v>0</v>
      </c>
      <c r="DA25" s="8">
        <f>COUNT($BP25:CA25)</f>
        <v>1</v>
      </c>
      <c r="DC25">
        <f t="shared" si="47"/>
        <v>324</v>
      </c>
      <c r="DD25">
        <f t="shared" si="48"/>
        <v>31</v>
      </c>
      <c r="DE25" t="str">
        <f t="shared" si="49"/>
        <v>324-31</v>
      </c>
      <c r="DG25">
        <f t="shared" si="50"/>
        <v>1</v>
      </c>
      <c r="DH25">
        <f t="shared" si="51"/>
        <v>1</v>
      </c>
      <c r="DJ25" s="44" cm="1">
        <f t="array" ref="DJ25">IF(DJ$5&lt;=$DG25,INDEX($BC25:$BN25,1,_xlfn.XMATCH(DJ$5,$CC25:$CN25)),"na")</f>
        <v>45658</v>
      </c>
      <c r="DK25" s="45" cm="1">
        <f t="array" ref="DK25">IF(DK$5&lt;=$DH25,INDEX($BP25:$CA25,1,_xlfn.XMATCH(DK$5,$CP25:$DA25)),"na")</f>
        <v>46022</v>
      </c>
      <c r="DL25" s="46" cm="1">
        <f t="array" ref="DL25">IF(DL$5&lt;=$DG25,INDEX($AC25:$AN25,1,_xlfn.XMATCH(DL$5,$CC25:$CN25)),"na")</f>
        <v>123</v>
      </c>
      <c r="DM25" s="47" cm="1">
        <f t="array" ref="DM25">IF(DM$5&lt;=$DG25,INDEX($AP25:$BA25,1,_xlfn.XMATCH(DM$5,$CC25:$CN25)),"na")</f>
        <v>113</v>
      </c>
      <c r="DN25" s="44" t="str" cm="1">
        <f t="array" ref="DN25">IF(DN$5&lt;=$DG25,INDEX($BC25:$BN25,1,_xlfn.XMATCH(DN$5,$CC25:$CN25)),"na")</f>
        <v>na</v>
      </c>
      <c r="DO25" s="45" t="str" cm="1">
        <f t="array" ref="DO25">IF(DO$5&lt;=$DH25,INDEX($BP25:$CA25,1,_xlfn.XMATCH(DO$5,$CP25:$DA25)),"na")</f>
        <v>na</v>
      </c>
      <c r="DP25" s="46" t="str" cm="1">
        <f t="array" ref="DP25">IF(DP$5&lt;=$DG25,INDEX($AC25:$AN25,1,_xlfn.XMATCH(DP$5,$CC25:$CN25)),"na")</f>
        <v>na</v>
      </c>
      <c r="DQ25" s="47" t="str" cm="1">
        <f t="array" ref="DQ25">IF(DQ$5&lt;=$DG25,INDEX($AP25:$BA25,1,_xlfn.XMATCH(DQ$5,$CC25:$CN25)),"na")</f>
        <v>na</v>
      </c>
      <c r="DR25" s="44" t="str" cm="1">
        <f t="array" ref="DR25">IF(DR$5&lt;=$DG25,INDEX($BC25:$BN25,1,_xlfn.XMATCH(DR$5,$CC25:$CN25)),"na")</f>
        <v>na</v>
      </c>
      <c r="DS25" s="45" t="str" cm="1">
        <f t="array" ref="DS25">IF(DS$5&lt;=$DH25,INDEX($BP25:$CA25,1,_xlfn.XMATCH(DS$5,$CP25:$DA25)),"na")</f>
        <v>na</v>
      </c>
      <c r="DT25" s="46" t="str" cm="1">
        <f t="array" ref="DT25">IF(DT$5&lt;=$DG25,INDEX($AC25:$AN25,1,_xlfn.XMATCH(DT$5,$CC25:$CN25)),"na")</f>
        <v>na</v>
      </c>
      <c r="DU25" s="47" t="str" cm="1">
        <f t="array" ref="DU25">IF(DU$5&lt;=$DG25,INDEX($AP25:$BA25,1,_xlfn.XMATCH(DU$5,$CC25:$CN25)),"na")</f>
        <v>na</v>
      </c>
      <c r="DV25" s="44" t="str" cm="1">
        <f t="array" ref="DV25">IF(DV$5&lt;=$DG25,INDEX($BC25:$BN25,1,_xlfn.XMATCH(DV$5,$CC25:$CN25)),"na")</f>
        <v>na</v>
      </c>
      <c r="DW25" s="45" t="str" cm="1">
        <f t="array" ref="DW25">IF(DW$5&lt;=$DH25,INDEX($BP25:$CA25,1,_xlfn.XMATCH(DW$5,$CP25:$DA25)),"na")</f>
        <v>na</v>
      </c>
      <c r="DX25" s="46" t="str" cm="1">
        <f t="array" ref="DX25">IF(DX$5&lt;=$DG25,INDEX($AC25:$AN25,1,_xlfn.XMATCH(DX$5,$CC25:$CN25)),"na")</f>
        <v>na</v>
      </c>
      <c r="DY25" s="47" t="str" cm="1">
        <f t="array" ref="DY25">IF(DY$5&lt;=$DG25,INDEX($AP25:$BA25,1,_xlfn.XMATCH(DY$5,$CC25:$CN25)),"na")</f>
        <v>na</v>
      </c>
      <c r="DZ25" s="44" t="str" cm="1">
        <f t="array" ref="DZ25">IF(DZ$5&lt;=$DG25,INDEX($BC25:$BN25,1,_xlfn.XMATCH(DZ$5,$CC25:$CN25)),"na")</f>
        <v>na</v>
      </c>
      <c r="EA25" s="45" t="str" cm="1">
        <f t="array" ref="EA25">IF(EA$5&lt;=$DH25,INDEX($BP25:$CA25,1,_xlfn.XMATCH(EA$5,$CP25:$DA25)),"na")</f>
        <v>na</v>
      </c>
      <c r="EB25" s="46" t="str" cm="1">
        <f t="array" ref="EB25">IF(EB$5&lt;=$DG25,INDEX($AC25:$AN25,1,_xlfn.XMATCH(EB$5,$CC25:$CN25)),"na")</f>
        <v>na</v>
      </c>
      <c r="EC25" s="47" t="str" cm="1">
        <f t="array" ref="EC25">IF(EC$5&lt;=$DG25,INDEX($AP25:$BA25,1,_xlfn.XMATCH(EC$5,$CC25:$CN25)),"na")</f>
        <v>na</v>
      </c>
      <c r="ED25" s="44" t="str" cm="1">
        <f t="array" ref="ED25">IF(ED$5&lt;=$DG25,INDEX($BC25:$BN25,1,_xlfn.XMATCH(ED$5,$CC25:$CN25)),"na")</f>
        <v>na</v>
      </c>
      <c r="EE25" s="45" t="str" cm="1">
        <f t="array" ref="EE25">IF(EE$5&lt;=$DH25,INDEX($BP25:$CA25,1,_xlfn.XMATCH(EE$5,$CP25:$DA25)),"na")</f>
        <v>na</v>
      </c>
      <c r="EF25" s="46" t="str" cm="1">
        <f t="array" ref="EF25">IF(EF$5&lt;=$DG25,INDEX($AC25:$AN25,1,_xlfn.XMATCH(EF$5,$CC25:$CN25)),"na")</f>
        <v>na</v>
      </c>
      <c r="EG25" s="47" t="str" cm="1">
        <f t="array" ref="EG25">IF(EG$5&lt;=$DG25,INDEX($AP25:$BA25,1,_xlfn.XMATCH(EG$5,$CC25:$CN25)),"na")</f>
        <v>na</v>
      </c>
      <c r="EH25" s="44" t="str" cm="1">
        <f t="array" ref="EH25">IF(EH$5&lt;=$DG25,INDEX($BC25:$BN25,1,_xlfn.XMATCH(EH$5,$CC25:$CN25)),"na")</f>
        <v>na</v>
      </c>
      <c r="EI25" s="45" t="str" cm="1">
        <f t="array" ref="EI25">IF(EI$5&lt;=$DH25,INDEX($BP25:$CA25,1,_xlfn.XMATCH(EI$5,$CP25:$DA25)),"na")</f>
        <v>na</v>
      </c>
      <c r="EJ25" s="46" t="str" cm="1">
        <f t="array" ref="EJ25">IF(EJ$5&lt;=$DG25,INDEX($AC25:$AN25,1,_xlfn.XMATCH(EJ$5,$CC25:$CN25)),"na")</f>
        <v>na</v>
      </c>
      <c r="EK25" s="47" t="str" cm="1">
        <f t="array" ref="EK25">IF(EK$5&lt;=$DG25,INDEX($AP25:$BA25,1,_xlfn.XMATCH(EK$5,$CC25:$CN25)),"na")</f>
        <v>na</v>
      </c>
      <c r="EL25" s="44" t="str" cm="1">
        <f t="array" ref="EL25">IF(EL$5&lt;=$DG25,INDEX($BC25:$BN25,1,_xlfn.XMATCH(EL$5,$CC25:$CN25)),"na")</f>
        <v>na</v>
      </c>
      <c r="EM25" s="45" t="str" cm="1">
        <f t="array" ref="EM25">IF(EM$5&lt;=$DH25,INDEX($BP25:$CA25,1,_xlfn.XMATCH(EM$5,$CP25:$DA25)),"na")</f>
        <v>na</v>
      </c>
      <c r="EN25" s="46" t="str" cm="1">
        <f t="array" ref="EN25">IF(EN$5&lt;=$DG25,INDEX($AC25:$AN25,1,_xlfn.XMATCH(EN$5,$CC25:$CN25)),"na")</f>
        <v>na</v>
      </c>
      <c r="EO25" s="47" t="str" cm="1">
        <f t="array" ref="EO25">IF(EO$5&lt;=$DG25,INDEX($AP25:$BA25,1,_xlfn.XMATCH(EO$5,$CC25:$CN25)),"na")</f>
        <v>na</v>
      </c>
      <c r="EP25" s="44" t="str" cm="1">
        <f t="array" ref="EP25">IF(EP$5&lt;=$DG25,INDEX($BC25:$BN25,1,_xlfn.XMATCH(EP$5,$CC25:$CN25)),"na")</f>
        <v>na</v>
      </c>
      <c r="EQ25" s="45" t="str" cm="1">
        <f t="array" ref="EQ25">IF(EQ$5&lt;=$DH25,INDEX($BP25:$CA25,1,_xlfn.XMATCH(EQ$5,$CP25:$DA25)),"na")</f>
        <v>na</v>
      </c>
      <c r="ER25" s="46" t="str" cm="1">
        <f t="array" ref="ER25">IF(ER$5&lt;=$DG25,INDEX($AC25:$AN25,1,_xlfn.XMATCH(ER$5,$CC25:$CN25)),"na")</f>
        <v>na</v>
      </c>
      <c r="ES25" s="47" t="str" cm="1">
        <f t="array" ref="ES25">IF(ES$5&lt;=$DG25,INDEX($AP25:$BA25,1,_xlfn.XMATCH(ES$5,$CC25:$CN25)),"na")</f>
        <v>na</v>
      </c>
      <c r="ET25" s="44" t="str" cm="1">
        <f t="array" ref="ET25">IF(ET$5&lt;=$DG25,INDEX($BC25:$BN25,1,_xlfn.XMATCH(ET$5,$CC25:$CN25)),"na")</f>
        <v>na</v>
      </c>
      <c r="EU25" s="45" t="str" cm="1">
        <f t="array" ref="EU25">IF(EU$5&lt;=$DH25,INDEX($BP25:$CA25,1,_xlfn.XMATCH(EU$5,$CP25:$DA25)),"na")</f>
        <v>na</v>
      </c>
      <c r="EV25" s="46" t="str" cm="1">
        <f t="array" ref="EV25">IF(EV$5&lt;=$DG25,INDEX($AC25:$AN25,1,_xlfn.XMATCH(EV$5,$CC25:$CN25)),"na")</f>
        <v>na</v>
      </c>
      <c r="EW25" s="47" t="str" cm="1">
        <f t="array" ref="EW25">IF(EW$5&lt;=$DG25,INDEX($AP25:$BA25,1,_xlfn.XMATCH(EW$5,$CC25:$CN25)),"na")</f>
        <v>na</v>
      </c>
      <c r="EX25" s="44" t="str" cm="1">
        <f t="array" ref="EX25">IF(EX$5&lt;=$DG25,INDEX($BC25:$BN25,1,_xlfn.XMATCH(EX$5,$CC25:$CN25)),"na")</f>
        <v>na</v>
      </c>
      <c r="EY25" s="45" t="str" cm="1">
        <f t="array" ref="EY25">IF(EY$5&lt;=$DH25,INDEX($BP25:$CA25,1,_xlfn.XMATCH(EY$5,$CP25:$DA25)),"na")</f>
        <v>na</v>
      </c>
      <c r="EZ25" s="46" t="str" cm="1">
        <f t="array" ref="EZ25">IF(EZ$5&lt;=$DG25,INDEX($AC25:$AN25,1,_xlfn.XMATCH(EZ$5,$CC25:$CN25)),"na")</f>
        <v>na</v>
      </c>
      <c r="FA25" s="47" t="str" cm="1">
        <f t="array" ref="FA25">IF(FA$5&lt;=$DG25,INDEX($AP25:$BA25,1,_xlfn.XMATCH(FA$5,$CC25:$CN25)),"na")</f>
        <v>na</v>
      </c>
      <c r="FB25" s="44" t="str" cm="1">
        <f t="array" ref="FB25">IF(FB$5&lt;=$DG25,INDEX($BC25:$BN25,1,_xlfn.XMATCH(FB$5,$CC25:$CN25)),"na")</f>
        <v>na</v>
      </c>
      <c r="FC25" s="45" t="str" cm="1">
        <f t="array" ref="FC25">IF(FC$5&lt;=$DH25,INDEX($BP25:$CA25,1,_xlfn.XMATCH(FC$5,$CP25:$DA25)),"na")</f>
        <v>na</v>
      </c>
      <c r="FD25" s="46" t="str" cm="1">
        <f t="array" ref="FD25">IF(FD$5&lt;=$DG25,INDEX($AC25:$AN25,1,_xlfn.XMATCH(FD$5,$CC25:$CN25)),"na")</f>
        <v>na</v>
      </c>
      <c r="FE25" s="47" t="str" cm="1">
        <f t="array" ref="FE25">IF(FE$5&lt;=$DG25,INDEX($AP25:$BA25,1,_xlfn.XMATCH(FE$5,$CC25:$CN25)),"na")</f>
        <v>na</v>
      </c>
    </row>
    <row r="26" spans="2:161" x14ac:dyDescent="0.25">
      <c r="B26" s="10" t="s">
        <v>87</v>
      </c>
      <c r="C26" s="8">
        <v>1085</v>
      </c>
      <c r="D26" s="8">
        <v>980</v>
      </c>
      <c r="E26" s="8">
        <v>1085</v>
      </c>
      <c r="F26" s="8">
        <v>1050</v>
      </c>
      <c r="G26" s="8">
        <v>1085</v>
      </c>
      <c r="H26" s="8">
        <v>1050</v>
      </c>
      <c r="I26" s="8">
        <v>1085</v>
      </c>
      <c r="J26" s="8">
        <v>1085</v>
      </c>
      <c r="K26" s="8">
        <v>1050</v>
      </c>
      <c r="L26" s="8">
        <v>1085</v>
      </c>
      <c r="M26" s="8">
        <v>1050</v>
      </c>
      <c r="N26" s="8">
        <v>1085</v>
      </c>
      <c r="O26" s="8"/>
      <c r="P26" s="8">
        <v>1023</v>
      </c>
      <c r="Q26" s="8">
        <v>924</v>
      </c>
      <c r="R26" s="8">
        <v>1023</v>
      </c>
      <c r="S26" s="8">
        <v>990</v>
      </c>
      <c r="T26" s="8">
        <v>1023</v>
      </c>
      <c r="U26" s="8">
        <v>990</v>
      </c>
      <c r="V26" s="8">
        <v>1023</v>
      </c>
      <c r="W26" s="8">
        <v>1023</v>
      </c>
      <c r="X26" s="8">
        <v>990</v>
      </c>
      <c r="Y26" s="8">
        <v>1023</v>
      </c>
      <c r="Z26" s="8">
        <v>990</v>
      </c>
      <c r="AA26" s="8">
        <v>1023</v>
      </c>
      <c r="AC26" s="14">
        <f>C26/_xlfn.XLOOKUP(AC$5,'OC-Days'!$G:$G,'OC-Days'!$B:$B)</f>
        <v>35</v>
      </c>
      <c r="AD26" s="14">
        <f>D26/_xlfn.XLOOKUP(AD$5,'OC-Days'!$G:$G,'OC-Days'!$B:$B)</f>
        <v>35</v>
      </c>
      <c r="AE26" s="14">
        <f>E26/_xlfn.XLOOKUP(AE$5,'OC-Days'!$G:$G,'OC-Days'!$B:$B)</f>
        <v>35</v>
      </c>
      <c r="AF26" s="14">
        <f>F26/_xlfn.XLOOKUP(AF$5,'OC-Days'!$G:$G,'OC-Days'!$B:$B)</f>
        <v>35</v>
      </c>
      <c r="AG26" s="14">
        <f>G26/_xlfn.XLOOKUP(AG$5,'OC-Days'!$G:$G,'OC-Days'!$B:$B)</f>
        <v>35</v>
      </c>
      <c r="AH26" s="14">
        <f>H26/_xlfn.XLOOKUP(AH$5,'OC-Days'!$G:$G,'OC-Days'!$B:$B)</f>
        <v>35</v>
      </c>
      <c r="AI26" s="14">
        <f>I26/_xlfn.XLOOKUP(AI$5,'OC-Days'!$G:$G,'OC-Days'!$B:$B)</f>
        <v>35</v>
      </c>
      <c r="AJ26" s="14">
        <f>J26/_xlfn.XLOOKUP(AJ$5,'OC-Days'!$G:$G,'OC-Days'!$B:$B)</f>
        <v>35</v>
      </c>
      <c r="AK26" s="14">
        <f>K26/_xlfn.XLOOKUP(AK$5,'OC-Days'!$G:$G,'OC-Days'!$B:$B)</f>
        <v>35</v>
      </c>
      <c r="AL26" s="14">
        <f>L26/_xlfn.XLOOKUP(AL$5,'OC-Days'!$G:$G,'OC-Days'!$B:$B)</f>
        <v>35</v>
      </c>
      <c r="AM26" s="14">
        <f>M26/_xlfn.XLOOKUP(AM$5,'OC-Days'!$G:$G,'OC-Days'!$B:$B)</f>
        <v>35</v>
      </c>
      <c r="AN26" s="14">
        <f>N26/_xlfn.XLOOKUP(AN$5,'OC-Days'!$G:$G,'OC-Days'!$B:$B)</f>
        <v>35</v>
      </c>
      <c r="AP26" s="14">
        <f>P26/_xlfn.XLOOKUP(AP$5,'OC-Days'!$G:$G,'OC-Days'!$B:$B)</f>
        <v>33</v>
      </c>
      <c r="AQ26" s="14">
        <f>Q26/_xlfn.XLOOKUP(AQ$5,'OC-Days'!$G:$G,'OC-Days'!$B:$B)</f>
        <v>33</v>
      </c>
      <c r="AR26" s="14">
        <f>R26/_xlfn.XLOOKUP(AR$5,'OC-Days'!$G:$G,'OC-Days'!$B:$B)</f>
        <v>33</v>
      </c>
      <c r="AS26" s="14">
        <f>S26/_xlfn.XLOOKUP(AS$5,'OC-Days'!$G:$G,'OC-Days'!$B:$B)</f>
        <v>33</v>
      </c>
      <c r="AT26" s="14">
        <f>T26/_xlfn.XLOOKUP(AT$5,'OC-Days'!$G:$G,'OC-Days'!$B:$B)</f>
        <v>33</v>
      </c>
      <c r="AU26" s="14">
        <f>U26/_xlfn.XLOOKUP(AU$5,'OC-Days'!$G:$G,'OC-Days'!$B:$B)</f>
        <v>33</v>
      </c>
      <c r="AV26" s="14">
        <f>V26/_xlfn.XLOOKUP(AV$5,'OC-Days'!$G:$G,'OC-Days'!$B:$B)</f>
        <v>33</v>
      </c>
      <c r="AW26" s="14">
        <f>W26/_xlfn.XLOOKUP(AW$5,'OC-Days'!$G:$G,'OC-Days'!$B:$B)</f>
        <v>33</v>
      </c>
      <c r="AX26" s="14">
        <f>X26/_xlfn.XLOOKUP(AX$5,'OC-Days'!$G:$G,'OC-Days'!$B:$B)</f>
        <v>33</v>
      </c>
      <c r="AY26" s="14">
        <f>Y26/_xlfn.XLOOKUP(AY$5,'OC-Days'!$G:$G,'OC-Days'!$B:$B)</f>
        <v>33</v>
      </c>
      <c r="AZ26" s="14">
        <f>Z26/_xlfn.XLOOKUP(AZ$5,'OC-Days'!$G:$G,'OC-Days'!$B:$B)</f>
        <v>33</v>
      </c>
      <c r="BA26" s="14">
        <f>AA26/_xlfn.XLOOKUP(BA$5,'OC-Days'!$G:$G,'OC-Days'!$B:$B)</f>
        <v>33</v>
      </c>
      <c r="BC26" s="33">
        <f>_xlfn.XLOOKUP(BC$5,'OC-Days'!$G:$G,'OC-Days'!$F:$F)</f>
        <v>45658</v>
      </c>
      <c r="BD26" s="34" t="str">
        <f>IF(AQ26=AP26,"na",_xlfn.XLOOKUP(BD$5,'OC-Days'!$G:$G,'OC-Days'!$F:$F))</f>
        <v>na</v>
      </c>
      <c r="BE26" s="34" t="str">
        <f>IF(AR26=AQ26,"na",_xlfn.XLOOKUP(BE$5,'OC-Days'!$G:$G,'OC-Days'!$F:$F))</f>
        <v>na</v>
      </c>
      <c r="BF26" s="34" t="str">
        <f>IF(AS26=AR26,"na",_xlfn.XLOOKUP(BF$5,'OC-Days'!$G:$G,'OC-Days'!$F:$F))</f>
        <v>na</v>
      </c>
      <c r="BG26" s="34" t="str">
        <f>IF(AT26=AS26,"na",_xlfn.XLOOKUP(BG$5,'OC-Days'!$G:$G,'OC-Days'!$F:$F))</f>
        <v>na</v>
      </c>
      <c r="BH26" s="34" t="str">
        <f>IF(AU26=AT26,"na",_xlfn.XLOOKUP(BH$5,'OC-Days'!$G:$G,'OC-Days'!$F:$F))</f>
        <v>na</v>
      </c>
      <c r="BI26" s="34" t="str">
        <f>IF(AV26=AU26,"na",_xlfn.XLOOKUP(BI$5,'OC-Days'!$G:$G,'OC-Days'!$F:$F))</f>
        <v>na</v>
      </c>
      <c r="BJ26" s="34" t="str">
        <f>IF(AW26=AV26,"na",_xlfn.XLOOKUP(BJ$5,'OC-Days'!$G:$G,'OC-Days'!$F:$F))</f>
        <v>na</v>
      </c>
      <c r="BK26" s="34" t="str">
        <f>IF(AX26=AW26,"na",_xlfn.XLOOKUP(BK$5,'OC-Days'!$G:$G,'OC-Days'!$F:$F))</f>
        <v>na</v>
      </c>
      <c r="BL26" s="34" t="str">
        <f>IF(AY26=AX26,"na",_xlfn.XLOOKUP(BL$5,'OC-Days'!$G:$G,'OC-Days'!$F:$F))</f>
        <v>na</v>
      </c>
      <c r="BM26" s="34" t="str">
        <f>IF(AZ26=AY26,"na",_xlfn.XLOOKUP(BM$5,'OC-Days'!$G:$G,'OC-Days'!$F:$F))</f>
        <v>na</v>
      </c>
      <c r="BN26" s="34" t="str">
        <f>IF(BA26=AZ26,"na",_xlfn.XLOOKUP(BN$5,'OC-Days'!$G:$G,'OC-Days'!$F:$F))</f>
        <v>na</v>
      </c>
      <c r="BP26" s="36" t="str">
        <f t="shared" si="35"/>
        <v>na</v>
      </c>
      <c r="BQ26" s="36" t="str">
        <f t="shared" si="36"/>
        <v>na</v>
      </c>
      <c r="BR26" s="36" t="str">
        <f t="shared" si="37"/>
        <v>na</v>
      </c>
      <c r="BS26" s="36" t="str">
        <f t="shared" si="38"/>
        <v>na</v>
      </c>
      <c r="BT26" s="36" t="str">
        <f t="shared" si="39"/>
        <v>na</v>
      </c>
      <c r="BU26" s="36" t="str">
        <f t="shared" si="40"/>
        <v>na</v>
      </c>
      <c r="BV26" s="36" t="str">
        <f t="shared" si="41"/>
        <v>na</v>
      </c>
      <c r="BW26" s="36" t="str">
        <f t="shared" si="42"/>
        <v>na</v>
      </c>
      <c r="BX26" s="36" t="str">
        <f t="shared" si="43"/>
        <v>na</v>
      </c>
      <c r="BY26" s="36" t="str">
        <f t="shared" si="44"/>
        <v>na</v>
      </c>
      <c r="BZ26" s="36" t="str">
        <f t="shared" si="45"/>
        <v>na</v>
      </c>
      <c r="CA26" s="43">
        <f t="shared" si="46"/>
        <v>46022</v>
      </c>
      <c r="CC26" s="8">
        <f>COUNT($BC26:BC26)</f>
        <v>1</v>
      </c>
      <c r="CD26" s="8">
        <f>COUNT($BC26:BD26)</f>
        <v>1</v>
      </c>
      <c r="CE26" s="8">
        <f>COUNT($BC26:BE26)</f>
        <v>1</v>
      </c>
      <c r="CF26" s="8">
        <f>COUNT($BC26:BF26)</f>
        <v>1</v>
      </c>
      <c r="CG26" s="8">
        <f>COUNT($BC26:BG26)</f>
        <v>1</v>
      </c>
      <c r="CH26" s="8">
        <f>COUNT($BC26:BH26)</f>
        <v>1</v>
      </c>
      <c r="CI26" s="8">
        <f>COUNT($BC26:BI26)</f>
        <v>1</v>
      </c>
      <c r="CJ26" s="8">
        <f>COUNT($BC26:BJ26)</f>
        <v>1</v>
      </c>
      <c r="CK26" s="8">
        <f>COUNT($BC26:BK26)</f>
        <v>1</v>
      </c>
      <c r="CL26" s="8">
        <f>COUNT($BC26:BL26)</f>
        <v>1</v>
      </c>
      <c r="CM26" s="8">
        <f>COUNT($BC26:BM26)</f>
        <v>1</v>
      </c>
      <c r="CN26" s="8">
        <f>COUNT($BC26:BN26)</f>
        <v>1</v>
      </c>
      <c r="CO26" s="8"/>
      <c r="CP26" s="8">
        <f>COUNT($BP26:BP26)</f>
        <v>0</v>
      </c>
      <c r="CQ26" s="8">
        <f>COUNT($BP26:BQ26)</f>
        <v>0</v>
      </c>
      <c r="CR26" s="8">
        <f>COUNT($BP26:BR26)</f>
        <v>0</v>
      </c>
      <c r="CS26" s="8">
        <f>COUNT($BP26:BS26)</f>
        <v>0</v>
      </c>
      <c r="CT26" s="8">
        <f>COUNT($BP26:BT26)</f>
        <v>0</v>
      </c>
      <c r="CU26" s="8">
        <f>COUNT($BP26:BU26)</f>
        <v>0</v>
      </c>
      <c r="CV26" s="8">
        <f>COUNT($BP26:BV26)</f>
        <v>0</v>
      </c>
      <c r="CW26" s="8">
        <f>COUNT($BP26:BW26)</f>
        <v>0</v>
      </c>
      <c r="CX26" s="8">
        <f>COUNT($BP26:BX26)</f>
        <v>0</v>
      </c>
      <c r="CY26" s="8">
        <f>COUNT($BP26:BY26)</f>
        <v>0</v>
      </c>
      <c r="CZ26" s="8">
        <f>COUNT($BP26:BZ26)</f>
        <v>0</v>
      </c>
      <c r="DA26" s="8">
        <f>COUNT($BP26:CA26)</f>
        <v>1</v>
      </c>
      <c r="DC26">
        <f t="shared" si="47"/>
        <v>324</v>
      </c>
      <c r="DD26">
        <f t="shared" si="48"/>
        <v>51</v>
      </c>
      <c r="DE26" t="str">
        <f t="shared" si="49"/>
        <v>324-51</v>
      </c>
      <c r="DG26">
        <f t="shared" si="50"/>
        <v>1</v>
      </c>
      <c r="DH26">
        <f t="shared" si="51"/>
        <v>1</v>
      </c>
      <c r="DJ26" s="44" cm="1">
        <f t="array" ref="DJ26">IF(DJ$5&lt;=$DG26,INDEX($BC26:$BN26,1,_xlfn.XMATCH(DJ$5,$CC26:$CN26)),"na")</f>
        <v>45658</v>
      </c>
      <c r="DK26" s="45" cm="1">
        <f t="array" ref="DK26">IF(DK$5&lt;=$DH26,INDEX($BP26:$CA26,1,_xlfn.XMATCH(DK$5,$CP26:$DA26)),"na")</f>
        <v>46022</v>
      </c>
      <c r="DL26" s="46" cm="1">
        <f t="array" ref="DL26">IF(DL$5&lt;=$DG26,INDEX($AC26:$AN26,1,_xlfn.XMATCH(DL$5,$CC26:$CN26)),"na")</f>
        <v>35</v>
      </c>
      <c r="DM26" s="47" cm="1">
        <f t="array" ref="DM26">IF(DM$5&lt;=$DG26,INDEX($AP26:$BA26,1,_xlfn.XMATCH(DM$5,$CC26:$CN26)),"na")</f>
        <v>33</v>
      </c>
      <c r="DN26" s="44" t="str" cm="1">
        <f t="array" ref="DN26">IF(DN$5&lt;=$DG26,INDEX($BC26:$BN26,1,_xlfn.XMATCH(DN$5,$CC26:$CN26)),"na")</f>
        <v>na</v>
      </c>
      <c r="DO26" s="45" t="str" cm="1">
        <f t="array" ref="DO26">IF(DO$5&lt;=$DH26,INDEX($BP26:$CA26,1,_xlfn.XMATCH(DO$5,$CP26:$DA26)),"na")</f>
        <v>na</v>
      </c>
      <c r="DP26" s="46" t="str" cm="1">
        <f t="array" ref="DP26">IF(DP$5&lt;=$DG26,INDEX($AC26:$AN26,1,_xlfn.XMATCH(DP$5,$CC26:$CN26)),"na")</f>
        <v>na</v>
      </c>
      <c r="DQ26" s="47" t="str" cm="1">
        <f t="array" ref="DQ26">IF(DQ$5&lt;=$DG26,INDEX($AP26:$BA26,1,_xlfn.XMATCH(DQ$5,$CC26:$CN26)),"na")</f>
        <v>na</v>
      </c>
      <c r="DR26" s="44" t="str" cm="1">
        <f t="array" ref="DR26">IF(DR$5&lt;=$DG26,INDEX($BC26:$BN26,1,_xlfn.XMATCH(DR$5,$CC26:$CN26)),"na")</f>
        <v>na</v>
      </c>
      <c r="DS26" s="45" t="str" cm="1">
        <f t="array" ref="DS26">IF(DS$5&lt;=$DH26,INDEX($BP26:$CA26,1,_xlfn.XMATCH(DS$5,$CP26:$DA26)),"na")</f>
        <v>na</v>
      </c>
      <c r="DT26" s="46" t="str" cm="1">
        <f t="array" ref="DT26">IF(DT$5&lt;=$DG26,INDEX($AC26:$AN26,1,_xlfn.XMATCH(DT$5,$CC26:$CN26)),"na")</f>
        <v>na</v>
      </c>
      <c r="DU26" s="47" t="str" cm="1">
        <f t="array" ref="DU26">IF(DU$5&lt;=$DG26,INDEX($AP26:$BA26,1,_xlfn.XMATCH(DU$5,$CC26:$CN26)),"na")</f>
        <v>na</v>
      </c>
      <c r="DV26" s="44" t="str" cm="1">
        <f t="array" ref="DV26">IF(DV$5&lt;=$DG26,INDEX($BC26:$BN26,1,_xlfn.XMATCH(DV$5,$CC26:$CN26)),"na")</f>
        <v>na</v>
      </c>
      <c r="DW26" s="45" t="str" cm="1">
        <f t="array" ref="DW26">IF(DW$5&lt;=$DH26,INDEX($BP26:$CA26,1,_xlfn.XMATCH(DW$5,$CP26:$DA26)),"na")</f>
        <v>na</v>
      </c>
      <c r="DX26" s="46" t="str" cm="1">
        <f t="array" ref="DX26">IF(DX$5&lt;=$DG26,INDEX($AC26:$AN26,1,_xlfn.XMATCH(DX$5,$CC26:$CN26)),"na")</f>
        <v>na</v>
      </c>
      <c r="DY26" s="47" t="str" cm="1">
        <f t="array" ref="DY26">IF(DY$5&lt;=$DG26,INDEX($AP26:$BA26,1,_xlfn.XMATCH(DY$5,$CC26:$CN26)),"na")</f>
        <v>na</v>
      </c>
      <c r="DZ26" s="44" t="str" cm="1">
        <f t="array" ref="DZ26">IF(DZ$5&lt;=$DG26,INDEX($BC26:$BN26,1,_xlfn.XMATCH(DZ$5,$CC26:$CN26)),"na")</f>
        <v>na</v>
      </c>
      <c r="EA26" s="45" t="str" cm="1">
        <f t="array" ref="EA26">IF(EA$5&lt;=$DH26,INDEX($BP26:$CA26,1,_xlfn.XMATCH(EA$5,$CP26:$DA26)),"na")</f>
        <v>na</v>
      </c>
      <c r="EB26" s="46" t="str" cm="1">
        <f t="array" ref="EB26">IF(EB$5&lt;=$DG26,INDEX($AC26:$AN26,1,_xlfn.XMATCH(EB$5,$CC26:$CN26)),"na")</f>
        <v>na</v>
      </c>
      <c r="EC26" s="47" t="str" cm="1">
        <f t="array" ref="EC26">IF(EC$5&lt;=$DG26,INDEX($AP26:$BA26,1,_xlfn.XMATCH(EC$5,$CC26:$CN26)),"na")</f>
        <v>na</v>
      </c>
      <c r="ED26" s="44" t="str" cm="1">
        <f t="array" ref="ED26">IF(ED$5&lt;=$DG26,INDEX($BC26:$BN26,1,_xlfn.XMATCH(ED$5,$CC26:$CN26)),"na")</f>
        <v>na</v>
      </c>
      <c r="EE26" s="45" t="str" cm="1">
        <f t="array" ref="EE26">IF(EE$5&lt;=$DH26,INDEX($BP26:$CA26,1,_xlfn.XMATCH(EE$5,$CP26:$DA26)),"na")</f>
        <v>na</v>
      </c>
      <c r="EF26" s="46" t="str" cm="1">
        <f t="array" ref="EF26">IF(EF$5&lt;=$DG26,INDEX($AC26:$AN26,1,_xlfn.XMATCH(EF$5,$CC26:$CN26)),"na")</f>
        <v>na</v>
      </c>
      <c r="EG26" s="47" t="str" cm="1">
        <f t="array" ref="EG26">IF(EG$5&lt;=$DG26,INDEX($AP26:$BA26,1,_xlfn.XMATCH(EG$5,$CC26:$CN26)),"na")</f>
        <v>na</v>
      </c>
      <c r="EH26" s="44" t="str" cm="1">
        <f t="array" ref="EH26">IF(EH$5&lt;=$DG26,INDEX($BC26:$BN26,1,_xlfn.XMATCH(EH$5,$CC26:$CN26)),"na")</f>
        <v>na</v>
      </c>
      <c r="EI26" s="45" t="str" cm="1">
        <f t="array" ref="EI26">IF(EI$5&lt;=$DH26,INDEX($BP26:$CA26,1,_xlfn.XMATCH(EI$5,$CP26:$DA26)),"na")</f>
        <v>na</v>
      </c>
      <c r="EJ26" s="46" t="str" cm="1">
        <f t="array" ref="EJ26">IF(EJ$5&lt;=$DG26,INDEX($AC26:$AN26,1,_xlfn.XMATCH(EJ$5,$CC26:$CN26)),"na")</f>
        <v>na</v>
      </c>
      <c r="EK26" s="47" t="str" cm="1">
        <f t="array" ref="EK26">IF(EK$5&lt;=$DG26,INDEX($AP26:$BA26,1,_xlfn.XMATCH(EK$5,$CC26:$CN26)),"na")</f>
        <v>na</v>
      </c>
      <c r="EL26" s="44" t="str" cm="1">
        <f t="array" ref="EL26">IF(EL$5&lt;=$DG26,INDEX($BC26:$BN26,1,_xlfn.XMATCH(EL$5,$CC26:$CN26)),"na")</f>
        <v>na</v>
      </c>
      <c r="EM26" s="45" t="str" cm="1">
        <f t="array" ref="EM26">IF(EM$5&lt;=$DH26,INDEX($BP26:$CA26,1,_xlfn.XMATCH(EM$5,$CP26:$DA26)),"na")</f>
        <v>na</v>
      </c>
      <c r="EN26" s="46" t="str" cm="1">
        <f t="array" ref="EN26">IF(EN$5&lt;=$DG26,INDEX($AC26:$AN26,1,_xlfn.XMATCH(EN$5,$CC26:$CN26)),"na")</f>
        <v>na</v>
      </c>
      <c r="EO26" s="47" t="str" cm="1">
        <f t="array" ref="EO26">IF(EO$5&lt;=$DG26,INDEX($AP26:$BA26,1,_xlfn.XMATCH(EO$5,$CC26:$CN26)),"na")</f>
        <v>na</v>
      </c>
      <c r="EP26" s="44" t="str" cm="1">
        <f t="array" ref="EP26">IF(EP$5&lt;=$DG26,INDEX($BC26:$BN26,1,_xlfn.XMATCH(EP$5,$CC26:$CN26)),"na")</f>
        <v>na</v>
      </c>
      <c r="EQ26" s="45" t="str" cm="1">
        <f t="array" ref="EQ26">IF(EQ$5&lt;=$DH26,INDEX($BP26:$CA26,1,_xlfn.XMATCH(EQ$5,$CP26:$DA26)),"na")</f>
        <v>na</v>
      </c>
      <c r="ER26" s="46" t="str" cm="1">
        <f t="array" ref="ER26">IF(ER$5&lt;=$DG26,INDEX($AC26:$AN26,1,_xlfn.XMATCH(ER$5,$CC26:$CN26)),"na")</f>
        <v>na</v>
      </c>
      <c r="ES26" s="47" t="str" cm="1">
        <f t="array" ref="ES26">IF(ES$5&lt;=$DG26,INDEX($AP26:$BA26,1,_xlfn.XMATCH(ES$5,$CC26:$CN26)),"na")</f>
        <v>na</v>
      </c>
      <c r="ET26" s="44" t="str" cm="1">
        <f t="array" ref="ET26">IF(ET$5&lt;=$DG26,INDEX($BC26:$BN26,1,_xlfn.XMATCH(ET$5,$CC26:$CN26)),"na")</f>
        <v>na</v>
      </c>
      <c r="EU26" s="45" t="str" cm="1">
        <f t="array" ref="EU26">IF(EU$5&lt;=$DH26,INDEX($BP26:$CA26,1,_xlfn.XMATCH(EU$5,$CP26:$DA26)),"na")</f>
        <v>na</v>
      </c>
      <c r="EV26" s="46" t="str" cm="1">
        <f t="array" ref="EV26">IF(EV$5&lt;=$DG26,INDEX($AC26:$AN26,1,_xlfn.XMATCH(EV$5,$CC26:$CN26)),"na")</f>
        <v>na</v>
      </c>
      <c r="EW26" s="47" t="str" cm="1">
        <f t="array" ref="EW26">IF(EW$5&lt;=$DG26,INDEX($AP26:$BA26,1,_xlfn.XMATCH(EW$5,$CC26:$CN26)),"na")</f>
        <v>na</v>
      </c>
      <c r="EX26" s="44" t="str" cm="1">
        <f t="array" ref="EX26">IF(EX$5&lt;=$DG26,INDEX($BC26:$BN26,1,_xlfn.XMATCH(EX$5,$CC26:$CN26)),"na")</f>
        <v>na</v>
      </c>
      <c r="EY26" s="45" t="str" cm="1">
        <f t="array" ref="EY26">IF(EY$5&lt;=$DH26,INDEX($BP26:$CA26,1,_xlfn.XMATCH(EY$5,$CP26:$DA26)),"na")</f>
        <v>na</v>
      </c>
      <c r="EZ26" s="46" t="str" cm="1">
        <f t="array" ref="EZ26">IF(EZ$5&lt;=$DG26,INDEX($AC26:$AN26,1,_xlfn.XMATCH(EZ$5,$CC26:$CN26)),"na")</f>
        <v>na</v>
      </c>
      <c r="FA26" s="47" t="str" cm="1">
        <f t="array" ref="FA26">IF(FA$5&lt;=$DG26,INDEX($AP26:$BA26,1,_xlfn.XMATCH(FA$5,$CC26:$CN26)),"na")</f>
        <v>na</v>
      </c>
      <c r="FB26" s="44" t="str" cm="1">
        <f t="array" ref="FB26">IF(FB$5&lt;=$DG26,INDEX($BC26:$BN26,1,_xlfn.XMATCH(FB$5,$CC26:$CN26)),"na")</f>
        <v>na</v>
      </c>
      <c r="FC26" s="45" t="str" cm="1">
        <f t="array" ref="FC26">IF(FC$5&lt;=$DH26,INDEX($BP26:$CA26,1,_xlfn.XMATCH(FC$5,$CP26:$DA26)),"na")</f>
        <v>na</v>
      </c>
      <c r="FD26" s="46" t="str" cm="1">
        <f t="array" ref="FD26">IF(FD$5&lt;=$DG26,INDEX($AC26:$AN26,1,_xlfn.XMATCH(FD$5,$CC26:$CN26)),"na")</f>
        <v>na</v>
      </c>
      <c r="FE26" s="47" t="str" cm="1">
        <f t="array" ref="FE26">IF(FE$5&lt;=$DG26,INDEX($AP26:$BA26,1,_xlfn.XMATCH(FE$5,$CC26:$CN26)),"na")</f>
        <v>na</v>
      </c>
    </row>
    <row r="27" spans="2:161" x14ac:dyDescent="0.25">
      <c r="B27" s="10" t="s">
        <v>88</v>
      </c>
      <c r="C27" s="8">
        <v>2356</v>
      </c>
      <c r="D27" s="8">
        <v>2128</v>
      </c>
      <c r="E27" s="8">
        <v>2356</v>
      </c>
      <c r="F27" s="8">
        <v>2280</v>
      </c>
      <c r="G27" s="8">
        <v>2356</v>
      </c>
      <c r="H27" s="8">
        <v>2280</v>
      </c>
      <c r="I27" s="8">
        <v>2356</v>
      </c>
      <c r="J27" s="8">
        <v>2356</v>
      </c>
      <c r="K27" s="8">
        <v>2280</v>
      </c>
      <c r="L27" s="8">
        <v>2356</v>
      </c>
      <c r="M27" s="8">
        <v>2280</v>
      </c>
      <c r="N27" s="8">
        <v>2356</v>
      </c>
      <c r="O27" s="8"/>
      <c r="P27" s="8">
        <v>2263</v>
      </c>
      <c r="Q27" s="8">
        <v>2044</v>
      </c>
      <c r="R27" s="8">
        <v>2263</v>
      </c>
      <c r="S27" s="8">
        <v>2190</v>
      </c>
      <c r="T27" s="8">
        <v>2263</v>
      </c>
      <c r="U27" s="8">
        <v>2190</v>
      </c>
      <c r="V27" s="8">
        <v>2263</v>
      </c>
      <c r="W27" s="8">
        <v>2263</v>
      </c>
      <c r="X27" s="8">
        <v>2190</v>
      </c>
      <c r="Y27" s="8">
        <v>2263</v>
      </c>
      <c r="Z27" s="8">
        <v>2190</v>
      </c>
      <c r="AA27" s="8">
        <v>2263</v>
      </c>
      <c r="AC27" s="14">
        <f>C27/_xlfn.XLOOKUP(AC$5,'OC-Days'!$G:$G,'OC-Days'!$B:$B)</f>
        <v>76</v>
      </c>
      <c r="AD27" s="14">
        <f>D27/_xlfn.XLOOKUP(AD$5,'OC-Days'!$G:$G,'OC-Days'!$B:$B)</f>
        <v>76</v>
      </c>
      <c r="AE27" s="14">
        <f>E27/_xlfn.XLOOKUP(AE$5,'OC-Days'!$G:$G,'OC-Days'!$B:$B)</f>
        <v>76</v>
      </c>
      <c r="AF27" s="14">
        <f>F27/_xlfn.XLOOKUP(AF$5,'OC-Days'!$G:$G,'OC-Days'!$B:$B)</f>
        <v>76</v>
      </c>
      <c r="AG27" s="14">
        <f>G27/_xlfn.XLOOKUP(AG$5,'OC-Days'!$G:$G,'OC-Days'!$B:$B)</f>
        <v>76</v>
      </c>
      <c r="AH27" s="14">
        <f>H27/_xlfn.XLOOKUP(AH$5,'OC-Days'!$G:$G,'OC-Days'!$B:$B)</f>
        <v>76</v>
      </c>
      <c r="AI27" s="14">
        <f>I27/_xlfn.XLOOKUP(AI$5,'OC-Days'!$G:$G,'OC-Days'!$B:$B)</f>
        <v>76</v>
      </c>
      <c r="AJ27" s="14">
        <f>J27/_xlfn.XLOOKUP(AJ$5,'OC-Days'!$G:$G,'OC-Days'!$B:$B)</f>
        <v>76</v>
      </c>
      <c r="AK27" s="14">
        <f>K27/_xlfn.XLOOKUP(AK$5,'OC-Days'!$G:$G,'OC-Days'!$B:$B)</f>
        <v>76</v>
      </c>
      <c r="AL27" s="14">
        <f>L27/_xlfn.XLOOKUP(AL$5,'OC-Days'!$G:$G,'OC-Days'!$B:$B)</f>
        <v>76</v>
      </c>
      <c r="AM27" s="14">
        <f>M27/_xlfn.XLOOKUP(AM$5,'OC-Days'!$G:$G,'OC-Days'!$B:$B)</f>
        <v>76</v>
      </c>
      <c r="AN27" s="14">
        <f>N27/_xlfn.XLOOKUP(AN$5,'OC-Days'!$G:$G,'OC-Days'!$B:$B)</f>
        <v>76</v>
      </c>
      <c r="AP27" s="14">
        <f>P27/_xlfn.XLOOKUP(AP$5,'OC-Days'!$G:$G,'OC-Days'!$B:$B)</f>
        <v>73</v>
      </c>
      <c r="AQ27" s="14">
        <f>Q27/_xlfn.XLOOKUP(AQ$5,'OC-Days'!$G:$G,'OC-Days'!$B:$B)</f>
        <v>73</v>
      </c>
      <c r="AR27" s="14">
        <f>R27/_xlfn.XLOOKUP(AR$5,'OC-Days'!$G:$G,'OC-Days'!$B:$B)</f>
        <v>73</v>
      </c>
      <c r="AS27" s="14">
        <f>S27/_xlfn.XLOOKUP(AS$5,'OC-Days'!$G:$G,'OC-Days'!$B:$B)</f>
        <v>73</v>
      </c>
      <c r="AT27" s="14">
        <f>T27/_xlfn.XLOOKUP(AT$5,'OC-Days'!$G:$G,'OC-Days'!$B:$B)</f>
        <v>73</v>
      </c>
      <c r="AU27" s="14">
        <f>U27/_xlfn.XLOOKUP(AU$5,'OC-Days'!$G:$G,'OC-Days'!$B:$B)</f>
        <v>73</v>
      </c>
      <c r="AV27" s="14">
        <f>V27/_xlfn.XLOOKUP(AV$5,'OC-Days'!$G:$G,'OC-Days'!$B:$B)</f>
        <v>73</v>
      </c>
      <c r="AW27" s="14">
        <f>W27/_xlfn.XLOOKUP(AW$5,'OC-Days'!$G:$G,'OC-Days'!$B:$B)</f>
        <v>73</v>
      </c>
      <c r="AX27" s="14">
        <f>X27/_xlfn.XLOOKUP(AX$5,'OC-Days'!$G:$G,'OC-Days'!$B:$B)</f>
        <v>73</v>
      </c>
      <c r="AY27" s="14">
        <f>Y27/_xlfn.XLOOKUP(AY$5,'OC-Days'!$G:$G,'OC-Days'!$B:$B)</f>
        <v>73</v>
      </c>
      <c r="AZ27" s="14">
        <f>Z27/_xlfn.XLOOKUP(AZ$5,'OC-Days'!$G:$G,'OC-Days'!$B:$B)</f>
        <v>73</v>
      </c>
      <c r="BA27" s="14">
        <f>AA27/_xlfn.XLOOKUP(BA$5,'OC-Days'!$G:$G,'OC-Days'!$B:$B)</f>
        <v>73</v>
      </c>
      <c r="BC27" s="33">
        <f>_xlfn.XLOOKUP(BC$5,'OC-Days'!$G:$G,'OC-Days'!$F:$F)</f>
        <v>45658</v>
      </c>
      <c r="BD27" s="34" t="str">
        <f>IF(AQ27=AP27,"na",_xlfn.XLOOKUP(BD$5,'OC-Days'!$G:$G,'OC-Days'!$F:$F))</f>
        <v>na</v>
      </c>
      <c r="BE27" s="34" t="str">
        <f>IF(AR27=AQ27,"na",_xlfn.XLOOKUP(BE$5,'OC-Days'!$G:$G,'OC-Days'!$F:$F))</f>
        <v>na</v>
      </c>
      <c r="BF27" s="34" t="str">
        <f>IF(AS27=AR27,"na",_xlfn.XLOOKUP(BF$5,'OC-Days'!$G:$G,'OC-Days'!$F:$F))</f>
        <v>na</v>
      </c>
      <c r="BG27" s="34" t="str">
        <f>IF(AT27=AS27,"na",_xlfn.XLOOKUP(BG$5,'OC-Days'!$G:$G,'OC-Days'!$F:$F))</f>
        <v>na</v>
      </c>
      <c r="BH27" s="34" t="str">
        <f>IF(AU27=AT27,"na",_xlfn.XLOOKUP(BH$5,'OC-Days'!$G:$G,'OC-Days'!$F:$F))</f>
        <v>na</v>
      </c>
      <c r="BI27" s="34" t="str">
        <f>IF(AV27=AU27,"na",_xlfn.XLOOKUP(BI$5,'OC-Days'!$G:$G,'OC-Days'!$F:$F))</f>
        <v>na</v>
      </c>
      <c r="BJ27" s="34" t="str">
        <f>IF(AW27=AV27,"na",_xlfn.XLOOKUP(BJ$5,'OC-Days'!$G:$G,'OC-Days'!$F:$F))</f>
        <v>na</v>
      </c>
      <c r="BK27" s="34" t="str">
        <f>IF(AX27=AW27,"na",_xlfn.XLOOKUP(BK$5,'OC-Days'!$G:$G,'OC-Days'!$F:$F))</f>
        <v>na</v>
      </c>
      <c r="BL27" s="34" t="str">
        <f>IF(AY27=AX27,"na",_xlfn.XLOOKUP(BL$5,'OC-Days'!$G:$G,'OC-Days'!$F:$F))</f>
        <v>na</v>
      </c>
      <c r="BM27" s="34" t="str">
        <f>IF(AZ27=AY27,"na",_xlfn.XLOOKUP(BM$5,'OC-Days'!$G:$G,'OC-Days'!$F:$F))</f>
        <v>na</v>
      </c>
      <c r="BN27" s="34" t="str">
        <f>IF(BA27=AZ27,"na",_xlfn.XLOOKUP(BN$5,'OC-Days'!$G:$G,'OC-Days'!$F:$F))</f>
        <v>na</v>
      </c>
      <c r="BP27" s="36" t="str">
        <f t="shared" si="35"/>
        <v>na</v>
      </c>
      <c r="BQ27" s="36" t="str">
        <f t="shared" si="36"/>
        <v>na</v>
      </c>
      <c r="BR27" s="36" t="str">
        <f t="shared" si="37"/>
        <v>na</v>
      </c>
      <c r="BS27" s="36" t="str">
        <f t="shared" si="38"/>
        <v>na</v>
      </c>
      <c r="BT27" s="36" t="str">
        <f t="shared" si="39"/>
        <v>na</v>
      </c>
      <c r="BU27" s="36" t="str">
        <f t="shared" si="40"/>
        <v>na</v>
      </c>
      <c r="BV27" s="36" t="str">
        <f t="shared" si="41"/>
        <v>na</v>
      </c>
      <c r="BW27" s="36" t="str">
        <f t="shared" si="42"/>
        <v>na</v>
      </c>
      <c r="BX27" s="36" t="str">
        <f t="shared" si="43"/>
        <v>na</v>
      </c>
      <c r="BY27" s="36" t="str">
        <f t="shared" si="44"/>
        <v>na</v>
      </c>
      <c r="BZ27" s="36" t="str">
        <f t="shared" si="45"/>
        <v>na</v>
      </c>
      <c r="CA27" s="43">
        <f t="shared" si="46"/>
        <v>46022</v>
      </c>
      <c r="CC27" s="8">
        <f>COUNT($BC27:BC27)</f>
        <v>1</v>
      </c>
      <c r="CD27" s="8">
        <f>COUNT($BC27:BD27)</f>
        <v>1</v>
      </c>
      <c r="CE27" s="8">
        <f>COUNT($BC27:BE27)</f>
        <v>1</v>
      </c>
      <c r="CF27" s="8">
        <f>COUNT($BC27:BF27)</f>
        <v>1</v>
      </c>
      <c r="CG27" s="8">
        <f>COUNT($BC27:BG27)</f>
        <v>1</v>
      </c>
      <c r="CH27" s="8">
        <f>COUNT($BC27:BH27)</f>
        <v>1</v>
      </c>
      <c r="CI27" s="8">
        <f>COUNT($BC27:BI27)</f>
        <v>1</v>
      </c>
      <c r="CJ27" s="8">
        <f>COUNT($BC27:BJ27)</f>
        <v>1</v>
      </c>
      <c r="CK27" s="8">
        <f>COUNT($BC27:BK27)</f>
        <v>1</v>
      </c>
      <c r="CL27" s="8">
        <f>COUNT($BC27:BL27)</f>
        <v>1</v>
      </c>
      <c r="CM27" s="8">
        <f>COUNT($BC27:BM27)</f>
        <v>1</v>
      </c>
      <c r="CN27" s="8">
        <f>COUNT($BC27:BN27)</f>
        <v>1</v>
      </c>
      <c r="CO27" s="8"/>
      <c r="CP27" s="8">
        <f>COUNT($BP27:BP27)</f>
        <v>0</v>
      </c>
      <c r="CQ27" s="8">
        <f>COUNT($BP27:BQ27)</f>
        <v>0</v>
      </c>
      <c r="CR27" s="8">
        <f>COUNT($BP27:BR27)</f>
        <v>0</v>
      </c>
      <c r="CS27" s="8">
        <f>COUNT($BP27:BS27)</f>
        <v>0</v>
      </c>
      <c r="CT27" s="8">
        <f>COUNT($BP27:BT27)</f>
        <v>0</v>
      </c>
      <c r="CU27" s="8">
        <f>COUNT($BP27:BU27)</f>
        <v>0</v>
      </c>
      <c r="CV27" s="8">
        <f>COUNT($BP27:BV27)</f>
        <v>0</v>
      </c>
      <c r="CW27" s="8">
        <f>COUNT($BP27:BW27)</f>
        <v>0</v>
      </c>
      <c r="CX27" s="8">
        <f>COUNT($BP27:BX27)</f>
        <v>0</v>
      </c>
      <c r="CY27" s="8">
        <f>COUNT($BP27:BY27)</f>
        <v>0</v>
      </c>
      <c r="CZ27" s="8">
        <f>COUNT($BP27:BZ27)</f>
        <v>0</v>
      </c>
      <c r="DA27" s="8">
        <f>COUNT($BP27:CA27)</f>
        <v>1</v>
      </c>
      <c r="DC27">
        <f t="shared" si="47"/>
        <v>324</v>
      </c>
      <c r="DD27">
        <f t="shared" si="48"/>
        <v>61</v>
      </c>
      <c r="DE27" t="str">
        <f t="shared" si="49"/>
        <v>324-61</v>
      </c>
      <c r="DG27">
        <f t="shared" si="50"/>
        <v>1</v>
      </c>
      <c r="DH27">
        <f t="shared" si="51"/>
        <v>1</v>
      </c>
      <c r="DJ27" s="44" cm="1">
        <f t="array" ref="DJ27">IF(DJ$5&lt;=$DG27,INDEX($BC27:$BN27,1,_xlfn.XMATCH(DJ$5,$CC27:$CN27)),"na")</f>
        <v>45658</v>
      </c>
      <c r="DK27" s="45" cm="1">
        <f t="array" ref="DK27">IF(DK$5&lt;=$DH27,INDEX($BP27:$CA27,1,_xlfn.XMATCH(DK$5,$CP27:$DA27)),"na")</f>
        <v>46022</v>
      </c>
      <c r="DL27" s="46" cm="1">
        <f t="array" ref="DL27">IF(DL$5&lt;=$DG27,INDEX($AC27:$AN27,1,_xlfn.XMATCH(DL$5,$CC27:$CN27)),"na")</f>
        <v>76</v>
      </c>
      <c r="DM27" s="47" cm="1">
        <f t="array" ref="DM27">IF(DM$5&lt;=$DG27,INDEX($AP27:$BA27,1,_xlfn.XMATCH(DM$5,$CC27:$CN27)),"na")</f>
        <v>73</v>
      </c>
      <c r="DN27" s="44" t="str" cm="1">
        <f t="array" ref="DN27">IF(DN$5&lt;=$DG27,INDEX($BC27:$BN27,1,_xlfn.XMATCH(DN$5,$CC27:$CN27)),"na")</f>
        <v>na</v>
      </c>
      <c r="DO27" s="45" t="str" cm="1">
        <f t="array" ref="DO27">IF(DO$5&lt;=$DH27,INDEX($BP27:$CA27,1,_xlfn.XMATCH(DO$5,$CP27:$DA27)),"na")</f>
        <v>na</v>
      </c>
      <c r="DP27" s="46" t="str" cm="1">
        <f t="array" ref="DP27">IF(DP$5&lt;=$DG27,INDEX($AC27:$AN27,1,_xlfn.XMATCH(DP$5,$CC27:$CN27)),"na")</f>
        <v>na</v>
      </c>
      <c r="DQ27" s="47" t="str" cm="1">
        <f t="array" ref="DQ27">IF(DQ$5&lt;=$DG27,INDEX($AP27:$BA27,1,_xlfn.XMATCH(DQ$5,$CC27:$CN27)),"na")</f>
        <v>na</v>
      </c>
      <c r="DR27" s="44" t="str" cm="1">
        <f t="array" ref="DR27">IF(DR$5&lt;=$DG27,INDEX($BC27:$BN27,1,_xlfn.XMATCH(DR$5,$CC27:$CN27)),"na")</f>
        <v>na</v>
      </c>
      <c r="DS27" s="45" t="str" cm="1">
        <f t="array" ref="DS27">IF(DS$5&lt;=$DH27,INDEX($BP27:$CA27,1,_xlfn.XMATCH(DS$5,$CP27:$DA27)),"na")</f>
        <v>na</v>
      </c>
      <c r="DT27" s="46" t="str" cm="1">
        <f t="array" ref="DT27">IF(DT$5&lt;=$DG27,INDEX($AC27:$AN27,1,_xlfn.XMATCH(DT$5,$CC27:$CN27)),"na")</f>
        <v>na</v>
      </c>
      <c r="DU27" s="47" t="str" cm="1">
        <f t="array" ref="DU27">IF(DU$5&lt;=$DG27,INDEX($AP27:$BA27,1,_xlfn.XMATCH(DU$5,$CC27:$CN27)),"na")</f>
        <v>na</v>
      </c>
      <c r="DV27" s="44" t="str" cm="1">
        <f t="array" ref="DV27">IF(DV$5&lt;=$DG27,INDEX($BC27:$BN27,1,_xlfn.XMATCH(DV$5,$CC27:$CN27)),"na")</f>
        <v>na</v>
      </c>
      <c r="DW27" s="45" t="str" cm="1">
        <f t="array" ref="DW27">IF(DW$5&lt;=$DH27,INDEX($BP27:$CA27,1,_xlfn.XMATCH(DW$5,$CP27:$DA27)),"na")</f>
        <v>na</v>
      </c>
      <c r="DX27" s="46" t="str" cm="1">
        <f t="array" ref="DX27">IF(DX$5&lt;=$DG27,INDEX($AC27:$AN27,1,_xlfn.XMATCH(DX$5,$CC27:$CN27)),"na")</f>
        <v>na</v>
      </c>
      <c r="DY27" s="47" t="str" cm="1">
        <f t="array" ref="DY27">IF(DY$5&lt;=$DG27,INDEX($AP27:$BA27,1,_xlfn.XMATCH(DY$5,$CC27:$CN27)),"na")</f>
        <v>na</v>
      </c>
      <c r="DZ27" s="44" t="str" cm="1">
        <f t="array" ref="DZ27">IF(DZ$5&lt;=$DG27,INDEX($BC27:$BN27,1,_xlfn.XMATCH(DZ$5,$CC27:$CN27)),"na")</f>
        <v>na</v>
      </c>
      <c r="EA27" s="45" t="str" cm="1">
        <f t="array" ref="EA27">IF(EA$5&lt;=$DH27,INDEX($BP27:$CA27,1,_xlfn.XMATCH(EA$5,$CP27:$DA27)),"na")</f>
        <v>na</v>
      </c>
      <c r="EB27" s="46" t="str" cm="1">
        <f t="array" ref="EB27">IF(EB$5&lt;=$DG27,INDEX($AC27:$AN27,1,_xlfn.XMATCH(EB$5,$CC27:$CN27)),"na")</f>
        <v>na</v>
      </c>
      <c r="EC27" s="47" t="str" cm="1">
        <f t="array" ref="EC27">IF(EC$5&lt;=$DG27,INDEX($AP27:$BA27,1,_xlfn.XMATCH(EC$5,$CC27:$CN27)),"na")</f>
        <v>na</v>
      </c>
      <c r="ED27" s="44" t="str" cm="1">
        <f t="array" ref="ED27">IF(ED$5&lt;=$DG27,INDEX($BC27:$BN27,1,_xlfn.XMATCH(ED$5,$CC27:$CN27)),"na")</f>
        <v>na</v>
      </c>
      <c r="EE27" s="45" t="str" cm="1">
        <f t="array" ref="EE27">IF(EE$5&lt;=$DH27,INDEX($BP27:$CA27,1,_xlfn.XMATCH(EE$5,$CP27:$DA27)),"na")</f>
        <v>na</v>
      </c>
      <c r="EF27" s="46" t="str" cm="1">
        <f t="array" ref="EF27">IF(EF$5&lt;=$DG27,INDEX($AC27:$AN27,1,_xlfn.XMATCH(EF$5,$CC27:$CN27)),"na")</f>
        <v>na</v>
      </c>
      <c r="EG27" s="47" t="str" cm="1">
        <f t="array" ref="EG27">IF(EG$5&lt;=$DG27,INDEX($AP27:$BA27,1,_xlfn.XMATCH(EG$5,$CC27:$CN27)),"na")</f>
        <v>na</v>
      </c>
      <c r="EH27" s="44" t="str" cm="1">
        <f t="array" ref="EH27">IF(EH$5&lt;=$DG27,INDEX($BC27:$BN27,1,_xlfn.XMATCH(EH$5,$CC27:$CN27)),"na")</f>
        <v>na</v>
      </c>
      <c r="EI27" s="45" t="str" cm="1">
        <f t="array" ref="EI27">IF(EI$5&lt;=$DH27,INDEX($BP27:$CA27,1,_xlfn.XMATCH(EI$5,$CP27:$DA27)),"na")</f>
        <v>na</v>
      </c>
      <c r="EJ27" s="46" t="str" cm="1">
        <f t="array" ref="EJ27">IF(EJ$5&lt;=$DG27,INDEX($AC27:$AN27,1,_xlfn.XMATCH(EJ$5,$CC27:$CN27)),"na")</f>
        <v>na</v>
      </c>
      <c r="EK27" s="47" t="str" cm="1">
        <f t="array" ref="EK27">IF(EK$5&lt;=$DG27,INDEX($AP27:$BA27,1,_xlfn.XMATCH(EK$5,$CC27:$CN27)),"na")</f>
        <v>na</v>
      </c>
      <c r="EL27" s="44" t="str" cm="1">
        <f t="array" ref="EL27">IF(EL$5&lt;=$DG27,INDEX($BC27:$BN27,1,_xlfn.XMATCH(EL$5,$CC27:$CN27)),"na")</f>
        <v>na</v>
      </c>
      <c r="EM27" s="45" t="str" cm="1">
        <f t="array" ref="EM27">IF(EM$5&lt;=$DH27,INDEX($BP27:$CA27,1,_xlfn.XMATCH(EM$5,$CP27:$DA27)),"na")</f>
        <v>na</v>
      </c>
      <c r="EN27" s="46" t="str" cm="1">
        <f t="array" ref="EN27">IF(EN$5&lt;=$DG27,INDEX($AC27:$AN27,1,_xlfn.XMATCH(EN$5,$CC27:$CN27)),"na")</f>
        <v>na</v>
      </c>
      <c r="EO27" s="47" t="str" cm="1">
        <f t="array" ref="EO27">IF(EO$5&lt;=$DG27,INDEX($AP27:$BA27,1,_xlfn.XMATCH(EO$5,$CC27:$CN27)),"na")</f>
        <v>na</v>
      </c>
      <c r="EP27" s="44" t="str" cm="1">
        <f t="array" ref="EP27">IF(EP$5&lt;=$DG27,INDEX($BC27:$BN27,1,_xlfn.XMATCH(EP$5,$CC27:$CN27)),"na")</f>
        <v>na</v>
      </c>
      <c r="EQ27" s="45" t="str" cm="1">
        <f t="array" ref="EQ27">IF(EQ$5&lt;=$DH27,INDEX($BP27:$CA27,1,_xlfn.XMATCH(EQ$5,$CP27:$DA27)),"na")</f>
        <v>na</v>
      </c>
      <c r="ER27" s="46" t="str" cm="1">
        <f t="array" ref="ER27">IF(ER$5&lt;=$DG27,INDEX($AC27:$AN27,1,_xlfn.XMATCH(ER$5,$CC27:$CN27)),"na")</f>
        <v>na</v>
      </c>
      <c r="ES27" s="47" t="str" cm="1">
        <f t="array" ref="ES27">IF(ES$5&lt;=$DG27,INDEX($AP27:$BA27,1,_xlfn.XMATCH(ES$5,$CC27:$CN27)),"na")</f>
        <v>na</v>
      </c>
      <c r="ET27" s="44" t="str" cm="1">
        <f t="array" ref="ET27">IF(ET$5&lt;=$DG27,INDEX($BC27:$BN27,1,_xlfn.XMATCH(ET$5,$CC27:$CN27)),"na")</f>
        <v>na</v>
      </c>
      <c r="EU27" s="45" t="str" cm="1">
        <f t="array" ref="EU27">IF(EU$5&lt;=$DH27,INDEX($BP27:$CA27,1,_xlfn.XMATCH(EU$5,$CP27:$DA27)),"na")</f>
        <v>na</v>
      </c>
      <c r="EV27" s="46" t="str" cm="1">
        <f t="array" ref="EV27">IF(EV$5&lt;=$DG27,INDEX($AC27:$AN27,1,_xlfn.XMATCH(EV$5,$CC27:$CN27)),"na")</f>
        <v>na</v>
      </c>
      <c r="EW27" s="47" t="str" cm="1">
        <f t="array" ref="EW27">IF(EW$5&lt;=$DG27,INDEX($AP27:$BA27,1,_xlfn.XMATCH(EW$5,$CC27:$CN27)),"na")</f>
        <v>na</v>
      </c>
      <c r="EX27" s="44" t="str" cm="1">
        <f t="array" ref="EX27">IF(EX$5&lt;=$DG27,INDEX($BC27:$BN27,1,_xlfn.XMATCH(EX$5,$CC27:$CN27)),"na")</f>
        <v>na</v>
      </c>
      <c r="EY27" s="45" t="str" cm="1">
        <f t="array" ref="EY27">IF(EY$5&lt;=$DH27,INDEX($BP27:$CA27,1,_xlfn.XMATCH(EY$5,$CP27:$DA27)),"na")</f>
        <v>na</v>
      </c>
      <c r="EZ27" s="46" t="str" cm="1">
        <f t="array" ref="EZ27">IF(EZ$5&lt;=$DG27,INDEX($AC27:$AN27,1,_xlfn.XMATCH(EZ$5,$CC27:$CN27)),"na")</f>
        <v>na</v>
      </c>
      <c r="FA27" s="47" t="str" cm="1">
        <f t="array" ref="FA27">IF(FA$5&lt;=$DG27,INDEX($AP27:$BA27,1,_xlfn.XMATCH(FA$5,$CC27:$CN27)),"na")</f>
        <v>na</v>
      </c>
      <c r="FB27" s="44" t="str" cm="1">
        <f t="array" ref="FB27">IF(FB$5&lt;=$DG27,INDEX($BC27:$BN27,1,_xlfn.XMATCH(FB$5,$CC27:$CN27)),"na")</f>
        <v>na</v>
      </c>
      <c r="FC27" s="45" t="str" cm="1">
        <f t="array" ref="FC27">IF(FC$5&lt;=$DH27,INDEX($BP27:$CA27,1,_xlfn.XMATCH(FC$5,$CP27:$DA27)),"na")</f>
        <v>na</v>
      </c>
      <c r="FD27" s="46" t="str" cm="1">
        <f t="array" ref="FD27">IF(FD$5&lt;=$DG27,INDEX($AC27:$AN27,1,_xlfn.XMATCH(FD$5,$CC27:$CN27)),"na")</f>
        <v>na</v>
      </c>
      <c r="FE27" s="47" t="str" cm="1">
        <f t="array" ref="FE27">IF(FE$5&lt;=$DG27,INDEX($AP27:$BA27,1,_xlfn.XMATCH(FE$5,$CC27:$CN27)),"na")</f>
        <v>na</v>
      </c>
    </row>
    <row r="28" spans="2:161" hidden="1" x14ac:dyDescent="0.25">
      <c r="B28" s="9" t="s">
        <v>89</v>
      </c>
      <c r="C28" s="8">
        <v>8370</v>
      </c>
      <c r="D28" s="8">
        <v>7560</v>
      </c>
      <c r="E28" s="8">
        <v>8370</v>
      </c>
      <c r="F28" s="8">
        <v>8100</v>
      </c>
      <c r="G28" s="8">
        <v>8370</v>
      </c>
      <c r="H28" s="8">
        <v>8100</v>
      </c>
      <c r="I28" s="8">
        <v>8370</v>
      </c>
      <c r="J28" s="8">
        <v>8370</v>
      </c>
      <c r="K28" s="8">
        <v>8100</v>
      </c>
      <c r="L28" s="8">
        <v>8370</v>
      </c>
      <c r="M28" s="8">
        <v>8100</v>
      </c>
      <c r="N28" s="8">
        <v>8370</v>
      </c>
      <c r="O28" s="8"/>
      <c r="P28" s="8">
        <v>7874</v>
      </c>
      <c r="Q28" s="8">
        <v>7112</v>
      </c>
      <c r="R28" s="8">
        <v>7874</v>
      </c>
      <c r="S28" s="8">
        <v>7620</v>
      </c>
      <c r="T28" s="8">
        <v>7874</v>
      </c>
      <c r="U28" s="8">
        <v>7620</v>
      </c>
      <c r="V28" s="8">
        <v>7874</v>
      </c>
      <c r="W28" s="8">
        <v>7874</v>
      </c>
      <c r="X28" s="8">
        <v>7620</v>
      </c>
      <c r="Y28" s="8">
        <v>7874</v>
      </c>
      <c r="Z28" s="8">
        <v>7620</v>
      </c>
      <c r="AA28" s="8">
        <v>7874</v>
      </c>
      <c r="AC28" s="14">
        <f>C28/_xlfn.XLOOKUP(AC$5,'OC-Days'!$G:$G,'OC-Days'!$B:$B)</f>
        <v>270</v>
      </c>
      <c r="AD28" s="14">
        <f>D28/_xlfn.XLOOKUP(AD$5,'OC-Days'!$G:$G,'OC-Days'!$B:$B)</f>
        <v>270</v>
      </c>
      <c r="AE28" s="14">
        <f>E28/_xlfn.XLOOKUP(AE$5,'OC-Days'!$G:$G,'OC-Days'!$B:$B)</f>
        <v>270</v>
      </c>
      <c r="AF28" s="14">
        <f>F28/_xlfn.XLOOKUP(AF$5,'OC-Days'!$G:$G,'OC-Days'!$B:$B)</f>
        <v>270</v>
      </c>
      <c r="AG28" s="14">
        <f>G28/_xlfn.XLOOKUP(AG$5,'OC-Days'!$G:$G,'OC-Days'!$B:$B)</f>
        <v>270</v>
      </c>
      <c r="AH28" s="14">
        <f>H28/_xlfn.XLOOKUP(AH$5,'OC-Days'!$G:$G,'OC-Days'!$B:$B)</f>
        <v>270</v>
      </c>
      <c r="AI28" s="14">
        <f>I28/_xlfn.XLOOKUP(AI$5,'OC-Days'!$G:$G,'OC-Days'!$B:$B)</f>
        <v>270</v>
      </c>
      <c r="AJ28" s="14">
        <f>J28/_xlfn.XLOOKUP(AJ$5,'OC-Days'!$G:$G,'OC-Days'!$B:$B)</f>
        <v>270</v>
      </c>
      <c r="AK28" s="14">
        <f>K28/_xlfn.XLOOKUP(AK$5,'OC-Days'!$G:$G,'OC-Days'!$B:$B)</f>
        <v>270</v>
      </c>
      <c r="AL28" s="14">
        <f>L28/_xlfn.XLOOKUP(AL$5,'OC-Days'!$G:$G,'OC-Days'!$B:$B)</f>
        <v>270</v>
      </c>
      <c r="AM28" s="14">
        <f>M28/_xlfn.XLOOKUP(AM$5,'OC-Days'!$G:$G,'OC-Days'!$B:$B)</f>
        <v>270</v>
      </c>
      <c r="AN28" s="14">
        <f>N28/_xlfn.XLOOKUP(AN$5,'OC-Days'!$G:$G,'OC-Days'!$B:$B)</f>
        <v>270</v>
      </c>
      <c r="AP28" s="14">
        <f>P28/_xlfn.XLOOKUP(AP$5,'OC-Days'!$G:$G,'OC-Days'!$B:$B)</f>
        <v>254</v>
      </c>
      <c r="AQ28" s="14">
        <f>Q28/_xlfn.XLOOKUP(AQ$5,'OC-Days'!$G:$G,'OC-Days'!$B:$B)</f>
        <v>254</v>
      </c>
      <c r="AR28" s="14">
        <f>R28/_xlfn.XLOOKUP(AR$5,'OC-Days'!$G:$G,'OC-Days'!$B:$B)</f>
        <v>254</v>
      </c>
      <c r="AS28" s="14">
        <f>S28/_xlfn.XLOOKUP(AS$5,'OC-Days'!$G:$G,'OC-Days'!$B:$B)</f>
        <v>254</v>
      </c>
      <c r="AT28" s="14">
        <f>T28/_xlfn.XLOOKUP(AT$5,'OC-Days'!$G:$G,'OC-Days'!$B:$B)</f>
        <v>254</v>
      </c>
      <c r="AU28" s="14">
        <f>U28/_xlfn.XLOOKUP(AU$5,'OC-Days'!$G:$G,'OC-Days'!$B:$B)</f>
        <v>254</v>
      </c>
      <c r="AV28" s="14">
        <f>V28/_xlfn.XLOOKUP(AV$5,'OC-Days'!$G:$G,'OC-Days'!$B:$B)</f>
        <v>254</v>
      </c>
      <c r="AW28" s="14">
        <f>W28/_xlfn.XLOOKUP(AW$5,'OC-Days'!$G:$G,'OC-Days'!$B:$B)</f>
        <v>254</v>
      </c>
      <c r="AX28" s="14">
        <f>X28/_xlfn.XLOOKUP(AX$5,'OC-Days'!$G:$G,'OC-Days'!$B:$B)</f>
        <v>254</v>
      </c>
      <c r="AY28" s="14">
        <f>Y28/_xlfn.XLOOKUP(AY$5,'OC-Days'!$G:$G,'OC-Days'!$B:$B)</f>
        <v>254</v>
      </c>
      <c r="AZ28" s="14">
        <f>Z28/_xlfn.XLOOKUP(AZ$5,'OC-Days'!$G:$G,'OC-Days'!$B:$B)</f>
        <v>254</v>
      </c>
      <c r="BA28" s="14">
        <f>AA28/_xlfn.XLOOKUP(BA$5,'OC-Days'!$G:$G,'OC-Days'!$B:$B)</f>
        <v>254</v>
      </c>
      <c r="BC28" s="33">
        <f>_xlfn.XLOOKUP(BC$5,'OC-Days'!$G:$G,'OC-Days'!$F:$F)</f>
        <v>45658</v>
      </c>
      <c r="BD28" s="34" t="str">
        <f>IF(AQ28=AP28,"na",_xlfn.XLOOKUP(BD$5,'OC-Days'!$G:$G,'OC-Days'!$F:$F))</f>
        <v>na</v>
      </c>
      <c r="BE28" s="34" t="str">
        <f>IF(AR28=AQ28,"na",_xlfn.XLOOKUP(BE$5,'OC-Days'!$G:$G,'OC-Days'!$F:$F))</f>
        <v>na</v>
      </c>
      <c r="BF28" s="34" t="str">
        <f>IF(AS28=AR28,"na",_xlfn.XLOOKUP(BF$5,'OC-Days'!$G:$G,'OC-Days'!$F:$F))</f>
        <v>na</v>
      </c>
      <c r="BG28" s="34" t="str">
        <f>IF(AT28=AS28,"na",_xlfn.XLOOKUP(BG$5,'OC-Days'!$G:$G,'OC-Days'!$F:$F))</f>
        <v>na</v>
      </c>
      <c r="BH28" s="34" t="str">
        <f>IF(AU28=AT28,"na",_xlfn.XLOOKUP(BH$5,'OC-Days'!$G:$G,'OC-Days'!$F:$F))</f>
        <v>na</v>
      </c>
      <c r="BI28" s="34" t="str">
        <f>IF(AV28=AU28,"na",_xlfn.XLOOKUP(BI$5,'OC-Days'!$G:$G,'OC-Days'!$F:$F))</f>
        <v>na</v>
      </c>
      <c r="BJ28" s="34" t="str">
        <f>IF(AW28=AV28,"na",_xlfn.XLOOKUP(BJ$5,'OC-Days'!$G:$G,'OC-Days'!$F:$F))</f>
        <v>na</v>
      </c>
      <c r="BK28" s="34" t="str">
        <f>IF(AX28=AW28,"na",_xlfn.XLOOKUP(BK$5,'OC-Days'!$G:$G,'OC-Days'!$F:$F))</f>
        <v>na</v>
      </c>
      <c r="BL28" s="34" t="str">
        <f>IF(AY28=AX28,"na",_xlfn.XLOOKUP(BL$5,'OC-Days'!$G:$G,'OC-Days'!$F:$F))</f>
        <v>na</v>
      </c>
      <c r="BM28" s="34" t="str">
        <f>IF(AZ28=AY28,"na",_xlfn.XLOOKUP(BM$5,'OC-Days'!$G:$G,'OC-Days'!$F:$F))</f>
        <v>na</v>
      </c>
      <c r="BN28" s="34" t="str">
        <f>IF(BA28=AZ28,"na",_xlfn.XLOOKUP(BN$5,'OC-Days'!$G:$G,'OC-Days'!$F:$F))</f>
        <v>na</v>
      </c>
      <c r="BP28" s="36" t="str">
        <f t="shared" si="35"/>
        <v>na</v>
      </c>
      <c r="BQ28" s="36" t="str">
        <f t="shared" si="36"/>
        <v>na</v>
      </c>
      <c r="BR28" s="36" t="str">
        <f t="shared" si="37"/>
        <v>na</v>
      </c>
      <c r="BS28" s="36" t="str">
        <f t="shared" si="38"/>
        <v>na</v>
      </c>
      <c r="BT28" s="36" t="str">
        <f t="shared" si="39"/>
        <v>na</v>
      </c>
      <c r="BU28" s="36" t="str">
        <f t="shared" si="40"/>
        <v>na</v>
      </c>
      <c r="BV28" s="36" t="str">
        <f t="shared" si="41"/>
        <v>na</v>
      </c>
      <c r="BW28" s="36" t="str">
        <f t="shared" si="42"/>
        <v>na</v>
      </c>
      <c r="BX28" s="36" t="str">
        <f t="shared" si="43"/>
        <v>na</v>
      </c>
      <c r="BY28" s="36" t="str">
        <f t="shared" si="44"/>
        <v>na</v>
      </c>
      <c r="BZ28" s="36" t="str">
        <f t="shared" si="45"/>
        <v>na</v>
      </c>
      <c r="CA28" s="43">
        <f t="shared" si="46"/>
        <v>46022</v>
      </c>
      <c r="CC28" s="8">
        <f>COUNT($BC28:BC28)</f>
        <v>1</v>
      </c>
      <c r="CD28" s="8">
        <f>COUNT($BC28:BD28)</f>
        <v>1</v>
      </c>
      <c r="CE28" s="8">
        <f>COUNT($BC28:BE28)</f>
        <v>1</v>
      </c>
      <c r="CF28" s="8">
        <f>COUNT($BC28:BF28)</f>
        <v>1</v>
      </c>
      <c r="CG28" s="8">
        <f>COUNT($BC28:BG28)</f>
        <v>1</v>
      </c>
      <c r="CH28" s="8">
        <f>COUNT($BC28:BH28)</f>
        <v>1</v>
      </c>
      <c r="CI28" s="8">
        <f>COUNT($BC28:BI28)</f>
        <v>1</v>
      </c>
      <c r="CJ28" s="8">
        <f>COUNT($BC28:BJ28)</f>
        <v>1</v>
      </c>
      <c r="CK28" s="8">
        <f>COUNT($BC28:BK28)</f>
        <v>1</v>
      </c>
      <c r="CL28" s="8">
        <f>COUNT($BC28:BL28)</f>
        <v>1</v>
      </c>
      <c r="CM28" s="8">
        <f>COUNT($BC28:BM28)</f>
        <v>1</v>
      </c>
      <c r="CN28" s="8">
        <f>COUNT($BC28:BN28)</f>
        <v>1</v>
      </c>
      <c r="CO28" s="8"/>
      <c r="CP28" s="8">
        <f>COUNT($BP28:BP28)</f>
        <v>0</v>
      </c>
      <c r="CQ28" s="8">
        <f>COUNT($BP28:BQ28)</f>
        <v>0</v>
      </c>
      <c r="CR28" s="8">
        <f>COUNT($BP28:BR28)</f>
        <v>0</v>
      </c>
      <c r="CS28" s="8">
        <f>COUNT($BP28:BS28)</f>
        <v>0</v>
      </c>
      <c r="CT28" s="8">
        <f>COUNT($BP28:BT28)</f>
        <v>0</v>
      </c>
      <c r="CU28" s="8">
        <f>COUNT($BP28:BU28)</f>
        <v>0</v>
      </c>
      <c r="CV28" s="8">
        <f>COUNT($BP28:BV28)</f>
        <v>0</v>
      </c>
      <c r="CW28" s="8">
        <f>COUNT($BP28:BW28)</f>
        <v>0</v>
      </c>
      <c r="CX28" s="8">
        <f>COUNT($BP28:BX28)</f>
        <v>0</v>
      </c>
      <c r="CY28" s="8">
        <f>COUNT($BP28:BY28)</f>
        <v>0</v>
      </c>
      <c r="CZ28" s="8">
        <f>COUNT($BP28:BZ28)</f>
        <v>0</v>
      </c>
      <c r="DA28" s="8">
        <f>COUNT($BP28:CA28)</f>
        <v>1</v>
      </c>
      <c r="DC28">
        <f t="shared" si="47"/>
        <v>324</v>
      </c>
      <c r="DD28" t="str">
        <f t="shared" si="48"/>
        <v>Rollup</v>
      </c>
      <c r="DE28" t="str">
        <f t="shared" si="49"/>
        <v>324-Rollup</v>
      </c>
      <c r="DG28">
        <f t="shared" si="50"/>
        <v>1</v>
      </c>
      <c r="DH28">
        <f t="shared" si="51"/>
        <v>1</v>
      </c>
    </row>
    <row r="29" spans="2:161" x14ac:dyDescent="0.25">
      <c r="B29" s="10" t="s">
        <v>119</v>
      </c>
      <c r="C29" s="8">
        <v>403</v>
      </c>
      <c r="D29" s="8">
        <v>364</v>
      </c>
      <c r="E29" s="8">
        <v>403</v>
      </c>
      <c r="F29" s="8">
        <v>390</v>
      </c>
      <c r="G29" s="8">
        <v>403</v>
      </c>
      <c r="H29" s="8">
        <v>390</v>
      </c>
      <c r="I29" s="8">
        <v>403</v>
      </c>
      <c r="J29" s="8">
        <v>403</v>
      </c>
      <c r="K29" s="8">
        <v>390</v>
      </c>
      <c r="L29" s="8">
        <v>403</v>
      </c>
      <c r="M29" s="8">
        <v>390</v>
      </c>
      <c r="N29" s="8">
        <v>403</v>
      </c>
      <c r="O29" s="8"/>
      <c r="P29" s="8">
        <v>372</v>
      </c>
      <c r="Q29" s="8">
        <v>336</v>
      </c>
      <c r="R29" s="8">
        <v>372</v>
      </c>
      <c r="S29" s="8">
        <v>360</v>
      </c>
      <c r="T29" s="8">
        <v>372</v>
      </c>
      <c r="U29" s="8">
        <v>360</v>
      </c>
      <c r="V29" s="8">
        <v>372</v>
      </c>
      <c r="W29" s="8">
        <v>372</v>
      </c>
      <c r="X29" s="8">
        <v>360</v>
      </c>
      <c r="Y29" s="8">
        <v>372</v>
      </c>
      <c r="Z29" s="8">
        <v>360</v>
      </c>
      <c r="AA29" s="8">
        <v>372</v>
      </c>
      <c r="AC29" s="14">
        <f>C29/_xlfn.XLOOKUP(AC$5,'OC-Days'!$G:$G,'OC-Days'!$B:$B)</f>
        <v>13</v>
      </c>
      <c r="AD29" s="14">
        <f>D29/_xlfn.XLOOKUP(AD$5,'OC-Days'!$G:$G,'OC-Days'!$B:$B)</f>
        <v>13</v>
      </c>
      <c r="AE29" s="14">
        <f>E29/_xlfn.XLOOKUP(AE$5,'OC-Days'!$G:$G,'OC-Days'!$B:$B)</f>
        <v>13</v>
      </c>
      <c r="AF29" s="14">
        <f>F29/_xlfn.XLOOKUP(AF$5,'OC-Days'!$G:$G,'OC-Days'!$B:$B)</f>
        <v>13</v>
      </c>
      <c r="AG29" s="14">
        <f>G29/_xlfn.XLOOKUP(AG$5,'OC-Days'!$G:$G,'OC-Days'!$B:$B)</f>
        <v>13</v>
      </c>
      <c r="AH29" s="14">
        <f>H29/_xlfn.XLOOKUP(AH$5,'OC-Days'!$G:$G,'OC-Days'!$B:$B)</f>
        <v>13</v>
      </c>
      <c r="AI29" s="14">
        <f>I29/_xlfn.XLOOKUP(AI$5,'OC-Days'!$G:$G,'OC-Days'!$B:$B)</f>
        <v>13</v>
      </c>
      <c r="AJ29" s="14">
        <f>J29/_xlfn.XLOOKUP(AJ$5,'OC-Days'!$G:$G,'OC-Days'!$B:$B)</f>
        <v>13</v>
      </c>
      <c r="AK29" s="14">
        <f>K29/_xlfn.XLOOKUP(AK$5,'OC-Days'!$G:$G,'OC-Days'!$B:$B)</f>
        <v>13</v>
      </c>
      <c r="AL29" s="14">
        <f>L29/_xlfn.XLOOKUP(AL$5,'OC-Days'!$G:$G,'OC-Days'!$B:$B)</f>
        <v>13</v>
      </c>
      <c r="AM29" s="14">
        <f>M29/_xlfn.XLOOKUP(AM$5,'OC-Days'!$G:$G,'OC-Days'!$B:$B)</f>
        <v>13</v>
      </c>
      <c r="AN29" s="14">
        <f>N29/_xlfn.XLOOKUP(AN$5,'OC-Days'!$G:$G,'OC-Days'!$B:$B)</f>
        <v>13</v>
      </c>
      <c r="AP29" s="14">
        <f>P29/_xlfn.XLOOKUP(AP$5,'OC-Days'!$G:$G,'OC-Days'!$B:$B)</f>
        <v>12</v>
      </c>
      <c r="AQ29" s="14">
        <f>Q29/_xlfn.XLOOKUP(AQ$5,'OC-Days'!$G:$G,'OC-Days'!$B:$B)</f>
        <v>12</v>
      </c>
      <c r="AR29" s="14">
        <f>R29/_xlfn.XLOOKUP(AR$5,'OC-Days'!$G:$G,'OC-Days'!$B:$B)</f>
        <v>12</v>
      </c>
      <c r="AS29" s="14">
        <f>S29/_xlfn.XLOOKUP(AS$5,'OC-Days'!$G:$G,'OC-Days'!$B:$B)</f>
        <v>12</v>
      </c>
      <c r="AT29" s="14">
        <f>T29/_xlfn.XLOOKUP(AT$5,'OC-Days'!$G:$G,'OC-Days'!$B:$B)</f>
        <v>12</v>
      </c>
      <c r="AU29" s="14">
        <f>U29/_xlfn.XLOOKUP(AU$5,'OC-Days'!$G:$G,'OC-Days'!$B:$B)</f>
        <v>12</v>
      </c>
      <c r="AV29" s="14">
        <f>V29/_xlfn.XLOOKUP(AV$5,'OC-Days'!$G:$G,'OC-Days'!$B:$B)</f>
        <v>12</v>
      </c>
      <c r="AW29" s="14">
        <f>W29/_xlfn.XLOOKUP(AW$5,'OC-Days'!$G:$G,'OC-Days'!$B:$B)</f>
        <v>12</v>
      </c>
      <c r="AX29" s="14">
        <f>X29/_xlfn.XLOOKUP(AX$5,'OC-Days'!$G:$G,'OC-Days'!$B:$B)</f>
        <v>12</v>
      </c>
      <c r="AY29" s="14">
        <f>Y29/_xlfn.XLOOKUP(AY$5,'OC-Days'!$G:$G,'OC-Days'!$B:$B)</f>
        <v>12</v>
      </c>
      <c r="AZ29" s="14">
        <f>Z29/_xlfn.XLOOKUP(AZ$5,'OC-Days'!$G:$G,'OC-Days'!$B:$B)</f>
        <v>12</v>
      </c>
      <c r="BA29" s="14">
        <f>AA29/_xlfn.XLOOKUP(BA$5,'OC-Days'!$G:$G,'OC-Days'!$B:$B)</f>
        <v>12</v>
      </c>
      <c r="BC29" s="33">
        <f>_xlfn.XLOOKUP(BC$5,'OC-Days'!$G:$G,'OC-Days'!$F:$F)</f>
        <v>45658</v>
      </c>
      <c r="BD29" s="34" t="str">
        <f>IF(AQ29=AP29,"na",_xlfn.XLOOKUP(BD$5,'OC-Days'!$G:$G,'OC-Days'!$F:$F))</f>
        <v>na</v>
      </c>
      <c r="BE29" s="34" t="str">
        <f>IF(AR29=AQ29,"na",_xlfn.XLOOKUP(BE$5,'OC-Days'!$G:$G,'OC-Days'!$F:$F))</f>
        <v>na</v>
      </c>
      <c r="BF29" s="34" t="str">
        <f>IF(AS29=AR29,"na",_xlfn.XLOOKUP(BF$5,'OC-Days'!$G:$G,'OC-Days'!$F:$F))</f>
        <v>na</v>
      </c>
      <c r="BG29" s="34" t="str">
        <f>IF(AT29=AS29,"na",_xlfn.XLOOKUP(BG$5,'OC-Days'!$G:$G,'OC-Days'!$F:$F))</f>
        <v>na</v>
      </c>
      <c r="BH29" s="34" t="str">
        <f>IF(AU29=AT29,"na",_xlfn.XLOOKUP(BH$5,'OC-Days'!$G:$G,'OC-Days'!$F:$F))</f>
        <v>na</v>
      </c>
      <c r="BI29" s="34" t="str">
        <f>IF(AV29=AU29,"na",_xlfn.XLOOKUP(BI$5,'OC-Days'!$G:$G,'OC-Days'!$F:$F))</f>
        <v>na</v>
      </c>
      <c r="BJ29" s="34" t="str">
        <f>IF(AW29=AV29,"na",_xlfn.XLOOKUP(BJ$5,'OC-Days'!$G:$G,'OC-Days'!$F:$F))</f>
        <v>na</v>
      </c>
      <c r="BK29" s="34" t="str">
        <f>IF(AX29=AW29,"na",_xlfn.XLOOKUP(BK$5,'OC-Days'!$G:$G,'OC-Days'!$F:$F))</f>
        <v>na</v>
      </c>
      <c r="BL29" s="34" t="str">
        <f>IF(AY29=AX29,"na",_xlfn.XLOOKUP(BL$5,'OC-Days'!$G:$G,'OC-Days'!$F:$F))</f>
        <v>na</v>
      </c>
      <c r="BM29" s="34" t="str">
        <f>IF(AZ29=AY29,"na",_xlfn.XLOOKUP(BM$5,'OC-Days'!$G:$G,'OC-Days'!$F:$F))</f>
        <v>na</v>
      </c>
      <c r="BN29" s="34" t="str">
        <f>IF(BA29=AZ29,"na",_xlfn.XLOOKUP(BN$5,'OC-Days'!$G:$G,'OC-Days'!$F:$F))</f>
        <v>na</v>
      </c>
      <c r="BP29" s="36" t="str">
        <f t="shared" si="35"/>
        <v>na</v>
      </c>
      <c r="BQ29" s="36" t="str">
        <f t="shared" si="36"/>
        <v>na</v>
      </c>
      <c r="BR29" s="36" t="str">
        <f t="shared" si="37"/>
        <v>na</v>
      </c>
      <c r="BS29" s="36" t="str">
        <f t="shared" si="38"/>
        <v>na</v>
      </c>
      <c r="BT29" s="36" t="str">
        <f t="shared" si="39"/>
        <v>na</v>
      </c>
      <c r="BU29" s="36" t="str">
        <f t="shared" si="40"/>
        <v>na</v>
      </c>
      <c r="BV29" s="36" t="str">
        <f t="shared" si="41"/>
        <v>na</v>
      </c>
      <c r="BW29" s="36" t="str">
        <f t="shared" si="42"/>
        <v>na</v>
      </c>
      <c r="BX29" s="36" t="str">
        <f t="shared" si="43"/>
        <v>na</v>
      </c>
      <c r="BY29" s="36" t="str">
        <f t="shared" si="44"/>
        <v>na</v>
      </c>
      <c r="BZ29" s="36" t="str">
        <f t="shared" si="45"/>
        <v>na</v>
      </c>
      <c r="CA29" s="43">
        <f t="shared" si="46"/>
        <v>46022</v>
      </c>
      <c r="CC29" s="8">
        <f>COUNT($BC29:BC29)</f>
        <v>1</v>
      </c>
      <c r="CD29" s="8">
        <f>COUNT($BC29:BD29)</f>
        <v>1</v>
      </c>
      <c r="CE29" s="8">
        <f>COUNT($BC29:BE29)</f>
        <v>1</v>
      </c>
      <c r="CF29" s="8">
        <f>COUNT($BC29:BF29)</f>
        <v>1</v>
      </c>
      <c r="CG29" s="8">
        <f>COUNT($BC29:BG29)</f>
        <v>1</v>
      </c>
      <c r="CH29" s="8">
        <f>COUNT($BC29:BH29)</f>
        <v>1</v>
      </c>
      <c r="CI29" s="8">
        <f>COUNT($BC29:BI29)</f>
        <v>1</v>
      </c>
      <c r="CJ29" s="8">
        <f>COUNT($BC29:BJ29)</f>
        <v>1</v>
      </c>
      <c r="CK29" s="8">
        <f>COUNT($BC29:BK29)</f>
        <v>1</v>
      </c>
      <c r="CL29" s="8">
        <f>COUNT($BC29:BL29)</f>
        <v>1</v>
      </c>
      <c r="CM29" s="8">
        <f>COUNT($BC29:BM29)</f>
        <v>1</v>
      </c>
      <c r="CN29" s="8">
        <f>COUNT($BC29:BN29)</f>
        <v>1</v>
      </c>
      <c r="CO29" s="8"/>
      <c r="CP29" s="8">
        <f>COUNT($BP29:BP29)</f>
        <v>0</v>
      </c>
      <c r="CQ29" s="8">
        <f>COUNT($BP29:BQ29)</f>
        <v>0</v>
      </c>
      <c r="CR29" s="8">
        <f>COUNT($BP29:BR29)</f>
        <v>0</v>
      </c>
      <c r="CS29" s="8">
        <f>COUNT($BP29:BS29)</f>
        <v>0</v>
      </c>
      <c r="CT29" s="8">
        <f>COUNT($BP29:BT29)</f>
        <v>0</v>
      </c>
      <c r="CU29" s="8">
        <f>COUNT($BP29:BU29)</f>
        <v>0</v>
      </c>
      <c r="CV29" s="8">
        <f>COUNT($BP29:BV29)</f>
        <v>0</v>
      </c>
      <c r="CW29" s="8">
        <f>COUNT($BP29:BW29)</f>
        <v>0</v>
      </c>
      <c r="CX29" s="8">
        <f>COUNT($BP29:BX29)</f>
        <v>0</v>
      </c>
      <c r="CY29" s="8">
        <f>COUNT($BP29:BY29)</f>
        <v>0</v>
      </c>
      <c r="CZ29" s="8">
        <f>COUNT($BP29:BZ29)</f>
        <v>0</v>
      </c>
      <c r="DA29" s="8">
        <f>COUNT($BP29:CA29)</f>
        <v>1</v>
      </c>
      <c r="DC29">
        <f t="shared" si="47"/>
        <v>350</v>
      </c>
      <c r="DD29">
        <f t="shared" si="48"/>
        <v>21</v>
      </c>
      <c r="DE29" t="str">
        <f t="shared" si="49"/>
        <v>350-21</v>
      </c>
      <c r="DG29">
        <f t="shared" si="50"/>
        <v>1</v>
      </c>
      <c r="DH29">
        <f t="shared" si="51"/>
        <v>1</v>
      </c>
      <c r="DJ29" s="44" cm="1">
        <f t="array" ref="DJ29">IF(DJ$5&lt;=$DG29,INDEX($BC29:$BN29,1,_xlfn.XMATCH(DJ$5,$CC29:$CN29)),"na")</f>
        <v>45658</v>
      </c>
      <c r="DK29" s="45" cm="1">
        <f t="array" ref="DK29">IF(DK$5&lt;=$DH29,INDEX($BP29:$CA29,1,_xlfn.XMATCH(DK$5,$CP29:$DA29)),"na")</f>
        <v>46022</v>
      </c>
      <c r="DL29" s="46" cm="1">
        <f t="array" ref="DL29">IF(DL$5&lt;=$DG29,INDEX($AC29:$AN29,1,_xlfn.XMATCH(DL$5,$CC29:$CN29)),"na")</f>
        <v>13</v>
      </c>
      <c r="DM29" s="47" cm="1">
        <f t="array" ref="DM29">IF(DM$5&lt;=$DG29,INDEX($AP29:$BA29,1,_xlfn.XMATCH(DM$5,$CC29:$CN29)),"na")</f>
        <v>12</v>
      </c>
      <c r="DN29" s="44" t="str" cm="1">
        <f t="array" ref="DN29">IF(DN$5&lt;=$DG29,INDEX($BC29:$BN29,1,_xlfn.XMATCH(DN$5,$CC29:$CN29)),"na")</f>
        <v>na</v>
      </c>
      <c r="DO29" s="45" t="str" cm="1">
        <f t="array" ref="DO29">IF(DO$5&lt;=$DH29,INDEX($BP29:$CA29,1,_xlfn.XMATCH(DO$5,$CP29:$DA29)),"na")</f>
        <v>na</v>
      </c>
      <c r="DP29" s="46" t="str" cm="1">
        <f t="array" ref="DP29">IF(DP$5&lt;=$DG29,INDEX($AC29:$AN29,1,_xlfn.XMATCH(DP$5,$CC29:$CN29)),"na")</f>
        <v>na</v>
      </c>
      <c r="DQ29" s="47" t="str" cm="1">
        <f t="array" ref="DQ29">IF(DQ$5&lt;=$DG29,INDEX($AP29:$BA29,1,_xlfn.XMATCH(DQ$5,$CC29:$CN29)),"na")</f>
        <v>na</v>
      </c>
      <c r="DR29" s="44" t="str" cm="1">
        <f t="array" ref="DR29">IF(DR$5&lt;=$DG29,INDEX($BC29:$BN29,1,_xlfn.XMATCH(DR$5,$CC29:$CN29)),"na")</f>
        <v>na</v>
      </c>
      <c r="DS29" s="45" t="str" cm="1">
        <f t="array" ref="DS29">IF(DS$5&lt;=$DH29,INDEX($BP29:$CA29,1,_xlfn.XMATCH(DS$5,$CP29:$DA29)),"na")</f>
        <v>na</v>
      </c>
      <c r="DT29" s="46" t="str" cm="1">
        <f t="array" ref="DT29">IF(DT$5&lt;=$DG29,INDEX($AC29:$AN29,1,_xlfn.XMATCH(DT$5,$CC29:$CN29)),"na")</f>
        <v>na</v>
      </c>
      <c r="DU29" s="47" t="str" cm="1">
        <f t="array" ref="DU29">IF(DU$5&lt;=$DG29,INDEX($AP29:$BA29,1,_xlfn.XMATCH(DU$5,$CC29:$CN29)),"na")</f>
        <v>na</v>
      </c>
      <c r="DV29" s="44" t="str" cm="1">
        <f t="array" ref="DV29">IF(DV$5&lt;=$DG29,INDEX($BC29:$BN29,1,_xlfn.XMATCH(DV$5,$CC29:$CN29)),"na")</f>
        <v>na</v>
      </c>
      <c r="DW29" s="45" t="str" cm="1">
        <f t="array" ref="DW29">IF(DW$5&lt;=$DH29,INDEX($BP29:$CA29,1,_xlfn.XMATCH(DW$5,$CP29:$DA29)),"na")</f>
        <v>na</v>
      </c>
      <c r="DX29" s="46" t="str" cm="1">
        <f t="array" ref="DX29">IF(DX$5&lt;=$DG29,INDEX($AC29:$AN29,1,_xlfn.XMATCH(DX$5,$CC29:$CN29)),"na")</f>
        <v>na</v>
      </c>
      <c r="DY29" s="47" t="str" cm="1">
        <f t="array" ref="DY29">IF(DY$5&lt;=$DG29,INDEX($AP29:$BA29,1,_xlfn.XMATCH(DY$5,$CC29:$CN29)),"na")</f>
        <v>na</v>
      </c>
      <c r="DZ29" s="44" t="str" cm="1">
        <f t="array" ref="DZ29">IF(DZ$5&lt;=$DG29,INDEX($BC29:$BN29,1,_xlfn.XMATCH(DZ$5,$CC29:$CN29)),"na")</f>
        <v>na</v>
      </c>
      <c r="EA29" s="45" t="str" cm="1">
        <f t="array" ref="EA29">IF(EA$5&lt;=$DH29,INDEX($BP29:$CA29,1,_xlfn.XMATCH(EA$5,$CP29:$DA29)),"na")</f>
        <v>na</v>
      </c>
      <c r="EB29" s="46" t="str" cm="1">
        <f t="array" ref="EB29">IF(EB$5&lt;=$DG29,INDEX($AC29:$AN29,1,_xlfn.XMATCH(EB$5,$CC29:$CN29)),"na")</f>
        <v>na</v>
      </c>
      <c r="EC29" s="47" t="str" cm="1">
        <f t="array" ref="EC29">IF(EC$5&lt;=$DG29,INDEX($AP29:$BA29,1,_xlfn.XMATCH(EC$5,$CC29:$CN29)),"na")</f>
        <v>na</v>
      </c>
      <c r="ED29" s="44" t="str" cm="1">
        <f t="array" ref="ED29">IF(ED$5&lt;=$DG29,INDEX($BC29:$BN29,1,_xlfn.XMATCH(ED$5,$CC29:$CN29)),"na")</f>
        <v>na</v>
      </c>
      <c r="EE29" s="45" t="str" cm="1">
        <f t="array" ref="EE29">IF(EE$5&lt;=$DH29,INDEX($BP29:$CA29,1,_xlfn.XMATCH(EE$5,$CP29:$DA29)),"na")</f>
        <v>na</v>
      </c>
      <c r="EF29" s="46" t="str" cm="1">
        <f t="array" ref="EF29">IF(EF$5&lt;=$DG29,INDEX($AC29:$AN29,1,_xlfn.XMATCH(EF$5,$CC29:$CN29)),"na")</f>
        <v>na</v>
      </c>
      <c r="EG29" s="47" t="str" cm="1">
        <f t="array" ref="EG29">IF(EG$5&lt;=$DG29,INDEX($AP29:$BA29,1,_xlfn.XMATCH(EG$5,$CC29:$CN29)),"na")</f>
        <v>na</v>
      </c>
      <c r="EH29" s="44" t="str" cm="1">
        <f t="array" ref="EH29">IF(EH$5&lt;=$DG29,INDEX($BC29:$BN29,1,_xlfn.XMATCH(EH$5,$CC29:$CN29)),"na")</f>
        <v>na</v>
      </c>
      <c r="EI29" s="45" t="str" cm="1">
        <f t="array" ref="EI29">IF(EI$5&lt;=$DH29,INDEX($BP29:$CA29,1,_xlfn.XMATCH(EI$5,$CP29:$DA29)),"na")</f>
        <v>na</v>
      </c>
      <c r="EJ29" s="46" t="str" cm="1">
        <f t="array" ref="EJ29">IF(EJ$5&lt;=$DG29,INDEX($AC29:$AN29,1,_xlfn.XMATCH(EJ$5,$CC29:$CN29)),"na")</f>
        <v>na</v>
      </c>
      <c r="EK29" s="47" t="str" cm="1">
        <f t="array" ref="EK29">IF(EK$5&lt;=$DG29,INDEX($AP29:$BA29,1,_xlfn.XMATCH(EK$5,$CC29:$CN29)),"na")</f>
        <v>na</v>
      </c>
      <c r="EL29" s="44" t="str" cm="1">
        <f t="array" ref="EL29">IF(EL$5&lt;=$DG29,INDEX($BC29:$BN29,1,_xlfn.XMATCH(EL$5,$CC29:$CN29)),"na")</f>
        <v>na</v>
      </c>
      <c r="EM29" s="45" t="str" cm="1">
        <f t="array" ref="EM29">IF(EM$5&lt;=$DH29,INDEX($BP29:$CA29,1,_xlfn.XMATCH(EM$5,$CP29:$DA29)),"na")</f>
        <v>na</v>
      </c>
      <c r="EN29" s="46" t="str" cm="1">
        <f t="array" ref="EN29">IF(EN$5&lt;=$DG29,INDEX($AC29:$AN29,1,_xlfn.XMATCH(EN$5,$CC29:$CN29)),"na")</f>
        <v>na</v>
      </c>
      <c r="EO29" s="47" t="str" cm="1">
        <f t="array" ref="EO29">IF(EO$5&lt;=$DG29,INDEX($AP29:$BA29,1,_xlfn.XMATCH(EO$5,$CC29:$CN29)),"na")</f>
        <v>na</v>
      </c>
      <c r="EP29" s="44" t="str" cm="1">
        <f t="array" ref="EP29">IF(EP$5&lt;=$DG29,INDEX($BC29:$BN29,1,_xlfn.XMATCH(EP$5,$CC29:$CN29)),"na")</f>
        <v>na</v>
      </c>
      <c r="EQ29" s="45" t="str" cm="1">
        <f t="array" ref="EQ29">IF(EQ$5&lt;=$DH29,INDEX($BP29:$CA29,1,_xlfn.XMATCH(EQ$5,$CP29:$DA29)),"na")</f>
        <v>na</v>
      </c>
      <c r="ER29" s="46" t="str" cm="1">
        <f t="array" ref="ER29">IF(ER$5&lt;=$DG29,INDEX($AC29:$AN29,1,_xlfn.XMATCH(ER$5,$CC29:$CN29)),"na")</f>
        <v>na</v>
      </c>
      <c r="ES29" s="47" t="str" cm="1">
        <f t="array" ref="ES29">IF(ES$5&lt;=$DG29,INDEX($AP29:$BA29,1,_xlfn.XMATCH(ES$5,$CC29:$CN29)),"na")</f>
        <v>na</v>
      </c>
      <c r="ET29" s="44" t="str" cm="1">
        <f t="array" ref="ET29">IF(ET$5&lt;=$DG29,INDEX($BC29:$BN29,1,_xlfn.XMATCH(ET$5,$CC29:$CN29)),"na")</f>
        <v>na</v>
      </c>
      <c r="EU29" s="45" t="str" cm="1">
        <f t="array" ref="EU29">IF(EU$5&lt;=$DH29,INDEX($BP29:$CA29,1,_xlfn.XMATCH(EU$5,$CP29:$DA29)),"na")</f>
        <v>na</v>
      </c>
      <c r="EV29" s="46" t="str" cm="1">
        <f t="array" ref="EV29">IF(EV$5&lt;=$DG29,INDEX($AC29:$AN29,1,_xlfn.XMATCH(EV$5,$CC29:$CN29)),"na")</f>
        <v>na</v>
      </c>
      <c r="EW29" s="47" t="str" cm="1">
        <f t="array" ref="EW29">IF(EW$5&lt;=$DG29,INDEX($AP29:$BA29,1,_xlfn.XMATCH(EW$5,$CC29:$CN29)),"na")</f>
        <v>na</v>
      </c>
      <c r="EX29" s="44" t="str" cm="1">
        <f t="array" ref="EX29">IF(EX$5&lt;=$DG29,INDEX($BC29:$BN29,1,_xlfn.XMATCH(EX$5,$CC29:$CN29)),"na")</f>
        <v>na</v>
      </c>
      <c r="EY29" s="45" t="str" cm="1">
        <f t="array" ref="EY29">IF(EY$5&lt;=$DH29,INDEX($BP29:$CA29,1,_xlfn.XMATCH(EY$5,$CP29:$DA29)),"na")</f>
        <v>na</v>
      </c>
      <c r="EZ29" s="46" t="str" cm="1">
        <f t="array" ref="EZ29">IF(EZ$5&lt;=$DG29,INDEX($AC29:$AN29,1,_xlfn.XMATCH(EZ$5,$CC29:$CN29)),"na")</f>
        <v>na</v>
      </c>
      <c r="FA29" s="47" t="str" cm="1">
        <f t="array" ref="FA29">IF(FA$5&lt;=$DG29,INDEX($AP29:$BA29,1,_xlfn.XMATCH(FA$5,$CC29:$CN29)),"na")</f>
        <v>na</v>
      </c>
      <c r="FB29" s="44" t="str" cm="1">
        <f t="array" ref="FB29">IF(FB$5&lt;=$DG29,INDEX($BC29:$BN29,1,_xlfn.XMATCH(FB$5,$CC29:$CN29)),"na")</f>
        <v>na</v>
      </c>
      <c r="FC29" s="45" t="str" cm="1">
        <f t="array" ref="FC29">IF(FC$5&lt;=$DH29,INDEX($BP29:$CA29,1,_xlfn.XMATCH(FC$5,$CP29:$DA29)),"na")</f>
        <v>na</v>
      </c>
      <c r="FD29" s="46" t="str" cm="1">
        <f t="array" ref="FD29">IF(FD$5&lt;=$DG29,INDEX($AC29:$AN29,1,_xlfn.XMATCH(FD$5,$CC29:$CN29)),"na")</f>
        <v>na</v>
      </c>
      <c r="FE29" s="47" t="str" cm="1">
        <f t="array" ref="FE29">IF(FE$5&lt;=$DG29,INDEX($AP29:$BA29,1,_xlfn.XMATCH(FE$5,$CC29:$CN29)),"na")</f>
        <v>na</v>
      </c>
    </row>
    <row r="30" spans="2:161" x14ac:dyDescent="0.25">
      <c r="B30" s="10" t="s">
        <v>120</v>
      </c>
      <c r="C30" s="8">
        <v>2170</v>
      </c>
      <c r="D30" s="8">
        <v>1960</v>
      </c>
      <c r="E30" s="8">
        <v>2170</v>
      </c>
      <c r="F30" s="8">
        <v>2100</v>
      </c>
      <c r="G30" s="8">
        <v>2170</v>
      </c>
      <c r="H30" s="8">
        <v>2100</v>
      </c>
      <c r="I30" s="8">
        <v>2170</v>
      </c>
      <c r="J30" s="8">
        <v>2170</v>
      </c>
      <c r="K30" s="8">
        <v>2100</v>
      </c>
      <c r="L30" s="8">
        <v>2170</v>
      </c>
      <c r="M30" s="8">
        <v>2100</v>
      </c>
      <c r="N30" s="8">
        <v>2170</v>
      </c>
      <c r="O30" s="8"/>
      <c r="P30" s="8">
        <v>2046</v>
      </c>
      <c r="Q30" s="8">
        <v>1848</v>
      </c>
      <c r="R30" s="8">
        <v>2046</v>
      </c>
      <c r="S30" s="8">
        <v>1980</v>
      </c>
      <c r="T30" s="8">
        <v>2046</v>
      </c>
      <c r="U30" s="8">
        <v>1980</v>
      </c>
      <c r="V30" s="8">
        <v>2046</v>
      </c>
      <c r="W30" s="8">
        <v>2046</v>
      </c>
      <c r="X30" s="8">
        <v>1980</v>
      </c>
      <c r="Y30" s="8">
        <v>2046</v>
      </c>
      <c r="Z30" s="8">
        <v>1980</v>
      </c>
      <c r="AA30" s="8">
        <v>2046</v>
      </c>
      <c r="AC30" s="14">
        <f>C30/_xlfn.XLOOKUP(AC$5,'OC-Days'!$G:$G,'OC-Days'!$B:$B)</f>
        <v>70</v>
      </c>
      <c r="AD30" s="14">
        <f>D30/_xlfn.XLOOKUP(AD$5,'OC-Days'!$G:$G,'OC-Days'!$B:$B)</f>
        <v>70</v>
      </c>
      <c r="AE30" s="14">
        <f>E30/_xlfn.XLOOKUP(AE$5,'OC-Days'!$G:$G,'OC-Days'!$B:$B)</f>
        <v>70</v>
      </c>
      <c r="AF30" s="14">
        <f>F30/_xlfn.XLOOKUP(AF$5,'OC-Days'!$G:$G,'OC-Days'!$B:$B)</f>
        <v>70</v>
      </c>
      <c r="AG30" s="14">
        <f>G30/_xlfn.XLOOKUP(AG$5,'OC-Days'!$G:$G,'OC-Days'!$B:$B)</f>
        <v>70</v>
      </c>
      <c r="AH30" s="14">
        <f>H30/_xlfn.XLOOKUP(AH$5,'OC-Days'!$G:$G,'OC-Days'!$B:$B)</f>
        <v>70</v>
      </c>
      <c r="AI30" s="14">
        <f>I30/_xlfn.XLOOKUP(AI$5,'OC-Days'!$G:$G,'OC-Days'!$B:$B)</f>
        <v>70</v>
      </c>
      <c r="AJ30" s="14">
        <f>J30/_xlfn.XLOOKUP(AJ$5,'OC-Days'!$G:$G,'OC-Days'!$B:$B)</f>
        <v>70</v>
      </c>
      <c r="AK30" s="14">
        <f>K30/_xlfn.XLOOKUP(AK$5,'OC-Days'!$G:$G,'OC-Days'!$B:$B)</f>
        <v>70</v>
      </c>
      <c r="AL30" s="14">
        <f>L30/_xlfn.XLOOKUP(AL$5,'OC-Days'!$G:$G,'OC-Days'!$B:$B)</f>
        <v>70</v>
      </c>
      <c r="AM30" s="14">
        <f>M30/_xlfn.XLOOKUP(AM$5,'OC-Days'!$G:$G,'OC-Days'!$B:$B)</f>
        <v>70</v>
      </c>
      <c r="AN30" s="14">
        <f>N30/_xlfn.XLOOKUP(AN$5,'OC-Days'!$G:$G,'OC-Days'!$B:$B)</f>
        <v>70</v>
      </c>
      <c r="AP30" s="14">
        <f>P30/_xlfn.XLOOKUP(AP$5,'OC-Days'!$G:$G,'OC-Days'!$B:$B)</f>
        <v>66</v>
      </c>
      <c r="AQ30" s="14">
        <f>Q30/_xlfn.XLOOKUP(AQ$5,'OC-Days'!$G:$G,'OC-Days'!$B:$B)</f>
        <v>66</v>
      </c>
      <c r="AR30" s="14">
        <f>R30/_xlfn.XLOOKUP(AR$5,'OC-Days'!$G:$G,'OC-Days'!$B:$B)</f>
        <v>66</v>
      </c>
      <c r="AS30" s="14">
        <f>S30/_xlfn.XLOOKUP(AS$5,'OC-Days'!$G:$G,'OC-Days'!$B:$B)</f>
        <v>66</v>
      </c>
      <c r="AT30" s="14">
        <f>T30/_xlfn.XLOOKUP(AT$5,'OC-Days'!$G:$G,'OC-Days'!$B:$B)</f>
        <v>66</v>
      </c>
      <c r="AU30" s="14">
        <f>U30/_xlfn.XLOOKUP(AU$5,'OC-Days'!$G:$G,'OC-Days'!$B:$B)</f>
        <v>66</v>
      </c>
      <c r="AV30" s="14">
        <f>V30/_xlfn.XLOOKUP(AV$5,'OC-Days'!$G:$G,'OC-Days'!$B:$B)</f>
        <v>66</v>
      </c>
      <c r="AW30" s="14">
        <f>W30/_xlfn.XLOOKUP(AW$5,'OC-Days'!$G:$G,'OC-Days'!$B:$B)</f>
        <v>66</v>
      </c>
      <c r="AX30" s="14">
        <f>X30/_xlfn.XLOOKUP(AX$5,'OC-Days'!$G:$G,'OC-Days'!$B:$B)</f>
        <v>66</v>
      </c>
      <c r="AY30" s="14">
        <f>Y30/_xlfn.XLOOKUP(AY$5,'OC-Days'!$G:$G,'OC-Days'!$B:$B)</f>
        <v>66</v>
      </c>
      <c r="AZ30" s="14">
        <f>Z30/_xlfn.XLOOKUP(AZ$5,'OC-Days'!$G:$G,'OC-Days'!$B:$B)</f>
        <v>66</v>
      </c>
      <c r="BA30" s="14">
        <f>AA30/_xlfn.XLOOKUP(BA$5,'OC-Days'!$G:$G,'OC-Days'!$B:$B)</f>
        <v>66</v>
      </c>
      <c r="BC30" s="33">
        <f>_xlfn.XLOOKUP(BC$5,'OC-Days'!$G:$G,'OC-Days'!$F:$F)</f>
        <v>45658</v>
      </c>
      <c r="BD30" s="34" t="str">
        <f>IF(AQ30=AP30,"na",_xlfn.XLOOKUP(BD$5,'OC-Days'!$G:$G,'OC-Days'!$F:$F))</f>
        <v>na</v>
      </c>
      <c r="BE30" s="34" t="str">
        <f>IF(AR30=AQ30,"na",_xlfn.XLOOKUP(BE$5,'OC-Days'!$G:$G,'OC-Days'!$F:$F))</f>
        <v>na</v>
      </c>
      <c r="BF30" s="34" t="str">
        <f>IF(AS30=AR30,"na",_xlfn.XLOOKUP(BF$5,'OC-Days'!$G:$G,'OC-Days'!$F:$F))</f>
        <v>na</v>
      </c>
      <c r="BG30" s="34" t="str">
        <f>IF(AT30=AS30,"na",_xlfn.XLOOKUP(BG$5,'OC-Days'!$G:$G,'OC-Days'!$F:$F))</f>
        <v>na</v>
      </c>
      <c r="BH30" s="34" t="str">
        <f>IF(AU30=AT30,"na",_xlfn.XLOOKUP(BH$5,'OC-Days'!$G:$G,'OC-Days'!$F:$F))</f>
        <v>na</v>
      </c>
      <c r="BI30" s="34" t="str">
        <f>IF(AV30=AU30,"na",_xlfn.XLOOKUP(BI$5,'OC-Days'!$G:$G,'OC-Days'!$F:$F))</f>
        <v>na</v>
      </c>
      <c r="BJ30" s="34" t="str">
        <f>IF(AW30=AV30,"na",_xlfn.XLOOKUP(BJ$5,'OC-Days'!$G:$G,'OC-Days'!$F:$F))</f>
        <v>na</v>
      </c>
      <c r="BK30" s="34" t="str">
        <f>IF(AX30=AW30,"na",_xlfn.XLOOKUP(BK$5,'OC-Days'!$G:$G,'OC-Days'!$F:$F))</f>
        <v>na</v>
      </c>
      <c r="BL30" s="34" t="str">
        <f>IF(AY30=AX30,"na",_xlfn.XLOOKUP(BL$5,'OC-Days'!$G:$G,'OC-Days'!$F:$F))</f>
        <v>na</v>
      </c>
      <c r="BM30" s="34" t="str">
        <f>IF(AZ30=AY30,"na",_xlfn.XLOOKUP(BM$5,'OC-Days'!$G:$G,'OC-Days'!$F:$F))</f>
        <v>na</v>
      </c>
      <c r="BN30" s="34" t="str">
        <f>IF(BA30=AZ30,"na",_xlfn.XLOOKUP(BN$5,'OC-Days'!$G:$G,'OC-Days'!$F:$F))</f>
        <v>na</v>
      </c>
      <c r="BP30" s="36" t="str">
        <f t="shared" si="35"/>
        <v>na</v>
      </c>
      <c r="BQ30" s="36" t="str">
        <f t="shared" si="36"/>
        <v>na</v>
      </c>
      <c r="BR30" s="36" t="str">
        <f t="shared" si="37"/>
        <v>na</v>
      </c>
      <c r="BS30" s="36" t="str">
        <f t="shared" si="38"/>
        <v>na</v>
      </c>
      <c r="BT30" s="36" t="str">
        <f t="shared" si="39"/>
        <v>na</v>
      </c>
      <c r="BU30" s="36" t="str">
        <f t="shared" si="40"/>
        <v>na</v>
      </c>
      <c r="BV30" s="36" t="str">
        <f t="shared" si="41"/>
        <v>na</v>
      </c>
      <c r="BW30" s="36" t="str">
        <f t="shared" si="42"/>
        <v>na</v>
      </c>
      <c r="BX30" s="36" t="str">
        <f t="shared" si="43"/>
        <v>na</v>
      </c>
      <c r="BY30" s="36" t="str">
        <f t="shared" si="44"/>
        <v>na</v>
      </c>
      <c r="BZ30" s="36" t="str">
        <f t="shared" si="45"/>
        <v>na</v>
      </c>
      <c r="CA30" s="43">
        <f t="shared" si="46"/>
        <v>46022</v>
      </c>
      <c r="CC30" s="8">
        <f>COUNT($BC30:BC30)</f>
        <v>1</v>
      </c>
      <c r="CD30" s="8">
        <f>COUNT($BC30:BD30)</f>
        <v>1</v>
      </c>
      <c r="CE30" s="8">
        <f>COUNT($BC30:BE30)</f>
        <v>1</v>
      </c>
      <c r="CF30" s="8">
        <f>COUNT($BC30:BF30)</f>
        <v>1</v>
      </c>
      <c r="CG30" s="8">
        <f>COUNT($BC30:BG30)</f>
        <v>1</v>
      </c>
      <c r="CH30" s="8">
        <f>COUNT($BC30:BH30)</f>
        <v>1</v>
      </c>
      <c r="CI30" s="8">
        <f>COUNT($BC30:BI30)</f>
        <v>1</v>
      </c>
      <c r="CJ30" s="8">
        <f>COUNT($BC30:BJ30)</f>
        <v>1</v>
      </c>
      <c r="CK30" s="8">
        <f>COUNT($BC30:BK30)</f>
        <v>1</v>
      </c>
      <c r="CL30" s="8">
        <f>COUNT($BC30:BL30)</f>
        <v>1</v>
      </c>
      <c r="CM30" s="8">
        <f>COUNT($BC30:BM30)</f>
        <v>1</v>
      </c>
      <c r="CN30" s="8">
        <f>COUNT($BC30:BN30)</f>
        <v>1</v>
      </c>
      <c r="CO30" s="8"/>
      <c r="CP30" s="8">
        <f>COUNT($BP30:BP30)</f>
        <v>0</v>
      </c>
      <c r="CQ30" s="8">
        <f>COUNT($BP30:BQ30)</f>
        <v>0</v>
      </c>
      <c r="CR30" s="8">
        <f>COUNT($BP30:BR30)</f>
        <v>0</v>
      </c>
      <c r="CS30" s="8">
        <f>COUNT($BP30:BS30)</f>
        <v>0</v>
      </c>
      <c r="CT30" s="8">
        <f>COUNT($BP30:BT30)</f>
        <v>0</v>
      </c>
      <c r="CU30" s="8">
        <f>COUNT($BP30:BU30)</f>
        <v>0</v>
      </c>
      <c r="CV30" s="8">
        <f>COUNT($BP30:BV30)</f>
        <v>0</v>
      </c>
      <c r="CW30" s="8">
        <f>COUNT($BP30:BW30)</f>
        <v>0</v>
      </c>
      <c r="CX30" s="8">
        <f>COUNT($BP30:BX30)</f>
        <v>0</v>
      </c>
      <c r="CY30" s="8">
        <f>COUNT($BP30:BY30)</f>
        <v>0</v>
      </c>
      <c r="CZ30" s="8">
        <f>COUNT($BP30:BZ30)</f>
        <v>0</v>
      </c>
      <c r="DA30" s="8">
        <f>COUNT($BP30:CA30)</f>
        <v>1</v>
      </c>
      <c r="DC30">
        <f t="shared" si="47"/>
        <v>350</v>
      </c>
      <c r="DD30">
        <f t="shared" si="48"/>
        <v>51</v>
      </c>
      <c r="DE30" t="str">
        <f t="shared" si="49"/>
        <v>350-51</v>
      </c>
      <c r="DG30">
        <f t="shared" si="50"/>
        <v>1</v>
      </c>
      <c r="DH30">
        <f t="shared" si="51"/>
        <v>1</v>
      </c>
      <c r="DJ30" s="44" cm="1">
        <f t="array" ref="DJ30">IF(DJ$5&lt;=$DG30,INDEX($BC30:$BN30,1,_xlfn.XMATCH(DJ$5,$CC30:$CN30)),"na")</f>
        <v>45658</v>
      </c>
      <c r="DK30" s="45" cm="1">
        <f t="array" ref="DK30">IF(DK$5&lt;=$DH30,INDEX($BP30:$CA30,1,_xlfn.XMATCH(DK$5,$CP30:$DA30)),"na")</f>
        <v>46022</v>
      </c>
      <c r="DL30" s="46" cm="1">
        <f t="array" ref="DL30">IF(DL$5&lt;=$DG30,INDEX($AC30:$AN30,1,_xlfn.XMATCH(DL$5,$CC30:$CN30)),"na")</f>
        <v>70</v>
      </c>
      <c r="DM30" s="47" cm="1">
        <f t="array" ref="DM30">IF(DM$5&lt;=$DG30,INDEX($AP30:$BA30,1,_xlfn.XMATCH(DM$5,$CC30:$CN30)),"na")</f>
        <v>66</v>
      </c>
      <c r="DN30" s="44" t="str" cm="1">
        <f t="array" ref="DN30">IF(DN$5&lt;=$DG30,INDEX($BC30:$BN30,1,_xlfn.XMATCH(DN$5,$CC30:$CN30)),"na")</f>
        <v>na</v>
      </c>
      <c r="DO30" s="45" t="str" cm="1">
        <f t="array" ref="DO30">IF(DO$5&lt;=$DH30,INDEX($BP30:$CA30,1,_xlfn.XMATCH(DO$5,$CP30:$DA30)),"na")</f>
        <v>na</v>
      </c>
      <c r="DP30" s="46" t="str" cm="1">
        <f t="array" ref="DP30">IF(DP$5&lt;=$DG30,INDEX($AC30:$AN30,1,_xlfn.XMATCH(DP$5,$CC30:$CN30)),"na")</f>
        <v>na</v>
      </c>
      <c r="DQ30" s="47" t="str" cm="1">
        <f t="array" ref="DQ30">IF(DQ$5&lt;=$DG30,INDEX($AP30:$BA30,1,_xlfn.XMATCH(DQ$5,$CC30:$CN30)),"na")</f>
        <v>na</v>
      </c>
      <c r="DR30" s="44" t="str" cm="1">
        <f t="array" ref="DR30">IF(DR$5&lt;=$DG30,INDEX($BC30:$BN30,1,_xlfn.XMATCH(DR$5,$CC30:$CN30)),"na")</f>
        <v>na</v>
      </c>
      <c r="DS30" s="45" t="str" cm="1">
        <f t="array" ref="DS30">IF(DS$5&lt;=$DH30,INDEX($BP30:$CA30,1,_xlfn.XMATCH(DS$5,$CP30:$DA30)),"na")</f>
        <v>na</v>
      </c>
      <c r="DT30" s="46" t="str" cm="1">
        <f t="array" ref="DT30">IF(DT$5&lt;=$DG30,INDEX($AC30:$AN30,1,_xlfn.XMATCH(DT$5,$CC30:$CN30)),"na")</f>
        <v>na</v>
      </c>
      <c r="DU30" s="47" t="str" cm="1">
        <f t="array" ref="DU30">IF(DU$5&lt;=$DG30,INDEX($AP30:$BA30,1,_xlfn.XMATCH(DU$5,$CC30:$CN30)),"na")</f>
        <v>na</v>
      </c>
      <c r="DV30" s="44" t="str" cm="1">
        <f t="array" ref="DV30">IF(DV$5&lt;=$DG30,INDEX($BC30:$BN30,1,_xlfn.XMATCH(DV$5,$CC30:$CN30)),"na")</f>
        <v>na</v>
      </c>
      <c r="DW30" s="45" t="str" cm="1">
        <f t="array" ref="DW30">IF(DW$5&lt;=$DH30,INDEX($BP30:$CA30,1,_xlfn.XMATCH(DW$5,$CP30:$DA30)),"na")</f>
        <v>na</v>
      </c>
      <c r="DX30" s="46" t="str" cm="1">
        <f t="array" ref="DX30">IF(DX$5&lt;=$DG30,INDEX($AC30:$AN30,1,_xlfn.XMATCH(DX$5,$CC30:$CN30)),"na")</f>
        <v>na</v>
      </c>
      <c r="DY30" s="47" t="str" cm="1">
        <f t="array" ref="DY30">IF(DY$5&lt;=$DG30,INDEX($AP30:$BA30,1,_xlfn.XMATCH(DY$5,$CC30:$CN30)),"na")</f>
        <v>na</v>
      </c>
      <c r="DZ30" s="44" t="str" cm="1">
        <f t="array" ref="DZ30">IF(DZ$5&lt;=$DG30,INDEX($BC30:$BN30,1,_xlfn.XMATCH(DZ$5,$CC30:$CN30)),"na")</f>
        <v>na</v>
      </c>
      <c r="EA30" s="45" t="str" cm="1">
        <f t="array" ref="EA30">IF(EA$5&lt;=$DH30,INDEX($BP30:$CA30,1,_xlfn.XMATCH(EA$5,$CP30:$DA30)),"na")</f>
        <v>na</v>
      </c>
      <c r="EB30" s="46" t="str" cm="1">
        <f t="array" ref="EB30">IF(EB$5&lt;=$DG30,INDEX($AC30:$AN30,1,_xlfn.XMATCH(EB$5,$CC30:$CN30)),"na")</f>
        <v>na</v>
      </c>
      <c r="EC30" s="47" t="str" cm="1">
        <f t="array" ref="EC30">IF(EC$5&lt;=$DG30,INDEX($AP30:$BA30,1,_xlfn.XMATCH(EC$5,$CC30:$CN30)),"na")</f>
        <v>na</v>
      </c>
      <c r="ED30" s="44" t="str" cm="1">
        <f t="array" ref="ED30">IF(ED$5&lt;=$DG30,INDEX($BC30:$BN30,1,_xlfn.XMATCH(ED$5,$CC30:$CN30)),"na")</f>
        <v>na</v>
      </c>
      <c r="EE30" s="45" t="str" cm="1">
        <f t="array" ref="EE30">IF(EE$5&lt;=$DH30,INDEX($BP30:$CA30,1,_xlfn.XMATCH(EE$5,$CP30:$DA30)),"na")</f>
        <v>na</v>
      </c>
      <c r="EF30" s="46" t="str" cm="1">
        <f t="array" ref="EF30">IF(EF$5&lt;=$DG30,INDEX($AC30:$AN30,1,_xlfn.XMATCH(EF$5,$CC30:$CN30)),"na")</f>
        <v>na</v>
      </c>
      <c r="EG30" s="47" t="str" cm="1">
        <f t="array" ref="EG30">IF(EG$5&lt;=$DG30,INDEX($AP30:$BA30,1,_xlfn.XMATCH(EG$5,$CC30:$CN30)),"na")</f>
        <v>na</v>
      </c>
      <c r="EH30" s="44" t="str" cm="1">
        <f t="array" ref="EH30">IF(EH$5&lt;=$DG30,INDEX($BC30:$BN30,1,_xlfn.XMATCH(EH$5,$CC30:$CN30)),"na")</f>
        <v>na</v>
      </c>
      <c r="EI30" s="45" t="str" cm="1">
        <f t="array" ref="EI30">IF(EI$5&lt;=$DH30,INDEX($BP30:$CA30,1,_xlfn.XMATCH(EI$5,$CP30:$DA30)),"na")</f>
        <v>na</v>
      </c>
      <c r="EJ30" s="46" t="str" cm="1">
        <f t="array" ref="EJ30">IF(EJ$5&lt;=$DG30,INDEX($AC30:$AN30,1,_xlfn.XMATCH(EJ$5,$CC30:$CN30)),"na")</f>
        <v>na</v>
      </c>
      <c r="EK30" s="47" t="str" cm="1">
        <f t="array" ref="EK30">IF(EK$5&lt;=$DG30,INDEX($AP30:$BA30,1,_xlfn.XMATCH(EK$5,$CC30:$CN30)),"na")</f>
        <v>na</v>
      </c>
      <c r="EL30" s="44" t="str" cm="1">
        <f t="array" ref="EL30">IF(EL$5&lt;=$DG30,INDEX($BC30:$BN30,1,_xlfn.XMATCH(EL$5,$CC30:$CN30)),"na")</f>
        <v>na</v>
      </c>
      <c r="EM30" s="45" t="str" cm="1">
        <f t="array" ref="EM30">IF(EM$5&lt;=$DH30,INDEX($BP30:$CA30,1,_xlfn.XMATCH(EM$5,$CP30:$DA30)),"na")</f>
        <v>na</v>
      </c>
      <c r="EN30" s="46" t="str" cm="1">
        <f t="array" ref="EN30">IF(EN$5&lt;=$DG30,INDEX($AC30:$AN30,1,_xlfn.XMATCH(EN$5,$CC30:$CN30)),"na")</f>
        <v>na</v>
      </c>
      <c r="EO30" s="47" t="str" cm="1">
        <f t="array" ref="EO30">IF(EO$5&lt;=$DG30,INDEX($AP30:$BA30,1,_xlfn.XMATCH(EO$5,$CC30:$CN30)),"na")</f>
        <v>na</v>
      </c>
      <c r="EP30" s="44" t="str" cm="1">
        <f t="array" ref="EP30">IF(EP$5&lt;=$DG30,INDEX($BC30:$BN30,1,_xlfn.XMATCH(EP$5,$CC30:$CN30)),"na")</f>
        <v>na</v>
      </c>
      <c r="EQ30" s="45" t="str" cm="1">
        <f t="array" ref="EQ30">IF(EQ$5&lt;=$DH30,INDEX($BP30:$CA30,1,_xlfn.XMATCH(EQ$5,$CP30:$DA30)),"na")</f>
        <v>na</v>
      </c>
      <c r="ER30" s="46" t="str" cm="1">
        <f t="array" ref="ER30">IF(ER$5&lt;=$DG30,INDEX($AC30:$AN30,1,_xlfn.XMATCH(ER$5,$CC30:$CN30)),"na")</f>
        <v>na</v>
      </c>
      <c r="ES30" s="47" t="str" cm="1">
        <f t="array" ref="ES30">IF(ES$5&lt;=$DG30,INDEX($AP30:$BA30,1,_xlfn.XMATCH(ES$5,$CC30:$CN30)),"na")</f>
        <v>na</v>
      </c>
      <c r="ET30" s="44" t="str" cm="1">
        <f t="array" ref="ET30">IF(ET$5&lt;=$DG30,INDEX($BC30:$BN30,1,_xlfn.XMATCH(ET$5,$CC30:$CN30)),"na")</f>
        <v>na</v>
      </c>
      <c r="EU30" s="45" t="str" cm="1">
        <f t="array" ref="EU30">IF(EU$5&lt;=$DH30,INDEX($BP30:$CA30,1,_xlfn.XMATCH(EU$5,$CP30:$DA30)),"na")</f>
        <v>na</v>
      </c>
      <c r="EV30" s="46" t="str" cm="1">
        <f t="array" ref="EV30">IF(EV$5&lt;=$DG30,INDEX($AC30:$AN30,1,_xlfn.XMATCH(EV$5,$CC30:$CN30)),"na")</f>
        <v>na</v>
      </c>
      <c r="EW30" s="47" t="str" cm="1">
        <f t="array" ref="EW30">IF(EW$5&lt;=$DG30,INDEX($AP30:$BA30,1,_xlfn.XMATCH(EW$5,$CC30:$CN30)),"na")</f>
        <v>na</v>
      </c>
      <c r="EX30" s="44" t="str" cm="1">
        <f t="array" ref="EX30">IF(EX$5&lt;=$DG30,INDEX($BC30:$BN30,1,_xlfn.XMATCH(EX$5,$CC30:$CN30)),"na")</f>
        <v>na</v>
      </c>
      <c r="EY30" s="45" t="str" cm="1">
        <f t="array" ref="EY30">IF(EY$5&lt;=$DH30,INDEX($BP30:$CA30,1,_xlfn.XMATCH(EY$5,$CP30:$DA30)),"na")</f>
        <v>na</v>
      </c>
      <c r="EZ30" s="46" t="str" cm="1">
        <f t="array" ref="EZ30">IF(EZ$5&lt;=$DG30,INDEX($AC30:$AN30,1,_xlfn.XMATCH(EZ$5,$CC30:$CN30)),"na")</f>
        <v>na</v>
      </c>
      <c r="FA30" s="47" t="str" cm="1">
        <f t="array" ref="FA30">IF(FA$5&lt;=$DG30,INDEX($AP30:$BA30,1,_xlfn.XMATCH(FA$5,$CC30:$CN30)),"na")</f>
        <v>na</v>
      </c>
      <c r="FB30" s="44" t="str" cm="1">
        <f t="array" ref="FB30">IF(FB$5&lt;=$DG30,INDEX($BC30:$BN30,1,_xlfn.XMATCH(FB$5,$CC30:$CN30)),"na")</f>
        <v>na</v>
      </c>
      <c r="FC30" s="45" t="str" cm="1">
        <f t="array" ref="FC30">IF(FC$5&lt;=$DH30,INDEX($BP30:$CA30,1,_xlfn.XMATCH(FC$5,$CP30:$DA30)),"na")</f>
        <v>na</v>
      </c>
      <c r="FD30" s="46" t="str" cm="1">
        <f t="array" ref="FD30">IF(FD$5&lt;=$DG30,INDEX($AC30:$AN30,1,_xlfn.XMATCH(FD$5,$CC30:$CN30)),"na")</f>
        <v>na</v>
      </c>
      <c r="FE30" s="47" t="str" cm="1">
        <f t="array" ref="FE30">IF(FE$5&lt;=$DG30,INDEX($AP30:$BA30,1,_xlfn.XMATCH(FE$5,$CC30:$CN30)),"na")</f>
        <v>na</v>
      </c>
    </row>
    <row r="31" spans="2:161" x14ac:dyDescent="0.25">
      <c r="B31" s="10" t="s">
        <v>121</v>
      </c>
      <c r="C31" s="8">
        <v>372</v>
      </c>
      <c r="D31" s="8">
        <v>336</v>
      </c>
      <c r="E31" s="8">
        <v>372</v>
      </c>
      <c r="F31" s="8">
        <v>360</v>
      </c>
      <c r="G31" s="8">
        <v>372</v>
      </c>
      <c r="H31" s="8">
        <v>360</v>
      </c>
      <c r="I31" s="8">
        <v>372</v>
      </c>
      <c r="J31" s="8">
        <v>372</v>
      </c>
      <c r="K31" s="8">
        <v>360</v>
      </c>
      <c r="L31" s="8">
        <v>372</v>
      </c>
      <c r="M31" s="8">
        <v>360</v>
      </c>
      <c r="N31" s="8">
        <v>372</v>
      </c>
      <c r="O31" s="8"/>
      <c r="P31" s="8">
        <v>341</v>
      </c>
      <c r="Q31" s="8">
        <v>308</v>
      </c>
      <c r="R31" s="8">
        <v>341</v>
      </c>
      <c r="S31" s="8">
        <v>330</v>
      </c>
      <c r="T31" s="8">
        <v>341</v>
      </c>
      <c r="U31" s="8">
        <v>330</v>
      </c>
      <c r="V31" s="8">
        <v>341</v>
      </c>
      <c r="W31" s="8">
        <v>341</v>
      </c>
      <c r="X31" s="8">
        <v>330</v>
      </c>
      <c r="Y31" s="8">
        <v>341</v>
      </c>
      <c r="Z31" s="8">
        <v>330</v>
      </c>
      <c r="AA31" s="8">
        <v>341</v>
      </c>
      <c r="AC31" s="14">
        <f>C31/_xlfn.XLOOKUP(AC$5,'OC-Days'!$G:$G,'OC-Days'!$B:$B)</f>
        <v>12</v>
      </c>
      <c r="AD31" s="14">
        <f>D31/_xlfn.XLOOKUP(AD$5,'OC-Days'!$G:$G,'OC-Days'!$B:$B)</f>
        <v>12</v>
      </c>
      <c r="AE31" s="14">
        <f>E31/_xlfn.XLOOKUP(AE$5,'OC-Days'!$G:$G,'OC-Days'!$B:$B)</f>
        <v>12</v>
      </c>
      <c r="AF31" s="14">
        <f>F31/_xlfn.XLOOKUP(AF$5,'OC-Days'!$G:$G,'OC-Days'!$B:$B)</f>
        <v>12</v>
      </c>
      <c r="AG31" s="14">
        <f>G31/_xlfn.XLOOKUP(AG$5,'OC-Days'!$G:$G,'OC-Days'!$B:$B)</f>
        <v>12</v>
      </c>
      <c r="AH31" s="14">
        <f>H31/_xlfn.XLOOKUP(AH$5,'OC-Days'!$G:$G,'OC-Days'!$B:$B)</f>
        <v>12</v>
      </c>
      <c r="AI31" s="14">
        <f>I31/_xlfn.XLOOKUP(AI$5,'OC-Days'!$G:$G,'OC-Days'!$B:$B)</f>
        <v>12</v>
      </c>
      <c r="AJ31" s="14">
        <f>J31/_xlfn.XLOOKUP(AJ$5,'OC-Days'!$G:$G,'OC-Days'!$B:$B)</f>
        <v>12</v>
      </c>
      <c r="AK31" s="14">
        <f>K31/_xlfn.XLOOKUP(AK$5,'OC-Days'!$G:$G,'OC-Days'!$B:$B)</f>
        <v>12</v>
      </c>
      <c r="AL31" s="14">
        <f>L31/_xlfn.XLOOKUP(AL$5,'OC-Days'!$G:$G,'OC-Days'!$B:$B)</f>
        <v>12</v>
      </c>
      <c r="AM31" s="14">
        <f>M31/_xlfn.XLOOKUP(AM$5,'OC-Days'!$G:$G,'OC-Days'!$B:$B)</f>
        <v>12</v>
      </c>
      <c r="AN31" s="14">
        <f>N31/_xlfn.XLOOKUP(AN$5,'OC-Days'!$G:$G,'OC-Days'!$B:$B)</f>
        <v>12</v>
      </c>
      <c r="AP31" s="14">
        <f>P31/_xlfn.XLOOKUP(AP$5,'OC-Days'!$G:$G,'OC-Days'!$B:$B)</f>
        <v>11</v>
      </c>
      <c r="AQ31" s="14">
        <f>Q31/_xlfn.XLOOKUP(AQ$5,'OC-Days'!$G:$G,'OC-Days'!$B:$B)</f>
        <v>11</v>
      </c>
      <c r="AR31" s="14">
        <f>R31/_xlfn.XLOOKUP(AR$5,'OC-Days'!$G:$G,'OC-Days'!$B:$B)</f>
        <v>11</v>
      </c>
      <c r="AS31" s="14">
        <f>S31/_xlfn.XLOOKUP(AS$5,'OC-Days'!$G:$G,'OC-Days'!$B:$B)</f>
        <v>11</v>
      </c>
      <c r="AT31" s="14">
        <f>T31/_xlfn.XLOOKUP(AT$5,'OC-Days'!$G:$G,'OC-Days'!$B:$B)</f>
        <v>11</v>
      </c>
      <c r="AU31" s="14">
        <f>U31/_xlfn.XLOOKUP(AU$5,'OC-Days'!$G:$G,'OC-Days'!$B:$B)</f>
        <v>11</v>
      </c>
      <c r="AV31" s="14">
        <f>V31/_xlfn.XLOOKUP(AV$5,'OC-Days'!$G:$G,'OC-Days'!$B:$B)</f>
        <v>11</v>
      </c>
      <c r="AW31" s="14">
        <f>W31/_xlfn.XLOOKUP(AW$5,'OC-Days'!$G:$G,'OC-Days'!$B:$B)</f>
        <v>11</v>
      </c>
      <c r="AX31" s="14">
        <f>X31/_xlfn.XLOOKUP(AX$5,'OC-Days'!$G:$G,'OC-Days'!$B:$B)</f>
        <v>11</v>
      </c>
      <c r="AY31" s="14">
        <f>Y31/_xlfn.XLOOKUP(AY$5,'OC-Days'!$G:$G,'OC-Days'!$B:$B)</f>
        <v>11</v>
      </c>
      <c r="AZ31" s="14">
        <f>Z31/_xlfn.XLOOKUP(AZ$5,'OC-Days'!$G:$G,'OC-Days'!$B:$B)</f>
        <v>11</v>
      </c>
      <c r="BA31" s="14">
        <f>AA31/_xlfn.XLOOKUP(BA$5,'OC-Days'!$G:$G,'OC-Days'!$B:$B)</f>
        <v>11</v>
      </c>
      <c r="BC31" s="33">
        <f>_xlfn.XLOOKUP(BC$5,'OC-Days'!$G:$G,'OC-Days'!$F:$F)</f>
        <v>45658</v>
      </c>
      <c r="BD31" s="34" t="str">
        <f>IF(AQ31=AP31,"na",_xlfn.XLOOKUP(BD$5,'OC-Days'!$G:$G,'OC-Days'!$F:$F))</f>
        <v>na</v>
      </c>
      <c r="BE31" s="34" t="str">
        <f>IF(AR31=AQ31,"na",_xlfn.XLOOKUP(BE$5,'OC-Days'!$G:$G,'OC-Days'!$F:$F))</f>
        <v>na</v>
      </c>
      <c r="BF31" s="34" t="str">
        <f>IF(AS31=AR31,"na",_xlfn.XLOOKUP(BF$5,'OC-Days'!$G:$G,'OC-Days'!$F:$F))</f>
        <v>na</v>
      </c>
      <c r="BG31" s="34" t="str">
        <f>IF(AT31=AS31,"na",_xlfn.XLOOKUP(BG$5,'OC-Days'!$G:$G,'OC-Days'!$F:$F))</f>
        <v>na</v>
      </c>
      <c r="BH31" s="34" t="str">
        <f>IF(AU31=AT31,"na",_xlfn.XLOOKUP(BH$5,'OC-Days'!$G:$G,'OC-Days'!$F:$F))</f>
        <v>na</v>
      </c>
      <c r="BI31" s="34" t="str">
        <f>IF(AV31=AU31,"na",_xlfn.XLOOKUP(BI$5,'OC-Days'!$G:$G,'OC-Days'!$F:$F))</f>
        <v>na</v>
      </c>
      <c r="BJ31" s="34" t="str">
        <f>IF(AW31=AV31,"na",_xlfn.XLOOKUP(BJ$5,'OC-Days'!$G:$G,'OC-Days'!$F:$F))</f>
        <v>na</v>
      </c>
      <c r="BK31" s="34" t="str">
        <f>IF(AX31=AW31,"na",_xlfn.XLOOKUP(BK$5,'OC-Days'!$G:$G,'OC-Days'!$F:$F))</f>
        <v>na</v>
      </c>
      <c r="BL31" s="34" t="str">
        <f>IF(AY31=AX31,"na",_xlfn.XLOOKUP(BL$5,'OC-Days'!$G:$G,'OC-Days'!$F:$F))</f>
        <v>na</v>
      </c>
      <c r="BM31" s="34" t="str">
        <f>IF(AZ31=AY31,"na",_xlfn.XLOOKUP(BM$5,'OC-Days'!$G:$G,'OC-Days'!$F:$F))</f>
        <v>na</v>
      </c>
      <c r="BN31" s="34" t="str">
        <f>IF(BA31=AZ31,"na",_xlfn.XLOOKUP(BN$5,'OC-Days'!$G:$G,'OC-Days'!$F:$F))</f>
        <v>na</v>
      </c>
      <c r="BP31" s="36" t="str">
        <f t="shared" si="35"/>
        <v>na</v>
      </c>
      <c r="BQ31" s="36" t="str">
        <f t="shared" si="36"/>
        <v>na</v>
      </c>
      <c r="BR31" s="36" t="str">
        <f t="shared" si="37"/>
        <v>na</v>
      </c>
      <c r="BS31" s="36" t="str">
        <f t="shared" si="38"/>
        <v>na</v>
      </c>
      <c r="BT31" s="36" t="str">
        <f t="shared" si="39"/>
        <v>na</v>
      </c>
      <c r="BU31" s="36" t="str">
        <f t="shared" si="40"/>
        <v>na</v>
      </c>
      <c r="BV31" s="36" t="str">
        <f t="shared" si="41"/>
        <v>na</v>
      </c>
      <c r="BW31" s="36" t="str">
        <f t="shared" si="42"/>
        <v>na</v>
      </c>
      <c r="BX31" s="36" t="str">
        <f t="shared" si="43"/>
        <v>na</v>
      </c>
      <c r="BY31" s="36" t="str">
        <f t="shared" si="44"/>
        <v>na</v>
      </c>
      <c r="BZ31" s="36" t="str">
        <f t="shared" si="45"/>
        <v>na</v>
      </c>
      <c r="CA31" s="43">
        <f t="shared" si="46"/>
        <v>46022</v>
      </c>
      <c r="CC31" s="8">
        <f>COUNT($BC31:BC31)</f>
        <v>1</v>
      </c>
      <c r="CD31" s="8">
        <f>COUNT($BC31:BD31)</f>
        <v>1</v>
      </c>
      <c r="CE31" s="8">
        <f>COUNT($BC31:BE31)</f>
        <v>1</v>
      </c>
      <c r="CF31" s="8">
        <f>COUNT($BC31:BF31)</f>
        <v>1</v>
      </c>
      <c r="CG31" s="8">
        <f>COUNT($BC31:BG31)</f>
        <v>1</v>
      </c>
      <c r="CH31" s="8">
        <f>COUNT($BC31:BH31)</f>
        <v>1</v>
      </c>
      <c r="CI31" s="8">
        <f>COUNT($BC31:BI31)</f>
        <v>1</v>
      </c>
      <c r="CJ31" s="8">
        <f>COUNT($BC31:BJ31)</f>
        <v>1</v>
      </c>
      <c r="CK31" s="8">
        <f>COUNT($BC31:BK31)</f>
        <v>1</v>
      </c>
      <c r="CL31" s="8">
        <f>COUNT($BC31:BL31)</f>
        <v>1</v>
      </c>
      <c r="CM31" s="8">
        <f>COUNT($BC31:BM31)</f>
        <v>1</v>
      </c>
      <c r="CN31" s="8">
        <f>COUNT($BC31:BN31)</f>
        <v>1</v>
      </c>
      <c r="CO31" s="8"/>
      <c r="CP31" s="8">
        <f>COUNT($BP31:BP31)</f>
        <v>0</v>
      </c>
      <c r="CQ31" s="8">
        <f>COUNT($BP31:BQ31)</f>
        <v>0</v>
      </c>
      <c r="CR31" s="8">
        <f>COUNT($BP31:BR31)</f>
        <v>0</v>
      </c>
      <c r="CS31" s="8">
        <f>COUNT($BP31:BS31)</f>
        <v>0</v>
      </c>
      <c r="CT31" s="8">
        <f>COUNT($BP31:BT31)</f>
        <v>0</v>
      </c>
      <c r="CU31" s="8">
        <f>COUNT($BP31:BU31)</f>
        <v>0</v>
      </c>
      <c r="CV31" s="8">
        <f>COUNT($BP31:BV31)</f>
        <v>0</v>
      </c>
      <c r="CW31" s="8">
        <f>COUNT($BP31:BW31)</f>
        <v>0</v>
      </c>
      <c r="CX31" s="8">
        <f>COUNT($BP31:BX31)</f>
        <v>0</v>
      </c>
      <c r="CY31" s="8">
        <f>COUNT($BP31:BY31)</f>
        <v>0</v>
      </c>
      <c r="CZ31" s="8">
        <f>COUNT($BP31:BZ31)</f>
        <v>0</v>
      </c>
      <c r="DA31" s="8">
        <f>COUNT($BP31:CA31)</f>
        <v>1</v>
      </c>
      <c r="DC31">
        <f t="shared" si="47"/>
        <v>350</v>
      </c>
      <c r="DD31">
        <f t="shared" si="48"/>
        <v>52</v>
      </c>
      <c r="DE31" t="str">
        <f t="shared" si="49"/>
        <v>350-52</v>
      </c>
      <c r="DG31">
        <f t="shared" si="50"/>
        <v>1</v>
      </c>
      <c r="DH31">
        <f t="shared" si="51"/>
        <v>1</v>
      </c>
      <c r="DJ31" s="44" cm="1">
        <f t="array" ref="DJ31">IF(DJ$5&lt;=$DG31,INDEX($BC31:$BN31,1,_xlfn.XMATCH(DJ$5,$CC31:$CN31)),"na")</f>
        <v>45658</v>
      </c>
      <c r="DK31" s="45" cm="1">
        <f t="array" ref="DK31">IF(DK$5&lt;=$DH31,INDEX($BP31:$CA31,1,_xlfn.XMATCH(DK$5,$CP31:$DA31)),"na")</f>
        <v>46022</v>
      </c>
      <c r="DL31" s="46" cm="1">
        <f t="array" ref="DL31">IF(DL$5&lt;=$DG31,INDEX($AC31:$AN31,1,_xlfn.XMATCH(DL$5,$CC31:$CN31)),"na")</f>
        <v>12</v>
      </c>
      <c r="DM31" s="47" cm="1">
        <f t="array" ref="DM31">IF(DM$5&lt;=$DG31,INDEX($AP31:$BA31,1,_xlfn.XMATCH(DM$5,$CC31:$CN31)),"na")</f>
        <v>11</v>
      </c>
      <c r="DN31" s="44" t="str" cm="1">
        <f t="array" ref="DN31">IF(DN$5&lt;=$DG31,INDEX($BC31:$BN31,1,_xlfn.XMATCH(DN$5,$CC31:$CN31)),"na")</f>
        <v>na</v>
      </c>
      <c r="DO31" s="45" t="str" cm="1">
        <f t="array" ref="DO31">IF(DO$5&lt;=$DH31,INDEX($BP31:$CA31,1,_xlfn.XMATCH(DO$5,$CP31:$DA31)),"na")</f>
        <v>na</v>
      </c>
      <c r="DP31" s="46" t="str" cm="1">
        <f t="array" ref="DP31">IF(DP$5&lt;=$DG31,INDEX($AC31:$AN31,1,_xlfn.XMATCH(DP$5,$CC31:$CN31)),"na")</f>
        <v>na</v>
      </c>
      <c r="DQ31" s="47" t="str" cm="1">
        <f t="array" ref="DQ31">IF(DQ$5&lt;=$DG31,INDEX($AP31:$BA31,1,_xlfn.XMATCH(DQ$5,$CC31:$CN31)),"na")</f>
        <v>na</v>
      </c>
      <c r="DR31" s="44" t="str" cm="1">
        <f t="array" ref="DR31">IF(DR$5&lt;=$DG31,INDEX($BC31:$BN31,1,_xlfn.XMATCH(DR$5,$CC31:$CN31)),"na")</f>
        <v>na</v>
      </c>
      <c r="DS31" s="45" t="str" cm="1">
        <f t="array" ref="DS31">IF(DS$5&lt;=$DH31,INDEX($BP31:$CA31,1,_xlfn.XMATCH(DS$5,$CP31:$DA31)),"na")</f>
        <v>na</v>
      </c>
      <c r="DT31" s="46" t="str" cm="1">
        <f t="array" ref="DT31">IF(DT$5&lt;=$DG31,INDEX($AC31:$AN31,1,_xlfn.XMATCH(DT$5,$CC31:$CN31)),"na")</f>
        <v>na</v>
      </c>
      <c r="DU31" s="47" t="str" cm="1">
        <f t="array" ref="DU31">IF(DU$5&lt;=$DG31,INDEX($AP31:$BA31,1,_xlfn.XMATCH(DU$5,$CC31:$CN31)),"na")</f>
        <v>na</v>
      </c>
      <c r="DV31" s="44" t="str" cm="1">
        <f t="array" ref="DV31">IF(DV$5&lt;=$DG31,INDEX($BC31:$BN31,1,_xlfn.XMATCH(DV$5,$CC31:$CN31)),"na")</f>
        <v>na</v>
      </c>
      <c r="DW31" s="45" t="str" cm="1">
        <f t="array" ref="DW31">IF(DW$5&lt;=$DH31,INDEX($BP31:$CA31,1,_xlfn.XMATCH(DW$5,$CP31:$DA31)),"na")</f>
        <v>na</v>
      </c>
      <c r="DX31" s="46" t="str" cm="1">
        <f t="array" ref="DX31">IF(DX$5&lt;=$DG31,INDEX($AC31:$AN31,1,_xlfn.XMATCH(DX$5,$CC31:$CN31)),"na")</f>
        <v>na</v>
      </c>
      <c r="DY31" s="47" t="str" cm="1">
        <f t="array" ref="DY31">IF(DY$5&lt;=$DG31,INDEX($AP31:$BA31,1,_xlfn.XMATCH(DY$5,$CC31:$CN31)),"na")</f>
        <v>na</v>
      </c>
      <c r="DZ31" s="44" t="str" cm="1">
        <f t="array" ref="DZ31">IF(DZ$5&lt;=$DG31,INDEX($BC31:$BN31,1,_xlfn.XMATCH(DZ$5,$CC31:$CN31)),"na")</f>
        <v>na</v>
      </c>
      <c r="EA31" s="45" t="str" cm="1">
        <f t="array" ref="EA31">IF(EA$5&lt;=$DH31,INDEX($BP31:$CA31,1,_xlfn.XMATCH(EA$5,$CP31:$DA31)),"na")</f>
        <v>na</v>
      </c>
      <c r="EB31" s="46" t="str" cm="1">
        <f t="array" ref="EB31">IF(EB$5&lt;=$DG31,INDEX($AC31:$AN31,1,_xlfn.XMATCH(EB$5,$CC31:$CN31)),"na")</f>
        <v>na</v>
      </c>
      <c r="EC31" s="47" t="str" cm="1">
        <f t="array" ref="EC31">IF(EC$5&lt;=$DG31,INDEX($AP31:$BA31,1,_xlfn.XMATCH(EC$5,$CC31:$CN31)),"na")</f>
        <v>na</v>
      </c>
      <c r="ED31" s="44" t="str" cm="1">
        <f t="array" ref="ED31">IF(ED$5&lt;=$DG31,INDEX($BC31:$BN31,1,_xlfn.XMATCH(ED$5,$CC31:$CN31)),"na")</f>
        <v>na</v>
      </c>
      <c r="EE31" s="45" t="str" cm="1">
        <f t="array" ref="EE31">IF(EE$5&lt;=$DH31,INDEX($BP31:$CA31,1,_xlfn.XMATCH(EE$5,$CP31:$DA31)),"na")</f>
        <v>na</v>
      </c>
      <c r="EF31" s="46" t="str" cm="1">
        <f t="array" ref="EF31">IF(EF$5&lt;=$DG31,INDEX($AC31:$AN31,1,_xlfn.XMATCH(EF$5,$CC31:$CN31)),"na")</f>
        <v>na</v>
      </c>
      <c r="EG31" s="47" t="str" cm="1">
        <f t="array" ref="EG31">IF(EG$5&lt;=$DG31,INDEX($AP31:$BA31,1,_xlfn.XMATCH(EG$5,$CC31:$CN31)),"na")</f>
        <v>na</v>
      </c>
      <c r="EH31" s="44" t="str" cm="1">
        <f t="array" ref="EH31">IF(EH$5&lt;=$DG31,INDEX($BC31:$BN31,1,_xlfn.XMATCH(EH$5,$CC31:$CN31)),"na")</f>
        <v>na</v>
      </c>
      <c r="EI31" s="45" t="str" cm="1">
        <f t="array" ref="EI31">IF(EI$5&lt;=$DH31,INDEX($BP31:$CA31,1,_xlfn.XMATCH(EI$5,$CP31:$DA31)),"na")</f>
        <v>na</v>
      </c>
      <c r="EJ31" s="46" t="str" cm="1">
        <f t="array" ref="EJ31">IF(EJ$5&lt;=$DG31,INDEX($AC31:$AN31,1,_xlfn.XMATCH(EJ$5,$CC31:$CN31)),"na")</f>
        <v>na</v>
      </c>
      <c r="EK31" s="47" t="str" cm="1">
        <f t="array" ref="EK31">IF(EK$5&lt;=$DG31,INDEX($AP31:$BA31,1,_xlfn.XMATCH(EK$5,$CC31:$CN31)),"na")</f>
        <v>na</v>
      </c>
      <c r="EL31" s="44" t="str" cm="1">
        <f t="array" ref="EL31">IF(EL$5&lt;=$DG31,INDEX($BC31:$BN31,1,_xlfn.XMATCH(EL$5,$CC31:$CN31)),"na")</f>
        <v>na</v>
      </c>
      <c r="EM31" s="45" t="str" cm="1">
        <f t="array" ref="EM31">IF(EM$5&lt;=$DH31,INDEX($BP31:$CA31,1,_xlfn.XMATCH(EM$5,$CP31:$DA31)),"na")</f>
        <v>na</v>
      </c>
      <c r="EN31" s="46" t="str" cm="1">
        <f t="array" ref="EN31">IF(EN$5&lt;=$DG31,INDEX($AC31:$AN31,1,_xlfn.XMATCH(EN$5,$CC31:$CN31)),"na")</f>
        <v>na</v>
      </c>
      <c r="EO31" s="47" t="str" cm="1">
        <f t="array" ref="EO31">IF(EO$5&lt;=$DG31,INDEX($AP31:$BA31,1,_xlfn.XMATCH(EO$5,$CC31:$CN31)),"na")</f>
        <v>na</v>
      </c>
      <c r="EP31" s="44" t="str" cm="1">
        <f t="array" ref="EP31">IF(EP$5&lt;=$DG31,INDEX($BC31:$BN31,1,_xlfn.XMATCH(EP$5,$CC31:$CN31)),"na")</f>
        <v>na</v>
      </c>
      <c r="EQ31" s="45" t="str" cm="1">
        <f t="array" ref="EQ31">IF(EQ$5&lt;=$DH31,INDEX($BP31:$CA31,1,_xlfn.XMATCH(EQ$5,$CP31:$DA31)),"na")</f>
        <v>na</v>
      </c>
      <c r="ER31" s="46" t="str" cm="1">
        <f t="array" ref="ER31">IF(ER$5&lt;=$DG31,INDEX($AC31:$AN31,1,_xlfn.XMATCH(ER$5,$CC31:$CN31)),"na")</f>
        <v>na</v>
      </c>
      <c r="ES31" s="47" t="str" cm="1">
        <f t="array" ref="ES31">IF(ES$5&lt;=$DG31,INDEX($AP31:$BA31,1,_xlfn.XMATCH(ES$5,$CC31:$CN31)),"na")</f>
        <v>na</v>
      </c>
      <c r="ET31" s="44" t="str" cm="1">
        <f t="array" ref="ET31">IF(ET$5&lt;=$DG31,INDEX($BC31:$BN31,1,_xlfn.XMATCH(ET$5,$CC31:$CN31)),"na")</f>
        <v>na</v>
      </c>
      <c r="EU31" s="45" t="str" cm="1">
        <f t="array" ref="EU31">IF(EU$5&lt;=$DH31,INDEX($BP31:$CA31,1,_xlfn.XMATCH(EU$5,$CP31:$DA31)),"na")</f>
        <v>na</v>
      </c>
      <c r="EV31" s="46" t="str" cm="1">
        <f t="array" ref="EV31">IF(EV$5&lt;=$DG31,INDEX($AC31:$AN31,1,_xlfn.XMATCH(EV$5,$CC31:$CN31)),"na")</f>
        <v>na</v>
      </c>
      <c r="EW31" s="47" t="str" cm="1">
        <f t="array" ref="EW31">IF(EW$5&lt;=$DG31,INDEX($AP31:$BA31,1,_xlfn.XMATCH(EW$5,$CC31:$CN31)),"na")</f>
        <v>na</v>
      </c>
      <c r="EX31" s="44" t="str" cm="1">
        <f t="array" ref="EX31">IF(EX$5&lt;=$DG31,INDEX($BC31:$BN31,1,_xlfn.XMATCH(EX$5,$CC31:$CN31)),"na")</f>
        <v>na</v>
      </c>
      <c r="EY31" s="45" t="str" cm="1">
        <f t="array" ref="EY31">IF(EY$5&lt;=$DH31,INDEX($BP31:$CA31,1,_xlfn.XMATCH(EY$5,$CP31:$DA31)),"na")</f>
        <v>na</v>
      </c>
      <c r="EZ31" s="46" t="str" cm="1">
        <f t="array" ref="EZ31">IF(EZ$5&lt;=$DG31,INDEX($AC31:$AN31,1,_xlfn.XMATCH(EZ$5,$CC31:$CN31)),"na")</f>
        <v>na</v>
      </c>
      <c r="FA31" s="47" t="str" cm="1">
        <f t="array" ref="FA31">IF(FA$5&lt;=$DG31,INDEX($AP31:$BA31,1,_xlfn.XMATCH(FA$5,$CC31:$CN31)),"na")</f>
        <v>na</v>
      </c>
      <c r="FB31" s="44" t="str" cm="1">
        <f t="array" ref="FB31">IF(FB$5&lt;=$DG31,INDEX($BC31:$BN31,1,_xlfn.XMATCH(FB$5,$CC31:$CN31)),"na")</f>
        <v>na</v>
      </c>
      <c r="FC31" s="45" t="str" cm="1">
        <f t="array" ref="FC31">IF(FC$5&lt;=$DH31,INDEX($BP31:$CA31,1,_xlfn.XMATCH(FC$5,$CP31:$DA31)),"na")</f>
        <v>na</v>
      </c>
      <c r="FD31" s="46" t="str" cm="1">
        <f t="array" ref="FD31">IF(FD$5&lt;=$DG31,INDEX($AC31:$AN31,1,_xlfn.XMATCH(FD$5,$CC31:$CN31)),"na")</f>
        <v>na</v>
      </c>
      <c r="FE31" s="47" t="str" cm="1">
        <f t="array" ref="FE31">IF(FE$5&lt;=$DG31,INDEX($AP31:$BA31,1,_xlfn.XMATCH(FE$5,$CC31:$CN31)),"na")</f>
        <v>na</v>
      </c>
    </row>
    <row r="32" spans="2:161" hidden="1" x14ac:dyDescent="0.25">
      <c r="B32" s="9" t="s">
        <v>90</v>
      </c>
      <c r="C32" s="8">
        <v>2945</v>
      </c>
      <c r="D32" s="8">
        <v>2660</v>
      </c>
      <c r="E32" s="8">
        <v>2945</v>
      </c>
      <c r="F32" s="8">
        <v>2850</v>
      </c>
      <c r="G32" s="8">
        <v>2945</v>
      </c>
      <c r="H32" s="8">
        <v>2850</v>
      </c>
      <c r="I32" s="8">
        <v>2945</v>
      </c>
      <c r="J32" s="8">
        <v>2945</v>
      </c>
      <c r="K32" s="8">
        <v>2850</v>
      </c>
      <c r="L32" s="8">
        <v>2945</v>
      </c>
      <c r="M32" s="8">
        <v>2850</v>
      </c>
      <c r="N32" s="8">
        <v>2945</v>
      </c>
      <c r="O32" s="8"/>
      <c r="P32" s="8">
        <v>2759</v>
      </c>
      <c r="Q32" s="8">
        <v>2492</v>
      </c>
      <c r="R32" s="8">
        <v>2759</v>
      </c>
      <c r="S32" s="8">
        <v>2670</v>
      </c>
      <c r="T32" s="8">
        <v>2759</v>
      </c>
      <c r="U32" s="8">
        <v>2670</v>
      </c>
      <c r="V32" s="8">
        <v>2759</v>
      </c>
      <c r="W32" s="8">
        <v>2759</v>
      </c>
      <c r="X32" s="8">
        <v>2670</v>
      </c>
      <c r="Y32" s="8">
        <v>2759</v>
      </c>
      <c r="Z32" s="8">
        <v>2670</v>
      </c>
      <c r="AA32" s="8">
        <v>2759</v>
      </c>
      <c r="AC32" s="14">
        <f>C32/_xlfn.XLOOKUP(AC$5,'OC-Days'!$G:$G,'OC-Days'!$B:$B)</f>
        <v>95</v>
      </c>
      <c r="AD32" s="14">
        <f>D32/_xlfn.XLOOKUP(AD$5,'OC-Days'!$G:$G,'OC-Days'!$B:$B)</f>
        <v>95</v>
      </c>
      <c r="AE32" s="14">
        <f>E32/_xlfn.XLOOKUP(AE$5,'OC-Days'!$G:$G,'OC-Days'!$B:$B)</f>
        <v>95</v>
      </c>
      <c r="AF32" s="14">
        <f>F32/_xlfn.XLOOKUP(AF$5,'OC-Days'!$G:$G,'OC-Days'!$B:$B)</f>
        <v>95</v>
      </c>
      <c r="AG32" s="14">
        <f>G32/_xlfn.XLOOKUP(AG$5,'OC-Days'!$G:$G,'OC-Days'!$B:$B)</f>
        <v>95</v>
      </c>
      <c r="AH32" s="14">
        <f>H32/_xlfn.XLOOKUP(AH$5,'OC-Days'!$G:$G,'OC-Days'!$B:$B)</f>
        <v>95</v>
      </c>
      <c r="AI32" s="14">
        <f>I32/_xlfn.XLOOKUP(AI$5,'OC-Days'!$G:$G,'OC-Days'!$B:$B)</f>
        <v>95</v>
      </c>
      <c r="AJ32" s="14">
        <f>J32/_xlfn.XLOOKUP(AJ$5,'OC-Days'!$G:$G,'OC-Days'!$B:$B)</f>
        <v>95</v>
      </c>
      <c r="AK32" s="14">
        <f>K32/_xlfn.XLOOKUP(AK$5,'OC-Days'!$G:$G,'OC-Days'!$B:$B)</f>
        <v>95</v>
      </c>
      <c r="AL32" s="14">
        <f>L32/_xlfn.XLOOKUP(AL$5,'OC-Days'!$G:$G,'OC-Days'!$B:$B)</f>
        <v>95</v>
      </c>
      <c r="AM32" s="14">
        <f>M32/_xlfn.XLOOKUP(AM$5,'OC-Days'!$G:$G,'OC-Days'!$B:$B)</f>
        <v>95</v>
      </c>
      <c r="AN32" s="14">
        <f>N32/_xlfn.XLOOKUP(AN$5,'OC-Days'!$G:$G,'OC-Days'!$B:$B)</f>
        <v>95</v>
      </c>
      <c r="AP32" s="14">
        <f>P32/_xlfn.XLOOKUP(AP$5,'OC-Days'!$G:$G,'OC-Days'!$B:$B)</f>
        <v>89</v>
      </c>
      <c r="AQ32" s="14">
        <f>Q32/_xlfn.XLOOKUP(AQ$5,'OC-Days'!$G:$G,'OC-Days'!$B:$B)</f>
        <v>89</v>
      </c>
      <c r="AR32" s="14">
        <f>R32/_xlfn.XLOOKUP(AR$5,'OC-Days'!$G:$G,'OC-Days'!$B:$B)</f>
        <v>89</v>
      </c>
      <c r="AS32" s="14">
        <f>S32/_xlfn.XLOOKUP(AS$5,'OC-Days'!$G:$G,'OC-Days'!$B:$B)</f>
        <v>89</v>
      </c>
      <c r="AT32" s="14">
        <f>T32/_xlfn.XLOOKUP(AT$5,'OC-Days'!$G:$G,'OC-Days'!$B:$B)</f>
        <v>89</v>
      </c>
      <c r="AU32" s="14">
        <f>U32/_xlfn.XLOOKUP(AU$5,'OC-Days'!$G:$G,'OC-Days'!$B:$B)</f>
        <v>89</v>
      </c>
      <c r="AV32" s="14">
        <f>V32/_xlfn.XLOOKUP(AV$5,'OC-Days'!$G:$G,'OC-Days'!$B:$B)</f>
        <v>89</v>
      </c>
      <c r="AW32" s="14">
        <f>W32/_xlfn.XLOOKUP(AW$5,'OC-Days'!$G:$G,'OC-Days'!$B:$B)</f>
        <v>89</v>
      </c>
      <c r="AX32" s="14">
        <f>X32/_xlfn.XLOOKUP(AX$5,'OC-Days'!$G:$G,'OC-Days'!$B:$B)</f>
        <v>89</v>
      </c>
      <c r="AY32" s="14">
        <f>Y32/_xlfn.XLOOKUP(AY$5,'OC-Days'!$G:$G,'OC-Days'!$B:$B)</f>
        <v>89</v>
      </c>
      <c r="AZ32" s="14">
        <f>Z32/_xlfn.XLOOKUP(AZ$5,'OC-Days'!$G:$G,'OC-Days'!$B:$B)</f>
        <v>89</v>
      </c>
      <c r="BA32" s="14">
        <f>AA32/_xlfn.XLOOKUP(BA$5,'OC-Days'!$G:$G,'OC-Days'!$B:$B)</f>
        <v>89</v>
      </c>
      <c r="BC32" s="33">
        <f>_xlfn.XLOOKUP(BC$5,'OC-Days'!$G:$G,'OC-Days'!$F:$F)</f>
        <v>45658</v>
      </c>
      <c r="BD32" s="34" t="str">
        <f>IF(AQ32=AP32,"na",_xlfn.XLOOKUP(BD$5,'OC-Days'!$G:$G,'OC-Days'!$F:$F))</f>
        <v>na</v>
      </c>
      <c r="BE32" s="34" t="str">
        <f>IF(AR32=AQ32,"na",_xlfn.XLOOKUP(BE$5,'OC-Days'!$G:$G,'OC-Days'!$F:$F))</f>
        <v>na</v>
      </c>
      <c r="BF32" s="34" t="str">
        <f>IF(AS32=AR32,"na",_xlfn.XLOOKUP(BF$5,'OC-Days'!$G:$G,'OC-Days'!$F:$F))</f>
        <v>na</v>
      </c>
      <c r="BG32" s="34" t="str">
        <f>IF(AT32=AS32,"na",_xlfn.XLOOKUP(BG$5,'OC-Days'!$G:$G,'OC-Days'!$F:$F))</f>
        <v>na</v>
      </c>
      <c r="BH32" s="34" t="str">
        <f>IF(AU32=AT32,"na",_xlfn.XLOOKUP(BH$5,'OC-Days'!$G:$G,'OC-Days'!$F:$F))</f>
        <v>na</v>
      </c>
      <c r="BI32" s="34" t="str">
        <f>IF(AV32=AU32,"na",_xlfn.XLOOKUP(BI$5,'OC-Days'!$G:$G,'OC-Days'!$F:$F))</f>
        <v>na</v>
      </c>
      <c r="BJ32" s="34" t="str">
        <f>IF(AW32=AV32,"na",_xlfn.XLOOKUP(BJ$5,'OC-Days'!$G:$G,'OC-Days'!$F:$F))</f>
        <v>na</v>
      </c>
      <c r="BK32" s="34" t="str">
        <f>IF(AX32=AW32,"na",_xlfn.XLOOKUP(BK$5,'OC-Days'!$G:$G,'OC-Days'!$F:$F))</f>
        <v>na</v>
      </c>
      <c r="BL32" s="34" t="str">
        <f>IF(AY32=AX32,"na",_xlfn.XLOOKUP(BL$5,'OC-Days'!$G:$G,'OC-Days'!$F:$F))</f>
        <v>na</v>
      </c>
      <c r="BM32" s="34" t="str">
        <f>IF(AZ32=AY32,"na",_xlfn.XLOOKUP(BM$5,'OC-Days'!$G:$G,'OC-Days'!$F:$F))</f>
        <v>na</v>
      </c>
      <c r="BN32" s="34" t="str">
        <f>IF(BA32=AZ32,"na",_xlfn.XLOOKUP(BN$5,'OC-Days'!$G:$G,'OC-Days'!$F:$F))</f>
        <v>na</v>
      </c>
      <c r="BP32" s="36" t="str">
        <f t="shared" si="35"/>
        <v>na</v>
      </c>
      <c r="BQ32" s="36" t="str">
        <f t="shared" si="36"/>
        <v>na</v>
      </c>
      <c r="BR32" s="36" t="str">
        <f t="shared" si="37"/>
        <v>na</v>
      </c>
      <c r="BS32" s="36" t="str">
        <f t="shared" si="38"/>
        <v>na</v>
      </c>
      <c r="BT32" s="36" t="str">
        <f t="shared" si="39"/>
        <v>na</v>
      </c>
      <c r="BU32" s="36" t="str">
        <f t="shared" si="40"/>
        <v>na</v>
      </c>
      <c r="BV32" s="36" t="str">
        <f t="shared" si="41"/>
        <v>na</v>
      </c>
      <c r="BW32" s="36" t="str">
        <f t="shared" si="42"/>
        <v>na</v>
      </c>
      <c r="BX32" s="36" t="str">
        <f t="shared" si="43"/>
        <v>na</v>
      </c>
      <c r="BY32" s="36" t="str">
        <f t="shared" si="44"/>
        <v>na</v>
      </c>
      <c r="BZ32" s="36" t="str">
        <f t="shared" si="45"/>
        <v>na</v>
      </c>
      <c r="CA32" s="43">
        <f t="shared" si="46"/>
        <v>46022</v>
      </c>
      <c r="CC32" s="8">
        <f>COUNT($BC32:BC32)</f>
        <v>1</v>
      </c>
      <c r="CD32" s="8">
        <f>COUNT($BC32:BD32)</f>
        <v>1</v>
      </c>
      <c r="CE32" s="8">
        <f>COUNT($BC32:BE32)</f>
        <v>1</v>
      </c>
      <c r="CF32" s="8">
        <f>COUNT($BC32:BF32)</f>
        <v>1</v>
      </c>
      <c r="CG32" s="8">
        <f>COUNT($BC32:BG32)</f>
        <v>1</v>
      </c>
      <c r="CH32" s="8">
        <f>COUNT($BC32:BH32)</f>
        <v>1</v>
      </c>
      <c r="CI32" s="8">
        <f>COUNT($BC32:BI32)</f>
        <v>1</v>
      </c>
      <c r="CJ32" s="8">
        <f>COUNT($BC32:BJ32)</f>
        <v>1</v>
      </c>
      <c r="CK32" s="8">
        <f>COUNT($BC32:BK32)</f>
        <v>1</v>
      </c>
      <c r="CL32" s="8">
        <f>COUNT($BC32:BL32)</f>
        <v>1</v>
      </c>
      <c r="CM32" s="8">
        <f>COUNT($BC32:BM32)</f>
        <v>1</v>
      </c>
      <c r="CN32" s="8">
        <f>COUNT($BC32:BN32)</f>
        <v>1</v>
      </c>
      <c r="CO32" s="8"/>
      <c r="CP32" s="8">
        <f>COUNT($BP32:BP32)</f>
        <v>0</v>
      </c>
      <c r="CQ32" s="8">
        <f>COUNT($BP32:BQ32)</f>
        <v>0</v>
      </c>
      <c r="CR32" s="8">
        <f>COUNT($BP32:BR32)</f>
        <v>0</v>
      </c>
      <c r="CS32" s="8">
        <f>COUNT($BP32:BS32)</f>
        <v>0</v>
      </c>
      <c r="CT32" s="8">
        <f>COUNT($BP32:BT32)</f>
        <v>0</v>
      </c>
      <c r="CU32" s="8">
        <f>COUNT($BP32:BU32)</f>
        <v>0</v>
      </c>
      <c r="CV32" s="8">
        <f>COUNT($BP32:BV32)</f>
        <v>0</v>
      </c>
      <c r="CW32" s="8">
        <f>COUNT($BP32:BW32)</f>
        <v>0</v>
      </c>
      <c r="CX32" s="8">
        <f>COUNT($BP32:BX32)</f>
        <v>0</v>
      </c>
      <c r="CY32" s="8">
        <f>COUNT($BP32:BY32)</f>
        <v>0</v>
      </c>
      <c r="CZ32" s="8">
        <f>COUNT($BP32:BZ32)</f>
        <v>0</v>
      </c>
      <c r="DA32" s="8">
        <f>COUNT($BP32:CA32)</f>
        <v>1</v>
      </c>
      <c r="DC32">
        <f t="shared" si="47"/>
        <v>350</v>
      </c>
      <c r="DD32" t="str">
        <f t="shared" si="48"/>
        <v>Rollup</v>
      </c>
      <c r="DE32" t="str">
        <f t="shared" si="49"/>
        <v>350-Rollup</v>
      </c>
      <c r="DG32">
        <f t="shared" si="50"/>
        <v>1</v>
      </c>
      <c r="DH32">
        <f t="shared" si="51"/>
        <v>1</v>
      </c>
    </row>
    <row r="33" spans="2:161" x14ac:dyDescent="0.25">
      <c r="B33" s="10" t="s">
        <v>122</v>
      </c>
      <c r="C33" s="8">
        <v>1333</v>
      </c>
      <c r="D33" s="8">
        <v>1204</v>
      </c>
      <c r="E33" s="8">
        <v>1333</v>
      </c>
      <c r="F33" s="8">
        <v>1290</v>
      </c>
      <c r="G33" s="8">
        <v>1333</v>
      </c>
      <c r="H33" s="8">
        <v>1290</v>
      </c>
      <c r="I33" s="8">
        <v>1333</v>
      </c>
      <c r="J33" s="8">
        <v>1333</v>
      </c>
      <c r="K33" s="8">
        <v>1290</v>
      </c>
      <c r="L33" s="8">
        <v>1333</v>
      </c>
      <c r="M33" s="8">
        <v>1290</v>
      </c>
      <c r="N33" s="8">
        <v>1333</v>
      </c>
      <c r="O33" s="8"/>
      <c r="P33" s="8">
        <v>1054</v>
      </c>
      <c r="Q33" s="8">
        <v>980</v>
      </c>
      <c r="R33" s="8">
        <v>1116</v>
      </c>
      <c r="S33" s="8">
        <v>1110</v>
      </c>
      <c r="T33" s="8">
        <v>1147</v>
      </c>
      <c r="U33" s="8">
        <v>1110</v>
      </c>
      <c r="V33" s="8">
        <v>1147</v>
      </c>
      <c r="W33" s="8">
        <v>1147</v>
      </c>
      <c r="X33" s="8">
        <v>1110</v>
      </c>
      <c r="Y33" s="8">
        <v>1147</v>
      </c>
      <c r="Z33" s="8">
        <v>1110</v>
      </c>
      <c r="AA33" s="8">
        <v>1147</v>
      </c>
      <c r="AC33" s="14">
        <f>C33/_xlfn.XLOOKUP(AC$5,'OC-Days'!$G:$G,'OC-Days'!$B:$B)</f>
        <v>43</v>
      </c>
      <c r="AD33" s="14">
        <f>D33/_xlfn.XLOOKUP(AD$5,'OC-Days'!$G:$G,'OC-Days'!$B:$B)</f>
        <v>43</v>
      </c>
      <c r="AE33" s="14">
        <f>E33/_xlfn.XLOOKUP(AE$5,'OC-Days'!$G:$G,'OC-Days'!$B:$B)</f>
        <v>43</v>
      </c>
      <c r="AF33" s="14">
        <f>F33/_xlfn.XLOOKUP(AF$5,'OC-Days'!$G:$G,'OC-Days'!$B:$B)</f>
        <v>43</v>
      </c>
      <c r="AG33" s="14">
        <f>G33/_xlfn.XLOOKUP(AG$5,'OC-Days'!$G:$G,'OC-Days'!$B:$B)</f>
        <v>43</v>
      </c>
      <c r="AH33" s="14">
        <f>H33/_xlfn.XLOOKUP(AH$5,'OC-Days'!$G:$G,'OC-Days'!$B:$B)</f>
        <v>43</v>
      </c>
      <c r="AI33" s="14">
        <f>I33/_xlfn.XLOOKUP(AI$5,'OC-Days'!$G:$G,'OC-Days'!$B:$B)</f>
        <v>43</v>
      </c>
      <c r="AJ33" s="14">
        <f>J33/_xlfn.XLOOKUP(AJ$5,'OC-Days'!$G:$G,'OC-Days'!$B:$B)</f>
        <v>43</v>
      </c>
      <c r="AK33" s="14">
        <f>K33/_xlfn.XLOOKUP(AK$5,'OC-Days'!$G:$G,'OC-Days'!$B:$B)</f>
        <v>43</v>
      </c>
      <c r="AL33" s="14">
        <f>L33/_xlfn.XLOOKUP(AL$5,'OC-Days'!$G:$G,'OC-Days'!$B:$B)</f>
        <v>43</v>
      </c>
      <c r="AM33" s="14">
        <f>M33/_xlfn.XLOOKUP(AM$5,'OC-Days'!$G:$G,'OC-Days'!$B:$B)</f>
        <v>43</v>
      </c>
      <c r="AN33" s="14">
        <f>N33/_xlfn.XLOOKUP(AN$5,'OC-Days'!$G:$G,'OC-Days'!$B:$B)</f>
        <v>43</v>
      </c>
      <c r="AP33" s="14">
        <f>P33/_xlfn.XLOOKUP(AP$5,'OC-Days'!$G:$G,'OC-Days'!$B:$B)</f>
        <v>34</v>
      </c>
      <c r="AQ33" s="14">
        <f>Q33/_xlfn.XLOOKUP(AQ$5,'OC-Days'!$G:$G,'OC-Days'!$B:$B)</f>
        <v>35</v>
      </c>
      <c r="AR33" s="14">
        <f>R33/_xlfn.XLOOKUP(AR$5,'OC-Days'!$G:$G,'OC-Days'!$B:$B)</f>
        <v>36</v>
      </c>
      <c r="AS33" s="14">
        <f>S33/_xlfn.XLOOKUP(AS$5,'OC-Days'!$G:$G,'OC-Days'!$B:$B)</f>
        <v>37</v>
      </c>
      <c r="AT33" s="14">
        <f>T33/_xlfn.XLOOKUP(AT$5,'OC-Days'!$G:$G,'OC-Days'!$B:$B)</f>
        <v>37</v>
      </c>
      <c r="AU33" s="14">
        <f>U33/_xlfn.XLOOKUP(AU$5,'OC-Days'!$G:$G,'OC-Days'!$B:$B)</f>
        <v>37</v>
      </c>
      <c r="AV33" s="14">
        <f>V33/_xlfn.XLOOKUP(AV$5,'OC-Days'!$G:$G,'OC-Days'!$B:$B)</f>
        <v>37</v>
      </c>
      <c r="AW33" s="14">
        <f>W33/_xlfn.XLOOKUP(AW$5,'OC-Days'!$G:$G,'OC-Days'!$B:$B)</f>
        <v>37</v>
      </c>
      <c r="AX33" s="14">
        <f>X33/_xlfn.XLOOKUP(AX$5,'OC-Days'!$G:$G,'OC-Days'!$B:$B)</f>
        <v>37</v>
      </c>
      <c r="AY33" s="14">
        <f>Y33/_xlfn.XLOOKUP(AY$5,'OC-Days'!$G:$G,'OC-Days'!$B:$B)</f>
        <v>37</v>
      </c>
      <c r="AZ33" s="14">
        <f>Z33/_xlfn.XLOOKUP(AZ$5,'OC-Days'!$G:$G,'OC-Days'!$B:$B)</f>
        <v>37</v>
      </c>
      <c r="BA33" s="14">
        <f>AA33/_xlfn.XLOOKUP(BA$5,'OC-Days'!$G:$G,'OC-Days'!$B:$B)</f>
        <v>37</v>
      </c>
      <c r="BC33" s="33">
        <f>_xlfn.XLOOKUP(BC$5,'OC-Days'!$G:$G,'OC-Days'!$F:$F)</f>
        <v>45658</v>
      </c>
      <c r="BD33" s="34">
        <f>IF(AQ33=AP33,"na",_xlfn.XLOOKUP(BD$5,'OC-Days'!$G:$G,'OC-Days'!$F:$F))</f>
        <v>45689</v>
      </c>
      <c r="BE33" s="34">
        <f>IF(AR33=AQ33,"na",_xlfn.XLOOKUP(BE$5,'OC-Days'!$G:$G,'OC-Days'!$F:$F))</f>
        <v>45717</v>
      </c>
      <c r="BF33" s="34">
        <f>IF(AS33=AR33,"na",_xlfn.XLOOKUP(BF$5,'OC-Days'!$G:$G,'OC-Days'!$F:$F))</f>
        <v>45748</v>
      </c>
      <c r="BG33" s="34" t="str">
        <f>IF(AT33=AS33,"na",_xlfn.XLOOKUP(BG$5,'OC-Days'!$G:$G,'OC-Days'!$F:$F))</f>
        <v>na</v>
      </c>
      <c r="BH33" s="34" t="str">
        <f>IF(AU33=AT33,"na",_xlfn.XLOOKUP(BH$5,'OC-Days'!$G:$G,'OC-Days'!$F:$F))</f>
        <v>na</v>
      </c>
      <c r="BI33" s="34" t="str">
        <f>IF(AV33=AU33,"na",_xlfn.XLOOKUP(BI$5,'OC-Days'!$G:$G,'OC-Days'!$F:$F))</f>
        <v>na</v>
      </c>
      <c r="BJ33" s="34" t="str">
        <f>IF(AW33=AV33,"na",_xlfn.XLOOKUP(BJ$5,'OC-Days'!$G:$G,'OC-Days'!$F:$F))</f>
        <v>na</v>
      </c>
      <c r="BK33" s="34" t="str">
        <f>IF(AX33=AW33,"na",_xlfn.XLOOKUP(BK$5,'OC-Days'!$G:$G,'OC-Days'!$F:$F))</f>
        <v>na</v>
      </c>
      <c r="BL33" s="34" t="str">
        <f>IF(AY33=AX33,"na",_xlfn.XLOOKUP(BL$5,'OC-Days'!$G:$G,'OC-Days'!$F:$F))</f>
        <v>na</v>
      </c>
      <c r="BM33" s="34" t="str">
        <f>IF(AZ33=AY33,"na",_xlfn.XLOOKUP(BM$5,'OC-Days'!$G:$G,'OC-Days'!$F:$F))</f>
        <v>na</v>
      </c>
      <c r="BN33" s="34" t="str">
        <f>IF(BA33=AZ33,"na",_xlfn.XLOOKUP(BN$5,'OC-Days'!$G:$G,'OC-Days'!$F:$F))</f>
        <v>na</v>
      </c>
      <c r="BP33" s="36">
        <f t="shared" si="35"/>
        <v>45688</v>
      </c>
      <c r="BQ33" s="36">
        <f t="shared" si="36"/>
        <v>45716</v>
      </c>
      <c r="BR33" s="36">
        <f t="shared" si="37"/>
        <v>45747</v>
      </c>
      <c r="BS33" s="36" t="str">
        <f t="shared" si="38"/>
        <v>na</v>
      </c>
      <c r="BT33" s="36" t="str">
        <f t="shared" si="39"/>
        <v>na</v>
      </c>
      <c r="BU33" s="36" t="str">
        <f t="shared" si="40"/>
        <v>na</v>
      </c>
      <c r="BV33" s="36" t="str">
        <f t="shared" si="41"/>
        <v>na</v>
      </c>
      <c r="BW33" s="36" t="str">
        <f t="shared" si="42"/>
        <v>na</v>
      </c>
      <c r="BX33" s="36" t="str">
        <f t="shared" si="43"/>
        <v>na</v>
      </c>
      <c r="BY33" s="36" t="str">
        <f t="shared" si="44"/>
        <v>na</v>
      </c>
      <c r="BZ33" s="36" t="str">
        <f t="shared" si="45"/>
        <v>na</v>
      </c>
      <c r="CA33" s="43">
        <f t="shared" si="46"/>
        <v>46022</v>
      </c>
      <c r="CC33" s="8">
        <f>COUNT($BC33:BC33)</f>
        <v>1</v>
      </c>
      <c r="CD33" s="8">
        <f>COUNT($BC33:BD33)</f>
        <v>2</v>
      </c>
      <c r="CE33" s="8">
        <f>COUNT($BC33:BE33)</f>
        <v>3</v>
      </c>
      <c r="CF33" s="8">
        <f>COUNT($BC33:BF33)</f>
        <v>4</v>
      </c>
      <c r="CG33" s="8">
        <f>COUNT($BC33:BG33)</f>
        <v>4</v>
      </c>
      <c r="CH33" s="8">
        <f>COUNT($BC33:BH33)</f>
        <v>4</v>
      </c>
      <c r="CI33" s="8">
        <f>COUNT($BC33:BI33)</f>
        <v>4</v>
      </c>
      <c r="CJ33" s="8">
        <f>COUNT($BC33:BJ33)</f>
        <v>4</v>
      </c>
      <c r="CK33" s="8">
        <f>COUNT($BC33:BK33)</f>
        <v>4</v>
      </c>
      <c r="CL33" s="8">
        <f>COUNT($BC33:BL33)</f>
        <v>4</v>
      </c>
      <c r="CM33" s="8">
        <f>COUNT($BC33:BM33)</f>
        <v>4</v>
      </c>
      <c r="CN33" s="8">
        <f>COUNT($BC33:BN33)</f>
        <v>4</v>
      </c>
      <c r="CO33" s="8"/>
      <c r="CP33" s="8">
        <f>COUNT($BP33:BP33)</f>
        <v>1</v>
      </c>
      <c r="CQ33" s="8">
        <f>COUNT($BP33:BQ33)</f>
        <v>2</v>
      </c>
      <c r="CR33" s="8">
        <f>COUNT($BP33:BR33)</f>
        <v>3</v>
      </c>
      <c r="CS33" s="8">
        <f>COUNT($BP33:BS33)</f>
        <v>3</v>
      </c>
      <c r="CT33" s="8">
        <f>COUNT($BP33:BT33)</f>
        <v>3</v>
      </c>
      <c r="CU33" s="8">
        <f>COUNT($BP33:BU33)</f>
        <v>3</v>
      </c>
      <c r="CV33" s="8">
        <f>COUNT($BP33:BV33)</f>
        <v>3</v>
      </c>
      <c r="CW33" s="8">
        <f>COUNT($BP33:BW33)</f>
        <v>3</v>
      </c>
      <c r="CX33" s="8">
        <f>COUNT($BP33:BX33)</f>
        <v>3</v>
      </c>
      <c r="CY33" s="8">
        <f>COUNT($BP33:BY33)</f>
        <v>3</v>
      </c>
      <c r="CZ33" s="8">
        <f>COUNT($BP33:BZ33)</f>
        <v>3</v>
      </c>
      <c r="DA33" s="8">
        <f>COUNT($BP33:CA33)</f>
        <v>4</v>
      </c>
      <c r="DC33">
        <f t="shared" si="47"/>
        <v>360</v>
      </c>
      <c r="DD33">
        <f t="shared" si="48"/>
        <v>51</v>
      </c>
      <c r="DE33" t="str">
        <f t="shared" si="49"/>
        <v>360-51</v>
      </c>
      <c r="DG33">
        <f t="shared" si="50"/>
        <v>4</v>
      </c>
      <c r="DH33">
        <f t="shared" si="51"/>
        <v>4</v>
      </c>
      <c r="DJ33" s="44" cm="1">
        <f t="array" ref="DJ33">IF(DJ$5&lt;=$DG33,INDEX($BC33:$BN33,1,_xlfn.XMATCH(DJ$5,$CC33:$CN33)),"na")</f>
        <v>45658</v>
      </c>
      <c r="DK33" s="45" cm="1">
        <f t="array" ref="DK33">IF(DK$5&lt;=$DH33,INDEX($BP33:$CA33,1,_xlfn.XMATCH(DK$5,$CP33:$DA33)),"na")</f>
        <v>45688</v>
      </c>
      <c r="DL33" s="46" cm="1">
        <f t="array" ref="DL33">IF(DL$5&lt;=$DG33,INDEX($AC33:$AN33,1,_xlfn.XMATCH(DL$5,$CC33:$CN33)),"na")</f>
        <v>43</v>
      </c>
      <c r="DM33" s="47" cm="1">
        <f t="array" ref="DM33">IF(DM$5&lt;=$DG33,INDEX($AP33:$BA33,1,_xlfn.XMATCH(DM$5,$CC33:$CN33)),"na")</f>
        <v>34</v>
      </c>
      <c r="DN33" s="44" cm="1">
        <f t="array" ref="DN33">IF(DN$5&lt;=$DG33,INDEX($BC33:$BN33,1,_xlfn.XMATCH(DN$5,$CC33:$CN33)),"na")</f>
        <v>45689</v>
      </c>
      <c r="DO33" s="45" cm="1">
        <f t="array" ref="DO33">IF(DO$5&lt;=$DH33,INDEX($BP33:$CA33,1,_xlfn.XMATCH(DO$5,$CP33:$DA33)),"na")</f>
        <v>45716</v>
      </c>
      <c r="DP33" s="46" cm="1">
        <f t="array" ref="DP33">IF(DP$5&lt;=$DG33,INDEX($AC33:$AN33,1,_xlfn.XMATCH(DP$5,$CC33:$CN33)),"na")</f>
        <v>43</v>
      </c>
      <c r="DQ33" s="47" cm="1">
        <f t="array" ref="DQ33">IF(DQ$5&lt;=$DG33,INDEX($AP33:$BA33,1,_xlfn.XMATCH(DQ$5,$CC33:$CN33)),"na")</f>
        <v>35</v>
      </c>
      <c r="DR33" s="44" cm="1">
        <f t="array" ref="DR33">IF(DR$5&lt;=$DG33,INDEX($BC33:$BN33,1,_xlfn.XMATCH(DR$5,$CC33:$CN33)),"na")</f>
        <v>45717</v>
      </c>
      <c r="DS33" s="45" cm="1">
        <f t="array" ref="DS33">IF(DS$5&lt;=$DH33,INDEX($BP33:$CA33,1,_xlfn.XMATCH(DS$5,$CP33:$DA33)),"na")</f>
        <v>45747</v>
      </c>
      <c r="DT33" s="46" cm="1">
        <f t="array" ref="DT33">IF(DT$5&lt;=$DG33,INDEX($AC33:$AN33,1,_xlfn.XMATCH(DT$5,$CC33:$CN33)),"na")</f>
        <v>43</v>
      </c>
      <c r="DU33" s="47" cm="1">
        <f t="array" ref="DU33">IF(DU$5&lt;=$DG33,INDEX($AP33:$BA33,1,_xlfn.XMATCH(DU$5,$CC33:$CN33)),"na")</f>
        <v>36</v>
      </c>
      <c r="DV33" s="44" cm="1">
        <f t="array" ref="DV33">IF(DV$5&lt;=$DG33,INDEX($BC33:$BN33,1,_xlfn.XMATCH(DV$5,$CC33:$CN33)),"na")</f>
        <v>45748</v>
      </c>
      <c r="DW33" s="45" cm="1">
        <f t="array" ref="DW33">IF(DW$5&lt;=$DH33,INDEX($BP33:$CA33,1,_xlfn.XMATCH(DW$5,$CP33:$DA33)),"na")</f>
        <v>46022</v>
      </c>
      <c r="DX33" s="46" cm="1">
        <f t="array" ref="DX33">IF(DX$5&lt;=$DG33,INDEX($AC33:$AN33,1,_xlfn.XMATCH(DX$5,$CC33:$CN33)),"na")</f>
        <v>43</v>
      </c>
      <c r="DY33" s="47" cm="1">
        <f t="array" ref="DY33">IF(DY$5&lt;=$DG33,INDEX($AP33:$BA33,1,_xlfn.XMATCH(DY$5,$CC33:$CN33)),"na")</f>
        <v>37</v>
      </c>
      <c r="DZ33" s="44" t="str" cm="1">
        <f t="array" ref="DZ33">IF(DZ$5&lt;=$DG33,INDEX($BC33:$BN33,1,_xlfn.XMATCH(DZ$5,$CC33:$CN33)),"na")</f>
        <v>na</v>
      </c>
      <c r="EA33" s="45" t="str" cm="1">
        <f t="array" ref="EA33">IF(EA$5&lt;=$DH33,INDEX($BP33:$CA33,1,_xlfn.XMATCH(EA$5,$CP33:$DA33)),"na")</f>
        <v>na</v>
      </c>
      <c r="EB33" s="46" t="str" cm="1">
        <f t="array" ref="EB33">IF(EB$5&lt;=$DG33,INDEX($AC33:$AN33,1,_xlfn.XMATCH(EB$5,$CC33:$CN33)),"na")</f>
        <v>na</v>
      </c>
      <c r="EC33" s="47" t="str" cm="1">
        <f t="array" ref="EC33">IF(EC$5&lt;=$DG33,INDEX($AP33:$BA33,1,_xlfn.XMATCH(EC$5,$CC33:$CN33)),"na")</f>
        <v>na</v>
      </c>
      <c r="ED33" s="44" t="str" cm="1">
        <f t="array" ref="ED33">IF(ED$5&lt;=$DG33,INDEX($BC33:$BN33,1,_xlfn.XMATCH(ED$5,$CC33:$CN33)),"na")</f>
        <v>na</v>
      </c>
      <c r="EE33" s="45" t="str" cm="1">
        <f t="array" ref="EE33">IF(EE$5&lt;=$DH33,INDEX($BP33:$CA33,1,_xlfn.XMATCH(EE$5,$CP33:$DA33)),"na")</f>
        <v>na</v>
      </c>
      <c r="EF33" s="46" t="str" cm="1">
        <f t="array" ref="EF33">IF(EF$5&lt;=$DG33,INDEX($AC33:$AN33,1,_xlfn.XMATCH(EF$5,$CC33:$CN33)),"na")</f>
        <v>na</v>
      </c>
      <c r="EG33" s="47" t="str" cm="1">
        <f t="array" ref="EG33">IF(EG$5&lt;=$DG33,INDEX($AP33:$BA33,1,_xlfn.XMATCH(EG$5,$CC33:$CN33)),"na")</f>
        <v>na</v>
      </c>
      <c r="EH33" s="44" t="str" cm="1">
        <f t="array" ref="EH33">IF(EH$5&lt;=$DG33,INDEX($BC33:$BN33,1,_xlfn.XMATCH(EH$5,$CC33:$CN33)),"na")</f>
        <v>na</v>
      </c>
      <c r="EI33" s="45" t="str" cm="1">
        <f t="array" ref="EI33">IF(EI$5&lt;=$DH33,INDEX($BP33:$CA33,1,_xlfn.XMATCH(EI$5,$CP33:$DA33)),"na")</f>
        <v>na</v>
      </c>
      <c r="EJ33" s="46" t="str" cm="1">
        <f t="array" ref="EJ33">IF(EJ$5&lt;=$DG33,INDEX($AC33:$AN33,1,_xlfn.XMATCH(EJ$5,$CC33:$CN33)),"na")</f>
        <v>na</v>
      </c>
      <c r="EK33" s="47" t="str" cm="1">
        <f t="array" ref="EK33">IF(EK$5&lt;=$DG33,INDEX($AP33:$BA33,1,_xlfn.XMATCH(EK$5,$CC33:$CN33)),"na")</f>
        <v>na</v>
      </c>
      <c r="EL33" s="44" t="str" cm="1">
        <f t="array" ref="EL33">IF(EL$5&lt;=$DG33,INDEX($BC33:$BN33,1,_xlfn.XMATCH(EL$5,$CC33:$CN33)),"na")</f>
        <v>na</v>
      </c>
      <c r="EM33" s="45" t="str" cm="1">
        <f t="array" ref="EM33">IF(EM$5&lt;=$DH33,INDEX($BP33:$CA33,1,_xlfn.XMATCH(EM$5,$CP33:$DA33)),"na")</f>
        <v>na</v>
      </c>
      <c r="EN33" s="46" t="str" cm="1">
        <f t="array" ref="EN33">IF(EN$5&lt;=$DG33,INDEX($AC33:$AN33,1,_xlfn.XMATCH(EN$5,$CC33:$CN33)),"na")</f>
        <v>na</v>
      </c>
      <c r="EO33" s="47" t="str" cm="1">
        <f t="array" ref="EO33">IF(EO$5&lt;=$DG33,INDEX($AP33:$BA33,1,_xlfn.XMATCH(EO$5,$CC33:$CN33)),"na")</f>
        <v>na</v>
      </c>
      <c r="EP33" s="44" t="str" cm="1">
        <f t="array" ref="EP33">IF(EP$5&lt;=$DG33,INDEX($BC33:$BN33,1,_xlfn.XMATCH(EP$5,$CC33:$CN33)),"na")</f>
        <v>na</v>
      </c>
      <c r="EQ33" s="45" t="str" cm="1">
        <f t="array" ref="EQ33">IF(EQ$5&lt;=$DH33,INDEX($BP33:$CA33,1,_xlfn.XMATCH(EQ$5,$CP33:$DA33)),"na")</f>
        <v>na</v>
      </c>
      <c r="ER33" s="46" t="str" cm="1">
        <f t="array" ref="ER33">IF(ER$5&lt;=$DG33,INDEX($AC33:$AN33,1,_xlfn.XMATCH(ER$5,$CC33:$CN33)),"na")</f>
        <v>na</v>
      </c>
      <c r="ES33" s="47" t="str" cm="1">
        <f t="array" ref="ES33">IF(ES$5&lt;=$DG33,INDEX($AP33:$BA33,1,_xlfn.XMATCH(ES$5,$CC33:$CN33)),"na")</f>
        <v>na</v>
      </c>
      <c r="ET33" s="44" t="str" cm="1">
        <f t="array" ref="ET33">IF(ET$5&lt;=$DG33,INDEX($BC33:$BN33,1,_xlfn.XMATCH(ET$5,$CC33:$CN33)),"na")</f>
        <v>na</v>
      </c>
      <c r="EU33" s="45" t="str" cm="1">
        <f t="array" ref="EU33">IF(EU$5&lt;=$DH33,INDEX($BP33:$CA33,1,_xlfn.XMATCH(EU$5,$CP33:$DA33)),"na")</f>
        <v>na</v>
      </c>
      <c r="EV33" s="46" t="str" cm="1">
        <f t="array" ref="EV33">IF(EV$5&lt;=$DG33,INDEX($AC33:$AN33,1,_xlfn.XMATCH(EV$5,$CC33:$CN33)),"na")</f>
        <v>na</v>
      </c>
      <c r="EW33" s="47" t="str" cm="1">
        <f t="array" ref="EW33">IF(EW$5&lt;=$DG33,INDEX($AP33:$BA33,1,_xlfn.XMATCH(EW$5,$CC33:$CN33)),"na")</f>
        <v>na</v>
      </c>
      <c r="EX33" s="44" t="str" cm="1">
        <f t="array" ref="EX33">IF(EX$5&lt;=$DG33,INDEX($BC33:$BN33,1,_xlfn.XMATCH(EX$5,$CC33:$CN33)),"na")</f>
        <v>na</v>
      </c>
      <c r="EY33" s="45" t="str" cm="1">
        <f t="array" ref="EY33">IF(EY$5&lt;=$DH33,INDEX($BP33:$CA33,1,_xlfn.XMATCH(EY$5,$CP33:$DA33)),"na")</f>
        <v>na</v>
      </c>
      <c r="EZ33" s="46" t="str" cm="1">
        <f t="array" ref="EZ33">IF(EZ$5&lt;=$DG33,INDEX($AC33:$AN33,1,_xlfn.XMATCH(EZ$5,$CC33:$CN33)),"na")</f>
        <v>na</v>
      </c>
      <c r="FA33" s="47" t="str" cm="1">
        <f t="array" ref="FA33">IF(FA$5&lt;=$DG33,INDEX($AP33:$BA33,1,_xlfn.XMATCH(FA$5,$CC33:$CN33)),"na")</f>
        <v>na</v>
      </c>
      <c r="FB33" s="44" t="str" cm="1">
        <f t="array" ref="FB33">IF(FB$5&lt;=$DG33,INDEX($BC33:$BN33,1,_xlfn.XMATCH(FB$5,$CC33:$CN33)),"na")</f>
        <v>na</v>
      </c>
      <c r="FC33" s="45" t="str" cm="1">
        <f t="array" ref="FC33">IF(FC$5&lt;=$DH33,INDEX($BP33:$CA33,1,_xlfn.XMATCH(FC$5,$CP33:$DA33)),"na")</f>
        <v>na</v>
      </c>
      <c r="FD33" s="46" t="str" cm="1">
        <f t="array" ref="FD33">IF(FD$5&lt;=$DG33,INDEX($AC33:$AN33,1,_xlfn.XMATCH(FD$5,$CC33:$CN33)),"na")</f>
        <v>na</v>
      </c>
      <c r="FE33" s="47" t="str" cm="1">
        <f t="array" ref="FE33">IF(FE$5&lt;=$DG33,INDEX($AP33:$BA33,1,_xlfn.XMATCH(FE$5,$CC33:$CN33)),"na")</f>
        <v>na</v>
      </c>
    </row>
    <row r="34" spans="2:161" x14ac:dyDescent="0.25">
      <c r="B34" s="10" t="s">
        <v>123</v>
      </c>
      <c r="C34" s="8">
        <v>279</v>
      </c>
      <c r="D34" s="8">
        <v>252</v>
      </c>
      <c r="E34" s="8">
        <v>279</v>
      </c>
      <c r="F34" s="8">
        <v>270</v>
      </c>
      <c r="G34" s="8">
        <v>279</v>
      </c>
      <c r="H34" s="8">
        <v>270</v>
      </c>
      <c r="I34" s="8">
        <v>279</v>
      </c>
      <c r="J34" s="8">
        <v>279</v>
      </c>
      <c r="K34" s="8">
        <v>270</v>
      </c>
      <c r="L34" s="8">
        <v>279</v>
      </c>
      <c r="M34" s="8">
        <v>270</v>
      </c>
      <c r="N34" s="8">
        <v>279</v>
      </c>
      <c r="O34" s="8"/>
      <c r="P34" s="8">
        <v>248</v>
      </c>
      <c r="Q34" s="8">
        <v>224</v>
      </c>
      <c r="R34" s="8">
        <v>248</v>
      </c>
      <c r="S34" s="8">
        <v>240</v>
      </c>
      <c r="T34" s="8">
        <v>248</v>
      </c>
      <c r="U34" s="8">
        <v>240</v>
      </c>
      <c r="V34" s="8">
        <v>248</v>
      </c>
      <c r="W34" s="8">
        <v>248</v>
      </c>
      <c r="X34" s="8">
        <v>240</v>
      </c>
      <c r="Y34" s="8">
        <v>248</v>
      </c>
      <c r="Z34" s="8">
        <v>240</v>
      </c>
      <c r="AA34" s="8">
        <v>248</v>
      </c>
      <c r="AC34" s="14">
        <f>C34/_xlfn.XLOOKUP(AC$5,'OC-Days'!$G:$G,'OC-Days'!$B:$B)</f>
        <v>9</v>
      </c>
      <c r="AD34" s="14">
        <f>D34/_xlfn.XLOOKUP(AD$5,'OC-Days'!$G:$G,'OC-Days'!$B:$B)</f>
        <v>9</v>
      </c>
      <c r="AE34" s="14">
        <f>E34/_xlfn.XLOOKUP(AE$5,'OC-Days'!$G:$G,'OC-Days'!$B:$B)</f>
        <v>9</v>
      </c>
      <c r="AF34" s="14">
        <f>F34/_xlfn.XLOOKUP(AF$5,'OC-Days'!$G:$G,'OC-Days'!$B:$B)</f>
        <v>9</v>
      </c>
      <c r="AG34" s="14">
        <f>G34/_xlfn.XLOOKUP(AG$5,'OC-Days'!$G:$G,'OC-Days'!$B:$B)</f>
        <v>9</v>
      </c>
      <c r="AH34" s="14">
        <f>H34/_xlfn.XLOOKUP(AH$5,'OC-Days'!$G:$G,'OC-Days'!$B:$B)</f>
        <v>9</v>
      </c>
      <c r="AI34" s="14">
        <f>I34/_xlfn.XLOOKUP(AI$5,'OC-Days'!$G:$G,'OC-Days'!$B:$B)</f>
        <v>9</v>
      </c>
      <c r="AJ34" s="14">
        <f>J34/_xlfn.XLOOKUP(AJ$5,'OC-Days'!$G:$G,'OC-Days'!$B:$B)</f>
        <v>9</v>
      </c>
      <c r="AK34" s="14">
        <f>K34/_xlfn.XLOOKUP(AK$5,'OC-Days'!$G:$G,'OC-Days'!$B:$B)</f>
        <v>9</v>
      </c>
      <c r="AL34" s="14">
        <f>L34/_xlfn.XLOOKUP(AL$5,'OC-Days'!$G:$G,'OC-Days'!$B:$B)</f>
        <v>9</v>
      </c>
      <c r="AM34" s="14">
        <f>M34/_xlfn.XLOOKUP(AM$5,'OC-Days'!$G:$G,'OC-Days'!$B:$B)</f>
        <v>9</v>
      </c>
      <c r="AN34" s="14">
        <f>N34/_xlfn.XLOOKUP(AN$5,'OC-Days'!$G:$G,'OC-Days'!$B:$B)</f>
        <v>9</v>
      </c>
      <c r="AP34" s="14">
        <f>P34/_xlfn.XLOOKUP(AP$5,'OC-Days'!$G:$G,'OC-Days'!$B:$B)</f>
        <v>8</v>
      </c>
      <c r="AQ34" s="14">
        <f>Q34/_xlfn.XLOOKUP(AQ$5,'OC-Days'!$G:$G,'OC-Days'!$B:$B)</f>
        <v>8</v>
      </c>
      <c r="AR34" s="14">
        <f>R34/_xlfn.XLOOKUP(AR$5,'OC-Days'!$G:$G,'OC-Days'!$B:$B)</f>
        <v>8</v>
      </c>
      <c r="AS34" s="14">
        <f>S34/_xlfn.XLOOKUP(AS$5,'OC-Days'!$G:$G,'OC-Days'!$B:$B)</f>
        <v>8</v>
      </c>
      <c r="AT34" s="14">
        <f>T34/_xlfn.XLOOKUP(AT$5,'OC-Days'!$G:$G,'OC-Days'!$B:$B)</f>
        <v>8</v>
      </c>
      <c r="AU34" s="14">
        <f>U34/_xlfn.XLOOKUP(AU$5,'OC-Days'!$G:$G,'OC-Days'!$B:$B)</f>
        <v>8</v>
      </c>
      <c r="AV34" s="14">
        <f>V34/_xlfn.XLOOKUP(AV$5,'OC-Days'!$G:$G,'OC-Days'!$B:$B)</f>
        <v>8</v>
      </c>
      <c r="AW34" s="14">
        <f>W34/_xlfn.XLOOKUP(AW$5,'OC-Days'!$G:$G,'OC-Days'!$B:$B)</f>
        <v>8</v>
      </c>
      <c r="AX34" s="14">
        <f>X34/_xlfn.XLOOKUP(AX$5,'OC-Days'!$G:$G,'OC-Days'!$B:$B)</f>
        <v>8</v>
      </c>
      <c r="AY34" s="14">
        <f>Y34/_xlfn.XLOOKUP(AY$5,'OC-Days'!$G:$G,'OC-Days'!$B:$B)</f>
        <v>8</v>
      </c>
      <c r="AZ34" s="14">
        <f>Z34/_xlfn.XLOOKUP(AZ$5,'OC-Days'!$G:$G,'OC-Days'!$B:$B)</f>
        <v>8</v>
      </c>
      <c r="BA34" s="14">
        <f>AA34/_xlfn.XLOOKUP(BA$5,'OC-Days'!$G:$G,'OC-Days'!$B:$B)</f>
        <v>8</v>
      </c>
      <c r="BC34" s="33">
        <f>_xlfn.XLOOKUP(BC$5,'OC-Days'!$G:$G,'OC-Days'!$F:$F)</f>
        <v>45658</v>
      </c>
      <c r="BD34" s="34" t="str">
        <f>IF(AQ34=AP34,"na",_xlfn.XLOOKUP(BD$5,'OC-Days'!$G:$G,'OC-Days'!$F:$F))</f>
        <v>na</v>
      </c>
      <c r="BE34" s="34" t="str">
        <f>IF(AR34=AQ34,"na",_xlfn.XLOOKUP(BE$5,'OC-Days'!$G:$G,'OC-Days'!$F:$F))</f>
        <v>na</v>
      </c>
      <c r="BF34" s="34" t="str">
        <f>IF(AS34=AR34,"na",_xlfn.XLOOKUP(BF$5,'OC-Days'!$G:$G,'OC-Days'!$F:$F))</f>
        <v>na</v>
      </c>
      <c r="BG34" s="34" t="str">
        <f>IF(AT34=AS34,"na",_xlfn.XLOOKUP(BG$5,'OC-Days'!$G:$G,'OC-Days'!$F:$F))</f>
        <v>na</v>
      </c>
      <c r="BH34" s="34" t="str">
        <f>IF(AU34=AT34,"na",_xlfn.XLOOKUP(BH$5,'OC-Days'!$G:$G,'OC-Days'!$F:$F))</f>
        <v>na</v>
      </c>
      <c r="BI34" s="34" t="str">
        <f>IF(AV34=AU34,"na",_xlfn.XLOOKUP(BI$5,'OC-Days'!$G:$G,'OC-Days'!$F:$F))</f>
        <v>na</v>
      </c>
      <c r="BJ34" s="34" t="str">
        <f>IF(AW34=AV34,"na",_xlfn.XLOOKUP(BJ$5,'OC-Days'!$G:$G,'OC-Days'!$F:$F))</f>
        <v>na</v>
      </c>
      <c r="BK34" s="34" t="str">
        <f>IF(AX34=AW34,"na",_xlfn.XLOOKUP(BK$5,'OC-Days'!$G:$G,'OC-Days'!$F:$F))</f>
        <v>na</v>
      </c>
      <c r="BL34" s="34" t="str">
        <f>IF(AY34=AX34,"na",_xlfn.XLOOKUP(BL$5,'OC-Days'!$G:$G,'OC-Days'!$F:$F))</f>
        <v>na</v>
      </c>
      <c r="BM34" s="34" t="str">
        <f>IF(AZ34=AY34,"na",_xlfn.XLOOKUP(BM$5,'OC-Days'!$G:$G,'OC-Days'!$F:$F))</f>
        <v>na</v>
      </c>
      <c r="BN34" s="34" t="str">
        <f>IF(BA34=AZ34,"na",_xlfn.XLOOKUP(BN$5,'OC-Days'!$G:$G,'OC-Days'!$F:$F))</f>
        <v>na</v>
      </c>
      <c r="BP34" s="36" t="str">
        <f t="shared" si="35"/>
        <v>na</v>
      </c>
      <c r="BQ34" s="36" t="str">
        <f t="shared" si="36"/>
        <v>na</v>
      </c>
      <c r="BR34" s="36" t="str">
        <f t="shared" si="37"/>
        <v>na</v>
      </c>
      <c r="BS34" s="36" t="str">
        <f t="shared" si="38"/>
        <v>na</v>
      </c>
      <c r="BT34" s="36" t="str">
        <f t="shared" si="39"/>
        <v>na</v>
      </c>
      <c r="BU34" s="36" t="str">
        <f t="shared" si="40"/>
        <v>na</v>
      </c>
      <c r="BV34" s="36" t="str">
        <f t="shared" si="41"/>
        <v>na</v>
      </c>
      <c r="BW34" s="36" t="str">
        <f t="shared" si="42"/>
        <v>na</v>
      </c>
      <c r="BX34" s="36" t="str">
        <f t="shared" si="43"/>
        <v>na</v>
      </c>
      <c r="BY34" s="36" t="str">
        <f t="shared" si="44"/>
        <v>na</v>
      </c>
      <c r="BZ34" s="36" t="str">
        <f t="shared" si="45"/>
        <v>na</v>
      </c>
      <c r="CA34" s="43">
        <f t="shared" si="46"/>
        <v>46022</v>
      </c>
      <c r="CC34" s="8">
        <f>COUNT($BC34:BC34)</f>
        <v>1</v>
      </c>
      <c r="CD34" s="8">
        <f>COUNT($BC34:BD34)</f>
        <v>1</v>
      </c>
      <c r="CE34" s="8">
        <f>COUNT($BC34:BE34)</f>
        <v>1</v>
      </c>
      <c r="CF34" s="8">
        <f>COUNT($BC34:BF34)</f>
        <v>1</v>
      </c>
      <c r="CG34" s="8">
        <f>COUNT($BC34:BG34)</f>
        <v>1</v>
      </c>
      <c r="CH34" s="8">
        <f>COUNT($BC34:BH34)</f>
        <v>1</v>
      </c>
      <c r="CI34" s="8">
        <f>COUNT($BC34:BI34)</f>
        <v>1</v>
      </c>
      <c r="CJ34" s="8">
        <f>COUNT($BC34:BJ34)</f>
        <v>1</v>
      </c>
      <c r="CK34" s="8">
        <f>COUNT($BC34:BK34)</f>
        <v>1</v>
      </c>
      <c r="CL34" s="8">
        <f>COUNT($BC34:BL34)</f>
        <v>1</v>
      </c>
      <c r="CM34" s="8">
        <f>COUNT($BC34:BM34)</f>
        <v>1</v>
      </c>
      <c r="CN34" s="8">
        <f>COUNT($BC34:BN34)</f>
        <v>1</v>
      </c>
      <c r="CO34" s="8"/>
      <c r="CP34" s="8">
        <f>COUNT($BP34:BP34)</f>
        <v>0</v>
      </c>
      <c r="CQ34" s="8">
        <f>COUNT($BP34:BQ34)</f>
        <v>0</v>
      </c>
      <c r="CR34" s="8">
        <f>COUNT($BP34:BR34)</f>
        <v>0</v>
      </c>
      <c r="CS34" s="8">
        <f>COUNT($BP34:BS34)</f>
        <v>0</v>
      </c>
      <c r="CT34" s="8">
        <f>COUNT($BP34:BT34)</f>
        <v>0</v>
      </c>
      <c r="CU34" s="8">
        <f>COUNT($BP34:BU34)</f>
        <v>0</v>
      </c>
      <c r="CV34" s="8">
        <f>COUNT($BP34:BV34)</f>
        <v>0</v>
      </c>
      <c r="CW34" s="8">
        <f>COUNT($BP34:BW34)</f>
        <v>0</v>
      </c>
      <c r="CX34" s="8">
        <f>COUNT($BP34:BX34)</f>
        <v>0</v>
      </c>
      <c r="CY34" s="8">
        <f>COUNT($BP34:BY34)</f>
        <v>0</v>
      </c>
      <c r="CZ34" s="8">
        <f>COUNT($BP34:BZ34)</f>
        <v>0</v>
      </c>
      <c r="DA34" s="8">
        <f>COUNT($BP34:CA34)</f>
        <v>1</v>
      </c>
      <c r="DC34">
        <f t="shared" si="47"/>
        <v>360</v>
      </c>
      <c r="DD34">
        <f t="shared" si="48"/>
        <v>52</v>
      </c>
      <c r="DE34" t="str">
        <f t="shared" si="49"/>
        <v>360-52</v>
      </c>
      <c r="DG34">
        <f t="shared" si="50"/>
        <v>1</v>
      </c>
      <c r="DH34">
        <f t="shared" si="51"/>
        <v>1</v>
      </c>
      <c r="DJ34" s="44" cm="1">
        <f t="array" ref="DJ34">IF(DJ$5&lt;=$DG34,INDEX($BC34:$BN34,1,_xlfn.XMATCH(DJ$5,$CC34:$CN34)),"na")</f>
        <v>45658</v>
      </c>
      <c r="DK34" s="45" cm="1">
        <f t="array" ref="DK34">IF(DK$5&lt;=$DH34,INDEX($BP34:$CA34,1,_xlfn.XMATCH(DK$5,$CP34:$DA34)),"na")</f>
        <v>46022</v>
      </c>
      <c r="DL34" s="46" cm="1">
        <f t="array" ref="DL34">IF(DL$5&lt;=$DG34,INDEX($AC34:$AN34,1,_xlfn.XMATCH(DL$5,$CC34:$CN34)),"na")</f>
        <v>9</v>
      </c>
      <c r="DM34" s="47" cm="1">
        <f t="array" ref="DM34">IF(DM$5&lt;=$DG34,INDEX($AP34:$BA34,1,_xlfn.XMATCH(DM$5,$CC34:$CN34)),"na")</f>
        <v>8</v>
      </c>
      <c r="DN34" s="44" t="str" cm="1">
        <f t="array" ref="DN34">IF(DN$5&lt;=$DG34,INDEX($BC34:$BN34,1,_xlfn.XMATCH(DN$5,$CC34:$CN34)),"na")</f>
        <v>na</v>
      </c>
      <c r="DO34" s="45" t="str" cm="1">
        <f t="array" ref="DO34">IF(DO$5&lt;=$DH34,INDEX($BP34:$CA34,1,_xlfn.XMATCH(DO$5,$CP34:$DA34)),"na")</f>
        <v>na</v>
      </c>
      <c r="DP34" s="46" t="str" cm="1">
        <f t="array" ref="DP34">IF(DP$5&lt;=$DG34,INDEX($AC34:$AN34,1,_xlfn.XMATCH(DP$5,$CC34:$CN34)),"na")</f>
        <v>na</v>
      </c>
      <c r="DQ34" s="47" t="str" cm="1">
        <f t="array" ref="DQ34">IF(DQ$5&lt;=$DG34,INDEX($AP34:$BA34,1,_xlfn.XMATCH(DQ$5,$CC34:$CN34)),"na")</f>
        <v>na</v>
      </c>
      <c r="DR34" s="44" t="str" cm="1">
        <f t="array" ref="DR34">IF(DR$5&lt;=$DG34,INDEX($BC34:$BN34,1,_xlfn.XMATCH(DR$5,$CC34:$CN34)),"na")</f>
        <v>na</v>
      </c>
      <c r="DS34" s="45" t="str" cm="1">
        <f t="array" ref="DS34">IF(DS$5&lt;=$DH34,INDEX($BP34:$CA34,1,_xlfn.XMATCH(DS$5,$CP34:$DA34)),"na")</f>
        <v>na</v>
      </c>
      <c r="DT34" s="46" t="str" cm="1">
        <f t="array" ref="DT34">IF(DT$5&lt;=$DG34,INDEX($AC34:$AN34,1,_xlfn.XMATCH(DT$5,$CC34:$CN34)),"na")</f>
        <v>na</v>
      </c>
      <c r="DU34" s="47" t="str" cm="1">
        <f t="array" ref="DU34">IF(DU$5&lt;=$DG34,INDEX($AP34:$BA34,1,_xlfn.XMATCH(DU$5,$CC34:$CN34)),"na")</f>
        <v>na</v>
      </c>
      <c r="DV34" s="44" t="str" cm="1">
        <f t="array" ref="DV34">IF(DV$5&lt;=$DG34,INDEX($BC34:$BN34,1,_xlfn.XMATCH(DV$5,$CC34:$CN34)),"na")</f>
        <v>na</v>
      </c>
      <c r="DW34" s="45" t="str" cm="1">
        <f t="array" ref="DW34">IF(DW$5&lt;=$DH34,INDEX($BP34:$CA34,1,_xlfn.XMATCH(DW$5,$CP34:$DA34)),"na")</f>
        <v>na</v>
      </c>
      <c r="DX34" s="46" t="str" cm="1">
        <f t="array" ref="DX34">IF(DX$5&lt;=$DG34,INDEX($AC34:$AN34,1,_xlfn.XMATCH(DX$5,$CC34:$CN34)),"na")</f>
        <v>na</v>
      </c>
      <c r="DY34" s="47" t="str" cm="1">
        <f t="array" ref="DY34">IF(DY$5&lt;=$DG34,INDEX($AP34:$BA34,1,_xlfn.XMATCH(DY$5,$CC34:$CN34)),"na")</f>
        <v>na</v>
      </c>
      <c r="DZ34" s="44" t="str" cm="1">
        <f t="array" ref="DZ34">IF(DZ$5&lt;=$DG34,INDEX($BC34:$BN34,1,_xlfn.XMATCH(DZ$5,$CC34:$CN34)),"na")</f>
        <v>na</v>
      </c>
      <c r="EA34" s="45" t="str" cm="1">
        <f t="array" ref="EA34">IF(EA$5&lt;=$DH34,INDEX($BP34:$CA34,1,_xlfn.XMATCH(EA$5,$CP34:$DA34)),"na")</f>
        <v>na</v>
      </c>
      <c r="EB34" s="46" t="str" cm="1">
        <f t="array" ref="EB34">IF(EB$5&lt;=$DG34,INDEX($AC34:$AN34,1,_xlfn.XMATCH(EB$5,$CC34:$CN34)),"na")</f>
        <v>na</v>
      </c>
      <c r="EC34" s="47" t="str" cm="1">
        <f t="array" ref="EC34">IF(EC$5&lt;=$DG34,INDEX($AP34:$BA34,1,_xlfn.XMATCH(EC$5,$CC34:$CN34)),"na")</f>
        <v>na</v>
      </c>
      <c r="ED34" s="44" t="str" cm="1">
        <f t="array" ref="ED34">IF(ED$5&lt;=$DG34,INDEX($BC34:$BN34,1,_xlfn.XMATCH(ED$5,$CC34:$CN34)),"na")</f>
        <v>na</v>
      </c>
      <c r="EE34" s="45" t="str" cm="1">
        <f t="array" ref="EE34">IF(EE$5&lt;=$DH34,INDEX($BP34:$CA34,1,_xlfn.XMATCH(EE$5,$CP34:$DA34)),"na")</f>
        <v>na</v>
      </c>
      <c r="EF34" s="46" t="str" cm="1">
        <f t="array" ref="EF34">IF(EF$5&lt;=$DG34,INDEX($AC34:$AN34,1,_xlfn.XMATCH(EF$5,$CC34:$CN34)),"na")</f>
        <v>na</v>
      </c>
      <c r="EG34" s="47" t="str" cm="1">
        <f t="array" ref="EG34">IF(EG$5&lt;=$DG34,INDEX($AP34:$BA34,1,_xlfn.XMATCH(EG$5,$CC34:$CN34)),"na")</f>
        <v>na</v>
      </c>
      <c r="EH34" s="44" t="str" cm="1">
        <f t="array" ref="EH34">IF(EH$5&lt;=$DG34,INDEX($BC34:$BN34,1,_xlfn.XMATCH(EH$5,$CC34:$CN34)),"na")</f>
        <v>na</v>
      </c>
      <c r="EI34" s="45" t="str" cm="1">
        <f t="array" ref="EI34">IF(EI$5&lt;=$DH34,INDEX($BP34:$CA34,1,_xlfn.XMATCH(EI$5,$CP34:$DA34)),"na")</f>
        <v>na</v>
      </c>
      <c r="EJ34" s="46" t="str" cm="1">
        <f t="array" ref="EJ34">IF(EJ$5&lt;=$DG34,INDEX($AC34:$AN34,1,_xlfn.XMATCH(EJ$5,$CC34:$CN34)),"na")</f>
        <v>na</v>
      </c>
      <c r="EK34" s="47" t="str" cm="1">
        <f t="array" ref="EK34">IF(EK$5&lt;=$DG34,INDEX($AP34:$BA34,1,_xlfn.XMATCH(EK$5,$CC34:$CN34)),"na")</f>
        <v>na</v>
      </c>
      <c r="EL34" s="44" t="str" cm="1">
        <f t="array" ref="EL34">IF(EL$5&lt;=$DG34,INDEX($BC34:$BN34,1,_xlfn.XMATCH(EL$5,$CC34:$CN34)),"na")</f>
        <v>na</v>
      </c>
      <c r="EM34" s="45" t="str" cm="1">
        <f t="array" ref="EM34">IF(EM$5&lt;=$DH34,INDEX($BP34:$CA34,1,_xlfn.XMATCH(EM$5,$CP34:$DA34)),"na")</f>
        <v>na</v>
      </c>
      <c r="EN34" s="46" t="str" cm="1">
        <f t="array" ref="EN34">IF(EN$5&lt;=$DG34,INDEX($AC34:$AN34,1,_xlfn.XMATCH(EN$5,$CC34:$CN34)),"na")</f>
        <v>na</v>
      </c>
      <c r="EO34" s="47" t="str" cm="1">
        <f t="array" ref="EO34">IF(EO$5&lt;=$DG34,INDEX($AP34:$BA34,1,_xlfn.XMATCH(EO$5,$CC34:$CN34)),"na")</f>
        <v>na</v>
      </c>
      <c r="EP34" s="44" t="str" cm="1">
        <f t="array" ref="EP34">IF(EP$5&lt;=$DG34,INDEX($BC34:$BN34,1,_xlfn.XMATCH(EP$5,$CC34:$CN34)),"na")</f>
        <v>na</v>
      </c>
      <c r="EQ34" s="45" t="str" cm="1">
        <f t="array" ref="EQ34">IF(EQ$5&lt;=$DH34,INDEX($BP34:$CA34,1,_xlfn.XMATCH(EQ$5,$CP34:$DA34)),"na")</f>
        <v>na</v>
      </c>
      <c r="ER34" s="46" t="str" cm="1">
        <f t="array" ref="ER34">IF(ER$5&lt;=$DG34,INDEX($AC34:$AN34,1,_xlfn.XMATCH(ER$5,$CC34:$CN34)),"na")</f>
        <v>na</v>
      </c>
      <c r="ES34" s="47" t="str" cm="1">
        <f t="array" ref="ES34">IF(ES$5&lt;=$DG34,INDEX($AP34:$BA34,1,_xlfn.XMATCH(ES$5,$CC34:$CN34)),"na")</f>
        <v>na</v>
      </c>
      <c r="ET34" s="44" t="str" cm="1">
        <f t="array" ref="ET34">IF(ET$5&lt;=$DG34,INDEX($BC34:$BN34,1,_xlfn.XMATCH(ET$5,$CC34:$CN34)),"na")</f>
        <v>na</v>
      </c>
      <c r="EU34" s="45" t="str" cm="1">
        <f t="array" ref="EU34">IF(EU$5&lt;=$DH34,INDEX($BP34:$CA34,1,_xlfn.XMATCH(EU$5,$CP34:$DA34)),"na")</f>
        <v>na</v>
      </c>
      <c r="EV34" s="46" t="str" cm="1">
        <f t="array" ref="EV34">IF(EV$5&lt;=$DG34,INDEX($AC34:$AN34,1,_xlfn.XMATCH(EV$5,$CC34:$CN34)),"na")</f>
        <v>na</v>
      </c>
      <c r="EW34" s="47" t="str" cm="1">
        <f t="array" ref="EW34">IF(EW$5&lt;=$DG34,INDEX($AP34:$BA34,1,_xlfn.XMATCH(EW$5,$CC34:$CN34)),"na")</f>
        <v>na</v>
      </c>
      <c r="EX34" s="44" t="str" cm="1">
        <f t="array" ref="EX34">IF(EX$5&lt;=$DG34,INDEX($BC34:$BN34,1,_xlfn.XMATCH(EX$5,$CC34:$CN34)),"na")</f>
        <v>na</v>
      </c>
      <c r="EY34" s="45" t="str" cm="1">
        <f t="array" ref="EY34">IF(EY$5&lt;=$DH34,INDEX($BP34:$CA34,1,_xlfn.XMATCH(EY$5,$CP34:$DA34)),"na")</f>
        <v>na</v>
      </c>
      <c r="EZ34" s="46" t="str" cm="1">
        <f t="array" ref="EZ34">IF(EZ$5&lt;=$DG34,INDEX($AC34:$AN34,1,_xlfn.XMATCH(EZ$5,$CC34:$CN34)),"na")</f>
        <v>na</v>
      </c>
      <c r="FA34" s="47" t="str" cm="1">
        <f t="array" ref="FA34">IF(FA$5&lt;=$DG34,INDEX($AP34:$BA34,1,_xlfn.XMATCH(FA$5,$CC34:$CN34)),"na")</f>
        <v>na</v>
      </c>
      <c r="FB34" s="44" t="str" cm="1">
        <f t="array" ref="FB34">IF(FB$5&lt;=$DG34,INDEX($BC34:$BN34,1,_xlfn.XMATCH(FB$5,$CC34:$CN34)),"na")</f>
        <v>na</v>
      </c>
      <c r="FC34" s="45" t="str" cm="1">
        <f t="array" ref="FC34">IF(FC$5&lt;=$DH34,INDEX($BP34:$CA34,1,_xlfn.XMATCH(FC$5,$CP34:$DA34)),"na")</f>
        <v>na</v>
      </c>
      <c r="FD34" s="46" t="str" cm="1">
        <f t="array" ref="FD34">IF(FD$5&lt;=$DG34,INDEX($AC34:$AN34,1,_xlfn.XMATCH(FD$5,$CC34:$CN34)),"na")</f>
        <v>na</v>
      </c>
      <c r="FE34" s="47" t="str" cm="1">
        <f t="array" ref="FE34">IF(FE$5&lt;=$DG34,INDEX($AP34:$BA34,1,_xlfn.XMATCH(FE$5,$CC34:$CN34)),"na")</f>
        <v>na</v>
      </c>
    </row>
    <row r="35" spans="2:161" hidden="1" x14ac:dyDescent="0.25">
      <c r="B35" s="9" t="s">
        <v>91</v>
      </c>
      <c r="C35" s="8">
        <v>1612</v>
      </c>
      <c r="D35" s="8">
        <v>1456</v>
      </c>
      <c r="E35" s="8">
        <v>1612</v>
      </c>
      <c r="F35" s="8">
        <v>1560</v>
      </c>
      <c r="G35" s="8">
        <v>1612</v>
      </c>
      <c r="H35" s="8">
        <v>1560</v>
      </c>
      <c r="I35" s="8">
        <v>1612</v>
      </c>
      <c r="J35" s="8">
        <v>1612</v>
      </c>
      <c r="K35" s="8">
        <v>1560</v>
      </c>
      <c r="L35" s="8">
        <v>1612</v>
      </c>
      <c r="M35" s="8">
        <v>1560</v>
      </c>
      <c r="N35" s="8">
        <v>1612</v>
      </c>
      <c r="O35" s="8"/>
      <c r="P35" s="8">
        <v>1302</v>
      </c>
      <c r="Q35" s="8">
        <v>1204</v>
      </c>
      <c r="R35" s="8">
        <v>1364</v>
      </c>
      <c r="S35" s="8">
        <v>1350</v>
      </c>
      <c r="T35" s="8">
        <v>1395</v>
      </c>
      <c r="U35" s="8">
        <v>1350</v>
      </c>
      <c r="V35" s="8">
        <v>1395</v>
      </c>
      <c r="W35" s="8">
        <v>1395</v>
      </c>
      <c r="X35" s="8">
        <v>1350</v>
      </c>
      <c r="Y35" s="8">
        <v>1395</v>
      </c>
      <c r="Z35" s="8">
        <v>1350</v>
      </c>
      <c r="AA35" s="8">
        <v>1395</v>
      </c>
      <c r="AC35" s="14">
        <f>C35/_xlfn.XLOOKUP(AC$5,'OC-Days'!$G:$G,'OC-Days'!$B:$B)</f>
        <v>52</v>
      </c>
      <c r="AD35" s="14">
        <f>D35/_xlfn.XLOOKUP(AD$5,'OC-Days'!$G:$G,'OC-Days'!$B:$B)</f>
        <v>52</v>
      </c>
      <c r="AE35" s="14">
        <f>E35/_xlfn.XLOOKUP(AE$5,'OC-Days'!$G:$G,'OC-Days'!$B:$B)</f>
        <v>52</v>
      </c>
      <c r="AF35" s="14">
        <f>F35/_xlfn.XLOOKUP(AF$5,'OC-Days'!$G:$G,'OC-Days'!$B:$B)</f>
        <v>52</v>
      </c>
      <c r="AG35" s="14">
        <f>G35/_xlfn.XLOOKUP(AG$5,'OC-Days'!$G:$G,'OC-Days'!$B:$B)</f>
        <v>52</v>
      </c>
      <c r="AH35" s="14">
        <f>H35/_xlfn.XLOOKUP(AH$5,'OC-Days'!$G:$G,'OC-Days'!$B:$B)</f>
        <v>52</v>
      </c>
      <c r="AI35" s="14">
        <f>I35/_xlfn.XLOOKUP(AI$5,'OC-Days'!$G:$G,'OC-Days'!$B:$B)</f>
        <v>52</v>
      </c>
      <c r="AJ35" s="14">
        <f>J35/_xlfn.XLOOKUP(AJ$5,'OC-Days'!$G:$G,'OC-Days'!$B:$B)</f>
        <v>52</v>
      </c>
      <c r="AK35" s="14">
        <f>K35/_xlfn.XLOOKUP(AK$5,'OC-Days'!$G:$G,'OC-Days'!$B:$B)</f>
        <v>52</v>
      </c>
      <c r="AL35" s="14">
        <f>L35/_xlfn.XLOOKUP(AL$5,'OC-Days'!$G:$G,'OC-Days'!$B:$B)</f>
        <v>52</v>
      </c>
      <c r="AM35" s="14">
        <f>M35/_xlfn.XLOOKUP(AM$5,'OC-Days'!$G:$G,'OC-Days'!$B:$B)</f>
        <v>52</v>
      </c>
      <c r="AN35" s="14">
        <f>N35/_xlfn.XLOOKUP(AN$5,'OC-Days'!$G:$G,'OC-Days'!$B:$B)</f>
        <v>52</v>
      </c>
      <c r="AP35" s="14">
        <f>P35/_xlfn.XLOOKUP(AP$5,'OC-Days'!$G:$G,'OC-Days'!$B:$B)</f>
        <v>42</v>
      </c>
      <c r="AQ35" s="14">
        <f>Q35/_xlfn.XLOOKUP(AQ$5,'OC-Days'!$G:$G,'OC-Days'!$B:$B)</f>
        <v>43</v>
      </c>
      <c r="AR35" s="14">
        <f>R35/_xlfn.XLOOKUP(AR$5,'OC-Days'!$G:$G,'OC-Days'!$B:$B)</f>
        <v>44</v>
      </c>
      <c r="AS35" s="14">
        <f>S35/_xlfn.XLOOKUP(AS$5,'OC-Days'!$G:$G,'OC-Days'!$B:$B)</f>
        <v>45</v>
      </c>
      <c r="AT35" s="14">
        <f>T35/_xlfn.XLOOKUP(AT$5,'OC-Days'!$G:$G,'OC-Days'!$B:$B)</f>
        <v>45</v>
      </c>
      <c r="AU35" s="14">
        <f>U35/_xlfn.XLOOKUP(AU$5,'OC-Days'!$G:$G,'OC-Days'!$B:$B)</f>
        <v>45</v>
      </c>
      <c r="AV35" s="14">
        <f>V35/_xlfn.XLOOKUP(AV$5,'OC-Days'!$G:$G,'OC-Days'!$B:$B)</f>
        <v>45</v>
      </c>
      <c r="AW35" s="14">
        <f>W35/_xlfn.XLOOKUP(AW$5,'OC-Days'!$G:$G,'OC-Days'!$B:$B)</f>
        <v>45</v>
      </c>
      <c r="AX35" s="14">
        <f>X35/_xlfn.XLOOKUP(AX$5,'OC-Days'!$G:$G,'OC-Days'!$B:$B)</f>
        <v>45</v>
      </c>
      <c r="AY35" s="14">
        <f>Y35/_xlfn.XLOOKUP(AY$5,'OC-Days'!$G:$G,'OC-Days'!$B:$B)</f>
        <v>45</v>
      </c>
      <c r="AZ35" s="14">
        <f>Z35/_xlfn.XLOOKUP(AZ$5,'OC-Days'!$G:$G,'OC-Days'!$B:$B)</f>
        <v>45</v>
      </c>
      <c r="BA35" s="14">
        <f>AA35/_xlfn.XLOOKUP(BA$5,'OC-Days'!$G:$G,'OC-Days'!$B:$B)</f>
        <v>45</v>
      </c>
      <c r="BC35" s="33">
        <f>_xlfn.XLOOKUP(BC$5,'OC-Days'!$G:$G,'OC-Days'!$F:$F)</f>
        <v>45658</v>
      </c>
      <c r="BD35" s="34">
        <f>IF(AQ35=AP35,"na",_xlfn.XLOOKUP(BD$5,'OC-Days'!$G:$G,'OC-Days'!$F:$F))</f>
        <v>45689</v>
      </c>
      <c r="BE35" s="34">
        <f>IF(AR35=AQ35,"na",_xlfn.XLOOKUP(BE$5,'OC-Days'!$G:$G,'OC-Days'!$F:$F))</f>
        <v>45717</v>
      </c>
      <c r="BF35" s="34">
        <f>IF(AS35=AR35,"na",_xlfn.XLOOKUP(BF$5,'OC-Days'!$G:$G,'OC-Days'!$F:$F))</f>
        <v>45748</v>
      </c>
      <c r="BG35" s="34" t="str">
        <f>IF(AT35=AS35,"na",_xlfn.XLOOKUP(BG$5,'OC-Days'!$G:$G,'OC-Days'!$F:$F))</f>
        <v>na</v>
      </c>
      <c r="BH35" s="34" t="str">
        <f>IF(AU35=AT35,"na",_xlfn.XLOOKUP(BH$5,'OC-Days'!$G:$G,'OC-Days'!$F:$F))</f>
        <v>na</v>
      </c>
      <c r="BI35" s="34" t="str">
        <f>IF(AV35=AU35,"na",_xlfn.XLOOKUP(BI$5,'OC-Days'!$G:$G,'OC-Days'!$F:$F))</f>
        <v>na</v>
      </c>
      <c r="BJ35" s="34" t="str">
        <f>IF(AW35=AV35,"na",_xlfn.XLOOKUP(BJ$5,'OC-Days'!$G:$G,'OC-Days'!$F:$F))</f>
        <v>na</v>
      </c>
      <c r="BK35" s="34" t="str">
        <f>IF(AX35=AW35,"na",_xlfn.XLOOKUP(BK$5,'OC-Days'!$G:$G,'OC-Days'!$F:$F))</f>
        <v>na</v>
      </c>
      <c r="BL35" s="34" t="str">
        <f>IF(AY35=AX35,"na",_xlfn.XLOOKUP(BL$5,'OC-Days'!$G:$G,'OC-Days'!$F:$F))</f>
        <v>na</v>
      </c>
      <c r="BM35" s="34" t="str">
        <f>IF(AZ35=AY35,"na",_xlfn.XLOOKUP(BM$5,'OC-Days'!$G:$G,'OC-Days'!$F:$F))</f>
        <v>na</v>
      </c>
      <c r="BN35" s="34" t="str">
        <f>IF(BA35=AZ35,"na",_xlfn.XLOOKUP(BN$5,'OC-Days'!$G:$G,'OC-Days'!$F:$F))</f>
        <v>na</v>
      </c>
      <c r="BP35" s="36">
        <f t="shared" si="35"/>
        <v>45688</v>
      </c>
      <c r="BQ35" s="36">
        <f t="shared" si="36"/>
        <v>45716</v>
      </c>
      <c r="BR35" s="36">
        <f t="shared" si="37"/>
        <v>45747</v>
      </c>
      <c r="BS35" s="36" t="str">
        <f t="shared" si="38"/>
        <v>na</v>
      </c>
      <c r="BT35" s="36" t="str">
        <f t="shared" si="39"/>
        <v>na</v>
      </c>
      <c r="BU35" s="36" t="str">
        <f t="shared" si="40"/>
        <v>na</v>
      </c>
      <c r="BV35" s="36" t="str">
        <f t="shared" si="41"/>
        <v>na</v>
      </c>
      <c r="BW35" s="36" t="str">
        <f t="shared" si="42"/>
        <v>na</v>
      </c>
      <c r="BX35" s="36" t="str">
        <f t="shared" si="43"/>
        <v>na</v>
      </c>
      <c r="BY35" s="36" t="str">
        <f t="shared" si="44"/>
        <v>na</v>
      </c>
      <c r="BZ35" s="36" t="str">
        <f t="shared" si="45"/>
        <v>na</v>
      </c>
      <c r="CA35" s="43">
        <f t="shared" si="46"/>
        <v>46022</v>
      </c>
      <c r="CC35" s="8">
        <f>COUNT($BC35:BC35)</f>
        <v>1</v>
      </c>
      <c r="CD35" s="8">
        <f>COUNT($BC35:BD35)</f>
        <v>2</v>
      </c>
      <c r="CE35" s="8">
        <f>COUNT($BC35:BE35)</f>
        <v>3</v>
      </c>
      <c r="CF35" s="8">
        <f>COUNT($BC35:BF35)</f>
        <v>4</v>
      </c>
      <c r="CG35" s="8">
        <f>COUNT($BC35:BG35)</f>
        <v>4</v>
      </c>
      <c r="CH35" s="8">
        <f>COUNT($BC35:BH35)</f>
        <v>4</v>
      </c>
      <c r="CI35" s="8">
        <f>COUNT($BC35:BI35)</f>
        <v>4</v>
      </c>
      <c r="CJ35" s="8">
        <f>COUNT($BC35:BJ35)</f>
        <v>4</v>
      </c>
      <c r="CK35" s="8">
        <f>COUNT($BC35:BK35)</f>
        <v>4</v>
      </c>
      <c r="CL35" s="8">
        <f>COUNT($BC35:BL35)</f>
        <v>4</v>
      </c>
      <c r="CM35" s="8">
        <f>COUNT($BC35:BM35)</f>
        <v>4</v>
      </c>
      <c r="CN35" s="8">
        <f>COUNT($BC35:BN35)</f>
        <v>4</v>
      </c>
      <c r="CO35" s="8"/>
      <c r="CP35" s="8">
        <f>COUNT($BP35:BP35)</f>
        <v>1</v>
      </c>
      <c r="CQ35" s="8">
        <f>COUNT($BP35:BQ35)</f>
        <v>2</v>
      </c>
      <c r="CR35" s="8">
        <f>COUNT($BP35:BR35)</f>
        <v>3</v>
      </c>
      <c r="CS35" s="8">
        <f>COUNT($BP35:BS35)</f>
        <v>3</v>
      </c>
      <c r="CT35" s="8">
        <f>COUNT($BP35:BT35)</f>
        <v>3</v>
      </c>
      <c r="CU35" s="8">
        <f>COUNT($BP35:BU35)</f>
        <v>3</v>
      </c>
      <c r="CV35" s="8">
        <f>COUNT($BP35:BV35)</f>
        <v>3</v>
      </c>
      <c r="CW35" s="8">
        <f>COUNT($BP35:BW35)</f>
        <v>3</v>
      </c>
      <c r="CX35" s="8">
        <f>COUNT($BP35:BX35)</f>
        <v>3</v>
      </c>
      <c r="CY35" s="8">
        <f>COUNT($BP35:BY35)</f>
        <v>3</v>
      </c>
      <c r="CZ35" s="8">
        <f>COUNT($BP35:BZ35)</f>
        <v>3</v>
      </c>
      <c r="DA35" s="8">
        <f>COUNT($BP35:CA35)</f>
        <v>4</v>
      </c>
      <c r="DC35">
        <f t="shared" si="47"/>
        <v>360</v>
      </c>
      <c r="DD35" t="str">
        <f t="shared" si="48"/>
        <v>Rollup</v>
      </c>
      <c r="DE35" t="str">
        <f t="shared" si="49"/>
        <v>360-Rollup</v>
      </c>
      <c r="DG35">
        <f t="shared" si="50"/>
        <v>4</v>
      </c>
      <c r="DH35">
        <f t="shared" si="51"/>
        <v>4</v>
      </c>
    </row>
    <row r="36" spans="2:161" x14ac:dyDescent="0.25">
      <c r="B36" s="10" t="s">
        <v>92</v>
      </c>
      <c r="C36" s="8">
        <v>2945</v>
      </c>
      <c r="D36" s="8">
        <v>2660</v>
      </c>
      <c r="E36" s="8">
        <v>2945</v>
      </c>
      <c r="F36" s="8">
        <v>2850</v>
      </c>
      <c r="G36" s="8">
        <v>2945</v>
      </c>
      <c r="H36" s="8">
        <v>2850</v>
      </c>
      <c r="I36" s="8">
        <v>2945</v>
      </c>
      <c r="J36" s="8">
        <v>2945</v>
      </c>
      <c r="K36" s="8">
        <v>2850</v>
      </c>
      <c r="L36" s="8">
        <v>2945</v>
      </c>
      <c r="M36" s="8">
        <v>2850</v>
      </c>
      <c r="N36" s="8">
        <v>2945</v>
      </c>
      <c r="O36" s="8"/>
      <c r="P36" s="8">
        <v>2883</v>
      </c>
      <c r="Q36" s="8">
        <v>2604</v>
      </c>
      <c r="R36" s="8">
        <v>2883</v>
      </c>
      <c r="S36" s="8">
        <v>2790</v>
      </c>
      <c r="T36" s="8">
        <v>2883</v>
      </c>
      <c r="U36" s="8">
        <v>2790</v>
      </c>
      <c r="V36" s="8">
        <v>2883</v>
      </c>
      <c r="W36" s="8">
        <v>2883</v>
      </c>
      <c r="X36" s="8">
        <v>2790</v>
      </c>
      <c r="Y36" s="8">
        <v>2883</v>
      </c>
      <c r="Z36" s="8">
        <v>2790</v>
      </c>
      <c r="AA36" s="8">
        <v>2883</v>
      </c>
      <c r="AC36" s="14">
        <f>C36/_xlfn.XLOOKUP(AC$5,'OC-Days'!$G:$G,'OC-Days'!$B:$B)</f>
        <v>95</v>
      </c>
      <c r="AD36" s="14">
        <f>D36/_xlfn.XLOOKUP(AD$5,'OC-Days'!$G:$G,'OC-Days'!$B:$B)</f>
        <v>95</v>
      </c>
      <c r="AE36" s="14">
        <f>E36/_xlfn.XLOOKUP(AE$5,'OC-Days'!$G:$G,'OC-Days'!$B:$B)</f>
        <v>95</v>
      </c>
      <c r="AF36" s="14">
        <f>F36/_xlfn.XLOOKUP(AF$5,'OC-Days'!$G:$G,'OC-Days'!$B:$B)</f>
        <v>95</v>
      </c>
      <c r="AG36" s="14">
        <f>G36/_xlfn.XLOOKUP(AG$5,'OC-Days'!$G:$G,'OC-Days'!$B:$B)</f>
        <v>95</v>
      </c>
      <c r="AH36" s="14">
        <f>H36/_xlfn.XLOOKUP(AH$5,'OC-Days'!$G:$G,'OC-Days'!$B:$B)</f>
        <v>95</v>
      </c>
      <c r="AI36" s="14">
        <f>I36/_xlfn.XLOOKUP(AI$5,'OC-Days'!$G:$G,'OC-Days'!$B:$B)</f>
        <v>95</v>
      </c>
      <c r="AJ36" s="14">
        <f>J36/_xlfn.XLOOKUP(AJ$5,'OC-Days'!$G:$G,'OC-Days'!$B:$B)</f>
        <v>95</v>
      </c>
      <c r="AK36" s="14">
        <f>K36/_xlfn.XLOOKUP(AK$5,'OC-Days'!$G:$G,'OC-Days'!$B:$B)</f>
        <v>95</v>
      </c>
      <c r="AL36" s="14">
        <f>L36/_xlfn.XLOOKUP(AL$5,'OC-Days'!$G:$G,'OC-Days'!$B:$B)</f>
        <v>95</v>
      </c>
      <c r="AM36" s="14">
        <f>M36/_xlfn.XLOOKUP(AM$5,'OC-Days'!$G:$G,'OC-Days'!$B:$B)</f>
        <v>95</v>
      </c>
      <c r="AN36" s="14">
        <f>N36/_xlfn.XLOOKUP(AN$5,'OC-Days'!$G:$G,'OC-Days'!$B:$B)</f>
        <v>95</v>
      </c>
      <c r="AP36" s="14">
        <f>P36/_xlfn.XLOOKUP(AP$5,'OC-Days'!$G:$G,'OC-Days'!$B:$B)</f>
        <v>93</v>
      </c>
      <c r="AQ36" s="14">
        <f>Q36/_xlfn.XLOOKUP(AQ$5,'OC-Days'!$G:$G,'OC-Days'!$B:$B)</f>
        <v>93</v>
      </c>
      <c r="AR36" s="14">
        <f>R36/_xlfn.XLOOKUP(AR$5,'OC-Days'!$G:$G,'OC-Days'!$B:$B)</f>
        <v>93</v>
      </c>
      <c r="AS36" s="14">
        <f>S36/_xlfn.XLOOKUP(AS$5,'OC-Days'!$G:$G,'OC-Days'!$B:$B)</f>
        <v>93</v>
      </c>
      <c r="AT36" s="14">
        <f>T36/_xlfn.XLOOKUP(AT$5,'OC-Days'!$G:$G,'OC-Days'!$B:$B)</f>
        <v>93</v>
      </c>
      <c r="AU36" s="14">
        <f>U36/_xlfn.XLOOKUP(AU$5,'OC-Days'!$G:$G,'OC-Days'!$B:$B)</f>
        <v>93</v>
      </c>
      <c r="AV36" s="14">
        <f>V36/_xlfn.XLOOKUP(AV$5,'OC-Days'!$G:$G,'OC-Days'!$B:$B)</f>
        <v>93</v>
      </c>
      <c r="AW36" s="14">
        <f>W36/_xlfn.XLOOKUP(AW$5,'OC-Days'!$G:$G,'OC-Days'!$B:$B)</f>
        <v>93</v>
      </c>
      <c r="AX36" s="14">
        <f>X36/_xlfn.XLOOKUP(AX$5,'OC-Days'!$G:$G,'OC-Days'!$B:$B)</f>
        <v>93</v>
      </c>
      <c r="AY36" s="14">
        <f>Y36/_xlfn.XLOOKUP(AY$5,'OC-Days'!$G:$G,'OC-Days'!$B:$B)</f>
        <v>93</v>
      </c>
      <c r="AZ36" s="14">
        <f>Z36/_xlfn.XLOOKUP(AZ$5,'OC-Days'!$G:$G,'OC-Days'!$B:$B)</f>
        <v>93</v>
      </c>
      <c r="BA36" s="14">
        <f>AA36/_xlfn.XLOOKUP(BA$5,'OC-Days'!$G:$G,'OC-Days'!$B:$B)</f>
        <v>93</v>
      </c>
      <c r="BC36" s="33">
        <f>_xlfn.XLOOKUP(BC$5,'OC-Days'!$G:$G,'OC-Days'!$F:$F)</f>
        <v>45658</v>
      </c>
      <c r="BD36" s="34" t="str">
        <f>IF(AQ36=AP36,"na",_xlfn.XLOOKUP(BD$5,'OC-Days'!$G:$G,'OC-Days'!$F:$F))</f>
        <v>na</v>
      </c>
      <c r="BE36" s="34" t="str">
        <f>IF(AR36=AQ36,"na",_xlfn.XLOOKUP(BE$5,'OC-Days'!$G:$G,'OC-Days'!$F:$F))</f>
        <v>na</v>
      </c>
      <c r="BF36" s="34" t="str">
        <f>IF(AS36=AR36,"na",_xlfn.XLOOKUP(BF$5,'OC-Days'!$G:$G,'OC-Days'!$F:$F))</f>
        <v>na</v>
      </c>
      <c r="BG36" s="34" t="str">
        <f>IF(AT36=AS36,"na",_xlfn.XLOOKUP(BG$5,'OC-Days'!$G:$G,'OC-Days'!$F:$F))</f>
        <v>na</v>
      </c>
      <c r="BH36" s="34" t="str">
        <f>IF(AU36=AT36,"na",_xlfn.XLOOKUP(BH$5,'OC-Days'!$G:$G,'OC-Days'!$F:$F))</f>
        <v>na</v>
      </c>
      <c r="BI36" s="34" t="str">
        <f>IF(AV36=AU36,"na",_xlfn.XLOOKUP(BI$5,'OC-Days'!$G:$G,'OC-Days'!$F:$F))</f>
        <v>na</v>
      </c>
      <c r="BJ36" s="34" t="str">
        <f>IF(AW36=AV36,"na",_xlfn.XLOOKUP(BJ$5,'OC-Days'!$G:$G,'OC-Days'!$F:$F))</f>
        <v>na</v>
      </c>
      <c r="BK36" s="34" t="str">
        <f>IF(AX36=AW36,"na",_xlfn.XLOOKUP(BK$5,'OC-Days'!$G:$G,'OC-Days'!$F:$F))</f>
        <v>na</v>
      </c>
      <c r="BL36" s="34" t="str">
        <f>IF(AY36=AX36,"na",_xlfn.XLOOKUP(BL$5,'OC-Days'!$G:$G,'OC-Days'!$F:$F))</f>
        <v>na</v>
      </c>
      <c r="BM36" s="34" t="str">
        <f>IF(AZ36=AY36,"na",_xlfn.XLOOKUP(BM$5,'OC-Days'!$G:$G,'OC-Days'!$F:$F))</f>
        <v>na</v>
      </c>
      <c r="BN36" s="34" t="str">
        <f>IF(BA36=AZ36,"na",_xlfn.XLOOKUP(BN$5,'OC-Days'!$G:$G,'OC-Days'!$F:$F))</f>
        <v>na</v>
      </c>
      <c r="BP36" s="36" t="str">
        <f t="shared" ref="BP36:BP62" si="52">IF(BD36="na",BD36,BD36-1)</f>
        <v>na</v>
      </c>
      <c r="BQ36" s="36" t="str">
        <f t="shared" ref="BQ36:BQ62" si="53">IF(BE36="na",BE36,BE36-1)</f>
        <v>na</v>
      </c>
      <c r="BR36" s="36" t="str">
        <f t="shared" ref="BR36:BR62" si="54">IF(BF36="na",BF36,BF36-1)</f>
        <v>na</v>
      </c>
      <c r="BS36" s="36" t="str">
        <f t="shared" ref="BS36:BS62" si="55">IF(BG36="na",BG36,BG36-1)</f>
        <v>na</v>
      </c>
      <c r="BT36" s="36" t="str">
        <f t="shared" ref="BT36:BT62" si="56">IF(BH36="na",BH36,BH36-1)</f>
        <v>na</v>
      </c>
      <c r="BU36" s="36" t="str">
        <f t="shared" ref="BU36:BU62" si="57">IF(BI36="na",BI36,BI36-1)</f>
        <v>na</v>
      </c>
      <c r="BV36" s="36" t="str">
        <f t="shared" ref="BV36:BV62" si="58">IF(BJ36="na",BJ36,BJ36-1)</f>
        <v>na</v>
      </c>
      <c r="BW36" s="36" t="str">
        <f t="shared" ref="BW36:BW62" si="59">IF(BK36="na",BK36,BK36-1)</f>
        <v>na</v>
      </c>
      <c r="BX36" s="36" t="str">
        <f t="shared" ref="BX36:BX62" si="60">IF(BL36="na",BL36,BL36-1)</f>
        <v>na</v>
      </c>
      <c r="BY36" s="36" t="str">
        <f t="shared" ref="BY36:BY62" si="61">IF(BM36="na",BM36,BM36-1)</f>
        <v>na</v>
      </c>
      <c r="BZ36" s="36" t="str">
        <f t="shared" ref="BZ36:BZ62" si="62">IF(BN36="na",BN36,BN36-1)</f>
        <v>na</v>
      </c>
      <c r="CA36" s="43">
        <f t="shared" si="46"/>
        <v>46022</v>
      </c>
      <c r="CC36" s="8">
        <f>COUNT($BC36:BC36)</f>
        <v>1</v>
      </c>
      <c r="CD36" s="8">
        <f>COUNT($BC36:BD36)</f>
        <v>1</v>
      </c>
      <c r="CE36" s="8">
        <f>COUNT($BC36:BE36)</f>
        <v>1</v>
      </c>
      <c r="CF36" s="8">
        <f>COUNT($BC36:BF36)</f>
        <v>1</v>
      </c>
      <c r="CG36" s="8">
        <f>COUNT($BC36:BG36)</f>
        <v>1</v>
      </c>
      <c r="CH36" s="8">
        <f>COUNT($BC36:BH36)</f>
        <v>1</v>
      </c>
      <c r="CI36" s="8">
        <f>COUNT($BC36:BI36)</f>
        <v>1</v>
      </c>
      <c r="CJ36" s="8">
        <f>COUNT($BC36:BJ36)</f>
        <v>1</v>
      </c>
      <c r="CK36" s="8">
        <f>COUNT($BC36:BK36)</f>
        <v>1</v>
      </c>
      <c r="CL36" s="8">
        <f>COUNT($BC36:BL36)</f>
        <v>1</v>
      </c>
      <c r="CM36" s="8">
        <f>COUNT($BC36:BM36)</f>
        <v>1</v>
      </c>
      <c r="CN36" s="8">
        <f>COUNT($BC36:BN36)</f>
        <v>1</v>
      </c>
      <c r="CO36" s="8"/>
      <c r="CP36" s="8">
        <f>COUNT($BP36:BP36)</f>
        <v>0</v>
      </c>
      <c r="CQ36" s="8">
        <f>COUNT($BP36:BQ36)</f>
        <v>0</v>
      </c>
      <c r="CR36" s="8">
        <f>COUNT($BP36:BR36)</f>
        <v>0</v>
      </c>
      <c r="CS36" s="8">
        <f>COUNT($BP36:BS36)</f>
        <v>0</v>
      </c>
      <c r="CT36" s="8">
        <f>COUNT($BP36:BT36)</f>
        <v>0</v>
      </c>
      <c r="CU36" s="8">
        <f>COUNT($BP36:BU36)</f>
        <v>0</v>
      </c>
      <c r="CV36" s="8">
        <f>COUNT($BP36:BV36)</f>
        <v>0</v>
      </c>
      <c r="CW36" s="8">
        <f>COUNT($BP36:BW36)</f>
        <v>0</v>
      </c>
      <c r="CX36" s="8">
        <f>COUNT($BP36:BX36)</f>
        <v>0</v>
      </c>
      <c r="CY36" s="8">
        <f>COUNT($BP36:BY36)</f>
        <v>0</v>
      </c>
      <c r="CZ36" s="8">
        <f>COUNT($BP36:BZ36)</f>
        <v>0</v>
      </c>
      <c r="DA36" s="8">
        <f>COUNT($BP36:CA36)</f>
        <v>1</v>
      </c>
      <c r="DC36">
        <f t="shared" si="47"/>
        <v>810</v>
      </c>
      <c r="DD36">
        <f t="shared" si="48"/>
        <v>21</v>
      </c>
      <c r="DE36" t="str">
        <f t="shared" si="49"/>
        <v>810-21</v>
      </c>
      <c r="DG36">
        <f t="shared" si="50"/>
        <v>1</v>
      </c>
      <c r="DH36">
        <f t="shared" si="51"/>
        <v>1</v>
      </c>
      <c r="DJ36" s="44" cm="1">
        <f t="array" ref="DJ36">IF(DJ$5&lt;=$DG36,INDEX($BC36:$BN36,1,_xlfn.XMATCH(DJ$5,$CC36:$CN36)),"na")</f>
        <v>45658</v>
      </c>
      <c r="DK36" s="45" cm="1">
        <f t="array" ref="DK36">IF(DK$5&lt;=$DH36,INDEX($BP36:$CA36,1,_xlfn.XMATCH(DK$5,$CP36:$DA36)),"na")</f>
        <v>46022</v>
      </c>
      <c r="DL36" s="46" cm="1">
        <f t="array" ref="DL36">IF(DL$5&lt;=$DG36,INDEX($AC36:$AN36,1,_xlfn.XMATCH(DL$5,$CC36:$CN36)),"na")</f>
        <v>95</v>
      </c>
      <c r="DM36" s="47" cm="1">
        <f t="array" ref="DM36">IF(DM$5&lt;=$DG36,INDEX($AP36:$BA36,1,_xlfn.XMATCH(DM$5,$CC36:$CN36)),"na")</f>
        <v>93</v>
      </c>
      <c r="DN36" s="44" t="str" cm="1">
        <f t="array" ref="DN36">IF(DN$5&lt;=$DG36,INDEX($BC36:$BN36,1,_xlfn.XMATCH(DN$5,$CC36:$CN36)),"na")</f>
        <v>na</v>
      </c>
      <c r="DO36" s="45" t="str" cm="1">
        <f t="array" ref="DO36">IF(DO$5&lt;=$DH36,INDEX($BP36:$CA36,1,_xlfn.XMATCH(DO$5,$CP36:$DA36)),"na")</f>
        <v>na</v>
      </c>
      <c r="DP36" s="46" t="str" cm="1">
        <f t="array" ref="DP36">IF(DP$5&lt;=$DG36,INDEX($AC36:$AN36,1,_xlfn.XMATCH(DP$5,$CC36:$CN36)),"na")</f>
        <v>na</v>
      </c>
      <c r="DQ36" s="47" t="str" cm="1">
        <f t="array" ref="DQ36">IF(DQ$5&lt;=$DG36,INDEX($AP36:$BA36,1,_xlfn.XMATCH(DQ$5,$CC36:$CN36)),"na")</f>
        <v>na</v>
      </c>
      <c r="DR36" s="44" t="str" cm="1">
        <f t="array" ref="DR36">IF(DR$5&lt;=$DG36,INDEX($BC36:$BN36,1,_xlfn.XMATCH(DR$5,$CC36:$CN36)),"na")</f>
        <v>na</v>
      </c>
      <c r="DS36" s="45" t="str" cm="1">
        <f t="array" ref="DS36">IF(DS$5&lt;=$DH36,INDEX($BP36:$CA36,1,_xlfn.XMATCH(DS$5,$CP36:$DA36)),"na")</f>
        <v>na</v>
      </c>
      <c r="DT36" s="46" t="str" cm="1">
        <f t="array" ref="DT36">IF(DT$5&lt;=$DG36,INDEX($AC36:$AN36,1,_xlfn.XMATCH(DT$5,$CC36:$CN36)),"na")</f>
        <v>na</v>
      </c>
      <c r="DU36" s="47" t="str" cm="1">
        <f t="array" ref="DU36">IF(DU$5&lt;=$DG36,INDEX($AP36:$BA36,1,_xlfn.XMATCH(DU$5,$CC36:$CN36)),"na")</f>
        <v>na</v>
      </c>
      <c r="DV36" s="44" t="str" cm="1">
        <f t="array" ref="DV36">IF(DV$5&lt;=$DG36,INDEX($BC36:$BN36,1,_xlfn.XMATCH(DV$5,$CC36:$CN36)),"na")</f>
        <v>na</v>
      </c>
      <c r="DW36" s="45" t="str" cm="1">
        <f t="array" ref="DW36">IF(DW$5&lt;=$DH36,INDEX($BP36:$CA36,1,_xlfn.XMATCH(DW$5,$CP36:$DA36)),"na")</f>
        <v>na</v>
      </c>
      <c r="DX36" s="46" t="str" cm="1">
        <f t="array" ref="DX36">IF(DX$5&lt;=$DG36,INDEX($AC36:$AN36,1,_xlfn.XMATCH(DX$5,$CC36:$CN36)),"na")</f>
        <v>na</v>
      </c>
      <c r="DY36" s="47" t="str" cm="1">
        <f t="array" ref="DY36">IF(DY$5&lt;=$DG36,INDEX($AP36:$BA36,1,_xlfn.XMATCH(DY$5,$CC36:$CN36)),"na")</f>
        <v>na</v>
      </c>
      <c r="DZ36" s="44" t="str" cm="1">
        <f t="array" ref="DZ36">IF(DZ$5&lt;=$DG36,INDEX($BC36:$BN36,1,_xlfn.XMATCH(DZ$5,$CC36:$CN36)),"na")</f>
        <v>na</v>
      </c>
      <c r="EA36" s="45" t="str" cm="1">
        <f t="array" ref="EA36">IF(EA$5&lt;=$DH36,INDEX($BP36:$CA36,1,_xlfn.XMATCH(EA$5,$CP36:$DA36)),"na")</f>
        <v>na</v>
      </c>
      <c r="EB36" s="46" t="str" cm="1">
        <f t="array" ref="EB36">IF(EB$5&lt;=$DG36,INDEX($AC36:$AN36,1,_xlfn.XMATCH(EB$5,$CC36:$CN36)),"na")</f>
        <v>na</v>
      </c>
      <c r="EC36" s="47" t="str" cm="1">
        <f t="array" ref="EC36">IF(EC$5&lt;=$DG36,INDEX($AP36:$BA36,1,_xlfn.XMATCH(EC$5,$CC36:$CN36)),"na")</f>
        <v>na</v>
      </c>
      <c r="ED36" s="44" t="str" cm="1">
        <f t="array" ref="ED36">IF(ED$5&lt;=$DG36,INDEX($BC36:$BN36,1,_xlfn.XMATCH(ED$5,$CC36:$CN36)),"na")</f>
        <v>na</v>
      </c>
      <c r="EE36" s="45" t="str" cm="1">
        <f t="array" ref="EE36">IF(EE$5&lt;=$DH36,INDEX($BP36:$CA36,1,_xlfn.XMATCH(EE$5,$CP36:$DA36)),"na")</f>
        <v>na</v>
      </c>
      <c r="EF36" s="46" t="str" cm="1">
        <f t="array" ref="EF36">IF(EF$5&lt;=$DG36,INDEX($AC36:$AN36,1,_xlfn.XMATCH(EF$5,$CC36:$CN36)),"na")</f>
        <v>na</v>
      </c>
      <c r="EG36" s="47" t="str" cm="1">
        <f t="array" ref="EG36">IF(EG$5&lt;=$DG36,INDEX($AP36:$BA36,1,_xlfn.XMATCH(EG$5,$CC36:$CN36)),"na")</f>
        <v>na</v>
      </c>
      <c r="EH36" s="44" t="str" cm="1">
        <f t="array" ref="EH36">IF(EH$5&lt;=$DG36,INDEX($BC36:$BN36,1,_xlfn.XMATCH(EH$5,$CC36:$CN36)),"na")</f>
        <v>na</v>
      </c>
      <c r="EI36" s="45" t="str" cm="1">
        <f t="array" ref="EI36">IF(EI$5&lt;=$DH36,INDEX($BP36:$CA36,1,_xlfn.XMATCH(EI$5,$CP36:$DA36)),"na")</f>
        <v>na</v>
      </c>
      <c r="EJ36" s="46" t="str" cm="1">
        <f t="array" ref="EJ36">IF(EJ$5&lt;=$DG36,INDEX($AC36:$AN36,1,_xlfn.XMATCH(EJ$5,$CC36:$CN36)),"na")</f>
        <v>na</v>
      </c>
      <c r="EK36" s="47" t="str" cm="1">
        <f t="array" ref="EK36">IF(EK$5&lt;=$DG36,INDEX($AP36:$BA36,1,_xlfn.XMATCH(EK$5,$CC36:$CN36)),"na")</f>
        <v>na</v>
      </c>
      <c r="EL36" s="44" t="str" cm="1">
        <f t="array" ref="EL36">IF(EL$5&lt;=$DG36,INDEX($BC36:$BN36,1,_xlfn.XMATCH(EL$5,$CC36:$CN36)),"na")</f>
        <v>na</v>
      </c>
      <c r="EM36" s="45" t="str" cm="1">
        <f t="array" ref="EM36">IF(EM$5&lt;=$DH36,INDEX($BP36:$CA36,1,_xlfn.XMATCH(EM$5,$CP36:$DA36)),"na")</f>
        <v>na</v>
      </c>
      <c r="EN36" s="46" t="str" cm="1">
        <f t="array" ref="EN36">IF(EN$5&lt;=$DG36,INDEX($AC36:$AN36,1,_xlfn.XMATCH(EN$5,$CC36:$CN36)),"na")</f>
        <v>na</v>
      </c>
      <c r="EO36" s="47" t="str" cm="1">
        <f t="array" ref="EO36">IF(EO$5&lt;=$DG36,INDEX($AP36:$BA36,1,_xlfn.XMATCH(EO$5,$CC36:$CN36)),"na")</f>
        <v>na</v>
      </c>
      <c r="EP36" s="44" t="str" cm="1">
        <f t="array" ref="EP36">IF(EP$5&lt;=$DG36,INDEX($BC36:$BN36,1,_xlfn.XMATCH(EP$5,$CC36:$CN36)),"na")</f>
        <v>na</v>
      </c>
      <c r="EQ36" s="45" t="str" cm="1">
        <f t="array" ref="EQ36">IF(EQ$5&lt;=$DH36,INDEX($BP36:$CA36,1,_xlfn.XMATCH(EQ$5,$CP36:$DA36)),"na")</f>
        <v>na</v>
      </c>
      <c r="ER36" s="46" t="str" cm="1">
        <f t="array" ref="ER36">IF(ER$5&lt;=$DG36,INDEX($AC36:$AN36,1,_xlfn.XMATCH(ER$5,$CC36:$CN36)),"na")</f>
        <v>na</v>
      </c>
      <c r="ES36" s="47" t="str" cm="1">
        <f t="array" ref="ES36">IF(ES$5&lt;=$DG36,INDEX($AP36:$BA36,1,_xlfn.XMATCH(ES$5,$CC36:$CN36)),"na")</f>
        <v>na</v>
      </c>
      <c r="ET36" s="44" t="str" cm="1">
        <f t="array" ref="ET36">IF(ET$5&lt;=$DG36,INDEX($BC36:$BN36,1,_xlfn.XMATCH(ET$5,$CC36:$CN36)),"na")</f>
        <v>na</v>
      </c>
      <c r="EU36" s="45" t="str" cm="1">
        <f t="array" ref="EU36">IF(EU$5&lt;=$DH36,INDEX($BP36:$CA36,1,_xlfn.XMATCH(EU$5,$CP36:$DA36)),"na")</f>
        <v>na</v>
      </c>
      <c r="EV36" s="46" t="str" cm="1">
        <f t="array" ref="EV36">IF(EV$5&lt;=$DG36,INDEX($AC36:$AN36,1,_xlfn.XMATCH(EV$5,$CC36:$CN36)),"na")</f>
        <v>na</v>
      </c>
      <c r="EW36" s="47" t="str" cm="1">
        <f t="array" ref="EW36">IF(EW$5&lt;=$DG36,INDEX($AP36:$BA36,1,_xlfn.XMATCH(EW$5,$CC36:$CN36)),"na")</f>
        <v>na</v>
      </c>
      <c r="EX36" s="44" t="str" cm="1">
        <f t="array" ref="EX36">IF(EX$5&lt;=$DG36,INDEX($BC36:$BN36,1,_xlfn.XMATCH(EX$5,$CC36:$CN36)),"na")</f>
        <v>na</v>
      </c>
      <c r="EY36" s="45" t="str" cm="1">
        <f t="array" ref="EY36">IF(EY$5&lt;=$DH36,INDEX($BP36:$CA36,1,_xlfn.XMATCH(EY$5,$CP36:$DA36)),"na")</f>
        <v>na</v>
      </c>
      <c r="EZ36" s="46" t="str" cm="1">
        <f t="array" ref="EZ36">IF(EZ$5&lt;=$DG36,INDEX($AC36:$AN36,1,_xlfn.XMATCH(EZ$5,$CC36:$CN36)),"na")</f>
        <v>na</v>
      </c>
      <c r="FA36" s="47" t="str" cm="1">
        <f t="array" ref="FA36">IF(FA$5&lt;=$DG36,INDEX($AP36:$BA36,1,_xlfn.XMATCH(FA$5,$CC36:$CN36)),"na")</f>
        <v>na</v>
      </c>
      <c r="FB36" s="44" t="str" cm="1">
        <f t="array" ref="FB36">IF(FB$5&lt;=$DG36,INDEX($BC36:$BN36,1,_xlfn.XMATCH(FB$5,$CC36:$CN36)),"na")</f>
        <v>na</v>
      </c>
      <c r="FC36" s="45" t="str" cm="1">
        <f t="array" ref="FC36">IF(FC$5&lt;=$DH36,INDEX($BP36:$CA36,1,_xlfn.XMATCH(FC$5,$CP36:$DA36)),"na")</f>
        <v>na</v>
      </c>
      <c r="FD36" s="46" t="str" cm="1">
        <f t="array" ref="FD36">IF(FD$5&lt;=$DG36,INDEX($AC36:$AN36,1,_xlfn.XMATCH(FD$5,$CC36:$CN36)),"na")</f>
        <v>na</v>
      </c>
      <c r="FE36" s="47" t="str" cm="1">
        <f t="array" ref="FE36">IF(FE$5&lt;=$DG36,INDEX($AP36:$BA36,1,_xlfn.XMATCH(FE$5,$CC36:$CN36)),"na")</f>
        <v>na</v>
      </c>
    </row>
    <row r="37" spans="2:161" x14ac:dyDescent="0.25">
      <c r="B37" s="10" t="s">
        <v>93</v>
      </c>
      <c r="C37" s="8">
        <v>1457</v>
      </c>
      <c r="D37" s="8">
        <v>1316</v>
      </c>
      <c r="E37" s="8">
        <v>1457</v>
      </c>
      <c r="F37" s="8">
        <v>1410</v>
      </c>
      <c r="G37" s="8">
        <v>1457</v>
      </c>
      <c r="H37" s="8">
        <v>1410</v>
      </c>
      <c r="I37" s="8">
        <v>1457</v>
      </c>
      <c r="J37" s="8">
        <v>1457</v>
      </c>
      <c r="K37" s="8">
        <v>1410</v>
      </c>
      <c r="L37" s="8">
        <v>1457</v>
      </c>
      <c r="M37" s="8">
        <v>1410</v>
      </c>
      <c r="N37" s="8">
        <v>1457</v>
      </c>
      <c r="O37" s="8"/>
      <c r="P37" s="8">
        <v>1426</v>
      </c>
      <c r="Q37" s="8">
        <v>1288</v>
      </c>
      <c r="R37" s="8">
        <v>1426</v>
      </c>
      <c r="S37" s="8">
        <v>1380</v>
      </c>
      <c r="T37" s="8">
        <v>1426</v>
      </c>
      <c r="U37" s="8">
        <v>1380</v>
      </c>
      <c r="V37" s="8">
        <v>1426</v>
      </c>
      <c r="W37" s="8">
        <v>1426</v>
      </c>
      <c r="X37" s="8">
        <v>1380</v>
      </c>
      <c r="Y37" s="8">
        <v>1426</v>
      </c>
      <c r="Z37" s="8">
        <v>1380</v>
      </c>
      <c r="AA37" s="8">
        <v>1426</v>
      </c>
      <c r="AC37" s="14">
        <f>C37/_xlfn.XLOOKUP(AC$5,'OC-Days'!$G:$G,'OC-Days'!$B:$B)</f>
        <v>47</v>
      </c>
      <c r="AD37" s="14">
        <f>D37/_xlfn.XLOOKUP(AD$5,'OC-Days'!$G:$G,'OC-Days'!$B:$B)</f>
        <v>47</v>
      </c>
      <c r="AE37" s="14">
        <f>E37/_xlfn.XLOOKUP(AE$5,'OC-Days'!$G:$G,'OC-Days'!$B:$B)</f>
        <v>47</v>
      </c>
      <c r="AF37" s="14">
        <f>F37/_xlfn.XLOOKUP(AF$5,'OC-Days'!$G:$G,'OC-Days'!$B:$B)</f>
        <v>47</v>
      </c>
      <c r="AG37" s="14">
        <f>G37/_xlfn.XLOOKUP(AG$5,'OC-Days'!$G:$G,'OC-Days'!$B:$B)</f>
        <v>47</v>
      </c>
      <c r="AH37" s="14">
        <f>H37/_xlfn.XLOOKUP(AH$5,'OC-Days'!$G:$G,'OC-Days'!$B:$B)</f>
        <v>47</v>
      </c>
      <c r="AI37" s="14">
        <f>I37/_xlfn.XLOOKUP(AI$5,'OC-Days'!$G:$G,'OC-Days'!$B:$B)</f>
        <v>47</v>
      </c>
      <c r="AJ37" s="14">
        <f>J37/_xlfn.XLOOKUP(AJ$5,'OC-Days'!$G:$G,'OC-Days'!$B:$B)</f>
        <v>47</v>
      </c>
      <c r="AK37" s="14">
        <f>K37/_xlfn.XLOOKUP(AK$5,'OC-Days'!$G:$G,'OC-Days'!$B:$B)</f>
        <v>47</v>
      </c>
      <c r="AL37" s="14">
        <f>L37/_xlfn.XLOOKUP(AL$5,'OC-Days'!$G:$G,'OC-Days'!$B:$B)</f>
        <v>47</v>
      </c>
      <c r="AM37" s="14">
        <f>M37/_xlfn.XLOOKUP(AM$5,'OC-Days'!$G:$G,'OC-Days'!$B:$B)</f>
        <v>47</v>
      </c>
      <c r="AN37" s="14">
        <f>N37/_xlfn.XLOOKUP(AN$5,'OC-Days'!$G:$G,'OC-Days'!$B:$B)</f>
        <v>47</v>
      </c>
      <c r="AP37" s="14">
        <f>P37/_xlfn.XLOOKUP(AP$5,'OC-Days'!$G:$G,'OC-Days'!$B:$B)</f>
        <v>46</v>
      </c>
      <c r="AQ37" s="14">
        <f>Q37/_xlfn.XLOOKUP(AQ$5,'OC-Days'!$G:$G,'OC-Days'!$B:$B)</f>
        <v>46</v>
      </c>
      <c r="AR37" s="14">
        <f>R37/_xlfn.XLOOKUP(AR$5,'OC-Days'!$G:$G,'OC-Days'!$B:$B)</f>
        <v>46</v>
      </c>
      <c r="AS37" s="14">
        <f>S37/_xlfn.XLOOKUP(AS$5,'OC-Days'!$G:$G,'OC-Days'!$B:$B)</f>
        <v>46</v>
      </c>
      <c r="AT37" s="14">
        <f>T37/_xlfn.XLOOKUP(AT$5,'OC-Days'!$G:$G,'OC-Days'!$B:$B)</f>
        <v>46</v>
      </c>
      <c r="AU37" s="14">
        <f>U37/_xlfn.XLOOKUP(AU$5,'OC-Days'!$G:$G,'OC-Days'!$B:$B)</f>
        <v>46</v>
      </c>
      <c r="AV37" s="14">
        <f>V37/_xlfn.XLOOKUP(AV$5,'OC-Days'!$G:$G,'OC-Days'!$B:$B)</f>
        <v>46</v>
      </c>
      <c r="AW37" s="14">
        <f>W37/_xlfn.XLOOKUP(AW$5,'OC-Days'!$G:$G,'OC-Days'!$B:$B)</f>
        <v>46</v>
      </c>
      <c r="AX37" s="14">
        <f>X37/_xlfn.XLOOKUP(AX$5,'OC-Days'!$G:$G,'OC-Days'!$B:$B)</f>
        <v>46</v>
      </c>
      <c r="AY37" s="14">
        <f>Y37/_xlfn.XLOOKUP(AY$5,'OC-Days'!$G:$G,'OC-Days'!$B:$B)</f>
        <v>46</v>
      </c>
      <c r="AZ37" s="14">
        <f>Z37/_xlfn.XLOOKUP(AZ$5,'OC-Days'!$G:$G,'OC-Days'!$B:$B)</f>
        <v>46</v>
      </c>
      <c r="BA37" s="14">
        <f>AA37/_xlfn.XLOOKUP(BA$5,'OC-Days'!$G:$G,'OC-Days'!$B:$B)</f>
        <v>46</v>
      </c>
      <c r="BC37" s="33">
        <f>_xlfn.XLOOKUP(BC$5,'OC-Days'!$G:$G,'OC-Days'!$F:$F)</f>
        <v>45658</v>
      </c>
      <c r="BD37" s="34" t="str">
        <f>IF(AQ37=AP37,"na",_xlfn.XLOOKUP(BD$5,'OC-Days'!$G:$G,'OC-Days'!$F:$F))</f>
        <v>na</v>
      </c>
      <c r="BE37" s="34" t="str">
        <f>IF(AR37=AQ37,"na",_xlfn.XLOOKUP(BE$5,'OC-Days'!$G:$G,'OC-Days'!$F:$F))</f>
        <v>na</v>
      </c>
      <c r="BF37" s="34" t="str">
        <f>IF(AS37=AR37,"na",_xlfn.XLOOKUP(BF$5,'OC-Days'!$G:$G,'OC-Days'!$F:$F))</f>
        <v>na</v>
      </c>
      <c r="BG37" s="34" t="str">
        <f>IF(AT37=AS37,"na",_xlfn.XLOOKUP(BG$5,'OC-Days'!$G:$G,'OC-Days'!$F:$F))</f>
        <v>na</v>
      </c>
      <c r="BH37" s="34" t="str">
        <f>IF(AU37=AT37,"na",_xlfn.XLOOKUP(BH$5,'OC-Days'!$G:$G,'OC-Days'!$F:$F))</f>
        <v>na</v>
      </c>
      <c r="BI37" s="34" t="str">
        <f>IF(AV37=AU37,"na",_xlfn.XLOOKUP(BI$5,'OC-Days'!$G:$G,'OC-Days'!$F:$F))</f>
        <v>na</v>
      </c>
      <c r="BJ37" s="34" t="str">
        <f>IF(AW37=AV37,"na",_xlfn.XLOOKUP(BJ$5,'OC-Days'!$G:$G,'OC-Days'!$F:$F))</f>
        <v>na</v>
      </c>
      <c r="BK37" s="34" t="str">
        <f>IF(AX37=AW37,"na",_xlfn.XLOOKUP(BK$5,'OC-Days'!$G:$G,'OC-Days'!$F:$F))</f>
        <v>na</v>
      </c>
      <c r="BL37" s="34" t="str">
        <f>IF(AY37=AX37,"na",_xlfn.XLOOKUP(BL$5,'OC-Days'!$G:$G,'OC-Days'!$F:$F))</f>
        <v>na</v>
      </c>
      <c r="BM37" s="34" t="str">
        <f>IF(AZ37=AY37,"na",_xlfn.XLOOKUP(BM$5,'OC-Days'!$G:$G,'OC-Days'!$F:$F))</f>
        <v>na</v>
      </c>
      <c r="BN37" s="34" t="str">
        <f>IF(BA37=AZ37,"na",_xlfn.XLOOKUP(BN$5,'OC-Days'!$G:$G,'OC-Days'!$F:$F))</f>
        <v>na</v>
      </c>
      <c r="BP37" s="36" t="str">
        <f t="shared" si="52"/>
        <v>na</v>
      </c>
      <c r="BQ37" s="36" t="str">
        <f t="shared" si="53"/>
        <v>na</v>
      </c>
      <c r="BR37" s="36" t="str">
        <f t="shared" si="54"/>
        <v>na</v>
      </c>
      <c r="BS37" s="36" t="str">
        <f t="shared" si="55"/>
        <v>na</v>
      </c>
      <c r="BT37" s="36" t="str">
        <f t="shared" si="56"/>
        <v>na</v>
      </c>
      <c r="BU37" s="36" t="str">
        <f t="shared" si="57"/>
        <v>na</v>
      </c>
      <c r="BV37" s="36" t="str">
        <f t="shared" si="58"/>
        <v>na</v>
      </c>
      <c r="BW37" s="36" t="str">
        <f t="shared" si="59"/>
        <v>na</v>
      </c>
      <c r="BX37" s="36" t="str">
        <f t="shared" si="60"/>
        <v>na</v>
      </c>
      <c r="BY37" s="36" t="str">
        <f t="shared" si="61"/>
        <v>na</v>
      </c>
      <c r="BZ37" s="36" t="str">
        <f t="shared" si="62"/>
        <v>na</v>
      </c>
      <c r="CA37" s="43">
        <f t="shared" si="46"/>
        <v>46022</v>
      </c>
      <c r="CC37" s="8">
        <f>COUNT($BC37:BC37)</f>
        <v>1</v>
      </c>
      <c r="CD37" s="8">
        <f>COUNT($BC37:BD37)</f>
        <v>1</v>
      </c>
      <c r="CE37" s="8">
        <f>COUNT($BC37:BE37)</f>
        <v>1</v>
      </c>
      <c r="CF37" s="8">
        <f>COUNT($BC37:BF37)</f>
        <v>1</v>
      </c>
      <c r="CG37" s="8">
        <f>COUNT($BC37:BG37)</f>
        <v>1</v>
      </c>
      <c r="CH37" s="8">
        <f>COUNT($BC37:BH37)</f>
        <v>1</v>
      </c>
      <c r="CI37" s="8">
        <f>COUNT($BC37:BI37)</f>
        <v>1</v>
      </c>
      <c r="CJ37" s="8">
        <f>COUNT($BC37:BJ37)</f>
        <v>1</v>
      </c>
      <c r="CK37" s="8">
        <f>COUNT($BC37:BK37)</f>
        <v>1</v>
      </c>
      <c r="CL37" s="8">
        <f>COUNT($BC37:BL37)</f>
        <v>1</v>
      </c>
      <c r="CM37" s="8">
        <f>COUNT($BC37:BM37)</f>
        <v>1</v>
      </c>
      <c r="CN37" s="8">
        <f>COUNT($BC37:BN37)</f>
        <v>1</v>
      </c>
      <c r="CO37" s="8"/>
      <c r="CP37" s="8">
        <f>COUNT($BP37:BP37)</f>
        <v>0</v>
      </c>
      <c r="CQ37" s="8">
        <f>COUNT($BP37:BQ37)</f>
        <v>0</v>
      </c>
      <c r="CR37" s="8">
        <f>COUNT($BP37:BR37)</f>
        <v>0</v>
      </c>
      <c r="CS37" s="8">
        <f>COUNT($BP37:BS37)</f>
        <v>0</v>
      </c>
      <c r="CT37" s="8">
        <f>COUNT($BP37:BT37)</f>
        <v>0</v>
      </c>
      <c r="CU37" s="8">
        <f>COUNT($BP37:BU37)</f>
        <v>0</v>
      </c>
      <c r="CV37" s="8">
        <f>COUNT($BP37:BV37)</f>
        <v>0</v>
      </c>
      <c r="CW37" s="8">
        <f>COUNT($BP37:BW37)</f>
        <v>0</v>
      </c>
      <c r="CX37" s="8">
        <f>COUNT($BP37:BX37)</f>
        <v>0</v>
      </c>
      <c r="CY37" s="8">
        <f>COUNT($BP37:BY37)</f>
        <v>0</v>
      </c>
      <c r="CZ37" s="8">
        <f>COUNT($BP37:BZ37)</f>
        <v>0</v>
      </c>
      <c r="DA37" s="8">
        <f>COUNT($BP37:CA37)</f>
        <v>1</v>
      </c>
      <c r="DC37">
        <f t="shared" si="47"/>
        <v>810</v>
      </c>
      <c r="DD37">
        <f t="shared" si="48"/>
        <v>22</v>
      </c>
      <c r="DE37" t="str">
        <f t="shared" si="49"/>
        <v>810-22</v>
      </c>
      <c r="DG37">
        <f t="shared" si="50"/>
        <v>1</v>
      </c>
      <c r="DH37">
        <f t="shared" si="51"/>
        <v>1</v>
      </c>
      <c r="DJ37" s="44" cm="1">
        <f t="array" ref="DJ37">IF(DJ$5&lt;=$DG37,INDEX($BC37:$BN37,1,_xlfn.XMATCH(DJ$5,$CC37:$CN37)),"na")</f>
        <v>45658</v>
      </c>
      <c r="DK37" s="45" cm="1">
        <f t="array" ref="DK37">IF(DK$5&lt;=$DH37,INDEX($BP37:$CA37,1,_xlfn.XMATCH(DK$5,$CP37:$DA37)),"na")</f>
        <v>46022</v>
      </c>
      <c r="DL37" s="46" cm="1">
        <f t="array" ref="DL37">IF(DL$5&lt;=$DG37,INDEX($AC37:$AN37,1,_xlfn.XMATCH(DL$5,$CC37:$CN37)),"na")</f>
        <v>47</v>
      </c>
      <c r="DM37" s="47" cm="1">
        <f t="array" ref="DM37">IF(DM$5&lt;=$DG37,INDEX($AP37:$BA37,1,_xlfn.XMATCH(DM$5,$CC37:$CN37)),"na")</f>
        <v>46</v>
      </c>
      <c r="DN37" s="44" t="str" cm="1">
        <f t="array" ref="DN37">IF(DN$5&lt;=$DG37,INDEX($BC37:$BN37,1,_xlfn.XMATCH(DN$5,$CC37:$CN37)),"na")</f>
        <v>na</v>
      </c>
      <c r="DO37" s="45" t="str" cm="1">
        <f t="array" ref="DO37">IF(DO$5&lt;=$DH37,INDEX($BP37:$CA37,1,_xlfn.XMATCH(DO$5,$CP37:$DA37)),"na")</f>
        <v>na</v>
      </c>
      <c r="DP37" s="46" t="str" cm="1">
        <f t="array" ref="DP37">IF(DP$5&lt;=$DG37,INDEX($AC37:$AN37,1,_xlfn.XMATCH(DP$5,$CC37:$CN37)),"na")</f>
        <v>na</v>
      </c>
      <c r="DQ37" s="47" t="str" cm="1">
        <f t="array" ref="DQ37">IF(DQ$5&lt;=$DG37,INDEX($AP37:$BA37,1,_xlfn.XMATCH(DQ$5,$CC37:$CN37)),"na")</f>
        <v>na</v>
      </c>
      <c r="DR37" s="44" t="str" cm="1">
        <f t="array" ref="DR37">IF(DR$5&lt;=$DG37,INDEX($BC37:$BN37,1,_xlfn.XMATCH(DR$5,$CC37:$CN37)),"na")</f>
        <v>na</v>
      </c>
      <c r="DS37" s="45" t="str" cm="1">
        <f t="array" ref="DS37">IF(DS$5&lt;=$DH37,INDEX($BP37:$CA37,1,_xlfn.XMATCH(DS$5,$CP37:$DA37)),"na")</f>
        <v>na</v>
      </c>
      <c r="DT37" s="46" t="str" cm="1">
        <f t="array" ref="DT37">IF(DT$5&lt;=$DG37,INDEX($AC37:$AN37,1,_xlfn.XMATCH(DT$5,$CC37:$CN37)),"na")</f>
        <v>na</v>
      </c>
      <c r="DU37" s="47" t="str" cm="1">
        <f t="array" ref="DU37">IF(DU$5&lt;=$DG37,INDEX($AP37:$BA37,1,_xlfn.XMATCH(DU$5,$CC37:$CN37)),"na")</f>
        <v>na</v>
      </c>
      <c r="DV37" s="44" t="str" cm="1">
        <f t="array" ref="DV37">IF(DV$5&lt;=$DG37,INDEX($BC37:$BN37,1,_xlfn.XMATCH(DV$5,$CC37:$CN37)),"na")</f>
        <v>na</v>
      </c>
      <c r="DW37" s="45" t="str" cm="1">
        <f t="array" ref="DW37">IF(DW$5&lt;=$DH37,INDEX($BP37:$CA37,1,_xlfn.XMATCH(DW$5,$CP37:$DA37)),"na")</f>
        <v>na</v>
      </c>
      <c r="DX37" s="46" t="str" cm="1">
        <f t="array" ref="DX37">IF(DX$5&lt;=$DG37,INDEX($AC37:$AN37,1,_xlfn.XMATCH(DX$5,$CC37:$CN37)),"na")</f>
        <v>na</v>
      </c>
      <c r="DY37" s="47" t="str" cm="1">
        <f t="array" ref="DY37">IF(DY$5&lt;=$DG37,INDEX($AP37:$BA37,1,_xlfn.XMATCH(DY$5,$CC37:$CN37)),"na")</f>
        <v>na</v>
      </c>
      <c r="DZ37" s="44" t="str" cm="1">
        <f t="array" ref="DZ37">IF(DZ$5&lt;=$DG37,INDEX($BC37:$BN37,1,_xlfn.XMATCH(DZ$5,$CC37:$CN37)),"na")</f>
        <v>na</v>
      </c>
      <c r="EA37" s="45" t="str" cm="1">
        <f t="array" ref="EA37">IF(EA$5&lt;=$DH37,INDEX($BP37:$CA37,1,_xlfn.XMATCH(EA$5,$CP37:$DA37)),"na")</f>
        <v>na</v>
      </c>
      <c r="EB37" s="46" t="str" cm="1">
        <f t="array" ref="EB37">IF(EB$5&lt;=$DG37,INDEX($AC37:$AN37,1,_xlfn.XMATCH(EB$5,$CC37:$CN37)),"na")</f>
        <v>na</v>
      </c>
      <c r="EC37" s="47" t="str" cm="1">
        <f t="array" ref="EC37">IF(EC$5&lt;=$DG37,INDEX($AP37:$BA37,1,_xlfn.XMATCH(EC$5,$CC37:$CN37)),"na")</f>
        <v>na</v>
      </c>
      <c r="ED37" s="44" t="str" cm="1">
        <f t="array" ref="ED37">IF(ED$5&lt;=$DG37,INDEX($BC37:$BN37,1,_xlfn.XMATCH(ED$5,$CC37:$CN37)),"na")</f>
        <v>na</v>
      </c>
      <c r="EE37" s="45" t="str" cm="1">
        <f t="array" ref="EE37">IF(EE$5&lt;=$DH37,INDEX($BP37:$CA37,1,_xlfn.XMATCH(EE$5,$CP37:$DA37)),"na")</f>
        <v>na</v>
      </c>
      <c r="EF37" s="46" t="str" cm="1">
        <f t="array" ref="EF37">IF(EF$5&lt;=$DG37,INDEX($AC37:$AN37,1,_xlfn.XMATCH(EF$5,$CC37:$CN37)),"na")</f>
        <v>na</v>
      </c>
      <c r="EG37" s="47" t="str" cm="1">
        <f t="array" ref="EG37">IF(EG$5&lt;=$DG37,INDEX($AP37:$BA37,1,_xlfn.XMATCH(EG$5,$CC37:$CN37)),"na")</f>
        <v>na</v>
      </c>
      <c r="EH37" s="44" t="str" cm="1">
        <f t="array" ref="EH37">IF(EH$5&lt;=$DG37,INDEX($BC37:$BN37,1,_xlfn.XMATCH(EH$5,$CC37:$CN37)),"na")</f>
        <v>na</v>
      </c>
      <c r="EI37" s="45" t="str" cm="1">
        <f t="array" ref="EI37">IF(EI$5&lt;=$DH37,INDEX($BP37:$CA37,1,_xlfn.XMATCH(EI$5,$CP37:$DA37)),"na")</f>
        <v>na</v>
      </c>
      <c r="EJ37" s="46" t="str" cm="1">
        <f t="array" ref="EJ37">IF(EJ$5&lt;=$DG37,INDEX($AC37:$AN37,1,_xlfn.XMATCH(EJ$5,$CC37:$CN37)),"na")</f>
        <v>na</v>
      </c>
      <c r="EK37" s="47" t="str" cm="1">
        <f t="array" ref="EK37">IF(EK$5&lt;=$DG37,INDEX($AP37:$BA37,1,_xlfn.XMATCH(EK$5,$CC37:$CN37)),"na")</f>
        <v>na</v>
      </c>
      <c r="EL37" s="44" t="str" cm="1">
        <f t="array" ref="EL37">IF(EL$5&lt;=$DG37,INDEX($BC37:$BN37,1,_xlfn.XMATCH(EL$5,$CC37:$CN37)),"na")</f>
        <v>na</v>
      </c>
      <c r="EM37" s="45" t="str" cm="1">
        <f t="array" ref="EM37">IF(EM$5&lt;=$DH37,INDEX($BP37:$CA37,1,_xlfn.XMATCH(EM$5,$CP37:$DA37)),"na")</f>
        <v>na</v>
      </c>
      <c r="EN37" s="46" t="str" cm="1">
        <f t="array" ref="EN37">IF(EN$5&lt;=$DG37,INDEX($AC37:$AN37,1,_xlfn.XMATCH(EN$5,$CC37:$CN37)),"na")</f>
        <v>na</v>
      </c>
      <c r="EO37" s="47" t="str" cm="1">
        <f t="array" ref="EO37">IF(EO$5&lt;=$DG37,INDEX($AP37:$BA37,1,_xlfn.XMATCH(EO$5,$CC37:$CN37)),"na")</f>
        <v>na</v>
      </c>
      <c r="EP37" s="44" t="str" cm="1">
        <f t="array" ref="EP37">IF(EP$5&lt;=$DG37,INDEX($BC37:$BN37,1,_xlfn.XMATCH(EP$5,$CC37:$CN37)),"na")</f>
        <v>na</v>
      </c>
      <c r="EQ37" s="45" t="str" cm="1">
        <f t="array" ref="EQ37">IF(EQ$5&lt;=$DH37,INDEX($BP37:$CA37,1,_xlfn.XMATCH(EQ$5,$CP37:$DA37)),"na")</f>
        <v>na</v>
      </c>
      <c r="ER37" s="46" t="str" cm="1">
        <f t="array" ref="ER37">IF(ER$5&lt;=$DG37,INDEX($AC37:$AN37,1,_xlfn.XMATCH(ER$5,$CC37:$CN37)),"na")</f>
        <v>na</v>
      </c>
      <c r="ES37" s="47" t="str" cm="1">
        <f t="array" ref="ES37">IF(ES$5&lt;=$DG37,INDEX($AP37:$BA37,1,_xlfn.XMATCH(ES$5,$CC37:$CN37)),"na")</f>
        <v>na</v>
      </c>
      <c r="ET37" s="44" t="str" cm="1">
        <f t="array" ref="ET37">IF(ET$5&lt;=$DG37,INDEX($BC37:$BN37,1,_xlfn.XMATCH(ET$5,$CC37:$CN37)),"na")</f>
        <v>na</v>
      </c>
      <c r="EU37" s="45" t="str" cm="1">
        <f t="array" ref="EU37">IF(EU$5&lt;=$DH37,INDEX($BP37:$CA37,1,_xlfn.XMATCH(EU$5,$CP37:$DA37)),"na")</f>
        <v>na</v>
      </c>
      <c r="EV37" s="46" t="str" cm="1">
        <f t="array" ref="EV37">IF(EV$5&lt;=$DG37,INDEX($AC37:$AN37,1,_xlfn.XMATCH(EV$5,$CC37:$CN37)),"na")</f>
        <v>na</v>
      </c>
      <c r="EW37" s="47" t="str" cm="1">
        <f t="array" ref="EW37">IF(EW$5&lt;=$DG37,INDEX($AP37:$BA37,1,_xlfn.XMATCH(EW$5,$CC37:$CN37)),"na")</f>
        <v>na</v>
      </c>
      <c r="EX37" s="44" t="str" cm="1">
        <f t="array" ref="EX37">IF(EX$5&lt;=$DG37,INDEX($BC37:$BN37,1,_xlfn.XMATCH(EX$5,$CC37:$CN37)),"na")</f>
        <v>na</v>
      </c>
      <c r="EY37" s="45" t="str" cm="1">
        <f t="array" ref="EY37">IF(EY$5&lt;=$DH37,INDEX($BP37:$CA37,1,_xlfn.XMATCH(EY$5,$CP37:$DA37)),"na")</f>
        <v>na</v>
      </c>
      <c r="EZ37" s="46" t="str" cm="1">
        <f t="array" ref="EZ37">IF(EZ$5&lt;=$DG37,INDEX($AC37:$AN37,1,_xlfn.XMATCH(EZ$5,$CC37:$CN37)),"na")</f>
        <v>na</v>
      </c>
      <c r="FA37" s="47" t="str" cm="1">
        <f t="array" ref="FA37">IF(FA$5&lt;=$DG37,INDEX($AP37:$BA37,1,_xlfn.XMATCH(FA$5,$CC37:$CN37)),"na")</f>
        <v>na</v>
      </c>
      <c r="FB37" s="44" t="str" cm="1">
        <f t="array" ref="FB37">IF(FB$5&lt;=$DG37,INDEX($BC37:$BN37,1,_xlfn.XMATCH(FB$5,$CC37:$CN37)),"na")</f>
        <v>na</v>
      </c>
      <c r="FC37" s="45" t="str" cm="1">
        <f t="array" ref="FC37">IF(FC$5&lt;=$DH37,INDEX($BP37:$CA37,1,_xlfn.XMATCH(FC$5,$CP37:$DA37)),"na")</f>
        <v>na</v>
      </c>
      <c r="FD37" s="46" t="str" cm="1">
        <f t="array" ref="FD37">IF(FD$5&lt;=$DG37,INDEX($AC37:$AN37,1,_xlfn.XMATCH(FD$5,$CC37:$CN37)),"na")</f>
        <v>na</v>
      </c>
      <c r="FE37" s="47" t="str" cm="1">
        <f t="array" ref="FE37">IF(FE$5&lt;=$DG37,INDEX($AP37:$BA37,1,_xlfn.XMATCH(FE$5,$CC37:$CN37)),"na")</f>
        <v>na</v>
      </c>
    </row>
    <row r="38" spans="2:161" x14ac:dyDescent="0.25">
      <c r="B38" s="10" t="s">
        <v>94</v>
      </c>
      <c r="C38" s="8">
        <v>527</v>
      </c>
      <c r="D38" s="8">
        <v>476</v>
      </c>
      <c r="E38" s="8">
        <v>527</v>
      </c>
      <c r="F38" s="8">
        <v>510</v>
      </c>
      <c r="G38" s="8">
        <v>527</v>
      </c>
      <c r="H38" s="8">
        <v>510</v>
      </c>
      <c r="I38" s="8">
        <v>527</v>
      </c>
      <c r="J38" s="8">
        <v>527</v>
      </c>
      <c r="K38" s="8">
        <v>510</v>
      </c>
      <c r="L38" s="8">
        <v>527</v>
      </c>
      <c r="M38" s="8">
        <v>510</v>
      </c>
      <c r="N38" s="8">
        <v>527</v>
      </c>
      <c r="O38" s="8"/>
      <c r="P38" s="8">
        <v>496</v>
      </c>
      <c r="Q38" s="8">
        <v>448</v>
      </c>
      <c r="R38" s="8">
        <v>496</v>
      </c>
      <c r="S38" s="8">
        <v>480</v>
      </c>
      <c r="T38" s="8">
        <v>496</v>
      </c>
      <c r="U38" s="8">
        <v>480</v>
      </c>
      <c r="V38" s="8">
        <v>496</v>
      </c>
      <c r="W38" s="8">
        <v>496</v>
      </c>
      <c r="X38" s="8">
        <v>480</v>
      </c>
      <c r="Y38" s="8">
        <v>496</v>
      </c>
      <c r="Z38" s="8">
        <v>480</v>
      </c>
      <c r="AA38" s="8">
        <v>496</v>
      </c>
      <c r="AC38" s="14">
        <f>C38/_xlfn.XLOOKUP(AC$5,'OC-Days'!$G:$G,'OC-Days'!$B:$B)</f>
        <v>17</v>
      </c>
      <c r="AD38" s="14">
        <f>D38/_xlfn.XLOOKUP(AD$5,'OC-Days'!$G:$G,'OC-Days'!$B:$B)</f>
        <v>17</v>
      </c>
      <c r="AE38" s="14">
        <f>E38/_xlfn.XLOOKUP(AE$5,'OC-Days'!$G:$G,'OC-Days'!$B:$B)</f>
        <v>17</v>
      </c>
      <c r="AF38" s="14">
        <f>F38/_xlfn.XLOOKUP(AF$5,'OC-Days'!$G:$G,'OC-Days'!$B:$B)</f>
        <v>17</v>
      </c>
      <c r="AG38" s="14">
        <f>G38/_xlfn.XLOOKUP(AG$5,'OC-Days'!$G:$G,'OC-Days'!$B:$B)</f>
        <v>17</v>
      </c>
      <c r="AH38" s="14">
        <f>H38/_xlfn.XLOOKUP(AH$5,'OC-Days'!$G:$G,'OC-Days'!$B:$B)</f>
        <v>17</v>
      </c>
      <c r="AI38" s="14">
        <f>I38/_xlfn.XLOOKUP(AI$5,'OC-Days'!$G:$G,'OC-Days'!$B:$B)</f>
        <v>17</v>
      </c>
      <c r="AJ38" s="14">
        <f>J38/_xlfn.XLOOKUP(AJ$5,'OC-Days'!$G:$G,'OC-Days'!$B:$B)</f>
        <v>17</v>
      </c>
      <c r="AK38" s="14">
        <f>K38/_xlfn.XLOOKUP(AK$5,'OC-Days'!$G:$G,'OC-Days'!$B:$B)</f>
        <v>17</v>
      </c>
      <c r="AL38" s="14">
        <f>L38/_xlfn.XLOOKUP(AL$5,'OC-Days'!$G:$G,'OC-Days'!$B:$B)</f>
        <v>17</v>
      </c>
      <c r="AM38" s="14">
        <f>M38/_xlfn.XLOOKUP(AM$5,'OC-Days'!$G:$G,'OC-Days'!$B:$B)</f>
        <v>17</v>
      </c>
      <c r="AN38" s="14">
        <f>N38/_xlfn.XLOOKUP(AN$5,'OC-Days'!$G:$G,'OC-Days'!$B:$B)</f>
        <v>17</v>
      </c>
      <c r="AP38" s="14">
        <f>P38/_xlfn.XLOOKUP(AP$5,'OC-Days'!$G:$G,'OC-Days'!$B:$B)</f>
        <v>16</v>
      </c>
      <c r="AQ38" s="14">
        <f>Q38/_xlfn.XLOOKUP(AQ$5,'OC-Days'!$G:$G,'OC-Days'!$B:$B)</f>
        <v>16</v>
      </c>
      <c r="AR38" s="14">
        <f>R38/_xlfn.XLOOKUP(AR$5,'OC-Days'!$G:$G,'OC-Days'!$B:$B)</f>
        <v>16</v>
      </c>
      <c r="AS38" s="14">
        <f>S38/_xlfn.XLOOKUP(AS$5,'OC-Days'!$G:$G,'OC-Days'!$B:$B)</f>
        <v>16</v>
      </c>
      <c r="AT38" s="14">
        <f>T38/_xlfn.XLOOKUP(AT$5,'OC-Days'!$G:$G,'OC-Days'!$B:$B)</f>
        <v>16</v>
      </c>
      <c r="AU38" s="14">
        <f>U38/_xlfn.XLOOKUP(AU$5,'OC-Days'!$G:$G,'OC-Days'!$B:$B)</f>
        <v>16</v>
      </c>
      <c r="AV38" s="14">
        <f>V38/_xlfn.XLOOKUP(AV$5,'OC-Days'!$G:$G,'OC-Days'!$B:$B)</f>
        <v>16</v>
      </c>
      <c r="AW38" s="14">
        <f>W38/_xlfn.XLOOKUP(AW$5,'OC-Days'!$G:$G,'OC-Days'!$B:$B)</f>
        <v>16</v>
      </c>
      <c r="AX38" s="14">
        <f>X38/_xlfn.XLOOKUP(AX$5,'OC-Days'!$G:$G,'OC-Days'!$B:$B)</f>
        <v>16</v>
      </c>
      <c r="AY38" s="14">
        <f>Y38/_xlfn.XLOOKUP(AY$5,'OC-Days'!$G:$G,'OC-Days'!$B:$B)</f>
        <v>16</v>
      </c>
      <c r="AZ38" s="14">
        <f>Z38/_xlfn.XLOOKUP(AZ$5,'OC-Days'!$G:$G,'OC-Days'!$B:$B)</f>
        <v>16</v>
      </c>
      <c r="BA38" s="14">
        <f>AA38/_xlfn.XLOOKUP(BA$5,'OC-Days'!$G:$G,'OC-Days'!$B:$B)</f>
        <v>16</v>
      </c>
      <c r="BC38" s="33">
        <f>_xlfn.XLOOKUP(BC$5,'OC-Days'!$G:$G,'OC-Days'!$F:$F)</f>
        <v>45658</v>
      </c>
      <c r="BD38" s="34" t="str">
        <f>IF(AQ38=AP38,"na",_xlfn.XLOOKUP(BD$5,'OC-Days'!$G:$G,'OC-Days'!$F:$F))</f>
        <v>na</v>
      </c>
      <c r="BE38" s="34" t="str">
        <f>IF(AR38=AQ38,"na",_xlfn.XLOOKUP(BE$5,'OC-Days'!$G:$G,'OC-Days'!$F:$F))</f>
        <v>na</v>
      </c>
      <c r="BF38" s="34" t="str">
        <f>IF(AS38=AR38,"na",_xlfn.XLOOKUP(BF$5,'OC-Days'!$G:$G,'OC-Days'!$F:$F))</f>
        <v>na</v>
      </c>
      <c r="BG38" s="34" t="str">
        <f>IF(AT38=AS38,"na",_xlfn.XLOOKUP(BG$5,'OC-Days'!$G:$G,'OC-Days'!$F:$F))</f>
        <v>na</v>
      </c>
      <c r="BH38" s="34" t="str">
        <f>IF(AU38=AT38,"na",_xlfn.XLOOKUP(BH$5,'OC-Days'!$G:$G,'OC-Days'!$F:$F))</f>
        <v>na</v>
      </c>
      <c r="BI38" s="34" t="str">
        <f>IF(AV38=AU38,"na",_xlfn.XLOOKUP(BI$5,'OC-Days'!$G:$G,'OC-Days'!$F:$F))</f>
        <v>na</v>
      </c>
      <c r="BJ38" s="34" t="str">
        <f>IF(AW38=AV38,"na",_xlfn.XLOOKUP(BJ$5,'OC-Days'!$G:$G,'OC-Days'!$F:$F))</f>
        <v>na</v>
      </c>
      <c r="BK38" s="34" t="str">
        <f>IF(AX38=AW38,"na",_xlfn.XLOOKUP(BK$5,'OC-Days'!$G:$G,'OC-Days'!$F:$F))</f>
        <v>na</v>
      </c>
      <c r="BL38" s="34" t="str">
        <f>IF(AY38=AX38,"na",_xlfn.XLOOKUP(BL$5,'OC-Days'!$G:$G,'OC-Days'!$F:$F))</f>
        <v>na</v>
      </c>
      <c r="BM38" s="34" t="str">
        <f>IF(AZ38=AY38,"na",_xlfn.XLOOKUP(BM$5,'OC-Days'!$G:$G,'OC-Days'!$F:$F))</f>
        <v>na</v>
      </c>
      <c r="BN38" s="34" t="str">
        <f>IF(BA38=AZ38,"na",_xlfn.XLOOKUP(BN$5,'OC-Days'!$G:$G,'OC-Days'!$F:$F))</f>
        <v>na</v>
      </c>
      <c r="BP38" s="36" t="str">
        <f t="shared" si="52"/>
        <v>na</v>
      </c>
      <c r="BQ38" s="36" t="str">
        <f t="shared" si="53"/>
        <v>na</v>
      </c>
      <c r="BR38" s="36" t="str">
        <f t="shared" si="54"/>
        <v>na</v>
      </c>
      <c r="BS38" s="36" t="str">
        <f t="shared" si="55"/>
        <v>na</v>
      </c>
      <c r="BT38" s="36" t="str">
        <f t="shared" si="56"/>
        <v>na</v>
      </c>
      <c r="BU38" s="36" t="str">
        <f t="shared" si="57"/>
        <v>na</v>
      </c>
      <c r="BV38" s="36" t="str">
        <f t="shared" si="58"/>
        <v>na</v>
      </c>
      <c r="BW38" s="36" t="str">
        <f t="shared" si="59"/>
        <v>na</v>
      </c>
      <c r="BX38" s="36" t="str">
        <f t="shared" si="60"/>
        <v>na</v>
      </c>
      <c r="BY38" s="36" t="str">
        <f t="shared" si="61"/>
        <v>na</v>
      </c>
      <c r="BZ38" s="36" t="str">
        <f t="shared" si="62"/>
        <v>na</v>
      </c>
      <c r="CA38" s="43">
        <f t="shared" si="46"/>
        <v>46022</v>
      </c>
      <c r="CC38" s="8">
        <f>COUNT($BC38:BC38)</f>
        <v>1</v>
      </c>
      <c r="CD38" s="8">
        <f>COUNT($BC38:BD38)</f>
        <v>1</v>
      </c>
      <c r="CE38" s="8">
        <f>COUNT($BC38:BE38)</f>
        <v>1</v>
      </c>
      <c r="CF38" s="8">
        <f>COUNT($BC38:BF38)</f>
        <v>1</v>
      </c>
      <c r="CG38" s="8">
        <f>COUNT($BC38:BG38)</f>
        <v>1</v>
      </c>
      <c r="CH38" s="8">
        <f>COUNT($BC38:BH38)</f>
        <v>1</v>
      </c>
      <c r="CI38" s="8">
        <f>COUNT($BC38:BI38)</f>
        <v>1</v>
      </c>
      <c r="CJ38" s="8">
        <f>COUNT($BC38:BJ38)</f>
        <v>1</v>
      </c>
      <c r="CK38" s="8">
        <f>COUNT($BC38:BK38)</f>
        <v>1</v>
      </c>
      <c r="CL38" s="8">
        <f>COUNT($BC38:BL38)</f>
        <v>1</v>
      </c>
      <c r="CM38" s="8">
        <f>COUNT($BC38:BM38)</f>
        <v>1</v>
      </c>
      <c r="CN38" s="8">
        <f>COUNT($BC38:BN38)</f>
        <v>1</v>
      </c>
      <c r="CO38" s="8"/>
      <c r="CP38" s="8">
        <f>COUNT($BP38:BP38)</f>
        <v>0</v>
      </c>
      <c r="CQ38" s="8">
        <f>COUNT($BP38:BQ38)</f>
        <v>0</v>
      </c>
      <c r="CR38" s="8">
        <f>COUNT($BP38:BR38)</f>
        <v>0</v>
      </c>
      <c r="CS38" s="8">
        <f>COUNT($BP38:BS38)</f>
        <v>0</v>
      </c>
      <c r="CT38" s="8">
        <f>COUNT($BP38:BT38)</f>
        <v>0</v>
      </c>
      <c r="CU38" s="8">
        <f>COUNT($BP38:BU38)</f>
        <v>0</v>
      </c>
      <c r="CV38" s="8">
        <f>COUNT($BP38:BV38)</f>
        <v>0</v>
      </c>
      <c r="CW38" s="8">
        <f>COUNT($BP38:BW38)</f>
        <v>0</v>
      </c>
      <c r="CX38" s="8">
        <f>COUNT($BP38:BX38)</f>
        <v>0</v>
      </c>
      <c r="CY38" s="8">
        <f>COUNT($BP38:BY38)</f>
        <v>0</v>
      </c>
      <c r="CZ38" s="8">
        <f>COUNT($BP38:BZ38)</f>
        <v>0</v>
      </c>
      <c r="DA38" s="8">
        <f>COUNT($BP38:CA38)</f>
        <v>1</v>
      </c>
      <c r="DC38">
        <f t="shared" si="47"/>
        <v>810</v>
      </c>
      <c r="DD38">
        <f t="shared" si="48"/>
        <v>31</v>
      </c>
      <c r="DE38" t="str">
        <f t="shared" si="49"/>
        <v>810-31</v>
      </c>
      <c r="DG38">
        <f t="shared" si="50"/>
        <v>1</v>
      </c>
      <c r="DH38">
        <f t="shared" si="51"/>
        <v>1</v>
      </c>
      <c r="DJ38" s="44" cm="1">
        <f t="array" ref="DJ38">IF(DJ$5&lt;=$DG38,INDEX($BC38:$BN38,1,_xlfn.XMATCH(DJ$5,$CC38:$CN38)),"na")</f>
        <v>45658</v>
      </c>
      <c r="DK38" s="45" cm="1">
        <f t="array" ref="DK38">IF(DK$5&lt;=$DH38,INDEX($BP38:$CA38,1,_xlfn.XMATCH(DK$5,$CP38:$DA38)),"na")</f>
        <v>46022</v>
      </c>
      <c r="DL38" s="46" cm="1">
        <f t="array" ref="DL38">IF(DL$5&lt;=$DG38,INDEX($AC38:$AN38,1,_xlfn.XMATCH(DL$5,$CC38:$CN38)),"na")</f>
        <v>17</v>
      </c>
      <c r="DM38" s="47" cm="1">
        <f t="array" ref="DM38">IF(DM$5&lt;=$DG38,INDEX($AP38:$BA38,1,_xlfn.XMATCH(DM$5,$CC38:$CN38)),"na")</f>
        <v>16</v>
      </c>
      <c r="DN38" s="44" t="str" cm="1">
        <f t="array" ref="DN38">IF(DN$5&lt;=$DG38,INDEX($BC38:$BN38,1,_xlfn.XMATCH(DN$5,$CC38:$CN38)),"na")</f>
        <v>na</v>
      </c>
      <c r="DO38" s="45" t="str" cm="1">
        <f t="array" ref="DO38">IF(DO$5&lt;=$DH38,INDEX($BP38:$CA38,1,_xlfn.XMATCH(DO$5,$CP38:$DA38)),"na")</f>
        <v>na</v>
      </c>
      <c r="DP38" s="46" t="str" cm="1">
        <f t="array" ref="DP38">IF(DP$5&lt;=$DG38,INDEX($AC38:$AN38,1,_xlfn.XMATCH(DP$5,$CC38:$CN38)),"na")</f>
        <v>na</v>
      </c>
      <c r="DQ38" s="47" t="str" cm="1">
        <f t="array" ref="DQ38">IF(DQ$5&lt;=$DG38,INDEX($AP38:$BA38,1,_xlfn.XMATCH(DQ$5,$CC38:$CN38)),"na")</f>
        <v>na</v>
      </c>
      <c r="DR38" s="44" t="str" cm="1">
        <f t="array" ref="DR38">IF(DR$5&lt;=$DG38,INDEX($BC38:$BN38,1,_xlfn.XMATCH(DR$5,$CC38:$CN38)),"na")</f>
        <v>na</v>
      </c>
      <c r="DS38" s="45" t="str" cm="1">
        <f t="array" ref="DS38">IF(DS$5&lt;=$DH38,INDEX($BP38:$CA38,1,_xlfn.XMATCH(DS$5,$CP38:$DA38)),"na")</f>
        <v>na</v>
      </c>
      <c r="DT38" s="46" t="str" cm="1">
        <f t="array" ref="DT38">IF(DT$5&lt;=$DG38,INDEX($AC38:$AN38,1,_xlfn.XMATCH(DT$5,$CC38:$CN38)),"na")</f>
        <v>na</v>
      </c>
      <c r="DU38" s="47" t="str" cm="1">
        <f t="array" ref="DU38">IF(DU$5&lt;=$DG38,INDEX($AP38:$BA38,1,_xlfn.XMATCH(DU$5,$CC38:$CN38)),"na")</f>
        <v>na</v>
      </c>
      <c r="DV38" s="44" t="str" cm="1">
        <f t="array" ref="DV38">IF(DV$5&lt;=$DG38,INDEX($BC38:$BN38,1,_xlfn.XMATCH(DV$5,$CC38:$CN38)),"na")</f>
        <v>na</v>
      </c>
      <c r="DW38" s="45" t="str" cm="1">
        <f t="array" ref="DW38">IF(DW$5&lt;=$DH38,INDEX($BP38:$CA38,1,_xlfn.XMATCH(DW$5,$CP38:$DA38)),"na")</f>
        <v>na</v>
      </c>
      <c r="DX38" s="46" t="str" cm="1">
        <f t="array" ref="DX38">IF(DX$5&lt;=$DG38,INDEX($AC38:$AN38,1,_xlfn.XMATCH(DX$5,$CC38:$CN38)),"na")</f>
        <v>na</v>
      </c>
      <c r="DY38" s="47" t="str" cm="1">
        <f t="array" ref="DY38">IF(DY$5&lt;=$DG38,INDEX($AP38:$BA38,1,_xlfn.XMATCH(DY$5,$CC38:$CN38)),"na")</f>
        <v>na</v>
      </c>
      <c r="DZ38" s="44" t="str" cm="1">
        <f t="array" ref="DZ38">IF(DZ$5&lt;=$DG38,INDEX($BC38:$BN38,1,_xlfn.XMATCH(DZ$5,$CC38:$CN38)),"na")</f>
        <v>na</v>
      </c>
      <c r="EA38" s="45" t="str" cm="1">
        <f t="array" ref="EA38">IF(EA$5&lt;=$DH38,INDEX($BP38:$CA38,1,_xlfn.XMATCH(EA$5,$CP38:$DA38)),"na")</f>
        <v>na</v>
      </c>
      <c r="EB38" s="46" t="str" cm="1">
        <f t="array" ref="EB38">IF(EB$5&lt;=$DG38,INDEX($AC38:$AN38,1,_xlfn.XMATCH(EB$5,$CC38:$CN38)),"na")</f>
        <v>na</v>
      </c>
      <c r="EC38" s="47" t="str" cm="1">
        <f t="array" ref="EC38">IF(EC$5&lt;=$DG38,INDEX($AP38:$BA38,1,_xlfn.XMATCH(EC$5,$CC38:$CN38)),"na")</f>
        <v>na</v>
      </c>
      <c r="ED38" s="44" t="str" cm="1">
        <f t="array" ref="ED38">IF(ED$5&lt;=$DG38,INDEX($BC38:$BN38,1,_xlfn.XMATCH(ED$5,$CC38:$CN38)),"na")</f>
        <v>na</v>
      </c>
      <c r="EE38" s="45" t="str" cm="1">
        <f t="array" ref="EE38">IF(EE$5&lt;=$DH38,INDEX($BP38:$CA38,1,_xlfn.XMATCH(EE$5,$CP38:$DA38)),"na")</f>
        <v>na</v>
      </c>
      <c r="EF38" s="46" t="str" cm="1">
        <f t="array" ref="EF38">IF(EF$5&lt;=$DG38,INDEX($AC38:$AN38,1,_xlfn.XMATCH(EF$5,$CC38:$CN38)),"na")</f>
        <v>na</v>
      </c>
      <c r="EG38" s="47" t="str" cm="1">
        <f t="array" ref="EG38">IF(EG$5&lt;=$DG38,INDEX($AP38:$BA38,1,_xlfn.XMATCH(EG$5,$CC38:$CN38)),"na")</f>
        <v>na</v>
      </c>
      <c r="EH38" s="44" t="str" cm="1">
        <f t="array" ref="EH38">IF(EH$5&lt;=$DG38,INDEX($BC38:$BN38,1,_xlfn.XMATCH(EH$5,$CC38:$CN38)),"na")</f>
        <v>na</v>
      </c>
      <c r="EI38" s="45" t="str" cm="1">
        <f t="array" ref="EI38">IF(EI$5&lt;=$DH38,INDEX($BP38:$CA38,1,_xlfn.XMATCH(EI$5,$CP38:$DA38)),"na")</f>
        <v>na</v>
      </c>
      <c r="EJ38" s="46" t="str" cm="1">
        <f t="array" ref="EJ38">IF(EJ$5&lt;=$DG38,INDEX($AC38:$AN38,1,_xlfn.XMATCH(EJ$5,$CC38:$CN38)),"na")</f>
        <v>na</v>
      </c>
      <c r="EK38" s="47" t="str" cm="1">
        <f t="array" ref="EK38">IF(EK$5&lt;=$DG38,INDEX($AP38:$BA38,1,_xlfn.XMATCH(EK$5,$CC38:$CN38)),"na")</f>
        <v>na</v>
      </c>
      <c r="EL38" s="44" t="str" cm="1">
        <f t="array" ref="EL38">IF(EL$5&lt;=$DG38,INDEX($BC38:$BN38,1,_xlfn.XMATCH(EL$5,$CC38:$CN38)),"na")</f>
        <v>na</v>
      </c>
      <c r="EM38" s="45" t="str" cm="1">
        <f t="array" ref="EM38">IF(EM$5&lt;=$DH38,INDEX($BP38:$CA38,1,_xlfn.XMATCH(EM$5,$CP38:$DA38)),"na")</f>
        <v>na</v>
      </c>
      <c r="EN38" s="46" t="str" cm="1">
        <f t="array" ref="EN38">IF(EN$5&lt;=$DG38,INDEX($AC38:$AN38,1,_xlfn.XMATCH(EN$5,$CC38:$CN38)),"na")</f>
        <v>na</v>
      </c>
      <c r="EO38" s="47" t="str" cm="1">
        <f t="array" ref="EO38">IF(EO$5&lt;=$DG38,INDEX($AP38:$BA38,1,_xlfn.XMATCH(EO$5,$CC38:$CN38)),"na")</f>
        <v>na</v>
      </c>
      <c r="EP38" s="44" t="str" cm="1">
        <f t="array" ref="EP38">IF(EP$5&lt;=$DG38,INDEX($BC38:$BN38,1,_xlfn.XMATCH(EP$5,$CC38:$CN38)),"na")</f>
        <v>na</v>
      </c>
      <c r="EQ38" s="45" t="str" cm="1">
        <f t="array" ref="EQ38">IF(EQ$5&lt;=$DH38,INDEX($BP38:$CA38,1,_xlfn.XMATCH(EQ$5,$CP38:$DA38)),"na")</f>
        <v>na</v>
      </c>
      <c r="ER38" s="46" t="str" cm="1">
        <f t="array" ref="ER38">IF(ER$5&lt;=$DG38,INDEX($AC38:$AN38,1,_xlfn.XMATCH(ER$5,$CC38:$CN38)),"na")</f>
        <v>na</v>
      </c>
      <c r="ES38" s="47" t="str" cm="1">
        <f t="array" ref="ES38">IF(ES$5&lt;=$DG38,INDEX($AP38:$BA38,1,_xlfn.XMATCH(ES$5,$CC38:$CN38)),"na")</f>
        <v>na</v>
      </c>
      <c r="ET38" s="44" t="str" cm="1">
        <f t="array" ref="ET38">IF(ET$5&lt;=$DG38,INDEX($BC38:$BN38,1,_xlfn.XMATCH(ET$5,$CC38:$CN38)),"na")</f>
        <v>na</v>
      </c>
      <c r="EU38" s="45" t="str" cm="1">
        <f t="array" ref="EU38">IF(EU$5&lt;=$DH38,INDEX($BP38:$CA38,1,_xlfn.XMATCH(EU$5,$CP38:$DA38)),"na")</f>
        <v>na</v>
      </c>
      <c r="EV38" s="46" t="str" cm="1">
        <f t="array" ref="EV38">IF(EV$5&lt;=$DG38,INDEX($AC38:$AN38,1,_xlfn.XMATCH(EV$5,$CC38:$CN38)),"na")</f>
        <v>na</v>
      </c>
      <c r="EW38" s="47" t="str" cm="1">
        <f t="array" ref="EW38">IF(EW$5&lt;=$DG38,INDEX($AP38:$BA38,1,_xlfn.XMATCH(EW$5,$CC38:$CN38)),"na")</f>
        <v>na</v>
      </c>
      <c r="EX38" s="44" t="str" cm="1">
        <f t="array" ref="EX38">IF(EX$5&lt;=$DG38,INDEX($BC38:$BN38,1,_xlfn.XMATCH(EX$5,$CC38:$CN38)),"na")</f>
        <v>na</v>
      </c>
      <c r="EY38" s="45" t="str" cm="1">
        <f t="array" ref="EY38">IF(EY$5&lt;=$DH38,INDEX($BP38:$CA38,1,_xlfn.XMATCH(EY$5,$CP38:$DA38)),"na")</f>
        <v>na</v>
      </c>
      <c r="EZ38" s="46" t="str" cm="1">
        <f t="array" ref="EZ38">IF(EZ$5&lt;=$DG38,INDEX($AC38:$AN38,1,_xlfn.XMATCH(EZ$5,$CC38:$CN38)),"na")</f>
        <v>na</v>
      </c>
      <c r="FA38" s="47" t="str" cm="1">
        <f t="array" ref="FA38">IF(FA$5&lt;=$DG38,INDEX($AP38:$BA38,1,_xlfn.XMATCH(FA$5,$CC38:$CN38)),"na")</f>
        <v>na</v>
      </c>
      <c r="FB38" s="44" t="str" cm="1">
        <f t="array" ref="FB38">IF(FB$5&lt;=$DG38,INDEX($BC38:$BN38,1,_xlfn.XMATCH(FB$5,$CC38:$CN38)),"na")</f>
        <v>na</v>
      </c>
      <c r="FC38" s="45" t="str" cm="1">
        <f t="array" ref="FC38">IF(FC$5&lt;=$DH38,INDEX($BP38:$CA38,1,_xlfn.XMATCH(FC$5,$CP38:$DA38)),"na")</f>
        <v>na</v>
      </c>
      <c r="FD38" s="46" t="str" cm="1">
        <f t="array" ref="FD38">IF(FD$5&lt;=$DG38,INDEX($AC38:$AN38,1,_xlfn.XMATCH(FD$5,$CC38:$CN38)),"na")</f>
        <v>na</v>
      </c>
      <c r="FE38" s="47" t="str" cm="1">
        <f t="array" ref="FE38">IF(FE$5&lt;=$DG38,INDEX($AP38:$BA38,1,_xlfn.XMATCH(FE$5,$CC38:$CN38)),"na")</f>
        <v>na</v>
      </c>
    </row>
    <row r="39" spans="2:161" x14ac:dyDescent="0.25">
      <c r="B39" s="10" t="s">
        <v>95</v>
      </c>
      <c r="C39" s="8">
        <v>2914</v>
      </c>
      <c r="D39" s="8">
        <v>2632</v>
      </c>
      <c r="E39" s="8">
        <v>2914</v>
      </c>
      <c r="F39" s="8">
        <v>2820</v>
      </c>
      <c r="G39" s="8">
        <v>2914</v>
      </c>
      <c r="H39" s="8">
        <v>2820</v>
      </c>
      <c r="I39" s="8">
        <v>2914</v>
      </c>
      <c r="J39" s="8">
        <v>2914</v>
      </c>
      <c r="K39" s="8">
        <v>2820</v>
      </c>
      <c r="L39" s="8">
        <v>2914</v>
      </c>
      <c r="M39" s="8">
        <v>2820</v>
      </c>
      <c r="N39" s="8">
        <v>2914</v>
      </c>
      <c r="O39" s="8"/>
      <c r="P39" s="8">
        <v>2650.5</v>
      </c>
      <c r="Q39" s="8">
        <v>2394</v>
      </c>
      <c r="R39" s="8">
        <v>2650.5</v>
      </c>
      <c r="S39" s="8">
        <v>2565</v>
      </c>
      <c r="T39" s="8">
        <v>2650.5</v>
      </c>
      <c r="U39" s="8">
        <v>2565</v>
      </c>
      <c r="V39" s="8">
        <v>2650.5</v>
      </c>
      <c r="W39" s="8">
        <v>2650.5</v>
      </c>
      <c r="X39" s="8">
        <v>2565</v>
      </c>
      <c r="Y39" s="8">
        <v>2650.5</v>
      </c>
      <c r="Z39" s="8">
        <v>2565</v>
      </c>
      <c r="AA39" s="8">
        <v>2650.5</v>
      </c>
      <c r="AC39" s="14">
        <f>C39/_xlfn.XLOOKUP(AC$5,'OC-Days'!$G:$G,'OC-Days'!$B:$B)</f>
        <v>94</v>
      </c>
      <c r="AD39" s="14">
        <f>D39/_xlfn.XLOOKUP(AD$5,'OC-Days'!$G:$G,'OC-Days'!$B:$B)</f>
        <v>94</v>
      </c>
      <c r="AE39" s="14">
        <f>E39/_xlfn.XLOOKUP(AE$5,'OC-Days'!$G:$G,'OC-Days'!$B:$B)</f>
        <v>94</v>
      </c>
      <c r="AF39" s="14">
        <f>F39/_xlfn.XLOOKUP(AF$5,'OC-Days'!$G:$G,'OC-Days'!$B:$B)</f>
        <v>94</v>
      </c>
      <c r="AG39" s="14">
        <f>G39/_xlfn.XLOOKUP(AG$5,'OC-Days'!$G:$G,'OC-Days'!$B:$B)</f>
        <v>94</v>
      </c>
      <c r="AH39" s="14">
        <f>H39/_xlfn.XLOOKUP(AH$5,'OC-Days'!$G:$G,'OC-Days'!$B:$B)</f>
        <v>94</v>
      </c>
      <c r="AI39" s="14">
        <f>I39/_xlfn.XLOOKUP(AI$5,'OC-Days'!$G:$G,'OC-Days'!$B:$B)</f>
        <v>94</v>
      </c>
      <c r="AJ39" s="14">
        <f>J39/_xlfn.XLOOKUP(AJ$5,'OC-Days'!$G:$G,'OC-Days'!$B:$B)</f>
        <v>94</v>
      </c>
      <c r="AK39" s="14">
        <f>K39/_xlfn.XLOOKUP(AK$5,'OC-Days'!$G:$G,'OC-Days'!$B:$B)</f>
        <v>94</v>
      </c>
      <c r="AL39" s="14">
        <f>L39/_xlfn.XLOOKUP(AL$5,'OC-Days'!$G:$G,'OC-Days'!$B:$B)</f>
        <v>94</v>
      </c>
      <c r="AM39" s="14">
        <f>M39/_xlfn.XLOOKUP(AM$5,'OC-Days'!$G:$G,'OC-Days'!$B:$B)</f>
        <v>94</v>
      </c>
      <c r="AN39" s="14">
        <f>N39/_xlfn.XLOOKUP(AN$5,'OC-Days'!$G:$G,'OC-Days'!$B:$B)</f>
        <v>94</v>
      </c>
      <c r="AP39" s="14">
        <f>P39/_xlfn.XLOOKUP(AP$5,'OC-Days'!$G:$G,'OC-Days'!$B:$B)</f>
        <v>85.5</v>
      </c>
      <c r="AQ39" s="14">
        <f>Q39/_xlfn.XLOOKUP(AQ$5,'OC-Days'!$G:$G,'OC-Days'!$B:$B)</f>
        <v>85.5</v>
      </c>
      <c r="AR39" s="14">
        <f>R39/_xlfn.XLOOKUP(AR$5,'OC-Days'!$G:$G,'OC-Days'!$B:$B)</f>
        <v>85.5</v>
      </c>
      <c r="AS39" s="14">
        <f>S39/_xlfn.XLOOKUP(AS$5,'OC-Days'!$G:$G,'OC-Days'!$B:$B)</f>
        <v>85.5</v>
      </c>
      <c r="AT39" s="14">
        <f>T39/_xlfn.XLOOKUP(AT$5,'OC-Days'!$G:$G,'OC-Days'!$B:$B)</f>
        <v>85.5</v>
      </c>
      <c r="AU39" s="14">
        <f>U39/_xlfn.XLOOKUP(AU$5,'OC-Days'!$G:$G,'OC-Days'!$B:$B)</f>
        <v>85.5</v>
      </c>
      <c r="AV39" s="14">
        <f>V39/_xlfn.XLOOKUP(AV$5,'OC-Days'!$G:$G,'OC-Days'!$B:$B)</f>
        <v>85.5</v>
      </c>
      <c r="AW39" s="14">
        <f>W39/_xlfn.XLOOKUP(AW$5,'OC-Days'!$G:$G,'OC-Days'!$B:$B)</f>
        <v>85.5</v>
      </c>
      <c r="AX39" s="14">
        <f>X39/_xlfn.XLOOKUP(AX$5,'OC-Days'!$G:$G,'OC-Days'!$B:$B)</f>
        <v>85.5</v>
      </c>
      <c r="AY39" s="14">
        <f>Y39/_xlfn.XLOOKUP(AY$5,'OC-Days'!$G:$G,'OC-Days'!$B:$B)</f>
        <v>85.5</v>
      </c>
      <c r="AZ39" s="14">
        <f>Z39/_xlfn.XLOOKUP(AZ$5,'OC-Days'!$G:$G,'OC-Days'!$B:$B)</f>
        <v>85.5</v>
      </c>
      <c r="BA39" s="14">
        <f>AA39/_xlfn.XLOOKUP(BA$5,'OC-Days'!$G:$G,'OC-Days'!$B:$B)</f>
        <v>85.5</v>
      </c>
      <c r="BC39" s="33">
        <f>_xlfn.XLOOKUP(BC$5,'OC-Days'!$G:$G,'OC-Days'!$F:$F)</f>
        <v>45658</v>
      </c>
      <c r="BD39" s="34" t="str">
        <f>IF(AQ39=AP39,"na",_xlfn.XLOOKUP(BD$5,'OC-Days'!$G:$G,'OC-Days'!$F:$F))</f>
        <v>na</v>
      </c>
      <c r="BE39" s="34" t="str">
        <f>IF(AR39=AQ39,"na",_xlfn.XLOOKUP(BE$5,'OC-Days'!$G:$G,'OC-Days'!$F:$F))</f>
        <v>na</v>
      </c>
      <c r="BF39" s="34" t="str">
        <f>IF(AS39=AR39,"na",_xlfn.XLOOKUP(BF$5,'OC-Days'!$G:$G,'OC-Days'!$F:$F))</f>
        <v>na</v>
      </c>
      <c r="BG39" s="34" t="str">
        <f>IF(AT39=AS39,"na",_xlfn.XLOOKUP(BG$5,'OC-Days'!$G:$G,'OC-Days'!$F:$F))</f>
        <v>na</v>
      </c>
      <c r="BH39" s="34" t="str">
        <f>IF(AU39=AT39,"na",_xlfn.XLOOKUP(BH$5,'OC-Days'!$G:$G,'OC-Days'!$F:$F))</f>
        <v>na</v>
      </c>
      <c r="BI39" s="34" t="str">
        <f>IF(AV39=AU39,"na",_xlfn.XLOOKUP(BI$5,'OC-Days'!$G:$G,'OC-Days'!$F:$F))</f>
        <v>na</v>
      </c>
      <c r="BJ39" s="34" t="str">
        <f>IF(AW39=AV39,"na",_xlfn.XLOOKUP(BJ$5,'OC-Days'!$G:$G,'OC-Days'!$F:$F))</f>
        <v>na</v>
      </c>
      <c r="BK39" s="34" t="str">
        <f>IF(AX39=AW39,"na",_xlfn.XLOOKUP(BK$5,'OC-Days'!$G:$G,'OC-Days'!$F:$F))</f>
        <v>na</v>
      </c>
      <c r="BL39" s="34" t="str">
        <f>IF(AY39=AX39,"na",_xlfn.XLOOKUP(BL$5,'OC-Days'!$G:$G,'OC-Days'!$F:$F))</f>
        <v>na</v>
      </c>
      <c r="BM39" s="34" t="str">
        <f>IF(AZ39=AY39,"na",_xlfn.XLOOKUP(BM$5,'OC-Days'!$G:$G,'OC-Days'!$F:$F))</f>
        <v>na</v>
      </c>
      <c r="BN39" s="34" t="str">
        <f>IF(BA39=AZ39,"na",_xlfn.XLOOKUP(BN$5,'OC-Days'!$G:$G,'OC-Days'!$F:$F))</f>
        <v>na</v>
      </c>
      <c r="BP39" s="36" t="str">
        <f t="shared" si="52"/>
        <v>na</v>
      </c>
      <c r="BQ39" s="36" t="str">
        <f t="shared" si="53"/>
        <v>na</v>
      </c>
      <c r="BR39" s="36" t="str">
        <f t="shared" si="54"/>
        <v>na</v>
      </c>
      <c r="BS39" s="36" t="str">
        <f t="shared" si="55"/>
        <v>na</v>
      </c>
      <c r="BT39" s="36" t="str">
        <f t="shared" si="56"/>
        <v>na</v>
      </c>
      <c r="BU39" s="36" t="str">
        <f t="shared" si="57"/>
        <v>na</v>
      </c>
      <c r="BV39" s="36" t="str">
        <f t="shared" si="58"/>
        <v>na</v>
      </c>
      <c r="BW39" s="36" t="str">
        <f t="shared" si="59"/>
        <v>na</v>
      </c>
      <c r="BX39" s="36" t="str">
        <f t="shared" si="60"/>
        <v>na</v>
      </c>
      <c r="BY39" s="36" t="str">
        <f t="shared" si="61"/>
        <v>na</v>
      </c>
      <c r="BZ39" s="36" t="str">
        <f t="shared" si="62"/>
        <v>na</v>
      </c>
      <c r="CA39" s="43">
        <f t="shared" si="46"/>
        <v>46022</v>
      </c>
      <c r="CC39" s="8">
        <f>COUNT($BC39:BC39)</f>
        <v>1</v>
      </c>
      <c r="CD39" s="8">
        <f>COUNT($BC39:BD39)</f>
        <v>1</v>
      </c>
      <c r="CE39" s="8">
        <f>COUNT($BC39:BE39)</f>
        <v>1</v>
      </c>
      <c r="CF39" s="8">
        <f>COUNT($BC39:BF39)</f>
        <v>1</v>
      </c>
      <c r="CG39" s="8">
        <f>COUNT($BC39:BG39)</f>
        <v>1</v>
      </c>
      <c r="CH39" s="8">
        <f>COUNT($BC39:BH39)</f>
        <v>1</v>
      </c>
      <c r="CI39" s="8">
        <f>COUNT($BC39:BI39)</f>
        <v>1</v>
      </c>
      <c r="CJ39" s="8">
        <f>COUNT($BC39:BJ39)</f>
        <v>1</v>
      </c>
      <c r="CK39" s="8">
        <f>COUNT($BC39:BK39)</f>
        <v>1</v>
      </c>
      <c r="CL39" s="8">
        <f>COUNT($BC39:BL39)</f>
        <v>1</v>
      </c>
      <c r="CM39" s="8">
        <f>COUNT($BC39:BM39)</f>
        <v>1</v>
      </c>
      <c r="CN39" s="8">
        <f>COUNT($BC39:BN39)</f>
        <v>1</v>
      </c>
      <c r="CO39" s="8"/>
      <c r="CP39" s="8">
        <f>COUNT($BP39:BP39)</f>
        <v>0</v>
      </c>
      <c r="CQ39" s="8">
        <f>COUNT($BP39:BQ39)</f>
        <v>0</v>
      </c>
      <c r="CR39" s="8">
        <f>COUNT($BP39:BR39)</f>
        <v>0</v>
      </c>
      <c r="CS39" s="8">
        <f>COUNT($BP39:BS39)</f>
        <v>0</v>
      </c>
      <c r="CT39" s="8">
        <f>COUNT($BP39:BT39)</f>
        <v>0</v>
      </c>
      <c r="CU39" s="8">
        <f>COUNT($BP39:BU39)</f>
        <v>0</v>
      </c>
      <c r="CV39" s="8">
        <f>COUNT($BP39:BV39)</f>
        <v>0</v>
      </c>
      <c r="CW39" s="8">
        <f>COUNT($BP39:BW39)</f>
        <v>0</v>
      </c>
      <c r="CX39" s="8">
        <f>COUNT($BP39:BX39)</f>
        <v>0</v>
      </c>
      <c r="CY39" s="8">
        <f>COUNT($BP39:BY39)</f>
        <v>0</v>
      </c>
      <c r="CZ39" s="8">
        <f>COUNT($BP39:BZ39)</f>
        <v>0</v>
      </c>
      <c r="DA39" s="8">
        <f>COUNT($BP39:CA39)</f>
        <v>1</v>
      </c>
      <c r="DC39">
        <f t="shared" si="47"/>
        <v>810</v>
      </c>
      <c r="DD39">
        <f t="shared" si="48"/>
        <v>32</v>
      </c>
      <c r="DE39" t="str">
        <f t="shared" si="49"/>
        <v>810-32</v>
      </c>
      <c r="DG39">
        <f t="shared" si="50"/>
        <v>1</v>
      </c>
      <c r="DH39">
        <f t="shared" si="51"/>
        <v>1</v>
      </c>
      <c r="DJ39" s="44" cm="1">
        <f t="array" ref="DJ39">IF(DJ$5&lt;=$DG39,INDEX($BC39:$BN39,1,_xlfn.XMATCH(DJ$5,$CC39:$CN39)),"na")</f>
        <v>45658</v>
      </c>
      <c r="DK39" s="45" cm="1">
        <f t="array" ref="DK39">IF(DK$5&lt;=$DH39,INDEX($BP39:$CA39,1,_xlfn.XMATCH(DK$5,$CP39:$DA39)),"na")</f>
        <v>46022</v>
      </c>
      <c r="DL39" s="46" cm="1">
        <f t="array" ref="DL39">IF(DL$5&lt;=$DG39,INDEX($AC39:$AN39,1,_xlfn.XMATCH(DL$5,$CC39:$CN39)),"na")</f>
        <v>94</v>
      </c>
      <c r="DM39" s="47" cm="1">
        <f t="array" ref="DM39">IF(DM$5&lt;=$DG39,INDEX($AP39:$BA39,1,_xlfn.XMATCH(DM$5,$CC39:$CN39)),"na")</f>
        <v>85.5</v>
      </c>
      <c r="DN39" s="44" t="str" cm="1">
        <f t="array" ref="DN39">IF(DN$5&lt;=$DG39,INDEX($BC39:$BN39,1,_xlfn.XMATCH(DN$5,$CC39:$CN39)),"na")</f>
        <v>na</v>
      </c>
      <c r="DO39" s="45" t="str" cm="1">
        <f t="array" ref="DO39">IF(DO$5&lt;=$DH39,INDEX($BP39:$CA39,1,_xlfn.XMATCH(DO$5,$CP39:$DA39)),"na")</f>
        <v>na</v>
      </c>
      <c r="DP39" s="46" t="str" cm="1">
        <f t="array" ref="DP39">IF(DP$5&lt;=$DG39,INDEX($AC39:$AN39,1,_xlfn.XMATCH(DP$5,$CC39:$CN39)),"na")</f>
        <v>na</v>
      </c>
      <c r="DQ39" s="47" t="str" cm="1">
        <f t="array" ref="DQ39">IF(DQ$5&lt;=$DG39,INDEX($AP39:$BA39,1,_xlfn.XMATCH(DQ$5,$CC39:$CN39)),"na")</f>
        <v>na</v>
      </c>
      <c r="DR39" s="44" t="str" cm="1">
        <f t="array" ref="DR39">IF(DR$5&lt;=$DG39,INDEX($BC39:$BN39,1,_xlfn.XMATCH(DR$5,$CC39:$CN39)),"na")</f>
        <v>na</v>
      </c>
      <c r="DS39" s="45" t="str" cm="1">
        <f t="array" ref="DS39">IF(DS$5&lt;=$DH39,INDEX($BP39:$CA39,1,_xlfn.XMATCH(DS$5,$CP39:$DA39)),"na")</f>
        <v>na</v>
      </c>
      <c r="DT39" s="46" t="str" cm="1">
        <f t="array" ref="DT39">IF(DT$5&lt;=$DG39,INDEX($AC39:$AN39,1,_xlfn.XMATCH(DT$5,$CC39:$CN39)),"na")</f>
        <v>na</v>
      </c>
      <c r="DU39" s="47" t="str" cm="1">
        <f t="array" ref="DU39">IF(DU$5&lt;=$DG39,INDEX($AP39:$BA39,1,_xlfn.XMATCH(DU$5,$CC39:$CN39)),"na")</f>
        <v>na</v>
      </c>
      <c r="DV39" s="44" t="str" cm="1">
        <f t="array" ref="DV39">IF(DV$5&lt;=$DG39,INDEX($BC39:$BN39,1,_xlfn.XMATCH(DV$5,$CC39:$CN39)),"na")</f>
        <v>na</v>
      </c>
      <c r="DW39" s="45" t="str" cm="1">
        <f t="array" ref="DW39">IF(DW$5&lt;=$DH39,INDEX($BP39:$CA39,1,_xlfn.XMATCH(DW$5,$CP39:$DA39)),"na")</f>
        <v>na</v>
      </c>
      <c r="DX39" s="46" t="str" cm="1">
        <f t="array" ref="DX39">IF(DX$5&lt;=$DG39,INDEX($AC39:$AN39,1,_xlfn.XMATCH(DX$5,$CC39:$CN39)),"na")</f>
        <v>na</v>
      </c>
      <c r="DY39" s="47" t="str" cm="1">
        <f t="array" ref="DY39">IF(DY$5&lt;=$DG39,INDEX($AP39:$BA39,1,_xlfn.XMATCH(DY$5,$CC39:$CN39)),"na")</f>
        <v>na</v>
      </c>
      <c r="DZ39" s="44" t="str" cm="1">
        <f t="array" ref="DZ39">IF(DZ$5&lt;=$DG39,INDEX($BC39:$BN39,1,_xlfn.XMATCH(DZ$5,$CC39:$CN39)),"na")</f>
        <v>na</v>
      </c>
      <c r="EA39" s="45" t="str" cm="1">
        <f t="array" ref="EA39">IF(EA$5&lt;=$DH39,INDEX($BP39:$CA39,1,_xlfn.XMATCH(EA$5,$CP39:$DA39)),"na")</f>
        <v>na</v>
      </c>
      <c r="EB39" s="46" t="str" cm="1">
        <f t="array" ref="EB39">IF(EB$5&lt;=$DG39,INDEX($AC39:$AN39,1,_xlfn.XMATCH(EB$5,$CC39:$CN39)),"na")</f>
        <v>na</v>
      </c>
      <c r="EC39" s="47" t="str" cm="1">
        <f t="array" ref="EC39">IF(EC$5&lt;=$DG39,INDEX($AP39:$BA39,1,_xlfn.XMATCH(EC$5,$CC39:$CN39)),"na")</f>
        <v>na</v>
      </c>
      <c r="ED39" s="44" t="str" cm="1">
        <f t="array" ref="ED39">IF(ED$5&lt;=$DG39,INDEX($BC39:$BN39,1,_xlfn.XMATCH(ED$5,$CC39:$CN39)),"na")</f>
        <v>na</v>
      </c>
      <c r="EE39" s="45" t="str" cm="1">
        <f t="array" ref="EE39">IF(EE$5&lt;=$DH39,INDEX($BP39:$CA39,1,_xlfn.XMATCH(EE$5,$CP39:$DA39)),"na")</f>
        <v>na</v>
      </c>
      <c r="EF39" s="46" t="str" cm="1">
        <f t="array" ref="EF39">IF(EF$5&lt;=$DG39,INDEX($AC39:$AN39,1,_xlfn.XMATCH(EF$5,$CC39:$CN39)),"na")</f>
        <v>na</v>
      </c>
      <c r="EG39" s="47" t="str" cm="1">
        <f t="array" ref="EG39">IF(EG$5&lt;=$DG39,INDEX($AP39:$BA39,1,_xlfn.XMATCH(EG$5,$CC39:$CN39)),"na")</f>
        <v>na</v>
      </c>
      <c r="EH39" s="44" t="str" cm="1">
        <f t="array" ref="EH39">IF(EH$5&lt;=$DG39,INDEX($BC39:$BN39,1,_xlfn.XMATCH(EH$5,$CC39:$CN39)),"na")</f>
        <v>na</v>
      </c>
      <c r="EI39" s="45" t="str" cm="1">
        <f t="array" ref="EI39">IF(EI$5&lt;=$DH39,INDEX($BP39:$CA39,1,_xlfn.XMATCH(EI$5,$CP39:$DA39)),"na")</f>
        <v>na</v>
      </c>
      <c r="EJ39" s="46" t="str" cm="1">
        <f t="array" ref="EJ39">IF(EJ$5&lt;=$DG39,INDEX($AC39:$AN39,1,_xlfn.XMATCH(EJ$5,$CC39:$CN39)),"na")</f>
        <v>na</v>
      </c>
      <c r="EK39" s="47" t="str" cm="1">
        <f t="array" ref="EK39">IF(EK$5&lt;=$DG39,INDEX($AP39:$BA39,1,_xlfn.XMATCH(EK$5,$CC39:$CN39)),"na")</f>
        <v>na</v>
      </c>
      <c r="EL39" s="44" t="str" cm="1">
        <f t="array" ref="EL39">IF(EL$5&lt;=$DG39,INDEX($BC39:$BN39,1,_xlfn.XMATCH(EL$5,$CC39:$CN39)),"na")</f>
        <v>na</v>
      </c>
      <c r="EM39" s="45" t="str" cm="1">
        <f t="array" ref="EM39">IF(EM$5&lt;=$DH39,INDEX($BP39:$CA39,1,_xlfn.XMATCH(EM$5,$CP39:$DA39)),"na")</f>
        <v>na</v>
      </c>
      <c r="EN39" s="46" t="str" cm="1">
        <f t="array" ref="EN39">IF(EN$5&lt;=$DG39,INDEX($AC39:$AN39,1,_xlfn.XMATCH(EN$5,$CC39:$CN39)),"na")</f>
        <v>na</v>
      </c>
      <c r="EO39" s="47" t="str" cm="1">
        <f t="array" ref="EO39">IF(EO$5&lt;=$DG39,INDEX($AP39:$BA39,1,_xlfn.XMATCH(EO$5,$CC39:$CN39)),"na")</f>
        <v>na</v>
      </c>
      <c r="EP39" s="44" t="str" cm="1">
        <f t="array" ref="EP39">IF(EP$5&lt;=$DG39,INDEX($BC39:$BN39,1,_xlfn.XMATCH(EP$5,$CC39:$CN39)),"na")</f>
        <v>na</v>
      </c>
      <c r="EQ39" s="45" t="str" cm="1">
        <f t="array" ref="EQ39">IF(EQ$5&lt;=$DH39,INDEX($BP39:$CA39,1,_xlfn.XMATCH(EQ$5,$CP39:$DA39)),"na")</f>
        <v>na</v>
      </c>
      <c r="ER39" s="46" t="str" cm="1">
        <f t="array" ref="ER39">IF(ER$5&lt;=$DG39,INDEX($AC39:$AN39,1,_xlfn.XMATCH(ER$5,$CC39:$CN39)),"na")</f>
        <v>na</v>
      </c>
      <c r="ES39" s="47" t="str" cm="1">
        <f t="array" ref="ES39">IF(ES$5&lt;=$DG39,INDEX($AP39:$BA39,1,_xlfn.XMATCH(ES$5,$CC39:$CN39)),"na")</f>
        <v>na</v>
      </c>
      <c r="ET39" s="44" t="str" cm="1">
        <f t="array" ref="ET39">IF(ET$5&lt;=$DG39,INDEX($BC39:$BN39,1,_xlfn.XMATCH(ET$5,$CC39:$CN39)),"na")</f>
        <v>na</v>
      </c>
      <c r="EU39" s="45" t="str" cm="1">
        <f t="array" ref="EU39">IF(EU$5&lt;=$DH39,INDEX($BP39:$CA39,1,_xlfn.XMATCH(EU$5,$CP39:$DA39)),"na")</f>
        <v>na</v>
      </c>
      <c r="EV39" s="46" t="str" cm="1">
        <f t="array" ref="EV39">IF(EV$5&lt;=$DG39,INDEX($AC39:$AN39,1,_xlfn.XMATCH(EV$5,$CC39:$CN39)),"na")</f>
        <v>na</v>
      </c>
      <c r="EW39" s="47" t="str" cm="1">
        <f t="array" ref="EW39">IF(EW$5&lt;=$DG39,INDEX($AP39:$BA39,1,_xlfn.XMATCH(EW$5,$CC39:$CN39)),"na")</f>
        <v>na</v>
      </c>
      <c r="EX39" s="44" t="str" cm="1">
        <f t="array" ref="EX39">IF(EX$5&lt;=$DG39,INDEX($BC39:$BN39,1,_xlfn.XMATCH(EX$5,$CC39:$CN39)),"na")</f>
        <v>na</v>
      </c>
      <c r="EY39" s="45" t="str" cm="1">
        <f t="array" ref="EY39">IF(EY$5&lt;=$DH39,INDEX($BP39:$CA39,1,_xlfn.XMATCH(EY$5,$CP39:$DA39)),"na")</f>
        <v>na</v>
      </c>
      <c r="EZ39" s="46" t="str" cm="1">
        <f t="array" ref="EZ39">IF(EZ$5&lt;=$DG39,INDEX($AC39:$AN39,1,_xlfn.XMATCH(EZ$5,$CC39:$CN39)),"na")</f>
        <v>na</v>
      </c>
      <c r="FA39" s="47" t="str" cm="1">
        <f t="array" ref="FA39">IF(FA$5&lt;=$DG39,INDEX($AP39:$BA39,1,_xlfn.XMATCH(FA$5,$CC39:$CN39)),"na")</f>
        <v>na</v>
      </c>
      <c r="FB39" s="44" t="str" cm="1">
        <f t="array" ref="FB39">IF(FB$5&lt;=$DG39,INDEX($BC39:$BN39,1,_xlfn.XMATCH(FB$5,$CC39:$CN39)),"na")</f>
        <v>na</v>
      </c>
      <c r="FC39" s="45" t="str" cm="1">
        <f t="array" ref="FC39">IF(FC$5&lt;=$DH39,INDEX($BP39:$CA39,1,_xlfn.XMATCH(FC$5,$CP39:$DA39)),"na")</f>
        <v>na</v>
      </c>
      <c r="FD39" s="46" t="str" cm="1">
        <f t="array" ref="FD39">IF(FD$5&lt;=$DG39,INDEX($AC39:$AN39,1,_xlfn.XMATCH(FD$5,$CC39:$CN39)),"na")</f>
        <v>na</v>
      </c>
      <c r="FE39" s="47" t="str" cm="1">
        <f t="array" ref="FE39">IF(FE$5&lt;=$DG39,INDEX($AP39:$BA39,1,_xlfn.XMATCH(FE$5,$CC39:$CN39)),"na")</f>
        <v>na</v>
      </c>
    </row>
    <row r="40" spans="2:161" x14ac:dyDescent="0.25">
      <c r="B40" s="10" t="s">
        <v>96</v>
      </c>
      <c r="C40" s="8">
        <v>4278</v>
      </c>
      <c r="D40" s="8">
        <v>3864</v>
      </c>
      <c r="E40" s="8">
        <v>4278</v>
      </c>
      <c r="F40" s="8">
        <v>4140</v>
      </c>
      <c r="G40" s="8">
        <v>4278</v>
      </c>
      <c r="H40" s="8">
        <v>4140</v>
      </c>
      <c r="I40" s="8">
        <v>4278</v>
      </c>
      <c r="J40" s="8">
        <v>4278</v>
      </c>
      <c r="K40" s="8">
        <v>4140</v>
      </c>
      <c r="L40" s="8">
        <v>4278</v>
      </c>
      <c r="M40" s="8">
        <v>4140</v>
      </c>
      <c r="N40" s="8">
        <v>4278</v>
      </c>
      <c r="O40" s="8"/>
      <c r="P40" s="8">
        <v>4092</v>
      </c>
      <c r="Q40" s="8">
        <v>3696</v>
      </c>
      <c r="R40" s="8">
        <v>4092</v>
      </c>
      <c r="S40" s="8">
        <v>3960</v>
      </c>
      <c r="T40" s="8">
        <v>4092</v>
      </c>
      <c r="U40" s="8">
        <v>3960</v>
      </c>
      <c r="V40" s="8">
        <v>4092</v>
      </c>
      <c r="W40" s="8">
        <v>4092</v>
      </c>
      <c r="X40" s="8">
        <v>3960</v>
      </c>
      <c r="Y40" s="8">
        <v>4092</v>
      </c>
      <c r="Z40" s="8">
        <v>3960</v>
      </c>
      <c r="AA40" s="8">
        <v>4092</v>
      </c>
      <c r="AC40" s="14">
        <f>C40/_xlfn.XLOOKUP(AC$5,'OC-Days'!$G:$G,'OC-Days'!$B:$B)</f>
        <v>138</v>
      </c>
      <c r="AD40" s="14">
        <f>D40/_xlfn.XLOOKUP(AD$5,'OC-Days'!$G:$G,'OC-Days'!$B:$B)</f>
        <v>138</v>
      </c>
      <c r="AE40" s="14">
        <f>E40/_xlfn.XLOOKUP(AE$5,'OC-Days'!$G:$G,'OC-Days'!$B:$B)</f>
        <v>138</v>
      </c>
      <c r="AF40" s="14">
        <f>F40/_xlfn.XLOOKUP(AF$5,'OC-Days'!$G:$G,'OC-Days'!$B:$B)</f>
        <v>138</v>
      </c>
      <c r="AG40" s="14">
        <f>G40/_xlfn.XLOOKUP(AG$5,'OC-Days'!$G:$G,'OC-Days'!$B:$B)</f>
        <v>138</v>
      </c>
      <c r="AH40" s="14">
        <f>H40/_xlfn.XLOOKUP(AH$5,'OC-Days'!$G:$G,'OC-Days'!$B:$B)</f>
        <v>138</v>
      </c>
      <c r="AI40" s="14">
        <f>I40/_xlfn.XLOOKUP(AI$5,'OC-Days'!$G:$G,'OC-Days'!$B:$B)</f>
        <v>138</v>
      </c>
      <c r="AJ40" s="14">
        <f>J40/_xlfn.XLOOKUP(AJ$5,'OC-Days'!$G:$G,'OC-Days'!$B:$B)</f>
        <v>138</v>
      </c>
      <c r="AK40" s="14">
        <f>K40/_xlfn.XLOOKUP(AK$5,'OC-Days'!$G:$G,'OC-Days'!$B:$B)</f>
        <v>138</v>
      </c>
      <c r="AL40" s="14">
        <f>L40/_xlfn.XLOOKUP(AL$5,'OC-Days'!$G:$G,'OC-Days'!$B:$B)</f>
        <v>138</v>
      </c>
      <c r="AM40" s="14">
        <f>M40/_xlfn.XLOOKUP(AM$5,'OC-Days'!$G:$G,'OC-Days'!$B:$B)</f>
        <v>138</v>
      </c>
      <c r="AN40" s="14">
        <f>N40/_xlfn.XLOOKUP(AN$5,'OC-Days'!$G:$G,'OC-Days'!$B:$B)</f>
        <v>138</v>
      </c>
      <c r="AP40" s="14">
        <f>P40/_xlfn.XLOOKUP(AP$5,'OC-Days'!$G:$G,'OC-Days'!$B:$B)</f>
        <v>132</v>
      </c>
      <c r="AQ40" s="14">
        <f>Q40/_xlfn.XLOOKUP(AQ$5,'OC-Days'!$G:$G,'OC-Days'!$B:$B)</f>
        <v>132</v>
      </c>
      <c r="AR40" s="14">
        <f>R40/_xlfn.XLOOKUP(AR$5,'OC-Days'!$G:$G,'OC-Days'!$B:$B)</f>
        <v>132</v>
      </c>
      <c r="AS40" s="14">
        <f>S40/_xlfn.XLOOKUP(AS$5,'OC-Days'!$G:$G,'OC-Days'!$B:$B)</f>
        <v>132</v>
      </c>
      <c r="AT40" s="14">
        <f>T40/_xlfn.XLOOKUP(AT$5,'OC-Days'!$G:$G,'OC-Days'!$B:$B)</f>
        <v>132</v>
      </c>
      <c r="AU40" s="14">
        <f>U40/_xlfn.XLOOKUP(AU$5,'OC-Days'!$G:$G,'OC-Days'!$B:$B)</f>
        <v>132</v>
      </c>
      <c r="AV40" s="14">
        <f>V40/_xlfn.XLOOKUP(AV$5,'OC-Days'!$G:$G,'OC-Days'!$B:$B)</f>
        <v>132</v>
      </c>
      <c r="AW40" s="14">
        <f>W40/_xlfn.XLOOKUP(AW$5,'OC-Days'!$G:$G,'OC-Days'!$B:$B)</f>
        <v>132</v>
      </c>
      <c r="AX40" s="14">
        <f>X40/_xlfn.XLOOKUP(AX$5,'OC-Days'!$G:$G,'OC-Days'!$B:$B)</f>
        <v>132</v>
      </c>
      <c r="AY40" s="14">
        <f>Y40/_xlfn.XLOOKUP(AY$5,'OC-Days'!$G:$G,'OC-Days'!$B:$B)</f>
        <v>132</v>
      </c>
      <c r="AZ40" s="14">
        <f>Z40/_xlfn.XLOOKUP(AZ$5,'OC-Days'!$G:$G,'OC-Days'!$B:$B)</f>
        <v>132</v>
      </c>
      <c r="BA40" s="14">
        <f>AA40/_xlfn.XLOOKUP(BA$5,'OC-Days'!$G:$G,'OC-Days'!$B:$B)</f>
        <v>132</v>
      </c>
      <c r="BC40" s="33">
        <f>_xlfn.XLOOKUP(BC$5,'OC-Days'!$G:$G,'OC-Days'!$F:$F)</f>
        <v>45658</v>
      </c>
      <c r="BD40" s="34" t="str">
        <f>IF(AQ40=AP40,"na",_xlfn.XLOOKUP(BD$5,'OC-Days'!$G:$G,'OC-Days'!$F:$F))</f>
        <v>na</v>
      </c>
      <c r="BE40" s="34" t="str">
        <f>IF(AR40=AQ40,"na",_xlfn.XLOOKUP(BE$5,'OC-Days'!$G:$G,'OC-Days'!$F:$F))</f>
        <v>na</v>
      </c>
      <c r="BF40" s="34" t="str">
        <f>IF(AS40=AR40,"na",_xlfn.XLOOKUP(BF$5,'OC-Days'!$G:$G,'OC-Days'!$F:$F))</f>
        <v>na</v>
      </c>
      <c r="BG40" s="34" t="str">
        <f>IF(AT40=AS40,"na",_xlfn.XLOOKUP(BG$5,'OC-Days'!$G:$G,'OC-Days'!$F:$F))</f>
        <v>na</v>
      </c>
      <c r="BH40" s="34" t="str">
        <f>IF(AU40=AT40,"na",_xlfn.XLOOKUP(BH$5,'OC-Days'!$G:$G,'OC-Days'!$F:$F))</f>
        <v>na</v>
      </c>
      <c r="BI40" s="34" t="str">
        <f>IF(AV40=AU40,"na",_xlfn.XLOOKUP(BI$5,'OC-Days'!$G:$G,'OC-Days'!$F:$F))</f>
        <v>na</v>
      </c>
      <c r="BJ40" s="34" t="str">
        <f>IF(AW40=AV40,"na",_xlfn.XLOOKUP(BJ$5,'OC-Days'!$G:$G,'OC-Days'!$F:$F))</f>
        <v>na</v>
      </c>
      <c r="BK40" s="34" t="str">
        <f>IF(AX40=AW40,"na",_xlfn.XLOOKUP(BK$5,'OC-Days'!$G:$G,'OC-Days'!$F:$F))</f>
        <v>na</v>
      </c>
      <c r="BL40" s="34" t="str">
        <f>IF(AY40=AX40,"na",_xlfn.XLOOKUP(BL$5,'OC-Days'!$G:$G,'OC-Days'!$F:$F))</f>
        <v>na</v>
      </c>
      <c r="BM40" s="34" t="str">
        <f>IF(AZ40=AY40,"na",_xlfn.XLOOKUP(BM$5,'OC-Days'!$G:$G,'OC-Days'!$F:$F))</f>
        <v>na</v>
      </c>
      <c r="BN40" s="34" t="str">
        <f>IF(BA40=AZ40,"na",_xlfn.XLOOKUP(BN$5,'OC-Days'!$G:$G,'OC-Days'!$F:$F))</f>
        <v>na</v>
      </c>
      <c r="BP40" s="36" t="str">
        <f t="shared" si="52"/>
        <v>na</v>
      </c>
      <c r="BQ40" s="36" t="str">
        <f t="shared" si="53"/>
        <v>na</v>
      </c>
      <c r="BR40" s="36" t="str">
        <f t="shared" si="54"/>
        <v>na</v>
      </c>
      <c r="BS40" s="36" t="str">
        <f t="shared" si="55"/>
        <v>na</v>
      </c>
      <c r="BT40" s="36" t="str">
        <f t="shared" si="56"/>
        <v>na</v>
      </c>
      <c r="BU40" s="36" t="str">
        <f t="shared" si="57"/>
        <v>na</v>
      </c>
      <c r="BV40" s="36" t="str">
        <f t="shared" si="58"/>
        <v>na</v>
      </c>
      <c r="BW40" s="36" t="str">
        <f t="shared" si="59"/>
        <v>na</v>
      </c>
      <c r="BX40" s="36" t="str">
        <f t="shared" si="60"/>
        <v>na</v>
      </c>
      <c r="BY40" s="36" t="str">
        <f t="shared" si="61"/>
        <v>na</v>
      </c>
      <c r="BZ40" s="36" t="str">
        <f t="shared" si="62"/>
        <v>na</v>
      </c>
      <c r="CA40" s="43">
        <f t="shared" si="46"/>
        <v>46022</v>
      </c>
      <c r="CC40" s="8">
        <f>COUNT($BC40:BC40)</f>
        <v>1</v>
      </c>
      <c r="CD40" s="8">
        <f>COUNT($BC40:BD40)</f>
        <v>1</v>
      </c>
      <c r="CE40" s="8">
        <f>COUNT($BC40:BE40)</f>
        <v>1</v>
      </c>
      <c r="CF40" s="8">
        <f>COUNT($BC40:BF40)</f>
        <v>1</v>
      </c>
      <c r="CG40" s="8">
        <f>COUNT($BC40:BG40)</f>
        <v>1</v>
      </c>
      <c r="CH40" s="8">
        <f>COUNT($BC40:BH40)</f>
        <v>1</v>
      </c>
      <c r="CI40" s="8">
        <f>COUNT($BC40:BI40)</f>
        <v>1</v>
      </c>
      <c r="CJ40" s="8">
        <f>COUNT($BC40:BJ40)</f>
        <v>1</v>
      </c>
      <c r="CK40" s="8">
        <f>COUNT($BC40:BK40)</f>
        <v>1</v>
      </c>
      <c r="CL40" s="8">
        <f>COUNT($BC40:BL40)</f>
        <v>1</v>
      </c>
      <c r="CM40" s="8">
        <f>COUNT($BC40:BM40)</f>
        <v>1</v>
      </c>
      <c r="CN40" s="8">
        <f>COUNT($BC40:BN40)</f>
        <v>1</v>
      </c>
      <c r="CO40" s="8"/>
      <c r="CP40" s="8">
        <f>COUNT($BP40:BP40)</f>
        <v>0</v>
      </c>
      <c r="CQ40" s="8">
        <f>COUNT($BP40:BQ40)</f>
        <v>0</v>
      </c>
      <c r="CR40" s="8">
        <f>COUNT($BP40:BR40)</f>
        <v>0</v>
      </c>
      <c r="CS40" s="8">
        <f>COUNT($BP40:BS40)</f>
        <v>0</v>
      </c>
      <c r="CT40" s="8">
        <f>COUNT($BP40:BT40)</f>
        <v>0</v>
      </c>
      <c r="CU40" s="8">
        <f>COUNT($BP40:BU40)</f>
        <v>0</v>
      </c>
      <c r="CV40" s="8">
        <f>COUNT($BP40:BV40)</f>
        <v>0</v>
      </c>
      <c r="CW40" s="8">
        <f>COUNT($BP40:BW40)</f>
        <v>0</v>
      </c>
      <c r="CX40" s="8">
        <f>COUNT($BP40:BX40)</f>
        <v>0</v>
      </c>
      <c r="CY40" s="8">
        <f>COUNT($BP40:BY40)</f>
        <v>0</v>
      </c>
      <c r="CZ40" s="8">
        <f>COUNT($BP40:BZ40)</f>
        <v>0</v>
      </c>
      <c r="DA40" s="8">
        <f>COUNT($BP40:CA40)</f>
        <v>1</v>
      </c>
      <c r="DC40">
        <f t="shared" si="47"/>
        <v>810</v>
      </c>
      <c r="DD40">
        <f t="shared" si="48"/>
        <v>33</v>
      </c>
      <c r="DE40" t="str">
        <f t="shared" si="49"/>
        <v>810-33</v>
      </c>
      <c r="DG40">
        <f t="shared" si="50"/>
        <v>1</v>
      </c>
      <c r="DH40">
        <f t="shared" si="51"/>
        <v>1</v>
      </c>
      <c r="DJ40" s="44" cm="1">
        <f t="array" ref="DJ40">IF(DJ$5&lt;=$DG40,INDEX($BC40:$BN40,1,_xlfn.XMATCH(DJ$5,$CC40:$CN40)),"na")</f>
        <v>45658</v>
      </c>
      <c r="DK40" s="45" cm="1">
        <f t="array" ref="DK40">IF(DK$5&lt;=$DH40,INDEX($BP40:$CA40,1,_xlfn.XMATCH(DK$5,$CP40:$DA40)),"na")</f>
        <v>46022</v>
      </c>
      <c r="DL40" s="46" cm="1">
        <f t="array" ref="DL40">IF(DL$5&lt;=$DG40,INDEX($AC40:$AN40,1,_xlfn.XMATCH(DL$5,$CC40:$CN40)),"na")</f>
        <v>138</v>
      </c>
      <c r="DM40" s="47" cm="1">
        <f t="array" ref="DM40">IF(DM$5&lt;=$DG40,INDEX($AP40:$BA40,1,_xlfn.XMATCH(DM$5,$CC40:$CN40)),"na")</f>
        <v>132</v>
      </c>
      <c r="DN40" s="44" t="str" cm="1">
        <f t="array" ref="DN40">IF(DN$5&lt;=$DG40,INDEX($BC40:$BN40,1,_xlfn.XMATCH(DN$5,$CC40:$CN40)),"na")</f>
        <v>na</v>
      </c>
      <c r="DO40" s="45" t="str" cm="1">
        <f t="array" ref="DO40">IF(DO$5&lt;=$DH40,INDEX($BP40:$CA40,1,_xlfn.XMATCH(DO$5,$CP40:$DA40)),"na")</f>
        <v>na</v>
      </c>
      <c r="DP40" s="46" t="str" cm="1">
        <f t="array" ref="DP40">IF(DP$5&lt;=$DG40,INDEX($AC40:$AN40,1,_xlfn.XMATCH(DP$5,$CC40:$CN40)),"na")</f>
        <v>na</v>
      </c>
      <c r="DQ40" s="47" t="str" cm="1">
        <f t="array" ref="DQ40">IF(DQ$5&lt;=$DG40,INDEX($AP40:$BA40,1,_xlfn.XMATCH(DQ$5,$CC40:$CN40)),"na")</f>
        <v>na</v>
      </c>
      <c r="DR40" s="44" t="str" cm="1">
        <f t="array" ref="DR40">IF(DR$5&lt;=$DG40,INDEX($BC40:$BN40,1,_xlfn.XMATCH(DR$5,$CC40:$CN40)),"na")</f>
        <v>na</v>
      </c>
      <c r="DS40" s="45" t="str" cm="1">
        <f t="array" ref="DS40">IF(DS$5&lt;=$DH40,INDEX($BP40:$CA40,1,_xlfn.XMATCH(DS$5,$CP40:$DA40)),"na")</f>
        <v>na</v>
      </c>
      <c r="DT40" s="46" t="str" cm="1">
        <f t="array" ref="DT40">IF(DT$5&lt;=$DG40,INDEX($AC40:$AN40,1,_xlfn.XMATCH(DT$5,$CC40:$CN40)),"na")</f>
        <v>na</v>
      </c>
      <c r="DU40" s="47" t="str" cm="1">
        <f t="array" ref="DU40">IF(DU$5&lt;=$DG40,INDEX($AP40:$BA40,1,_xlfn.XMATCH(DU$5,$CC40:$CN40)),"na")</f>
        <v>na</v>
      </c>
      <c r="DV40" s="44" t="str" cm="1">
        <f t="array" ref="DV40">IF(DV$5&lt;=$DG40,INDEX($BC40:$BN40,1,_xlfn.XMATCH(DV$5,$CC40:$CN40)),"na")</f>
        <v>na</v>
      </c>
      <c r="DW40" s="45" t="str" cm="1">
        <f t="array" ref="DW40">IF(DW$5&lt;=$DH40,INDEX($BP40:$CA40,1,_xlfn.XMATCH(DW$5,$CP40:$DA40)),"na")</f>
        <v>na</v>
      </c>
      <c r="DX40" s="46" t="str" cm="1">
        <f t="array" ref="DX40">IF(DX$5&lt;=$DG40,INDEX($AC40:$AN40,1,_xlfn.XMATCH(DX$5,$CC40:$CN40)),"na")</f>
        <v>na</v>
      </c>
      <c r="DY40" s="47" t="str" cm="1">
        <f t="array" ref="DY40">IF(DY$5&lt;=$DG40,INDEX($AP40:$BA40,1,_xlfn.XMATCH(DY$5,$CC40:$CN40)),"na")</f>
        <v>na</v>
      </c>
      <c r="DZ40" s="44" t="str" cm="1">
        <f t="array" ref="DZ40">IF(DZ$5&lt;=$DG40,INDEX($BC40:$BN40,1,_xlfn.XMATCH(DZ$5,$CC40:$CN40)),"na")</f>
        <v>na</v>
      </c>
      <c r="EA40" s="45" t="str" cm="1">
        <f t="array" ref="EA40">IF(EA$5&lt;=$DH40,INDEX($BP40:$CA40,1,_xlfn.XMATCH(EA$5,$CP40:$DA40)),"na")</f>
        <v>na</v>
      </c>
      <c r="EB40" s="46" t="str" cm="1">
        <f t="array" ref="EB40">IF(EB$5&lt;=$DG40,INDEX($AC40:$AN40,1,_xlfn.XMATCH(EB$5,$CC40:$CN40)),"na")</f>
        <v>na</v>
      </c>
      <c r="EC40" s="47" t="str" cm="1">
        <f t="array" ref="EC40">IF(EC$5&lt;=$DG40,INDEX($AP40:$BA40,1,_xlfn.XMATCH(EC$5,$CC40:$CN40)),"na")</f>
        <v>na</v>
      </c>
      <c r="ED40" s="44" t="str" cm="1">
        <f t="array" ref="ED40">IF(ED$5&lt;=$DG40,INDEX($BC40:$BN40,1,_xlfn.XMATCH(ED$5,$CC40:$CN40)),"na")</f>
        <v>na</v>
      </c>
      <c r="EE40" s="45" t="str" cm="1">
        <f t="array" ref="EE40">IF(EE$5&lt;=$DH40,INDEX($BP40:$CA40,1,_xlfn.XMATCH(EE$5,$CP40:$DA40)),"na")</f>
        <v>na</v>
      </c>
      <c r="EF40" s="46" t="str" cm="1">
        <f t="array" ref="EF40">IF(EF$5&lt;=$DG40,INDEX($AC40:$AN40,1,_xlfn.XMATCH(EF$5,$CC40:$CN40)),"na")</f>
        <v>na</v>
      </c>
      <c r="EG40" s="47" t="str" cm="1">
        <f t="array" ref="EG40">IF(EG$5&lt;=$DG40,INDEX($AP40:$BA40,1,_xlfn.XMATCH(EG$5,$CC40:$CN40)),"na")</f>
        <v>na</v>
      </c>
      <c r="EH40" s="44" t="str" cm="1">
        <f t="array" ref="EH40">IF(EH$5&lt;=$DG40,INDEX($BC40:$BN40,1,_xlfn.XMATCH(EH$5,$CC40:$CN40)),"na")</f>
        <v>na</v>
      </c>
      <c r="EI40" s="45" t="str" cm="1">
        <f t="array" ref="EI40">IF(EI$5&lt;=$DH40,INDEX($BP40:$CA40,1,_xlfn.XMATCH(EI$5,$CP40:$DA40)),"na")</f>
        <v>na</v>
      </c>
      <c r="EJ40" s="46" t="str" cm="1">
        <f t="array" ref="EJ40">IF(EJ$5&lt;=$DG40,INDEX($AC40:$AN40,1,_xlfn.XMATCH(EJ$5,$CC40:$CN40)),"na")</f>
        <v>na</v>
      </c>
      <c r="EK40" s="47" t="str" cm="1">
        <f t="array" ref="EK40">IF(EK$5&lt;=$DG40,INDEX($AP40:$BA40,1,_xlfn.XMATCH(EK$5,$CC40:$CN40)),"na")</f>
        <v>na</v>
      </c>
      <c r="EL40" s="44" t="str" cm="1">
        <f t="array" ref="EL40">IF(EL$5&lt;=$DG40,INDEX($BC40:$BN40,1,_xlfn.XMATCH(EL$5,$CC40:$CN40)),"na")</f>
        <v>na</v>
      </c>
      <c r="EM40" s="45" t="str" cm="1">
        <f t="array" ref="EM40">IF(EM$5&lt;=$DH40,INDEX($BP40:$CA40,1,_xlfn.XMATCH(EM$5,$CP40:$DA40)),"na")</f>
        <v>na</v>
      </c>
      <c r="EN40" s="46" t="str" cm="1">
        <f t="array" ref="EN40">IF(EN$5&lt;=$DG40,INDEX($AC40:$AN40,1,_xlfn.XMATCH(EN$5,$CC40:$CN40)),"na")</f>
        <v>na</v>
      </c>
      <c r="EO40" s="47" t="str" cm="1">
        <f t="array" ref="EO40">IF(EO$5&lt;=$DG40,INDEX($AP40:$BA40,1,_xlfn.XMATCH(EO$5,$CC40:$CN40)),"na")</f>
        <v>na</v>
      </c>
      <c r="EP40" s="44" t="str" cm="1">
        <f t="array" ref="EP40">IF(EP$5&lt;=$DG40,INDEX($BC40:$BN40,1,_xlfn.XMATCH(EP$5,$CC40:$CN40)),"na")</f>
        <v>na</v>
      </c>
      <c r="EQ40" s="45" t="str" cm="1">
        <f t="array" ref="EQ40">IF(EQ$5&lt;=$DH40,INDEX($BP40:$CA40,1,_xlfn.XMATCH(EQ$5,$CP40:$DA40)),"na")</f>
        <v>na</v>
      </c>
      <c r="ER40" s="46" t="str" cm="1">
        <f t="array" ref="ER40">IF(ER$5&lt;=$DG40,INDEX($AC40:$AN40,1,_xlfn.XMATCH(ER$5,$CC40:$CN40)),"na")</f>
        <v>na</v>
      </c>
      <c r="ES40" s="47" t="str" cm="1">
        <f t="array" ref="ES40">IF(ES$5&lt;=$DG40,INDEX($AP40:$BA40,1,_xlfn.XMATCH(ES$5,$CC40:$CN40)),"na")</f>
        <v>na</v>
      </c>
      <c r="ET40" s="44" t="str" cm="1">
        <f t="array" ref="ET40">IF(ET$5&lt;=$DG40,INDEX($BC40:$BN40,1,_xlfn.XMATCH(ET$5,$CC40:$CN40)),"na")</f>
        <v>na</v>
      </c>
      <c r="EU40" s="45" t="str" cm="1">
        <f t="array" ref="EU40">IF(EU$5&lt;=$DH40,INDEX($BP40:$CA40,1,_xlfn.XMATCH(EU$5,$CP40:$DA40)),"na")</f>
        <v>na</v>
      </c>
      <c r="EV40" s="46" t="str" cm="1">
        <f t="array" ref="EV40">IF(EV$5&lt;=$DG40,INDEX($AC40:$AN40,1,_xlfn.XMATCH(EV$5,$CC40:$CN40)),"na")</f>
        <v>na</v>
      </c>
      <c r="EW40" s="47" t="str" cm="1">
        <f t="array" ref="EW40">IF(EW$5&lt;=$DG40,INDEX($AP40:$BA40,1,_xlfn.XMATCH(EW$5,$CC40:$CN40)),"na")</f>
        <v>na</v>
      </c>
      <c r="EX40" s="44" t="str" cm="1">
        <f t="array" ref="EX40">IF(EX$5&lt;=$DG40,INDEX($BC40:$BN40,1,_xlfn.XMATCH(EX$5,$CC40:$CN40)),"na")</f>
        <v>na</v>
      </c>
      <c r="EY40" s="45" t="str" cm="1">
        <f t="array" ref="EY40">IF(EY$5&lt;=$DH40,INDEX($BP40:$CA40,1,_xlfn.XMATCH(EY$5,$CP40:$DA40)),"na")</f>
        <v>na</v>
      </c>
      <c r="EZ40" s="46" t="str" cm="1">
        <f t="array" ref="EZ40">IF(EZ$5&lt;=$DG40,INDEX($AC40:$AN40,1,_xlfn.XMATCH(EZ$5,$CC40:$CN40)),"na")</f>
        <v>na</v>
      </c>
      <c r="FA40" s="47" t="str" cm="1">
        <f t="array" ref="FA40">IF(FA$5&lt;=$DG40,INDEX($AP40:$BA40,1,_xlfn.XMATCH(FA$5,$CC40:$CN40)),"na")</f>
        <v>na</v>
      </c>
      <c r="FB40" s="44" t="str" cm="1">
        <f t="array" ref="FB40">IF(FB$5&lt;=$DG40,INDEX($BC40:$BN40,1,_xlfn.XMATCH(FB$5,$CC40:$CN40)),"na")</f>
        <v>na</v>
      </c>
      <c r="FC40" s="45" t="str" cm="1">
        <f t="array" ref="FC40">IF(FC$5&lt;=$DH40,INDEX($BP40:$CA40,1,_xlfn.XMATCH(FC$5,$CP40:$DA40)),"na")</f>
        <v>na</v>
      </c>
      <c r="FD40" s="46" t="str" cm="1">
        <f t="array" ref="FD40">IF(FD$5&lt;=$DG40,INDEX($AC40:$AN40,1,_xlfn.XMATCH(FD$5,$CC40:$CN40)),"na")</f>
        <v>na</v>
      </c>
      <c r="FE40" s="47" t="str" cm="1">
        <f t="array" ref="FE40">IF(FE$5&lt;=$DG40,INDEX($AP40:$BA40,1,_xlfn.XMATCH(FE$5,$CC40:$CN40)),"na")</f>
        <v>na</v>
      </c>
    </row>
    <row r="41" spans="2:161" x14ac:dyDescent="0.25">
      <c r="B41" s="10" t="s">
        <v>97</v>
      </c>
      <c r="C41" s="8">
        <v>3100</v>
      </c>
      <c r="D41" s="8">
        <v>2800</v>
      </c>
      <c r="E41" s="8">
        <v>3100</v>
      </c>
      <c r="F41" s="8">
        <v>3000</v>
      </c>
      <c r="G41" s="8">
        <v>3100</v>
      </c>
      <c r="H41" s="8">
        <v>3000</v>
      </c>
      <c r="I41" s="8">
        <v>3100</v>
      </c>
      <c r="J41" s="8">
        <v>3100</v>
      </c>
      <c r="K41" s="8">
        <v>3000</v>
      </c>
      <c r="L41" s="8">
        <v>3100</v>
      </c>
      <c r="M41" s="8">
        <v>3000</v>
      </c>
      <c r="N41" s="8">
        <v>3100</v>
      </c>
      <c r="O41" s="8"/>
      <c r="P41" s="8">
        <v>2991.5</v>
      </c>
      <c r="Q41" s="8">
        <v>2702</v>
      </c>
      <c r="R41" s="8">
        <v>2991.5</v>
      </c>
      <c r="S41" s="8">
        <v>2895</v>
      </c>
      <c r="T41" s="8">
        <v>2991.5</v>
      </c>
      <c r="U41" s="8">
        <v>2895</v>
      </c>
      <c r="V41" s="8">
        <v>2991.5</v>
      </c>
      <c r="W41" s="8">
        <v>2991.5</v>
      </c>
      <c r="X41" s="8">
        <v>2895</v>
      </c>
      <c r="Y41" s="8">
        <v>2991.5</v>
      </c>
      <c r="Z41" s="8">
        <v>2895</v>
      </c>
      <c r="AA41" s="8">
        <v>2991.5</v>
      </c>
      <c r="AC41" s="14">
        <f>C41/_xlfn.XLOOKUP(AC$5,'OC-Days'!$G:$G,'OC-Days'!$B:$B)</f>
        <v>100</v>
      </c>
      <c r="AD41" s="14">
        <f>D41/_xlfn.XLOOKUP(AD$5,'OC-Days'!$G:$G,'OC-Days'!$B:$B)</f>
        <v>100</v>
      </c>
      <c r="AE41" s="14">
        <f>E41/_xlfn.XLOOKUP(AE$5,'OC-Days'!$G:$G,'OC-Days'!$B:$B)</f>
        <v>100</v>
      </c>
      <c r="AF41" s="14">
        <f>F41/_xlfn.XLOOKUP(AF$5,'OC-Days'!$G:$G,'OC-Days'!$B:$B)</f>
        <v>100</v>
      </c>
      <c r="AG41" s="14">
        <f>G41/_xlfn.XLOOKUP(AG$5,'OC-Days'!$G:$G,'OC-Days'!$B:$B)</f>
        <v>100</v>
      </c>
      <c r="AH41" s="14">
        <f>H41/_xlfn.XLOOKUP(AH$5,'OC-Days'!$G:$G,'OC-Days'!$B:$B)</f>
        <v>100</v>
      </c>
      <c r="AI41" s="14">
        <f>I41/_xlfn.XLOOKUP(AI$5,'OC-Days'!$G:$G,'OC-Days'!$B:$B)</f>
        <v>100</v>
      </c>
      <c r="AJ41" s="14">
        <f>J41/_xlfn.XLOOKUP(AJ$5,'OC-Days'!$G:$G,'OC-Days'!$B:$B)</f>
        <v>100</v>
      </c>
      <c r="AK41" s="14">
        <f>K41/_xlfn.XLOOKUP(AK$5,'OC-Days'!$G:$G,'OC-Days'!$B:$B)</f>
        <v>100</v>
      </c>
      <c r="AL41" s="14">
        <f>L41/_xlfn.XLOOKUP(AL$5,'OC-Days'!$G:$G,'OC-Days'!$B:$B)</f>
        <v>100</v>
      </c>
      <c r="AM41" s="14">
        <f>M41/_xlfn.XLOOKUP(AM$5,'OC-Days'!$G:$G,'OC-Days'!$B:$B)</f>
        <v>100</v>
      </c>
      <c r="AN41" s="14">
        <f>N41/_xlfn.XLOOKUP(AN$5,'OC-Days'!$G:$G,'OC-Days'!$B:$B)</f>
        <v>100</v>
      </c>
      <c r="AP41" s="14">
        <f>P41/_xlfn.XLOOKUP(AP$5,'OC-Days'!$G:$G,'OC-Days'!$B:$B)</f>
        <v>96.5</v>
      </c>
      <c r="AQ41" s="14">
        <f>Q41/_xlfn.XLOOKUP(AQ$5,'OC-Days'!$G:$G,'OC-Days'!$B:$B)</f>
        <v>96.5</v>
      </c>
      <c r="AR41" s="14">
        <f>R41/_xlfn.XLOOKUP(AR$5,'OC-Days'!$G:$G,'OC-Days'!$B:$B)</f>
        <v>96.5</v>
      </c>
      <c r="AS41" s="14">
        <f>S41/_xlfn.XLOOKUP(AS$5,'OC-Days'!$G:$G,'OC-Days'!$B:$B)</f>
        <v>96.5</v>
      </c>
      <c r="AT41" s="14">
        <f>T41/_xlfn.XLOOKUP(AT$5,'OC-Days'!$G:$G,'OC-Days'!$B:$B)</f>
        <v>96.5</v>
      </c>
      <c r="AU41" s="14">
        <f>U41/_xlfn.XLOOKUP(AU$5,'OC-Days'!$G:$G,'OC-Days'!$B:$B)</f>
        <v>96.5</v>
      </c>
      <c r="AV41" s="14">
        <f>V41/_xlfn.XLOOKUP(AV$5,'OC-Days'!$G:$G,'OC-Days'!$B:$B)</f>
        <v>96.5</v>
      </c>
      <c r="AW41" s="14">
        <f>W41/_xlfn.XLOOKUP(AW$5,'OC-Days'!$G:$G,'OC-Days'!$B:$B)</f>
        <v>96.5</v>
      </c>
      <c r="AX41" s="14">
        <f>X41/_xlfn.XLOOKUP(AX$5,'OC-Days'!$G:$G,'OC-Days'!$B:$B)</f>
        <v>96.5</v>
      </c>
      <c r="AY41" s="14">
        <f>Y41/_xlfn.XLOOKUP(AY$5,'OC-Days'!$G:$G,'OC-Days'!$B:$B)</f>
        <v>96.5</v>
      </c>
      <c r="AZ41" s="14">
        <f>Z41/_xlfn.XLOOKUP(AZ$5,'OC-Days'!$G:$G,'OC-Days'!$B:$B)</f>
        <v>96.5</v>
      </c>
      <c r="BA41" s="14">
        <f>AA41/_xlfn.XLOOKUP(BA$5,'OC-Days'!$G:$G,'OC-Days'!$B:$B)</f>
        <v>96.5</v>
      </c>
      <c r="BC41" s="33">
        <f>_xlfn.XLOOKUP(BC$5,'OC-Days'!$G:$G,'OC-Days'!$F:$F)</f>
        <v>45658</v>
      </c>
      <c r="BD41" s="34" t="str">
        <f>IF(AQ41=AP41,"na",_xlfn.XLOOKUP(BD$5,'OC-Days'!$G:$G,'OC-Days'!$F:$F))</f>
        <v>na</v>
      </c>
      <c r="BE41" s="34" t="str">
        <f>IF(AR41=AQ41,"na",_xlfn.XLOOKUP(BE$5,'OC-Days'!$G:$G,'OC-Days'!$F:$F))</f>
        <v>na</v>
      </c>
      <c r="BF41" s="34" t="str">
        <f>IF(AS41=AR41,"na",_xlfn.XLOOKUP(BF$5,'OC-Days'!$G:$G,'OC-Days'!$F:$F))</f>
        <v>na</v>
      </c>
      <c r="BG41" s="34" t="str">
        <f>IF(AT41=AS41,"na",_xlfn.XLOOKUP(BG$5,'OC-Days'!$G:$G,'OC-Days'!$F:$F))</f>
        <v>na</v>
      </c>
      <c r="BH41" s="34" t="str">
        <f>IF(AU41=AT41,"na",_xlfn.XLOOKUP(BH$5,'OC-Days'!$G:$G,'OC-Days'!$F:$F))</f>
        <v>na</v>
      </c>
      <c r="BI41" s="34" t="str">
        <f>IF(AV41=AU41,"na",_xlfn.XLOOKUP(BI$5,'OC-Days'!$G:$G,'OC-Days'!$F:$F))</f>
        <v>na</v>
      </c>
      <c r="BJ41" s="34" t="str">
        <f>IF(AW41=AV41,"na",_xlfn.XLOOKUP(BJ$5,'OC-Days'!$G:$G,'OC-Days'!$F:$F))</f>
        <v>na</v>
      </c>
      <c r="BK41" s="34" t="str">
        <f>IF(AX41=AW41,"na",_xlfn.XLOOKUP(BK$5,'OC-Days'!$G:$G,'OC-Days'!$F:$F))</f>
        <v>na</v>
      </c>
      <c r="BL41" s="34" t="str">
        <f>IF(AY41=AX41,"na",_xlfn.XLOOKUP(BL$5,'OC-Days'!$G:$G,'OC-Days'!$F:$F))</f>
        <v>na</v>
      </c>
      <c r="BM41" s="34" t="str">
        <f>IF(AZ41=AY41,"na",_xlfn.XLOOKUP(BM$5,'OC-Days'!$G:$G,'OC-Days'!$F:$F))</f>
        <v>na</v>
      </c>
      <c r="BN41" s="34" t="str">
        <f>IF(BA41=AZ41,"na",_xlfn.XLOOKUP(BN$5,'OC-Days'!$G:$G,'OC-Days'!$F:$F))</f>
        <v>na</v>
      </c>
      <c r="BP41" s="36" t="str">
        <f t="shared" si="52"/>
        <v>na</v>
      </c>
      <c r="BQ41" s="36" t="str">
        <f t="shared" si="53"/>
        <v>na</v>
      </c>
      <c r="BR41" s="36" t="str">
        <f t="shared" si="54"/>
        <v>na</v>
      </c>
      <c r="BS41" s="36" t="str">
        <f t="shared" si="55"/>
        <v>na</v>
      </c>
      <c r="BT41" s="36" t="str">
        <f t="shared" si="56"/>
        <v>na</v>
      </c>
      <c r="BU41" s="36" t="str">
        <f t="shared" si="57"/>
        <v>na</v>
      </c>
      <c r="BV41" s="36" t="str">
        <f t="shared" si="58"/>
        <v>na</v>
      </c>
      <c r="BW41" s="36" t="str">
        <f t="shared" si="59"/>
        <v>na</v>
      </c>
      <c r="BX41" s="36" t="str">
        <f t="shared" si="60"/>
        <v>na</v>
      </c>
      <c r="BY41" s="36" t="str">
        <f t="shared" si="61"/>
        <v>na</v>
      </c>
      <c r="BZ41" s="36" t="str">
        <f t="shared" si="62"/>
        <v>na</v>
      </c>
      <c r="CA41" s="43">
        <f t="shared" si="46"/>
        <v>46022</v>
      </c>
      <c r="CC41" s="8">
        <f>COUNT($BC41:BC41)</f>
        <v>1</v>
      </c>
      <c r="CD41" s="8">
        <f>COUNT($BC41:BD41)</f>
        <v>1</v>
      </c>
      <c r="CE41" s="8">
        <f>COUNT($BC41:BE41)</f>
        <v>1</v>
      </c>
      <c r="CF41" s="8">
        <f>COUNT($BC41:BF41)</f>
        <v>1</v>
      </c>
      <c r="CG41" s="8">
        <f>COUNT($BC41:BG41)</f>
        <v>1</v>
      </c>
      <c r="CH41" s="8">
        <f>COUNT($BC41:BH41)</f>
        <v>1</v>
      </c>
      <c r="CI41" s="8">
        <f>COUNT($BC41:BI41)</f>
        <v>1</v>
      </c>
      <c r="CJ41" s="8">
        <f>COUNT($BC41:BJ41)</f>
        <v>1</v>
      </c>
      <c r="CK41" s="8">
        <f>COUNT($BC41:BK41)</f>
        <v>1</v>
      </c>
      <c r="CL41" s="8">
        <f>COUNT($BC41:BL41)</f>
        <v>1</v>
      </c>
      <c r="CM41" s="8">
        <f>COUNT($BC41:BM41)</f>
        <v>1</v>
      </c>
      <c r="CN41" s="8">
        <f>COUNT($BC41:BN41)</f>
        <v>1</v>
      </c>
      <c r="CO41" s="8"/>
      <c r="CP41" s="8">
        <f>COUNT($BP41:BP41)</f>
        <v>0</v>
      </c>
      <c r="CQ41" s="8">
        <f>COUNT($BP41:BQ41)</f>
        <v>0</v>
      </c>
      <c r="CR41" s="8">
        <f>COUNT($BP41:BR41)</f>
        <v>0</v>
      </c>
      <c r="CS41" s="8">
        <f>COUNT($BP41:BS41)</f>
        <v>0</v>
      </c>
      <c r="CT41" s="8">
        <f>COUNT($BP41:BT41)</f>
        <v>0</v>
      </c>
      <c r="CU41" s="8">
        <f>COUNT($BP41:BU41)</f>
        <v>0</v>
      </c>
      <c r="CV41" s="8">
        <f>COUNT($BP41:BV41)</f>
        <v>0</v>
      </c>
      <c r="CW41" s="8">
        <f>COUNT($BP41:BW41)</f>
        <v>0</v>
      </c>
      <c r="CX41" s="8">
        <f>COUNT($BP41:BX41)</f>
        <v>0</v>
      </c>
      <c r="CY41" s="8">
        <f>COUNT($BP41:BY41)</f>
        <v>0</v>
      </c>
      <c r="CZ41" s="8">
        <f>COUNT($BP41:BZ41)</f>
        <v>0</v>
      </c>
      <c r="DA41" s="8">
        <f>COUNT($BP41:CA41)</f>
        <v>1</v>
      </c>
      <c r="DC41">
        <f t="shared" si="47"/>
        <v>810</v>
      </c>
      <c r="DD41">
        <f t="shared" si="48"/>
        <v>51</v>
      </c>
      <c r="DE41" t="str">
        <f t="shared" si="49"/>
        <v>810-51</v>
      </c>
      <c r="DG41">
        <f t="shared" si="50"/>
        <v>1</v>
      </c>
      <c r="DH41">
        <f t="shared" si="51"/>
        <v>1</v>
      </c>
      <c r="DJ41" s="44" cm="1">
        <f t="array" ref="DJ41">IF(DJ$5&lt;=$DG41,INDEX($BC41:$BN41,1,_xlfn.XMATCH(DJ$5,$CC41:$CN41)),"na")</f>
        <v>45658</v>
      </c>
      <c r="DK41" s="45" cm="1">
        <f t="array" ref="DK41">IF(DK$5&lt;=$DH41,INDEX($BP41:$CA41,1,_xlfn.XMATCH(DK$5,$CP41:$DA41)),"na")</f>
        <v>46022</v>
      </c>
      <c r="DL41" s="46" cm="1">
        <f t="array" ref="DL41">IF(DL$5&lt;=$DG41,INDEX($AC41:$AN41,1,_xlfn.XMATCH(DL$5,$CC41:$CN41)),"na")</f>
        <v>100</v>
      </c>
      <c r="DM41" s="47" cm="1">
        <f t="array" ref="DM41">IF(DM$5&lt;=$DG41,INDEX($AP41:$BA41,1,_xlfn.XMATCH(DM$5,$CC41:$CN41)),"na")</f>
        <v>96.5</v>
      </c>
      <c r="DN41" s="44" t="str" cm="1">
        <f t="array" ref="DN41">IF(DN$5&lt;=$DG41,INDEX($BC41:$BN41,1,_xlfn.XMATCH(DN$5,$CC41:$CN41)),"na")</f>
        <v>na</v>
      </c>
      <c r="DO41" s="45" t="str" cm="1">
        <f t="array" ref="DO41">IF(DO$5&lt;=$DH41,INDEX($BP41:$CA41,1,_xlfn.XMATCH(DO$5,$CP41:$DA41)),"na")</f>
        <v>na</v>
      </c>
      <c r="DP41" s="46" t="str" cm="1">
        <f t="array" ref="DP41">IF(DP$5&lt;=$DG41,INDEX($AC41:$AN41,1,_xlfn.XMATCH(DP$5,$CC41:$CN41)),"na")</f>
        <v>na</v>
      </c>
      <c r="DQ41" s="47" t="str" cm="1">
        <f t="array" ref="DQ41">IF(DQ$5&lt;=$DG41,INDEX($AP41:$BA41,1,_xlfn.XMATCH(DQ$5,$CC41:$CN41)),"na")</f>
        <v>na</v>
      </c>
      <c r="DR41" s="44" t="str" cm="1">
        <f t="array" ref="DR41">IF(DR$5&lt;=$DG41,INDEX($BC41:$BN41,1,_xlfn.XMATCH(DR$5,$CC41:$CN41)),"na")</f>
        <v>na</v>
      </c>
      <c r="DS41" s="45" t="str" cm="1">
        <f t="array" ref="DS41">IF(DS$5&lt;=$DH41,INDEX($BP41:$CA41,1,_xlfn.XMATCH(DS$5,$CP41:$DA41)),"na")</f>
        <v>na</v>
      </c>
      <c r="DT41" s="46" t="str" cm="1">
        <f t="array" ref="DT41">IF(DT$5&lt;=$DG41,INDEX($AC41:$AN41,1,_xlfn.XMATCH(DT$5,$CC41:$CN41)),"na")</f>
        <v>na</v>
      </c>
      <c r="DU41" s="47" t="str" cm="1">
        <f t="array" ref="DU41">IF(DU$5&lt;=$DG41,INDEX($AP41:$BA41,1,_xlfn.XMATCH(DU$5,$CC41:$CN41)),"na")</f>
        <v>na</v>
      </c>
      <c r="DV41" s="44" t="str" cm="1">
        <f t="array" ref="DV41">IF(DV$5&lt;=$DG41,INDEX($BC41:$BN41,1,_xlfn.XMATCH(DV$5,$CC41:$CN41)),"na")</f>
        <v>na</v>
      </c>
      <c r="DW41" s="45" t="str" cm="1">
        <f t="array" ref="DW41">IF(DW$5&lt;=$DH41,INDEX($BP41:$CA41,1,_xlfn.XMATCH(DW$5,$CP41:$DA41)),"na")</f>
        <v>na</v>
      </c>
      <c r="DX41" s="46" t="str" cm="1">
        <f t="array" ref="DX41">IF(DX$5&lt;=$DG41,INDEX($AC41:$AN41,1,_xlfn.XMATCH(DX$5,$CC41:$CN41)),"na")</f>
        <v>na</v>
      </c>
      <c r="DY41" s="47" t="str" cm="1">
        <f t="array" ref="DY41">IF(DY$5&lt;=$DG41,INDEX($AP41:$BA41,1,_xlfn.XMATCH(DY$5,$CC41:$CN41)),"na")</f>
        <v>na</v>
      </c>
      <c r="DZ41" s="44" t="str" cm="1">
        <f t="array" ref="DZ41">IF(DZ$5&lt;=$DG41,INDEX($BC41:$BN41,1,_xlfn.XMATCH(DZ$5,$CC41:$CN41)),"na")</f>
        <v>na</v>
      </c>
      <c r="EA41" s="45" t="str" cm="1">
        <f t="array" ref="EA41">IF(EA$5&lt;=$DH41,INDEX($BP41:$CA41,1,_xlfn.XMATCH(EA$5,$CP41:$DA41)),"na")</f>
        <v>na</v>
      </c>
      <c r="EB41" s="46" t="str" cm="1">
        <f t="array" ref="EB41">IF(EB$5&lt;=$DG41,INDEX($AC41:$AN41,1,_xlfn.XMATCH(EB$5,$CC41:$CN41)),"na")</f>
        <v>na</v>
      </c>
      <c r="EC41" s="47" t="str" cm="1">
        <f t="array" ref="EC41">IF(EC$5&lt;=$DG41,INDEX($AP41:$BA41,1,_xlfn.XMATCH(EC$5,$CC41:$CN41)),"na")</f>
        <v>na</v>
      </c>
      <c r="ED41" s="44" t="str" cm="1">
        <f t="array" ref="ED41">IF(ED$5&lt;=$DG41,INDEX($BC41:$BN41,1,_xlfn.XMATCH(ED$5,$CC41:$CN41)),"na")</f>
        <v>na</v>
      </c>
      <c r="EE41" s="45" t="str" cm="1">
        <f t="array" ref="EE41">IF(EE$5&lt;=$DH41,INDEX($BP41:$CA41,1,_xlfn.XMATCH(EE$5,$CP41:$DA41)),"na")</f>
        <v>na</v>
      </c>
      <c r="EF41" s="46" t="str" cm="1">
        <f t="array" ref="EF41">IF(EF$5&lt;=$DG41,INDEX($AC41:$AN41,1,_xlfn.XMATCH(EF$5,$CC41:$CN41)),"na")</f>
        <v>na</v>
      </c>
      <c r="EG41" s="47" t="str" cm="1">
        <f t="array" ref="EG41">IF(EG$5&lt;=$DG41,INDEX($AP41:$BA41,1,_xlfn.XMATCH(EG$5,$CC41:$CN41)),"na")</f>
        <v>na</v>
      </c>
      <c r="EH41" s="44" t="str" cm="1">
        <f t="array" ref="EH41">IF(EH$5&lt;=$DG41,INDEX($BC41:$BN41,1,_xlfn.XMATCH(EH$5,$CC41:$CN41)),"na")</f>
        <v>na</v>
      </c>
      <c r="EI41" s="45" t="str" cm="1">
        <f t="array" ref="EI41">IF(EI$5&lt;=$DH41,INDEX($BP41:$CA41,1,_xlfn.XMATCH(EI$5,$CP41:$DA41)),"na")</f>
        <v>na</v>
      </c>
      <c r="EJ41" s="46" t="str" cm="1">
        <f t="array" ref="EJ41">IF(EJ$5&lt;=$DG41,INDEX($AC41:$AN41,1,_xlfn.XMATCH(EJ$5,$CC41:$CN41)),"na")</f>
        <v>na</v>
      </c>
      <c r="EK41" s="47" t="str" cm="1">
        <f t="array" ref="EK41">IF(EK$5&lt;=$DG41,INDEX($AP41:$BA41,1,_xlfn.XMATCH(EK$5,$CC41:$CN41)),"na")</f>
        <v>na</v>
      </c>
      <c r="EL41" s="44" t="str" cm="1">
        <f t="array" ref="EL41">IF(EL$5&lt;=$DG41,INDEX($BC41:$BN41,1,_xlfn.XMATCH(EL$5,$CC41:$CN41)),"na")</f>
        <v>na</v>
      </c>
      <c r="EM41" s="45" t="str" cm="1">
        <f t="array" ref="EM41">IF(EM$5&lt;=$DH41,INDEX($BP41:$CA41,1,_xlfn.XMATCH(EM$5,$CP41:$DA41)),"na")</f>
        <v>na</v>
      </c>
      <c r="EN41" s="46" t="str" cm="1">
        <f t="array" ref="EN41">IF(EN$5&lt;=$DG41,INDEX($AC41:$AN41,1,_xlfn.XMATCH(EN$5,$CC41:$CN41)),"na")</f>
        <v>na</v>
      </c>
      <c r="EO41" s="47" t="str" cm="1">
        <f t="array" ref="EO41">IF(EO$5&lt;=$DG41,INDEX($AP41:$BA41,1,_xlfn.XMATCH(EO$5,$CC41:$CN41)),"na")</f>
        <v>na</v>
      </c>
      <c r="EP41" s="44" t="str" cm="1">
        <f t="array" ref="EP41">IF(EP$5&lt;=$DG41,INDEX($BC41:$BN41,1,_xlfn.XMATCH(EP$5,$CC41:$CN41)),"na")</f>
        <v>na</v>
      </c>
      <c r="EQ41" s="45" t="str" cm="1">
        <f t="array" ref="EQ41">IF(EQ$5&lt;=$DH41,INDEX($BP41:$CA41,1,_xlfn.XMATCH(EQ$5,$CP41:$DA41)),"na")</f>
        <v>na</v>
      </c>
      <c r="ER41" s="46" t="str" cm="1">
        <f t="array" ref="ER41">IF(ER$5&lt;=$DG41,INDEX($AC41:$AN41,1,_xlfn.XMATCH(ER$5,$CC41:$CN41)),"na")</f>
        <v>na</v>
      </c>
      <c r="ES41" s="47" t="str" cm="1">
        <f t="array" ref="ES41">IF(ES$5&lt;=$DG41,INDEX($AP41:$BA41,1,_xlfn.XMATCH(ES$5,$CC41:$CN41)),"na")</f>
        <v>na</v>
      </c>
      <c r="ET41" s="44" t="str" cm="1">
        <f t="array" ref="ET41">IF(ET$5&lt;=$DG41,INDEX($BC41:$BN41,1,_xlfn.XMATCH(ET$5,$CC41:$CN41)),"na")</f>
        <v>na</v>
      </c>
      <c r="EU41" s="45" t="str" cm="1">
        <f t="array" ref="EU41">IF(EU$5&lt;=$DH41,INDEX($BP41:$CA41,1,_xlfn.XMATCH(EU$5,$CP41:$DA41)),"na")</f>
        <v>na</v>
      </c>
      <c r="EV41" s="46" t="str" cm="1">
        <f t="array" ref="EV41">IF(EV$5&lt;=$DG41,INDEX($AC41:$AN41,1,_xlfn.XMATCH(EV$5,$CC41:$CN41)),"na")</f>
        <v>na</v>
      </c>
      <c r="EW41" s="47" t="str" cm="1">
        <f t="array" ref="EW41">IF(EW$5&lt;=$DG41,INDEX($AP41:$BA41,1,_xlfn.XMATCH(EW$5,$CC41:$CN41)),"na")</f>
        <v>na</v>
      </c>
      <c r="EX41" s="44" t="str" cm="1">
        <f t="array" ref="EX41">IF(EX$5&lt;=$DG41,INDEX($BC41:$BN41,1,_xlfn.XMATCH(EX$5,$CC41:$CN41)),"na")</f>
        <v>na</v>
      </c>
      <c r="EY41" s="45" t="str" cm="1">
        <f t="array" ref="EY41">IF(EY$5&lt;=$DH41,INDEX($BP41:$CA41,1,_xlfn.XMATCH(EY$5,$CP41:$DA41)),"na")</f>
        <v>na</v>
      </c>
      <c r="EZ41" s="46" t="str" cm="1">
        <f t="array" ref="EZ41">IF(EZ$5&lt;=$DG41,INDEX($AC41:$AN41,1,_xlfn.XMATCH(EZ$5,$CC41:$CN41)),"na")</f>
        <v>na</v>
      </c>
      <c r="FA41" s="47" t="str" cm="1">
        <f t="array" ref="FA41">IF(FA$5&lt;=$DG41,INDEX($AP41:$BA41,1,_xlfn.XMATCH(FA$5,$CC41:$CN41)),"na")</f>
        <v>na</v>
      </c>
      <c r="FB41" s="44" t="str" cm="1">
        <f t="array" ref="FB41">IF(FB$5&lt;=$DG41,INDEX($BC41:$BN41,1,_xlfn.XMATCH(FB$5,$CC41:$CN41)),"na")</f>
        <v>na</v>
      </c>
      <c r="FC41" s="45" t="str" cm="1">
        <f t="array" ref="FC41">IF(FC$5&lt;=$DH41,INDEX($BP41:$CA41,1,_xlfn.XMATCH(FC$5,$CP41:$DA41)),"na")</f>
        <v>na</v>
      </c>
      <c r="FD41" s="46" t="str" cm="1">
        <f t="array" ref="FD41">IF(FD$5&lt;=$DG41,INDEX($AC41:$AN41,1,_xlfn.XMATCH(FD$5,$CC41:$CN41)),"na")</f>
        <v>na</v>
      </c>
      <c r="FE41" s="47" t="str" cm="1">
        <f t="array" ref="FE41">IF(FE$5&lt;=$DG41,INDEX($AP41:$BA41,1,_xlfn.XMATCH(FE$5,$CC41:$CN41)),"na")</f>
        <v>na</v>
      </c>
    </row>
    <row r="42" spans="2:161" x14ac:dyDescent="0.25">
      <c r="B42" s="10" t="s">
        <v>98</v>
      </c>
      <c r="C42" s="8">
        <v>2139</v>
      </c>
      <c r="D42" s="8">
        <v>1932</v>
      </c>
      <c r="E42" s="8">
        <v>2139</v>
      </c>
      <c r="F42" s="8">
        <v>2070</v>
      </c>
      <c r="G42" s="8">
        <v>2139</v>
      </c>
      <c r="H42" s="8">
        <v>2070</v>
      </c>
      <c r="I42" s="8">
        <v>2139</v>
      </c>
      <c r="J42" s="8">
        <v>2139</v>
      </c>
      <c r="K42" s="8">
        <v>2070</v>
      </c>
      <c r="L42" s="8">
        <v>2139</v>
      </c>
      <c r="M42" s="8">
        <v>2070</v>
      </c>
      <c r="N42" s="8">
        <v>2139</v>
      </c>
      <c r="O42" s="8"/>
      <c r="P42" s="8">
        <v>2046</v>
      </c>
      <c r="Q42" s="8">
        <v>1848</v>
      </c>
      <c r="R42" s="8">
        <v>2046</v>
      </c>
      <c r="S42" s="8">
        <v>1980</v>
      </c>
      <c r="T42" s="8">
        <v>2046</v>
      </c>
      <c r="U42" s="8">
        <v>1980</v>
      </c>
      <c r="V42" s="8">
        <v>2046</v>
      </c>
      <c r="W42" s="8">
        <v>2046</v>
      </c>
      <c r="X42" s="8">
        <v>1980</v>
      </c>
      <c r="Y42" s="8">
        <v>2046</v>
      </c>
      <c r="Z42" s="8">
        <v>1980</v>
      </c>
      <c r="AA42" s="8">
        <v>2046</v>
      </c>
      <c r="AC42" s="14">
        <f>C42/_xlfn.XLOOKUP(AC$5,'OC-Days'!$G:$G,'OC-Days'!$B:$B)</f>
        <v>69</v>
      </c>
      <c r="AD42" s="14">
        <f>D42/_xlfn.XLOOKUP(AD$5,'OC-Days'!$G:$G,'OC-Days'!$B:$B)</f>
        <v>69</v>
      </c>
      <c r="AE42" s="14">
        <f>E42/_xlfn.XLOOKUP(AE$5,'OC-Days'!$G:$G,'OC-Days'!$B:$B)</f>
        <v>69</v>
      </c>
      <c r="AF42" s="14">
        <f>F42/_xlfn.XLOOKUP(AF$5,'OC-Days'!$G:$G,'OC-Days'!$B:$B)</f>
        <v>69</v>
      </c>
      <c r="AG42" s="14">
        <f>G42/_xlfn.XLOOKUP(AG$5,'OC-Days'!$G:$G,'OC-Days'!$B:$B)</f>
        <v>69</v>
      </c>
      <c r="AH42" s="14">
        <f>H42/_xlfn.XLOOKUP(AH$5,'OC-Days'!$G:$G,'OC-Days'!$B:$B)</f>
        <v>69</v>
      </c>
      <c r="AI42" s="14">
        <f>I42/_xlfn.XLOOKUP(AI$5,'OC-Days'!$G:$G,'OC-Days'!$B:$B)</f>
        <v>69</v>
      </c>
      <c r="AJ42" s="14">
        <f>J42/_xlfn.XLOOKUP(AJ$5,'OC-Days'!$G:$G,'OC-Days'!$B:$B)</f>
        <v>69</v>
      </c>
      <c r="AK42" s="14">
        <f>K42/_xlfn.XLOOKUP(AK$5,'OC-Days'!$G:$G,'OC-Days'!$B:$B)</f>
        <v>69</v>
      </c>
      <c r="AL42" s="14">
        <f>L42/_xlfn.XLOOKUP(AL$5,'OC-Days'!$G:$G,'OC-Days'!$B:$B)</f>
        <v>69</v>
      </c>
      <c r="AM42" s="14">
        <f>M42/_xlfn.XLOOKUP(AM$5,'OC-Days'!$G:$G,'OC-Days'!$B:$B)</f>
        <v>69</v>
      </c>
      <c r="AN42" s="14">
        <f>N42/_xlfn.XLOOKUP(AN$5,'OC-Days'!$G:$G,'OC-Days'!$B:$B)</f>
        <v>69</v>
      </c>
      <c r="AP42" s="14">
        <f>P42/_xlfn.XLOOKUP(AP$5,'OC-Days'!$G:$G,'OC-Days'!$B:$B)</f>
        <v>66</v>
      </c>
      <c r="AQ42" s="14">
        <f>Q42/_xlfn.XLOOKUP(AQ$5,'OC-Days'!$G:$G,'OC-Days'!$B:$B)</f>
        <v>66</v>
      </c>
      <c r="AR42" s="14">
        <f>R42/_xlfn.XLOOKUP(AR$5,'OC-Days'!$G:$G,'OC-Days'!$B:$B)</f>
        <v>66</v>
      </c>
      <c r="AS42" s="14">
        <f>S42/_xlfn.XLOOKUP(AS$5,'OC-Days'!$G:$G,'OC-Days'!$B:$B)</f>
        <v>66</v>
      </c>
      <c r="AT42" s="14">
        <f>T42/_xlfn.XLOOKUP(AT$5,'OC-Days'!$G:$G,'OC-Days'!$B:$B)</f>
        <v>66</v>
      </c>
      <c r="AU42" s="14">
        <f>U42/_xlfn.XLOOKUP(AU$5,'OC-Days'!$G:$G,'OC-Days'!$B:$B)</f>
        <v>66</v>
      </c>
      <c r="AV42" s="14">
        <f>V42/_xlfn.XLOOKUP(AV$5,'OC-Days'!$G:$G,'OC-Days'!$B:$B)</f>
        <v>66</v>
      </c>
      <c r="AW42" s="14">
        <f>W42/_xlfn.XLOOKUP(AW$5,'OC-Days'!$G:$G,'OC-Days'!$B:$B)</f>
        <v>66</v>
      </c>
      <c r="AX42" s="14">
        <f>X42/_xlfn.XLOOKUP(AX$5,'OC-Days'!$G:$G,'OC-Days'!$B:$B)</f>
        <v>66</v>
      </c>
      <c r="AY42" s="14">
        <f>Y42/_xlfn.XLOOKUP(AY$5,'OC-Days'!$G:$G,'OC-Days'!$B:$B)</f>
        <v>66</v>
      </c>
      <c r="AZ42" s="14">
        <f>Z42/_xlfn.XLOOKUP(AZ$5,'OC-Days'!$G:$G,'OC-Days'!$B:$B)</f>
        <v>66</v>
      </c>
      <c r="BA42" s="14">
        <f>AA42/_xlfn.XLOOKUP(BA$5,'OC-Days'!$G:$G,'OC-Days'!$B:$B)</f>
        <v>66</v>
      </c>
      <c r="BC42" s="33">
        <f>_xlfn.XLOOKUP(BC$5,'OC-Days'!$G:$G,'OC-Days'!$F:$F)</f>
        <v>45658</v>
      </c>
      <c r="BD42" s="34" t="str">
        <f>IF(AQ42=AP42,"na",_xlfn.XLOOKUP(BD$5,'OC-Days'!$G:$G,'OC-Days'!$F:$F))</f>
        <v>na</v>
      </c>
      <c r="BE42" s="34" t="str">
        <f>IF(AR42=AQ42,"na",_xlfn.XLOOKUP(BE$5,'OC-Days'!$G:$G,'OC-Days'!$F:$F))</f>
        <v>na</v>
      </c>
      <c r="BF42" s="34" t="str">
        <f>IF(AS42=AR42,"na",_xlfn.XLOOKUP(BF$5,'OC-Days'!$G:$G,'OC-Days'!$F:$F))</f>
        <v>na</v>
      </c>
      <c r="BG42" s="34" t="str">
        <f>IF(AT42=AS42,"na",_xlfn.XLOOKUP(BG$5,'OC-Days'!$G:$G,'OC-Days'!$F:$F))</f>
        <v>na</v>
      </c>
      <c r="BH42" s="34" t="str">
        <f>IF(AU42=AT42,"na",_xlfn.XLOOKUP(BH$5,'OC-Days'!$G:$G,'OC-Days'!$F:$F))</f>
        <v>na</v>
      </c>
      <c r="BI42" s="34" t="str">
        <f>IF(AV42=AU42,"na",_xlfn.XLOOKUP(BI$5,'OC-Days'!$G:$G,'OC-Days'!$F:$F))</f>
        <v>na</v>
      </c>
      <c r="BJ42" s="34" t="str">
        <f>IF(AW42=AV42,"na",_xlfn.XLOOKUP(BJ$5,'OC-Days'!$G:$G,'OC-Days'!$F:$F))</f>
        <v>na</v>
      </c>
      <c r="BK42" s="34" t="str">
        <f>IF(AX42=AW42,"na",_xlfn.XLOOKUP(BK$5,'OC-Days'!$G:$G,'OC-Days'!$F:$F))</f>
        <v>na</v>
      </c>
      <c r="BL42" s="34" t="str">
        <f>IF(AY42=AX42,"na",_xlfn.XLOOKUP(BL$5,'OC-Days'!$G:$G,'OC-Days'!$F:$F))</f>
        <v>na</v>
      </c>
      <c r="BM42" s="34" t="str">
        <f>IF(AZ42=AY42,"na",_xlfn.XLOOKUP(BM$5,'OC-Days'!$G:$G,'OC-Days'!$F:$F))</f>
        <v>na</v>
      </c>
      <c r="BN42" s="34" t="str">
        <f>IF(BA42=AZ42,"na",_xlfn.XLOOKUP(BN$5,'OC-Days'!$G:$G,'OC-Days'!$F:$F))</f>
        <v>na</v>
      </c>
      <c r="BP42" s="36" t="str">
        <f t="shared" si="52"/>
        <v>na</v>
      </c>
      <c r="BQ42" s="36" t="str">
        <f t="shared" si="53"/>
        <v>na</v>
      </c>
      <c r="BR42" s="36" t="str">
        <f t="shared" si="54"/>
        <v>na</v>
      </c>
      <c r="BS42" s="36" t="str">
        <f t="shared" si="55"/>
        <v>na</v>
      </c>
      <c r="BT42" s="36" t="str">
        <f t="shared" si="56"/>
        <v>na</v>
      </c>
      <c r="BU42" s="36" t="str">
        <f t="shared" si="57"/>
        <v>na</v>
      </c>
      <c r="BV42" s="36" t="str">
        <f t="shared" si="58"/>
        <v>na</v>
      </c>
      <c r="BW42" s="36" t="str">
        <f t="shared" si="59"/>
        <v>na</v>
      </c>
      <c r="BX42" s="36" t="str">
        <f t="shared" si="60"/>
        <v>na</v>
      </c>
      <c r="BY42" s="36" t="str">
        <f t="shared" si="61"/>
        <v>na</v>
      </c>
      <c r="BZ42" s="36" t="str">
        <f t="shared" si="62"/>
        <v>na</v>
      </c>
      <c r="CA42" s="43">
        <f t="shared" si="46"/>
        <v>46022</v>
      </c>
      <c r="CC42" s="8">
        <f>COUNT($BC42:BC42)</f>
        <v>1</v>
      </c>
      <c r="CD42" s="8">
        <f>COUNT($BC42:BD42)</f>
        <v>1</v>
      </c>
      <c r="CE42" s="8">
        <f>COUNT($BC42:BE42)</f>
        <v>1</v>
      </c>
      <c r="CF42" s="8">
        <f>COUNT($BC42:BF42)</f>
        <v>1</v>
      </c>
      <c r="CG42" s="8">
        <f>COUNT($BC42:BG42)</f>
        <v>1</v>
      </c>
      <c r="CH42" s="8">
        <f>COUNT($BC42:BH42)</f>
        <v>1</v>
      </c>
      <c r="CI42" s="8">
        <f>COUNT($BC42:BI42)</f>
        <v>1</v>
      </c>
      <c r="CJ42" s="8">
        <f>COUNT($BC42:BJ42)</f>
        <v>1</v>
      </c>
      <c r="CK42" s="8">
        <f>COUNT($BC42:BK42)</f>
        <v>1</v>
      </c>
      <c r="CL42" s="8">
        <f>COUNT($BC42:BL42)</f>
        <v>1</v>
      </c>
      <c r="CM42" s="8">
        <f>COUNT($BC42:BM42)</f>
        <v>1</v>
      </c>
      <c r="CN42" s="8">
        <f>COUNT($BC42:BN42)</f>
        <v>1</v>
      </c>
      <c r="CO42" s="8"/>
      <c r="CP42" s="8">
        <f>COUNT($BP42:BP42)</f>
        <v>0</v>
      </c>
      <c r="CQ42" s="8">
        <f>COUNT($BP42:BQ42)</f>
        <v>0</v>
      </c>
      <c r="CR42" s="8">
        <f>COUNT($BP42:BR42)</f>
        <v>0</v>
      </c>
      <c r="CS42" s="8">
        <f>COUNT($BP42:BS42)</f>
        <v>0</v>
      </c>
      <c r="CT42" s="8">
        <f>COUNT($BP42:BT42)</f>
        <v>0</v>
      </c>
      <c r="CU42" s="8">
        <f>COUNT($BP42:BU42)</f>
        <v>0</v>
      </c>
      <c r="CV42" s="8">
        <f>COUNT($BP42:BV42)</f>
        <v>0</v>
      </c>
      <c r="CW42" s="8">
        <f>COUNT($BP42:BW42)</f>
        <v>0</v>
      </c>
      <c r="CX42" s="8">
        <f>COUNT($BP42:BX42)</f>
        <v>0</v>
      </c>
      <c r="CY42" s="8">
        <f>COUNT($BP42:BY42)</f>
        <v>0</v>
      </c>
      <c r="CZ42" s="8">
        <f>COUNT($BP42:BZ42)</f>
        <v>0</v>
      </c>
      <c r="DA42" s="8">
        <f>COUNT($BP42:CA42)</f>
        <v>1</v>
      </c>
      <c r="DC42">
        <f t="shared" si="47"/>
        <v>810</v>
      </c>
      <c r="DD42">
        <f t="shared" si="48"/>
        <v>61</v>
      </c>
      <c r="DE42" t="str">
        <f t="shared" si="49"/>
        <v>810-61</v>
      </c>
      <c r="DG42">
        <f t="shared" si="50"/>
        <v>1</v>
      </c>
      <c r="DH42">
        <f t="shared" si="51"/>
        <v>1</v>
      </c>
      <c r="DJ42" s="44" cm="1">
        <f t="array" ref="DJ42">IF(DJ$5&lt;=$DG42,INDEX($BC42:$BN42,1,_xlfn.XMATCH(DJ$5,$CC42:$CN42)),"na")</f>
        <v>45658</v>
      </c>
      <c r="DK42" s="45" cm="1">
        <f t="array" ref="DK42">IF(DK$5&lt;=$DH42,INDEX($BP42:$CA42,1,_xlfn.XMATCH(DK$5,$CP42:$DA42)),"na")</f>
        <v>46022</v>
      </c>
      <c r="DL42" s="46" cm="1">
        <f t="array" ref="DL42">IF(DL$5&lt;=$DG42,INDEX($AC42:$AN42,1,_xlfn.XMATCH(DL$5,$CC42:$CN42)),"na")</f>
        <v>69</v>
      </c>
      <c r="DM42" s="47" cm="1">
        <f t="array" ref="DM42">IF(DM$5&lt;=$DG42,INDEX($AP42:$BA42,1,_xlfn.XMATCH(DM$5,$CC42:$CN42)),"na")</f>
        <v>66</v>
      </c>
      <c r="DN42" s="44" t="str" cm="1">
        <f t="array" ref="DN42">IF(DN$5&lt;=$DG42,INDEX($BC42:$BN42,1,_xlfn.XMATCH(DN$5,$CC42:$CN42)),"na")</f>
        <v>na</v>
      </c>
      <c r="DO42" s="45" t="str" cm="1">
        <f t="array" ref="DO42">IF(DO$5&lt;=$DH42,INDEX($BP42:$CA42,1,_xlfn.XMATCH(DO$5,$CP42:$DA42)),"na")</f>
        <v>na</v>
      </c>
      <c r="DP42" s="46" t="str" cm="1">
        <f t="array" ref="DP42">IF(DP$5&lt;=$DG42,INDEX($AC42:$AN42,1,_xlfn.XMATCH(DP$5,$CC42:$CN42)),"na")</f>
        <v>na</v>
      </c>
      <c r="DQ42" s="47" t="str" cm="1">
        <f t="array" ref="DQ42">IF(DQ$5&lt;=$DG42,INDEX($AP42:$BA42,1,_xlfn.XMATCH(DQ$5,$CC42:$CN42)),"na")</f>
        <v>na</v>
      </c>
      <c r="DR42" s="44" t="str" cm="1">
        <f t="array" ref="DR42">IF(DR$5&lt;=$DG42,INDEX($BC42:$BN42,1,_xlfn.XMATCH(DR$5,$CC42:$CN42)),"na")</f>
        <v>na</v>
      </c>
      <c r="DS42" s="45" t="str" cm="1">
        <f t="array" ref="DS42">IF(DS$5&lt;=$DH42,INDEX($BP42:$CA42,1,_xlfn.XMATCH(DS$5,$CP42:$DA42)),"na")</f>
        <v>na</v>
      </c>
      <c r="DT42" s="46" t="str" cm="1">
        <f t="array" ref="DT42">IF(DT$5&lt;=$DG42,INDEX($AC42:$AN42,1,_xlfn.XMATCH(DT$5,$CC42:$CN42)),"na")</f>
        <v>na</v>
      </c>
      <c r="DU42" s="47" t="str" cm="1">
        <f t="array" ref="DU42">IF(DU$5&lt;=$DG42,INDEX($AP42:$BA42,1,_xlfn.XMATCH(DU$5,$CC42:$CN42)),"na")</f>
        <v>na</v>
      </c>
      <c r="DV42" s="44" t="str" cm="1">
        <f t="array" ref="DV42">IF(DV$5&lt;=$DG42,INDEX($BC42:$BN42,1,_xlfn.XMATCH(DV$5,$CC42:$CN42)),"na")</f>
        <v>na</v>
      </c>
      <c r="DW42" s="45" t="str" cm="1">
        <f t="array" ref="DW42">IF(DW$5&lt;=$DH42,INDEX($BP42:$CA42,1,_xlfn.XMATCH(DW$5,$CP42:$DA42)),"na")</f>
        <v>na</v>
      </c>
      <c r="DX42" s="46" t="str" cm="1">
        <f t="array" ref="DX42">IF(DX$5&lt;=$DG42,INDEX($AC42:$AN42,1,_xlfn.XMATCH(DX$5,$CC42:$CN42)),"na")</f>
        <v>na</v>
      </c>
      <c r="DY42" s="47" t="str" cm="1">
        <f t="array" ref="DY42">IF(DY$5&lt;=$DG42,INDEX($AP42:$BA42,1,_xlfn.XMATCH(DY$5,$CC42:$CN42)),"na")</f>
        <v>na</v>
      </c>
      <c r="DZ42" s="44" t="str" cm="1">
        <f t="array" ref="DZ42">IF(DZ$5&lt;=$DG42,INDEX($BC42:$BN42,1,_xlfn.XMATCH(DZ$5,$CC42:$CN42)),"na")</f>
        <v>na</v>
      </c>
      <c r="EA42" s="45" t="str" cm="1">
        <f t="array" ref="EA42">IF(EA$5&lt;=$DH42,INDEX($BP42:$CA42,1,_xlfn.XMATCH(EA$5,$CP42:$DA42)),"na")</f>
        <v>na</v>
      </c>
      <c r="EB42" s="46" t="str" cm="1">
        <f t="array" ref="EB42">IF(EB$5&lt;=$DG42,INDEX($AC42:$AN42,1,_xlfn.XMATCH(EB$5,$CC42:$CN42)),"na")</f>
        <v>na</v>
      </c>
      <c r="EC42" s="47" t="str" cm="1">
        <f t="array" ref="EC42">IF(EC$5&lt;=$DG42,INDEX($AP42:$BA42,1,_xlfn.XMATCH(EC$5,$CC42:$CN42)),"na")</f>
        <v>na</v>
      </c>
      <c r="ED42" s="44" t="str" cm="1">
        <f t="array" ref="ED42">IF(ED$5&lt;=$DG42,INDEX($BC42:$BN42,1,_xlfn.XMATCH(ED$5,$CC42:$CN42)),"na")</f>
        <v>na</v>
      </c>
      <c r="EE42" s="45" t="str" cm="1">
        <f t="array" ref="EE42">IF(EE$5&lt;=$DH42,INDEX($BP42:$CA42,1,_xlfn.XMATCH(EE$5,$CP42:$DA42)),"na")</f>
        <v>na</v>
      </c>
      <c r="EF42" s="46" t="str" cm="1">
        <f t="array" ref="EF42">IF(EF$5&lt;=$DG42,INDEX($AC42:$AN42,1,_xlfn.XMATCH(EF$5,$CC42:$CN42)),"na")</f>
        <v>na</v>
      </c>
      <c r="EG42" s="47" t="str" cm="1">
        <f t="array" ref="EG42">IF(EG$5&lt;=$DG42,INDEX($AP42:$BA42,1,_xlfn.XMATCH(EG$5,$CC42:$CN42)),"na")</f>
        <v>na</v>
      </c>
      <c r="EH42" s="44" t="str" cm="1">
        <f t="array" ref="EH42">IF(EH$5&lt;=$DG42,INDEX($BC42:$BN42,1,_xlfn.XMATCH(EH$5,$CC42:$CN42)),"na")</f>
        <v>na</v>
      </c>
      <c r="EI42" s="45" t="str" cm="1">
        <f t="array" ref="EI42">IF(EI$5&lt;=$DH42,INDEX($BP42:$CA42,1,_xlfn.XMATCH(EI$5,$CP42:$DA42)),"na")</f>
        <v>na</v>
      </c>
      <c r="EJ42" s="46" t="str" cm="1">
        <f t="array" ref="EJ42">IF(EJ$5&lt;=$DG42,INDEX($AC42:$AN42,1,_xlfn.XMATCH(EJ$5,$CC42:$CN42)),"na")</f>
        <v>na</v>
      </c>
      <c r="EK42" s="47" t="str" cm="1">
        <f t="array" ref="EK42">IF(EK$5&lt;=$DG42,INDEX($AP42:$BA42,1,_xlfn.XMATCH(EK$5,$CC42:$CN42)),"na")</f>
        <v>na</v>
      </c>
      <c r="EL42" s="44" t="str" cm="1">
        <f t="array" ref="EL42">IF(EL$5&lt;=$DG42,INDEX($BC42:$BN42,1,_xlfn.XMATCH(EL$5,$CC42:$CN42)),"na")</f>
        <v>na</v>
      </c>
      <c r="EM42" s="45" t="str" cm="1">
        <f t="array" ref="EM42">IF(EM$5&lt;=$DH42,INDEX($BP42:$CA42,1,_xlfn.XMATCH(EM$5,$CP42:$DA42)),"na")</f>
        <v>na</v>
      </c>
      <c r="EN42" s="46" t="str" cm="1">
        <f t="array" ref="EN42">IF(EN$5&lt;=$DG42,INDEX($AC42:$AN42,1,_xlfn.XMATCH(EN$5,$CC42:$CN42)),"na")</f>
        <v>na</v>
      </c>
      <c r="EO42" s="47" t="str" cm="1">
        <f t="array" ref="EO42">IF(EO$5&lt;=$DG42,INDEX($AP42:$BA42,1,_xlfn.XMATCH(EO$5,$CC42:$CN42)),"na")</f>
        <v>na</v>
      </c>
      <c r="EP42" s="44" t="str" cm="1">
        <f t="array" ref="EP42">IF(EP$5&lt;=$DG42,INDEX($BC42:$BN42,1,_xlfn.XMATCH(EP$5,$CC42:$CN42)),"na")</f>
        <v>na</v>
      </c>
      <c r="EQ42" s="45" t="str" cm="1">
        <f t="array" ref="EQ42">IF(EQ$5&lt;=$DH42,INDEX($BP42:$CA42,1,_xlfn.XMATCH(EQ$5,$CP42:$DA42)),"na")</f>
        <v>na</v>
      </c>
      <c r="ER42" s="46" t="str" cm="1">
        <f t="array" ref="ER42">IF(ER$5&lt;=$DG42,INDEX($AC42:$AN42,1,_xlfn.XMATCH(ER$5,$CC42:$CN42)),"na")</f>
        <v>na</v>
      </c>
      <c r="ES42" s="47" t="str" cm="1">
        <f t="array" ref="ES42">IF(ES$5&lt;=$DG42,INDEX($AP42:$BA42,1,_xlfn.XMATCH(ES$5,$CC42:$CN42)),"na")</f>
        <v>na</v>
      </c>
      <c r="ET42" s="44" t="str" cm="1">
        <f t="array" ref="ET42">IF(ET$5&lt;=$DG42,INDEX($BC42:$BN42,1,_xlfn.XMATCH(ET$5,$CC42:$CN42)),"na")</f>
        <v>na</v>
      </c>
      <c r="EU42" s="45" t="str" cm="1">
        <f t="array" ref="EU42">IF(EU$5&lt;=$DH42,INDEX($BP42:$CA42,1,_xlfn.XMATCH(EU$5,$CP42:$DA42)),"na")</f>
        <v>na</v>
      </c>
      <c r="EV42" s="46" t="str" cm="1">
        <f t="array" ref="EV42">IF(EV$5&lt;=$DG42,INDEX($AC42:$AN42,1,_xlfn.XMATCH(EV$5,$CC42:$CN42)),"na")</f>
        <v>na</v>
      </c>
      <c r="EW42" s="47" t="str" cm="1">
        <f t="array" ref="EW42">IF(EW$5&lt;=$DG42,INDEX($AP42:$BA42,1,_xlfn.XMATCH(EW$5,$CC42:$CN42)),"na")</f>
        <v>na</v>
      </c>
      <c r="EX42" s="44" t="str" cm="1">
        <f t="array" ref="EX42">IF(EX$5&lt;=$DG42,INDEX($BC42:$BN42,1,_xlfn.XMATCH(EX$5,$CC42:$CN42)),"na")</f>
        <v>na</v>
      </c>
      <c r="EY42" s="45" t="str" cm="1">
        <f t="array" ref="EY42">IF(EY$5&lt;=$DH42,INDEX($BP42:$CA42,1,_xlfn.XMATCH(EY$5,$CP42:$DA42)),"na")</f>
        <v>na</v>
      </c>
      <c r="EZ42" s="46" t="str" cm="1">
        <f t="array" ref="EZ42">IF(EZ$5&lt;=$DG42,INDEX($AC42:$AN42,1,_xlfn.XMATCH(EZ$5,$CC42:$CN42)),"na")</f>
        <v>na</v>
      </c>
      <c r="FA42" s="47" t="str" cm="1">
        <f t="array" ref="FA42">IF(FA$5&lt;=$DG42,INDEX($AP42:$BA42,1,_xlfn.XMATCH(FA$5,$CC42:$CN42)),"na")</f>
        <v>na</v>
      </c>
      <c r="FB42" s="44" t="str" cm="1">
        <f t="array" ref="FB42">IF(FB$5&lt;=$DG42,INDEX($BC42:$BN42,1,_xlfn.XMATCH(FB$5,$CC42:$CN42)),"na")</f>
        <v>na</v>
      </c>
      <c r="FC42" s="45" t="str" cm="1">
        <f t="array" ref="FC42">IF(FC$5&lt;=$DH42,INDEX($BP42:$CA42,1,_xlfn.XMATCH(FC$5,$CP42:$DA42)),"na")</f>
        <v>na</v>
      </c>
      <c r="FD42" s="46" t="str" cm="1">
        <f t="array" ref="FD42">IF(FD$5&lt;=$DG42,INDEX($AC42:$AN42,1,_xlfn.XMATCH(FD$5,$CC42:$CN42)),"na")</f>
        <v>na</v>
      </c>
      <c r="FE42" s="47" t="str" cm="1">
        <f t="array" ref="FE42">IF(FE$5&lt;=$DG42,INDEX($AP42:$BA42,1,_xlfn.XMATCH(FE$5,$CC42:$CN42)),"na")</f>
        <v>na</v>
      </c>
    </row>
    <row r="43" spans="2:161" hidden="1" x14ac:dyDescent="0.25">
      <c r="B43" s="9" t="s">
        <v>99</v>
      </c>
      <c r="C43" s="8">
        <v>17360</v>
      </c>
      <c r="D43" s="8">
        <v>15680</v>
      </c>
      <c r="E43" s="8">
        <v>17360</v>
      </c>
      <c r="F43" s="8">
        <v>16800</v>
      </c>
      <c r="G43" s="8">
        <v>17360</v>
      </c>
      <c r="H43" s="8">
        <v>16800</v>
      </c>
      <c r="I43" s="8">
        <v>17360</v>
      </c>
      <c r="J43" s="8">
        <v>17360</v>
      </c>
      <c r="K43" s="8">
        <v>16800</v>
      </c>
      <c r="L43" s="8">
        <v>17360</v>
      </c>
      <c r="M43" s="8">
        <v>16800</v>
      </c>
      <c r="N43" s="8">
        <v>17360</v>
      </c>
      <c r="O43" s="8"/>
      <c r="P43" s="8">
        <v>16585</v>
      </c>
      <c r="Q43" s="8">
        <v>14980</v>
      </c>
      <c r="R43" s="8">
        <v>16585</v>
      </c>
      <c r="S43" s="8">
        <v>16050</v>
      </c>
      <c r="T43" s="8">
        <v>16585</v>
      </c>
      <c r="U43" s="8">
        <v>16050</v>
      </c>
      <c r="V43" s="8">
        <v>16585</v>
      </c>
      <c r="W43" s="8">
        <v>16585</v>
      </c>
      <c r="X43" s="8">
        <v>16050</v>
      </c>
      <c r="Y43" s="8">
        <v>16585</v>
      </c>
      <c r="Z43" s="8">
        <v>16050</v>
      </c>
      <c r="AA43" s="8">
        <v>16585</v>
      </c>
      <c r="AC43" s="14">
        <f>C43/_xlfn.XLOOKUP(AC$5,'OC-Days'!$G:$G,'OC-Days'!$B:$B)</f>
        <v>560</v>
      </c>
      <c r="AD43" s="14">
        <f>D43/_xlfn.XLOOKUP(AD$5,'OC-Days'!$G:$G,'OC-Days'!$B:$B)</f>
        <v>560</v>
      </c>
      <c r="AE43" s="14">
        <f>E43/_xlfn.XLOOKUP(AE$5,'OC-Days'!$G:$G,'OC-Days'!$B:$B)</f>
        <v>560</v>
      </c>
      <c r="AF43" s="14">
        <f>F43/_xlfn.XLOOKUP(AF$5,'OC-Days'!$G:$G,'OC-Days'!$B:$B)</f>
        <v>560</v>
      </c>
      <c r="AG43" s="14">
        <f>G43/_xlfn.XLOOKUP(AG$5,'OC-Days'!$G:$G,'OC-Days'!$B:$B)</f>
        <v>560</v>
      </c>
      <c r="AH43" s="14">
        <f>H43/_xlfn.XLOOKUP(AH$5,'OC-Days'!$G:$G,'OC-Days'!$B:$B)</f>
        <v>560</v>
      </c>
      <c r="AI43" s="14">
        <f>I43/_xlfn.XLOOKUP(AI$5,'OC-Days'!$G:$G,'OC-Days'!$B:$B)</f>
        <v>560</v>
      </c>
      <c r="AJ43" s="14">
        <f>J43/_xlfn.XLOOKUP(AJ$5,'OC-Days'!$G:$G,'OC-Days'!$B:$B)</f>
        <v>560</v>
      </c>
      <c r="AK43" s="14">
        <f>K43/_xlfn.XLOOKUP(AK$5,'OC-Days'!$G:$G,'OC-Days'!$B:$B)</f>
        <v>560</v>
      </c>
      <c r="AL43" s="14">
        <f>L43/_xlfn.XLOOKUP(AL$5,'OC-Days'!$G:$G,'OC-Days'!$B:$B)</f>
        <v>560</v>
      </c>
      <c r="AM43" s="14">
        <f>M43/_xlfn.XLOOKUP(AM$5,'OC-Days'!$G:$G,'OC-Days'!$B:$B)</f>
        <v>560</v>
      </c>
      <c r="AN43" s="14">
        <f>N43/_xlfn.XLOOKUP(AN$5,'OC-Days'!$G:$G,'OC-Days'!$B:$B)</f>
        <v>560</v>
      </c>
      <c r="AP43" s="14">
        <f>P43/_xlfn.XLOOKUP(AP$5,'OC-Days'!$G:$G,'OC-Days'!$B:$B)</f>
        <v>535</v>
      </c>
      <c r="AQ43" s="14">
        <f>Q43/_xlfn.XLOOKUP(AQ$5,'OC-Days'!$G:$G,'OC-Days'!$B:$B)</f>
        <v>535</v>
      </c>
      <c r="AR43" s="14">
        <f>R43/_xlfn.XLOOKUP(AR$5,'OC-Days'!$G:$G,'OC-Days'!$B:$B)</f>
        <v>535</v>
      </c>
      <c r="AS43" s="14">
        <f>S43/_xlfn.XLOOKUP(AS$5,'OC-Days'!$G:$G,'OC-Days'!$B:$B)</f>
        <v>535</v>
      </c>
      <c r="AT43" s="14">
        <f>T43/_xlfn.XLOOKUP(AT$5,'OC-Days'!$G:$G,'OC-Days'!$B:$B)</f>
        <v>535</v>
      </c>
      <c r="AU43" s="14">
        <f>U43/_xlfn.XLOOKUP(AU$5,'OC-Days'!$G:$G,'OC-Days'!$B:$B)</f>
        <v>535</v>
      </c>
      <c r="AV43" s="14">
        <f>V43/_xlfn.XLOOKUP(AV$5,'OC-Days'!$G:$G,'OC-Days'!$B:$B)</f>
        <v>535</v>
      </c>
      <c r="AW43" s="14">
        <f>W43/_xlfn.XLOOKUP(AW$5,'OC-Days'!$G:$G,'OC-Days'!$B:$B)</f>
        <v>535</v>
      </c>
      <c r="AX43" s="14">
        <f>X43/_xlfn.XLOOKUP(AX$5,'OC-Days'!$G:$G,'OC-Days'!$B:$B)</f>
        <v>535</v>
      </c>
      <c r="AY43" s="14">
        <f>Y43/_xlfn.XLOOKUP(AY$5,'OC-Days'!$G:$G,'OC-Days'!$B:$B)</f>
        <v>535</v>
      </c>
      <c r="AZ43" s="14">
        <f>Z43/_xlfn.XLOOKUP(AZ$5,'OC-Days'!$G:$G,'OC-Days'!$B:$B)</f>
        <v>535</v>
      </c>
      <c r="BA43" s="14">
        <f>AA43/_xlfn.XLOOKUP(BA$5,'OC-Days'!$G:$G,'OC-Days'!$B:$B)</f>
        <v>535</v>
      </c>
      <c r="BC43" s="33">
        <f>_xlfn.XLOOKUP(BC$5,'OC-Days'!$G:$G,'OC-Days'!$F:$F)</f>
        <v>45658</v>
      </c>
      <c r="BD43" s="34" t="str">
        <f>IF(AQ43=AP43,"na",_xlfn.XLOOKUP(BD$5,'OC-Days'!$G:$G,'OC-Days'!$F:$F))</f>
        <v>na</v>
      </c>
      <c r="BE43" s="34" t="str">
        <f>IF(AR43=AQ43,"na",_xlfn.XLOOKUP(BE$5,'OC-Days'!$G:$G,'OC-Days'!$F:$F))</f>
        <v>na</v>
      </c>
      <c r="BF43" s="34" t="str">
        <f>IF(AS43=AR43,"na",_xlfn.XLOOKUP(BF$5,'OC-Days'!$G:$G,'OC-Days'!$F:$F))</f>
        <v>na</v>
      </c>
      <c r="BG43" s="34" t="str">
        <f>IF(AT43=AS43,"na",_xlfn.XLOOKUP(BG$5,'OC-Days'!$G:$G,'OC-Days'!$F:$F))</f>
        <v>na</v>
      </c>
      <c r="BH43" s="34" t="str">
        <f>IF(AU43=AT43,"na",_xlfn.XLOOKUP(BH$5,'OC-Days'!$G:$G,'OC-Days'!$F:$F))</f>
        <v>na</v>
      </c>
      <c r="BI43" s="34" t="str">
        <f>IF(AV43=AU43,"na",_xlfn.XLOOKUP(BI$5,'OC-Days'!$G:$G,'OC-Days'!$F:$F))</f>
        <v>na</v>
      </c>
      <c r="BJ43" s="34" t="str">
        <f>IF(AW43=AV43,"na",_xlfn.XLOOKUP(BJ$5,'OC-Days'!$G:$G,'OC-Days'!$F:$F))</f>
        <v>na</v>
      </c>
      <c r="BK43" s="34" t="str">
        <f>IF(AX43=AW43,"na",_xlfn.XLOOKUP(BK$5,'OC-Days'!$G:$G,'OC-Days'!$F:$F))</f>
        <v>na</v>
      </c>
      <c r="BL43" s="34" t="str">
        <f>IF(AY43=AX43,"na",_xlfn.XLOOKUP(BL$5,'OC-Days'!$G:$G,'OC-Days'!$F:$F))</f>
        <v>na</v>
      </c>
      <c r="BM43" s="34" t="str">
        <f>IF(AZ43=AY43,"na",_xlfn.XLOOKUP(BM$5,'OC-Days'!$G:$G,'OC-Days'!$F:$F))</f>
        <v>na</v>
      </c>
      <c r="BN43" s="34" t="str">
        <f>IF(BA43=AZ43,"na",_xlfn.XLOOKUP(BN$5,'OC-Days'!$G:$G,'OC-Days'!$F:$F))</f>
        <v>na</v>
      </c>
      <c r="BP43" s="36" t="str">
        <f t="shared" si="52"/>
        <v>na</v>
      </c>
      <c r="BQ43" s="36" t="str">
        <f t="shared" si="53"/>
        <v>na</v>
      </c>
      <c r="BR43" s="36" t="str">
        <f t="shared" si="54"/>
        <v>na</v>
      </c>
      <c r="BS43" s="36" t="str">
        <f t="shared" si="55"/>
        <v>na</v>
      </c>
      <c r="BT43" s="36" t="str">
        <f t="shared" si="56"/>
        <v>na</v>
      </c>
      <c r="BU43" s="36" t="str">
        <f t="shared" si="57"/>
        <v>na</v>
      </c>
      <c r="BV43" s="36" t="str">
        <f t="shared" si="58"/>
        <v>na</v>
      </c>
      <c r="BW43" s="36" t="str">
        <f t="shared" si="59"/>
        <v>na</v>
      </c>
      <c r="BX43" s="36" t="str">
        <f t="shared" si="60"/>
        <v>na</v>
      </c>
      <c r="BY43" s="36" t="str">
        <f t="shared" si="61"/>
        <v>na</v>
      </c>
      <c r="BZ43" s="36" t="str">
        <f t="shared" si="62"/>
        <v>na</v>
      </c>
      <c r="CA43" s="43">
        <f t="shared" si="46"/>
        <v>46022</v>
      </c>
      <c r="CC43" s="8">
        <f>COUNT($BC43:BC43)</f>
        <v>1</v>
      </c>
      <c r="CD43" s="8">
        <f>COUNT($BC43:BD43)</f>
        <v>1</v>
      </c>
      <c r="CE43" s="8">
        <f>COUNT($BC43:BE43)</f>
        <v>1</v>
      </c>
      <c r="CF43" s="8">
        <f>COUNT($BC43:BF43)</f>
        <v>1</v>
      </c>
      <c r="CG43" s="8">
        <f>COUNT($BC43:BG43)</f>
        <v>1</v>
      </c>
      <c r="CH43" s="8">
        <f>COUNT($BC43:BH43)</f>
        <v>1</v>
      </c>
      <c r="CI43" s="8">
        <f>COUNT($BC43:BI43)</f>
        <v>1</v>
      </c>
      <c r="CJ43" s="8">
        <f>COUNT($BC43:BJ43)</f>
        <v>1</v>
      </c>
      <c r="CK43" s="8">
        <f>COUNT($BC43:BK43)</f>
        <v>1</v>
      </c>
      <c r="CL43" s="8">
        <f>COUNT($BC43:BL43)</f>
        <v>1</v>
      </c>
      <c r="CM43" s="8">
        <f>COUNT($BC43:BM43)</f>
        <v>1</v>
      </c>
      <c r="CN43" s="8">
        <f>COUNT($BC43:BN43)</f>
        <v>1</v>
      </c>
      <c r="CO43" s="8"/>
      <c r="CP43" s="8">
        <f>COUNT($BP43:BP43)</f>
        <v>0</v>
      </c>
      <c r="CQ43" s="8">
        <f>COUNT($BP43:BQ43)</f>
        <v>0</v>
      </c>
      <c r="CR43" s="8">
        <f>COUNT($BP43:BR43)</f>
        <v>0</v>
      </c>
      <c r="CS43" s="8">
        <f>COUNT($BP43:BS43)</f>
        <v>0</v>
      </c>
      <c r="CT43" s="8">
        <f>COUNT($BP43:BT43)</f>
        <v>0</v>
      </c>
      <c r="CU43" s="8">
        <f>COUNT($BP43:BU43)</f>
        <v>0</v>
      </c>
      <c r="CV43" s="8">
        <f>COUNT($BP43:BV43)</f>
        <v>0</v>
      </c>
      <c r="CW43" s="8">
        <f>COUNT($BP43:BW43)</f>
        <v>0</v>
      </c>
      <c r="CX43" s="8">
        <f>COUNT($BP43:BX43)</f>
        <v>0</v>
      </c>
      <c r="CY43" s="8">
        <f>COUNT($BP43:BY43)</f>
        <v>0</v>
      </c>
      <c r="CZ43" s="8">
        <f>COUNT($BP43:BZ43)</f>
        <v>0</v>
      </c>
      <c r="DA43" s="8">
        <f>COUNT($BP43:CA43)</f>
        <v>1</v>
      </c>
      <c r="DC43">
        <f t="shared" si="47"/>
        <v>810</v>
      </c>
      <c r="DD43" t="str">
        <f t="shared" si="48"/>
        <v>Rollup</v>
      </c>
      <c r="DE43" t="str">
        <f t="shared" si="49"/>
        <v>810-Rollup</v>
      </c>
      <c r="DG43">
        <f t="shared" si="50"/>
        <v>1</v>
      </c>
      <c r="DH43">
        <f t="shared" si="51"/>
        <v>1</v>
      </c>
    </row>
    <row r="44" spans="2:161" x14ac:dyDescent="0.25">
      <c r="B44" s="10" t="s">
        <v>100</v>
      </c>
      <c r="C44" s="8">
        <v>961</v>
      </c>
      <c r="D44" s="8">
        <v>868</v>
      </c>
      <c r="E44" s="8">
        <v>961</v>
      </c>
      <c r="F44" s="8">
        <v>930</v>
      </c>
      <c r="G44" s="8">
        <v>961</v>
      </c>
      <c r="H44" s="8">
        <v>930</v>
      </c>
      <c r="I44" s="8">
        <v>961</v>
      </c>
      <c r="J44" s="8">
        <v>961</v>
      </c>
      <c r="K44" s="8">
        <v>930</v>
      </c>
      <c r="L44" s="8">
        <v>961</v>
      </c>
      <c r="M44" s="8">
        <v>930</v>
      </c>
      <c r="N44" s="8">
        <v>961</v>
      </c>
      <c r="O44" s="8"/>
      <c r="P44" s="8">
        <v>930</v>
      </c>
      <c r="Q44" s="8">
        <v>840</v>
      </c>
      <c r="R44" s="8">
        <v>930</v>
      </c>
      <c r="S44" s="8">
        <v>900</v>
      </c>
      <c r="T44" s="8">
        <v>930</v>
      </c>
      <c r="U44" s="8">
        <v>900</v>
      </c>
      <c r="V44" s="8">
        <v>930</v>
      </c>
      <c r="W44" s="8">
        <v>930</v>
      </c>
      <c r="X44" s="8">
        <v>900</v>
      </c>
      <c r="Y44" s="8">
        <v>930</v>
      </c>
      <c r="Z44" s="8">
        <v>900</v>
      </c>
      <c r="AA44" s="8">
        <v>930</v>
      </c>
      <c r="AC44" s="14">
        <f>C44/_xlfn.XLOOKUP(AC$5,'OC-Days'!$G:$G,'OC-Days'!$B:$B)</f>
        <v>31</v>
      </c>
      <c r="AD44" s="14">
        <f>D44/_xlfn.XLOOKUP(AD$5,'OC-Days'!$G:$G,'OC-Days'!$B:$B)</f>
        <v>31</v>
      </c>
      <c r="AE44" s="14">
        <f>E44/_xlfn.XLOOKUP(AE$5,'OC-Days'!$G:$G,'OC-Days'!$B:$B)</f>
        <v>31</v>
      </c>
      <c r="AF44" s="14">
        <f>F44/_xlfn.XLOOKUP(AF$5,'OC-Days'!$G:$G,'OC-Days'!$B:$B)</f>
        <v>31</v>
      </c>
      <c r="AG44" s="14">
        <f>G44/_xlfn.XLOOKUP(AG$5,'OC-Days'!$G:$G,'OC-Days'!$B:$B)</f>
        <v>31</v>
      </c>
      <c r="AH44" s="14">
        <f>H44/_xlfn.XLOOKUP(AH$5,'OC-Days'!$G:$G,'OC-Days'!$B:$B)</f>
        <v>31</v>
      </c>
      <c r="AI44" s="14">
        <f>I44/_xlfn.XLOOKUP(AI$5,'OC-Days'!$G:$G,'OC-Days'!$B:$B)</f>
        <v>31</v>
      </c>
      <c r="AJ44" s="14">
        <f>J44/_xlfn.XLOOKUP(AJ$5,'OC-Days'!$G:$G,'OC-Days'!$B:$B)</f>
        <v>31</v>
      </c>
      <c r="AK44" s="14">
        <f>K44/_xlfn.XLOOKUP(AK$5,'OC-Days'!$G:$G,'OC-Days'!$B:$B)</f>
        <v>31</v>
      </c>
      <c r="AL44" s="14">
        <f>L44/_xlfn.XLOOKUP(AL$5,'OC-Days'!$G:$G,'OC-Days'!$B:$B)</f>
        <v>31</v>
      </c>
      <c r="AM44" s="14">
        <f>M44/_xlfn.XLOOKUP(AM$5,'OC-Days'!$G:$G,'OC-Days'!$B:$B)</f>
        <v>31</v>
      </c>
      <c r="AN44" s="14">
        <f>N44/_xlfn.XLOOKUP(AN$5,'OC-Days'!$G:$G,'OC-Days'!$B:$B)</f>
        <v>31</v>
      </c>
      <c r="AP44" s="14">
        <f>P44/_xlfn.XLOOKUP(AP$5,'OC-Days'!$G:$G,'OC-Days'!$B:$B)</f>
        <v>30</v>
      </c>
      <c r="AQ44" s="14">
        <f>Q44/_xlfn.XLOOKUP(AQ$5,'OC-Days'!$G:$G,'OC-Days'!$B:$B)</f>
        <v>30</v>
      </c>
      <c r="AR44" s="14">
        <f>R44/_xlfn.XLOOKUP(AR$5,'OC-Days'!$G:$G,'OC-Days'!$B:$B)</f>
        <v>30</v>
      </c>
      <c r="AS44" s="14">
        <f>S44/_xlfn.XLOOKUP(AS$5,'OC-Days'!$G:$G,'OC-Days'!$B:$B)</f>
        <v>30</v>
      </c>
      <c r="AT44" s="14">
        <f>T44/_xlfn.XLOOKUP(AT$5,'OC-Days'!$G:$G,'OC-Days'!$B:$B)</f>
        <v>30</v>
      </c>
      <c r="AU44" s="14">
        <f>U44/_xlfn.XLOOKUP(AU$5,'OC-Days'!$G:$G,'OC-Days'!$B:$B)</f>
        <v>30</v>
      </c>
      <c r="AV44" s="14">
        <f>V44/_xlfn.XLOOKUP(AV$5,'OC-Days'!$G:$G,'OC-Days'!$B:$B)</f>
        <v>30</v>
      </c>
      <c r="AW44" s="14">
        <f>W44/_xlfn.XLOOKUP(AW$5,'OC-Days'!$G:$G,'OC-Days'!$B:$B)</f>
        <v>30</v>
      </c>
      <c r="AX44" s="14">
        <f>X44/_xlfn.XLOOKUP(AX$5,'OC-Days'!$G:$G,'OC-Days'!$B:$B)</f>
        <v>30</v>
      </c>
      <c r="AY44" s="14">
        <f>Y44/_xlfn.XLOOKUP(AY$5,'OC-Days'!$G:$G,'OC-Days'!$B:$B)</f>
        <v>30</v>
      </c>
      <c r="AZ44" s="14">
        <f>Z44/_xlfn.XLOOKUP(AZ$5,'OC-Days'!$G:$G,'OC-Days'!$B:$B)</f>
        <v>30</v>
      </c>
      <c r="BA44" s="14">
        <f>AA44/_xlfn.XLOOKUP(BA$5,'OC-Days'!$G:$G,'OC-Days'!$B:$B)</f>
        <v>30</v>
      </c>
      <c r="BC44" s="33">
        <f>_xlfn.XLOOKUP(BC$5,'OC-Days'!$G:$G,'OC-Days'!$F:$F)</f>
        <v>45658</v>
      </c>
      <c r="BD44" s="34" t="str">
        <f>IF(AQ44=AP44,"na",_xlfn.XLOOKUP(BD$5,'OC-Days'!$G:$G,'OC-Days'!$F:$F))</f>
        <v>na</v>
      </c>
      <c r="BE44" s="34" t="str">
        <f>IF(AR44=AQ44,"na",_xlfn.XLOOKUP(BE$5,'OC-Days'!$G:$G,'OC-Days'!$F:$F))</f>
        <v>na</v>
      </c>
      <c r="BF44" s="34" t="str">
        <f>IF(AS44=AR44,"na",_xlfn.XLOOKUP(BF$5,'OC-Days'!$G:$G,'OC-Days'!$F:$F))</f>
        <v>na</v>
      </c>
      <c r="BG44" s="34" t="str">
        <f>IF(AT44=AS44,"na",_xlfn.XLOOKUP(BG$5,'OC-Days'!$G:$G,'OC-Days'!$F:$F))</f>
        <v>na</v>
      </c>
      <c r="BH44" s="34" t="str">
        <f>IF(AU44=AT44,"na",_xlfn.XLOOKUP(BH$5,'OC-Days'!$G:$G,'OC-Days'!$F:$F))</f>
        <v>na</v>
      </c>
      <c r="BI44" s="34" t="str">
        <f>IF(AV44=AU44,"na",_xlfn.XLOOKUP(BI$5,'OC-Days'!$G:$G,'OC-Days'!$F:$F))</f>
        <v>na</v>
      </c>
      <c r="BJ44" s="34" t="str">
        <f>IF(AW44=AV44,"na",_xlfn.XLOOKUP(BJ$5,'OC-Days'!$G:$G,'OC-Days'!$F:$F))</f>
        <v>na</v>
      </c>
      <c r="BK44" s="34" t="str">
        <f>IF(AX44=AW44,"na",_xlfn.XLOOKUP(BK$5,'OC-Days'!$G:$G,'OC-Days'!$F:$F))</f>
        <v>na</v>
      </c>
      <c r="BL44" s="34" t="str">
        <f>IF(AY44=AX44,"na",_xlfn.XLOOKUP(BL$5,'OC-Days'!$G:$G,'OC-Days'!$F:$F))</f>
        <v>na</v>
      </c>
      <c r="BM44" s="34" t="str">
        <f>IF(AZ44=AY44,"na",_xlfn.XLOOKUP(BM$5,'OC-Days'!$G:$G,'OC-Days'!$F:$F))</f>
        <v>na</v>
      </c>
      <c r="BN44" s="34" t="str">
        <f>IF(BA44=AZ44,"na",_xlfn.XLOOKUP(BN$5,'OC-Days'!$G:$G,'OC-Days'!$F:$F))</f>
        <v>na</v>
      </c>
      <c r="BP44" s="36" t="str">
        <f t="shared" si="52"/>
        <v>na</v>
      </c>
      <c r="BQ44" s="36" t="str">
        <f t="shared" si="53"/>
        <v>na</v>
      </c>
      <c r="BR44" s="36" t="str">
        <f t="shared" si="54"/>
        <v>na</v>
      </c>
      <c r="BS44" s="36" t="str">
        <f t="shared" si="55"/>
        <v>na</v>
      </c>
      <c r="BT44" s="36" t="str">
        <f t="shared" si="56"/>
        <v>na</v>
      </c>
      <c r="BU44" s="36" t="str">
        <f t="shared" si="57"/>
        <v>na</v>
      </c>
      <c r="BV44" s="36" t="str">
        <f t="shared" si="58"/>
        <v>na</v>
      </c>
      <c r="BW44" s="36" t="str">
        <f t="shared" si="59"/>
        <v>na</v>
      </c>
      <c r="BX44" s="36" t="str">
        <f t="shared" si="60"/>
        <v>na</v>
      </c>
      <c r="BY44" s="36" t="str">
        <f t="shared" si="61"/>
        <v>na</v>
      </c>
      <c r="BZ44" s="36" t="str">
        <f t="shared" si="62"/>
        <v>na</v>
      </c>
      <c r="CA44" s="43">
        <f t="shared" si="46"/>
        <v>46022</v>
      </c>
      <c r="CC44" s="8">
        <f>COUNT($BC44:BC44)</f>
        <v>1</v>
      </c>
      <c r="CD44" s="8">
        <f>COUNT($BC44:BD44)</f>
        <v>1</v>
      </c>
      <c r="CE44" s="8">
        <f>COUNT($BC44:BE44)</f>
        <v>1</v>
      </c>
      <c r="CF44" s="8">
        <f>COUNT($BC44:BF44)</f>
        <v>1</v>
      </c>
      <c r="CG44" s="8">
        <f>COUNT($BC44:BG44)</f>
        <v>1</v>
      </c>
      <c r="CH44" s="8">
        <f>COUNT($BC44:BH44)</f>
        <v>1</v>
      </c>
      <c r="CI44" s="8">
        <f>COUNT($BC44:BI44)</f>
        <v>1</v>
      </c>
      <c r="CJ44" s="8">
        <f>COUNT($BC44:BJ44)</f>
        <v>1</v>
      </c>
      <c r="CK44" s="8">
        <f>COUNT($BC44:BK44)</f>
        <v>1</v>
      </c>
      <c r="CL44" s="8">
        <f>COUNT($BC44:BL44)</f>
        <v>1</v>
      </c>
      <c r="CM44" s="8">
        <f>COUNT($BC44:BM44)</f>
        <v>1</v>
      </c>
      <c r="CN44" s="8">
        <f>COUNT($BC44:BN44)</f>
        <v>1</v>
      </c>
      <c r="CO44" s="8"/>
      <c r="CP44" s="8">
        <f>COUNT($BP44:BP44)</f>
        <v>0</v>
      </c>
      <c r="CQ44" s="8">
        <f>COUNT($BP44:BQ44)</f>
        <v>0</v>
      </c>
      <c r="CR44" s="8">
        <f>COUNT($BP44:BR44)</f>
        <v>0</v>
      </c>
      <c r="CS44" s="8">
        <f>COUNT($BP44:BS44)</f>
        <v>0</v>
      </c>
      <c r="CT44" s="8">
        <f>COUNT($BP44:BT44)</f>
        <v>0</v>
      </c>
      <c r="CU44" s="8">
        <f>COUNT($BP44:BU44)</f>
        <v>0</v>
      </c>
      <c r="CV44" s="8">
        <f>COUNT($BP44:BV44)</f>
        <v>0</v>
      </c>
      <c r="CW44" s="8">
        <f>COUNT($BP44:BW44)</f>
        <v>0</v>
      </c>
      <c r="CX44" s="8">
        <f>COUNT($BP44:BX44)</f>
        <v>0</v>
      </c>
      <c r="CY44" s="8">
        <f>COUNT($BP44:BY44)</f>
        <v>0</v>
      </c>
      <c r="CZ44" s="8">
        <f>COUNT($BP44:BZ44)</f>
        <v>0</v>
      </c>
      <c r="DA44" s="8">
        <f>COUNT($BP44:CA44)</f>
        <v>1</v>
      </c>
      <c r="DC44">
        <f t="shared" si="47"/>
        <v>925</v>
      </c>
      <c r="DD44">
        <f t="shared" si="48"/>
        <v>21</v>
      </c>
      <c r="DE44" t="str">
        <f t="shared" si="49"/>
        <v>925-21</v>
      </c>
      <c r="DG44">
        <f t="shared" si="50"/>
        <v>1</v>
      </c>
      <c r="DH44">
        <f t="shared" si="51"/>
        <v>1</v>
      </c>
      <c r="DJ44" s="44" cm="1">
        <f t="array" ref="DJ44">IF(DJ$5&lt;=$DG44,INDEX($BC44:$BN44,1,_xlfn.XMATCH(DJ$5,$CC44:$CN44)),"na")</f>
        <v>45658</v>
      </c>
      <c r="DK44" s="45" cm="1">
        <f t="array" ref="DK44">IF(DK$5&lt;=$DH44,INDEX($BP44:$CA44,1,_xlfn.XMATCH(DK$5,$CP44:$DA44)),"na")</f>
        <v>46022</v>
      </c>
      <c r="DL44" s="46" cm="1">
        <f t="array" ref="DL44">IF(DL$5&lt;=$DG44,INDEX($AC44:$AN44,1,_xlfn.XMATCH(DL$5,$CC44:$CN44)),"na")</f>
        <v>31</v>
      </c>
      <c r="DM44" s="47" cm="1">
        <f t="array" ref="DM44">IF(DM$5&lt;=$DG44,INDEX($AP44:$BA44,1,_xlfn.XMATCH(DM$5,$CC44:$CN44)),"na")</f>
        <v>30</v>
      </c>
      <c r="DN44" s="44" t="str" cm="1">
        <f t="array" ref="DN44">IF(DN$5&lt;=$DG44,INDEX($BC44:$BN44,1,_xlfn.XMATCH(DN$5,$CC44:$CN44)),"na")</f>
        <v>na</v>
      </c>
      <c r="DO44" s="45" t="str" cm="1">
        <f t="array" ref="DO44">IF(DO$5&lt;=$DH44,INDEX($BP44:$CA44,1,_xlfn.XMATCH(DO$5,$CP44:$DA44)),"na")</f>
        <v>na</v>
      </c>
      <c r="DP44" s="46" t="str" cm="1">
        <f t="array" ref="DP44">IF(DP$5&lt;=$DG44,INDEX($AC44:$AN44,1,_xlfn.XMATCH(DP$5,$CC44:$CN44)),"na")</f>
        <v>na</v>
      </c>
      <c r="DQ44" s="47" t="str" cm="1">
        <f t="array" ref="DQ44">IF(DQ$5&lt;=$DG44,INDEX($AP44:$BA44,1,_xlfn.XMATCH(DQ$5,$CC44:$CN44)),"na")</f>
        <v>na</v>
      </c>
      <c r="DR44" s="44" t="str" cm="1">
        <f t="array" ref="DR44">IF(DR$5&lt;=$DG44,INDEX($BC44:$BN44,1,_xlfn.XMATCH(DR$5,$CC44:$CN44)),"na")</f>
        <v>na</v>
      </c>
      <c r="DS44" s="45" t="str" cm="1">
        <f t="array" ref="DS44">IF(DS$5&lt;=$DH44,INDEX($BP44:$CA44,1,_xlfn.XMATCH(DS$5,$CP44:$DA44)),"na")</f>
        <v>na</v>
      </c>
      <c r="DT44" s="46" t="str" cm="1">
        <f t="array" ref="DT44">IF(DT$5&lt;=$DG44,INDEX($AC44:$AN44,1,_xlfn.XMATCH(DT$5,$CC44:$CN44)),"na")</f>
        <v>na</v>
      </c>
      <c r="DU44" s="47" t="str" cm="1">
        <f t="array" ref="DU44">IF(DU$5&lt;=$DG44,INDEX($AP44:$BA44,1,_xlfn.XMATCH(DU$5,$CC44:$CN44)),"na")</f>
        <v>na</v>
      </c>
      <c r="DV44" s="44" t="str" cm="1">
        <f t="array" ref="DV44">IF(DV$5&lt;=$DG44,INDEX($BC44:$BN44,1,_xlfn.XMATCH(DV$5,$CC44:$CN44)),"na")</f>
        <v>na</v>
      </c>
      <c r="DW44" s="45" t="str" cm="1">
        <f t="array" ref="DW44">IF(DW$5&lt;=$DH44,INDEX($BP44:$CA44,1,_xlfn.XMATCH(DW$5,$CP44:$DA44)),"na")</f>
        <v>na</v>
      </c>
      <c r="DX44" s="46" t="str" cm="1">
        <f t="array" ref="DX44">IF(DX$5&lt;=$DG44,INDEX($AC44:$AN44,1,_xlfn.XMATCH(DX$5,$CC44:$CN44)),"na")</f>
        <v>na</v>
      </c>
      <c r="DY44" s="47" t="str" cm="1">
        <f t="array" ref="DY44">IF(DY$5&lt;=$DG44,INDEX($AP44:$BA44,1,_xlfn.XMATCH(DY$5,$CC44:$CN44)),"na")</f>
        <v>na</v>
      </c>
      <c r="DZ44" s="44" t="str" cm="1">
        <f t="array" ref="DZ44">IF(DZ$5&lt;=$DG44,INDEX($BC44:$BN44,1,_xlfn.XMATCH(DZ$5,$CC44:$CN44)),"na")</f>
        <v>na</v>
      </c>
      <c r="EA44" s="45" t="str" cm="1">
        <f t="array" ref="EA44">IF(EA$5&lt;=$DH44,INDEX($BP44:$CA44,1,_xlfn.XMATCH(EA$5,$CP44:$DA44)),"na")</f>
        <v>na</v>
      </c>
      <c r="EB44" s="46" t="str" cm="1">
        <f t="array" ref="EB44">IF(EB$5&lt;=$DG44,INDEX($AC44:$AN44,1,_xlfn.XMATCH(EB$5,$CC44:$CN44)),"na")</f>
        <v>na</v>
      </c>
      <c r="EC44" s="47" t="str" cm="1">
        <f t="array" ref="EC44">IF(EC$5&lt;=$DG44,INDEX($AP44:$BA44,1,_xlfn.XMATCH(EC$5,$CC44:$CN44)),"na")</f>
        <v>na</v>
      </c>
      <c r="ED44" s="44" t="str" cm="1">
        <f t="array" ref="ED44">IF(ED$5&lt;=$DG44,INDEX($BC44:$BN44,1,_xlfn.XMATCH(ED$5,$CC44:$CN44)),"na")</f>
        <v>na</v>
      </c>
      <c r="EE44" s="45" t="str" cm="1">
        <f t="array" ref="EE44">IF(EE$5&lt;=$DH44,INDEX($BP44:$CA44,1,_xlfn.XMATCH(EE$5,$CP44:$DA44)),"na")</f>
        <v>na</v>
      </c>
      <c r="EF44" s="46" t="str" cm="1">
        <f t="array" ref="EF44">IF(EF$5&lt;=$DG44,INDEX($AC44:$AN44,1,_xlfn.XMATCH(EF$5,$CC44:$CN44)),"na")</f>
        <v>na</v>
      </c>
      <c r="EG44" s="47" t="str" cm="1">
        <f t="array" ref="EG44">IF(EG$5&lt;=$DG44,INDEX($AP44:$BA44,1,_xlfn.XMATCH(EG$5,$CC44:$CN44)),"na")</f>
        <v>na</v>
      </c>
      <c r="EH44" s="44" t="str" cm="1">
        <f t="array" ref="EH44">IF(EH$5&lt;=$DG44,INDEX($BC44:$BN44,1,_xlfn.XMATCH(EH$5,$CC44:$CN44)),"na")</f>
        <v>na</v>
      </c>
      <c r="EI44" s="45" t="str" cm="1">
        <f t="array" ref="EI44">IF(EI$5&lt;=$DH44,INDEX($BP44:$CA44,1,_xlfn.XMATCH(EI$5,$CP44:$DA44)),"na")</f>
        <v>na</v>
      </c>
      <c r="EJ44" s="46" t="str" cm="1">
        <f t="array" ref="EJ44">IF(EJ$5&lt;=$DG44,INDEX($AC44:$AN44,1,_xlfn.XMATCH(EJ$5,$CC44:$CN44)),"na")</f>
        <v>na</v>
      </c>
      <c r="EK44" s="47" t="str" cm="1">
        <f t="array" ref="EK44">IF(EK$5&lt;=$DG44,INDEX($AP44:$BA44,1,_xlfn.XMATCH(EK$5,$CC44:$CN44)),"na")</f>
        <v>na</v>
      </c>
      <c r="EL44" s="44" t="str" cm="1">
        <f t="array" ref="EL44">IF(EL$5&lt;=$DG44,INDEX($BC44:$BN44,1,_xlfn.XMATCH(EL$5,$CC44:$CN44)),"na")</f>
        <v>na</v>
      </c>
      <c r="EM44" s="45" t="str" cm="1">
        <f t="array" ref="EM44">IF(EM$5&lt;=$DH44,INDEX($BP44:$CA44,1,_xlfn.XMATCH(EM$5,$CP44:$DA44)),"na")</f>
        <v>na</v>
      </c>
      <c r="EN44" s="46" t="str" cm="1">
        <f t="array" ref="EN44">IF(EN$5&lt;=$DG44,INDEX($AC44:$AN44,1,_xlfn.XMATCH(EN$5,$CC44:$CN44)),"na")</f>
        <v>na</v>
      </c>
      <c r="EO44" s="47" t="str" cm="1">
        <f t="array" ref="EO44">IF(EO$5&lt;=$DG44,INDEX($AP44:$BA44,1,_xlfn.XMATCH(EO$5,$CC44:$CN44)),"na")</f>
        <v>na</v>
      </c>
      <c r="EP44" s="44" t="str" cm="1">
        <f t="array" ref="EP44">IF(EP$5&lt;=$DG44,INDEX($BC44:$BN44,1,_xlfn.XMATCH(EP$5,$CC44:$CN44)),"na")</f>
        <v>na</v>
      </c>
      <c r="EQ44" s="45" t="str" cm="1">
        <f t="array" ref="EQ44">IF(EQ$5&lt;=$DH44,INDEX($BP44:$CA44,1,_xlfn.XMATCH(EQ$5,$CP44:$DA44)),"na")</f>
        <v>na</v>
      </c>
      <c r="ER44" s="46" t="str" cm="1">
        <f t="array" ref="ER44">IF(ER$5&lt;=$DG44,INDEX($AC44:$AN44,1,_xlfn.XMATCH(ER$5,$CC44:$CN44)),"na")</f>
        <v>na</v>
      </c>
      <c r="ES44" s="47" t="str" cm="1">
        <f t="array" ref="ES44">IF(ES$5&lt;=$DG44,INDEX($AP44:$BA44,1,_xlfn.XMATCH(ES$5,$CC44:$CN44)),"na")</f>
        <v>na</v>
      </c>
      <c r="ET44" s="44" t="str" cm="1">
        <f t="array" ref="ET44">IF(ET$5&lt;=$DG44,INDEX($BC44:$BN44,1,_xlfn.XMATCH(ET$5,$CC44:$CN44)),"na")</f>
        <v>na</v>
      </c>
      <c r="EU44" s="45" t="str" cm="1">
        <f t="array" ref="EU44">IF(EU$5&lt;=$DH44,INDEX($BP44:$CA44,1,_xlfn.XMATCH(EU$5,$CP44:$DA44)),"na")</f>
        <v>na</v>
      </c>
      <c r="EV44" s="46" t="str" cm="1">
        <f t="array" ref="EV44">IF(EV$5&lt;=$DG44,INDEX($AC44:$AN44,1,_xlfn.XMATCH(EV$5,$CC44:$CN44)),"na")</f>
        <v>na</v>
      </c>
      <c r="EW44" s="47" t="str" cm="1">
        <f t="array" ref="EW44">IF(EW$5&lt;=$DG44,INDEX($AP44:$BA44,1,_xlfn.XMATCH(EW$5,$CC44:$CN44)),"na")</f>
        <v>na</v>
      </c>
      <c r="EX44" s="44" t="str" cm="1">
        <f t="array" ref="EX44">IF(EX$5&lt;=$DG44,INDEX($BC44:$BN44,1,_xlfn.XMATCH(EX$5,$CC44:$CN44)),"na")</f>
        <v>na</v>
      </c>
      <c r="EY44" s="45" t="str" cm="1">
        <f t="array" ref="EY44">IF(EY$5&lt;=$DH44,INDEX($BP44:$CA44,1,_xlfn.XMATCH(EY$5,$CP44:$DA44)),"na")</f>
        <v>na</v>
      </c>
      <c r="EZ44" s="46" t="str" cm="1">
        <f t="array" ref="EZ44">IF(EZ$5&lt;=$DG44,INDEX($AC44:$AN44,1,_xlfn.XMATCH(EZ$5,$CC44:$CN44)),"na")</f>
        <v>na</v>
      </c>
      <c r="FA44" s="47" t="str" cm="1">
        <f t="array" ref="FA44">IF(FA$5&lt;=$DG44,INDEX($AP44:$BA44,1,_xlfn.XMATCH(FA$5,$CC44:$CN44)),"na")</f>
        <v>na</v>
      </c>
      <c r="FB44" s="44" t="str" cm="1">
        <f t="array" ref="FB44">IF(FB$5&lt;=$DG44,INDEX($BC44:$BN44,1,_xlfn.XMATCH(FB$5,$CC44:$CN44)),"na")</f>
        <v>na</v>
      </c>
      <c r="FC44" s="45" t="str" cm="1">
        <f t="array" ref="FC44">IF(FC$5&lt;=$DH44,INDEX($BP44:$CA44,1,_xlfn.XMATCH(FC$5,$CP44:$DA44)),"na")</f>
        <v>na</v>
      </c>
      <c r="FD44" s="46" t="str" cm="1">
        <f t="array" ref="FD44">IF(FD$5&lt;=$DG44,INDEX($AC44:$AN44,1,_xlfn.XMATCH(FD$5,$CC44:$CN44)),"na")</f>
        <v>na</v>
      </c>
      <c r="FE44" s="47" t="str" cm="1">
        <f t="array" ref="FE44">IF(FE$5&lt;=$DG44,INDEX($AP44:$BA44,1,_xlfn.XMATCH(FE$5,$CC44:$CN44)),"na")</f>
        <v>na</v>
      </c>
    </row>
    <row r="45" spans="2:161" x14ac:dyDescent="0.25">
      <c r="B45" s="10" t="s">
        <v>101</v>
      </c>
      <c r="C45" s="8">
        <v>1116</v>
      </c>
      <c r="D45" s="8">
        <v>1008</v>
      </c>
      <c r="E45" s="8">
        <v>1116</v>
      </c>
      <c r="F45" s="8">
        <v>1080</v>
      </c>
      <c r="G45" s="8">
        <v>1116</v>
      </c>
      <c r="H45" s="8">
        <v>1080</v>
      </c>
      <c r="I45" s="8">
        <v>1116</v>
      </c>
      <c r="J45" s="8">
        <v>1116</v>
      </c>
      <c r="K45" s="8">
        <v>1080</v>
      </c>
      <c r="L45" s="8">
        <v>1116</v>
      </c>
      <c r="M45" s="8">
        <v>1080</v>
      </c>
      <c r="N45" s="8">
        <v>1116</v>
      </c>
      <c r="O45" s="8"/>
      <c r="P45" s="8">
        <v>1085</v>
      </c>
      <c r="Q45" s="8">
        <v>980</v>
      </c>
      <c r="R45" s="8">
        <v>1085</v>
      </c>
      <c r="S45" s="8">
        <v>1050</v>
      </c>
      <c r="T45" s="8">
        <v>1085</v>
      </c>
      <c r="U45" s="8">
        <v>1050</v>
      </c>
      <c r="V45" s="8">
        <v>1085</v>
      </c>
      <c r="W45" s="8">
        <v>1085</v>
      </c>
      <c r="X45" s="8">
        <v>1050</v>
      </c>
      <c r="Y45" s="8">
        <v>1085</v>
      </c>
      <c r="Z45" s="8">
        <v>1050</v>
      </c>
      <c r="AA45" s="8">
        <v>1085</v>
      </c>
      <c r="AC45" s="14">
        <f>C45/_xlfn.XLOOKUP(AC$5,'OC-Days'!$G:$G,'OC-Days'!$B:$B)</f>
        <v>36</v>
      </c>
      <c r="AD45" s="14">
        <f>D45/_xlfn.XLOOKUP(AD$5,'OC-Days'!$G:$G,'OC-Days'!$B:$B)</f>
        <v>36</v>
      </c>
      <c r="AE45" s="14">
        <f>E45/_xlfn.XLOOKUP(AE$5,'OC-Days'!$G:$G,'OC-Days'!$B:$B)</f>
        <v>36</v>
      </c>
      <c r="AF45" s="14">
        <f>F45/_xlfn.XLOOKUP(AF$5,'OC-Days'!$G:$G,'OC-Days'!$B:$B)</f>
        <v>36</v>
      </c>
      <c r="AG45" s="14">
        <f>G45/_xlfn.XLOOKUP(AG$5,'OC-Days'!$G:$G,'OC-Days'!$B:$B)</f>
        <v>36</v>
      </c>
      <c r="AH45" s="14">
        <f>H45/_xlfn.XLOOKUP(AH$5,'OC-Days'!$G:$G,'OC-Days'!$B:$B)</f>
        <v>36</v>
      </c>
      <c r="AI45" s="14">
        <f>I45/_xlfn.XLOOKUP(AI$5,'OC-Days'!$G:$G,'OC-Days'!$B:$B)</f>
        <v>36</v>
      </c>
      <c r="AJ45" s="14">
        <f>J45/_xlfn.XLOOKUP(AJ$5,'OC-Days'!$G:$G,'OC-Days'!$B:$B)</f>
        <v>36</v>
      </c>
      <c r="AK45" s="14">
        <f>K45/_xlfn.XLOOKUP(AK$5,'OC-Days'!$G:$G,'OC-Days'!$B:$B)</f>
        <v>36</v>
      </c>
      <c r="AL45" s="14">
        <f>L45/_xlfn.XLOOKUP(AL$5,'OC-Days'!$G:$G,'OC-Days'!$B:$B)</f>
        <v>36</v>
      </c>
      <c r="AM45" s="14">
        <f>M45/_xlfn.XLOOKUP(AM$5,'OC-Days'!$G:$G,'OC-Days'!$B:$B)</f>
        <v>36</v>
      </c>
      <c r="AN45" s="14">
        <f>N45/_xlfn.XLOOKUP(AN$5,'OC-Days'!$G:$G,'OC-Days'!$B:$B)</f>
        <v>36</v>
      </c>
      <c r="AP45" s="14">
        <f>P45/_xlfn.XLOOKUP(AP$5,'OC-Days'!$G:$G,'OC-Days'!$B:$B)</f>
        <v>35</v>
      </c>
      <c r="AQ45" s="14">
        <f>Q45/_xlfn.XLOOKUP(AQ$5,'OC-Days'!$G:$G,'OC-Days'!$B:$B)</f>
        <v>35</v>
      </c>
      <c r="AR45" s="14">
        <f>R45/_xlfn.XLOOKUP(AR$5,'OC-Days'!$G:$G,'OC-Days'!$B:$B)</f>
        <v>35</v>
      </c>
      <c r="AS45" s="14">
        <f>S45/_xlfn.XLOOKUP(AS$5,'OC-Days'!$G:$G,'OC-Days'!$B:$B)</f>
        <v>35</v>
      </c>
      <c r="AT45" s="14">
        <f>T45/_xlfn.XLOOKUP(AT$5,'OC-Days'!$G:$G,'OC-Days'!$B:$B)</f>
        <v>35</v>
      </c>
      <c r="AU45" s="14">
        <f>U45/_xlfn.XLOOKUP(AU$5,'OC-Days'!$G:$G,'OC-Days'!$B:$B)</f>
        <v>35</v>
      </c>
      <c r="AV45" s="14">
        <f>V45/_xlfn.XLOOKUP(AV$5,'OC-Days'!$G:$G,'OC-Days'!$B:$B)</f>
        <v>35</v>
      </c>
      <c r="AW45" s="14">
        <f>W45/_xlfn.XLOOKUP(AW$5,'OC-Days'!$G:$G,'OC-Days'!$B:$B)</f>
        <v>35</v>
      </c>
      <c r="AX45" s="14">
        <f>X45/_xlfn.XLOOKUP(AX$5,'OC-Days'!$G:$G,'OC-Days'!$B:$B)</f>
        <v>35</v>
      </c>
      <c r="AY45" s="14">
        <f>Y45/_xlfn.XLOOKUP(AY$5,'OC-Days'!$G:$G,'OC-Days'!$B:$B)</f>
        <v>35</v>
      </c>
      <c r="AZ45" s="14">
        <f>Z45/_xlfn.XLOOKUP(AZ$5,'OC-Days'!$G:$G,'OC-Days'!$B:$B)</f>
        <v>35</v>
      </c>
      <c r="BA45" s="14">
        <f>AA45/_xlfn.XLOOKUP(BA$5,'OC-Days'!$G:$G,'OC-Days'!$B:$B)</f>
        <v>35</v>
      </c>
      <c r="BC45" s="33">
        <f>_xlfn.XLOOKUP(BC$5,'OC-Days'!$G:$G,'OC-Days'!$F:$F)</f>
        <v>45658</v>
      </c>
      <c r="BD45" s="34" t="str">
        <f>IF(AQ45=AP45,"na",_xlfn.XLOOKUP(BD$5,'OC-Days'!$G:$G,'OC-Days'!$F:$F))</f>
        <v>na</v>
      </c>
      <c r="BE45" s="34" t="str">
        <f>IF(AR45=AQ45,"na",_xlfn.XLOOKUP(BE$5,'OC-Days'!$G:$G,'OC-Days'!$F:$F))</f>
        <v>na</v>
      </c>
      <c r="BF45" s="34" t="str">
        <f>IF(AS45=AR45,"na",_xlfn.XLOOKUP(BF$5,'OC-Days'!$G:$G,'OC-Days'!$F:$F))</f>
        <v>na</v>
      </c>
      <c r="BG45" s="34" t="str">
        <f>IF(AT45=AS45,"na",_xlfn.XLOOKUP(BG$5,'OC-Days'!$G:$G,'OC-Days'!$F:$F))</f>
        <v>na</v>
      </c>
      <c r="BH45" s="34" t="str">
        <f>IF(AU45=AT45,"na",_xlfn.XLOOKUP(BH$5,'OC-Days'!$G:$G,'OC-Days'!$F:$F))</f>
        <v>na</v>
      </c>
      <c r="BI45" s="34" t="str">
        <f>IF(AV45=AU45,"na",_xlfn.XLOOKUP(BI$5,'OC-Days'!$G:$G,'OC-Days'!$F:$F))</f>
        <v>na</v>
      </c>
      <c r="BJ45" s="34" t="str">
        <f>IF(AW45=AV45,"na",_xlfn.XLOOKUP(BJ$5,'OC-Days'!$G:$G,'OC-Days'!$F:$F))</f>
        <v>na</v>
      </c>
      <c r="BK45" s="34" t="str">
        <f>IF(AX45=AW45,"na",_xlfn.XLOOKUP(BK$5,'OC-Days'!$G:$G,'OC-Days'!$F:$F))</f>
        <v>na</v>
      </c>
      <c r="BL45" s="34" t="str">
        <f>IF(AY45=AX45,"na",_xlfn.XLOOKUP(BL$5,'OC-Days'!$G:$G,'OC-Days'!$F:$F))</f>
        <v>na</v>
      </c>
      <c r="BM45" s="34" t="str">
        <f>IF(AZ45=AY45,"na",_xlfn.XLOOKUP(BM$5,'OC-Days'!$G:$G,'OC-Days'!$F:$F))</f>
        <v>na</v>
      </c>
      <c r="BN45" s="34" t="str">
        <f>IF(BA45=AZ45,"na",_xlfn.XLOOKUP(BN$5,'OC-Days'!$G:$G,'OC-Days'!$F:$F))</f>
        <v>na</v>
      </c>
      <c r="BP45" s="36" t="str">
        <f t="shared" si="52"/>
        <v>na</v>
      </c>
      <c r="BQ45" s="36" t="str">
        <f t="shared" si="53"/>
        <v>na</v>
      </c>
      <c r="BR45" s="36" t="str">
        <f t="shared" si="54"/>
        <v>na</v>
      </c>
      <c r="BS45" s="36" t="str">
        <f t="shared" si="55"/>
        <v>na</v>
      </c>
      <c r="BT45" s="36" t="str">
        <f t="shared" si="56"/>
        <v>na</v>
      </c>
      <c r="BU45" s="36" t="str">
        <f t="shared" si="57"/>
        <v>na</v>
      </c>
      <c r="BV45" s="36" t="str">
        <f t="shared" si="58"/>
        <v>na</v>
      </c>
      <c r="BW45" s="36" t="str">
        <f t="shared" si="59"/>
        <v>na</v>
      </c>
      <c r="BX45" s="36" t="str">
        <f t="shared" si="60"/>
        <v>na</v>
      </c>
      <c r="BY45" s="36" t="str">
        <f t="shared" si="61"/>
        <v>na</v>
      </c>
      <c r="BZ45" s="36" t="str">
        <f t="shared" si="62"/>
        <v>na</v>
      </c>
      <c r="CA45" s="43">
        <f t="shared" si="46"/>
        <v>46022</v>
      </c>
      <c r="CC45" s="8">
        <f>COUNT($BC45:BC45)</f>
        <v>1</v>
      </c>
      <c r="CD45" s="8">
        <f>COUNT($BC45:BD45)</f>
        <v>1</v>
      </c>
      <c r="CE45" s="8">
        <f>COUNT($BC45:BE45)</f>
        <v>1</v>
      </c>
      <c r="CF45" s="8">
        <f>COUNT($BC45:BF45)</f>
        <v>1</v>
      </c>
      <c r="CG45" s="8">
        <f>COUNT($BC45:BG45)</f>
        <v>1</v>
      </c>
      <c r="CH45" s="8">
        <f>COUNT($BC45:BH45)</f>
        <v>1</v>
      </c>
      <c r="CI45" s="8">
        <f>COUNT($BC45:BI45)</f>
        <v>1</v>
      </c>
      <c r="CJ45" s="8">
        <f>COUNT($BC45:BJ45)</f>
        <v>1</v>
      </c>
      <c r="CK45" s="8">
        <f>COUNT($BC45:BK45)</f>
        <v>1</v>
      </c>
      <c r="CL45" s="8">
        <f>COUNT($BC45:BL45)</f>
        <v>1</v>
      </c>
      <c r="CM45" s="8">
        <f>COUNT($BC45:BM45)</f>
        <v>1</v>
      </c>
      <c r="CN45" s="8">
        <f>COUNT($BC45:BN45)</f>
        <v>1</v>
      </c>
      <c r="CO45" s="8"/>
      <c r="CP45" s="8">
        <f>COUNT($BP45:BP45)</f>
        <v>0</v>
      </c>
      <c r="CQ45" s="8">
        <f>COUNT($BP45:BQ45)</f>
        <v>0</v>
      </c>
      <c r="CR45" s="8">
        <f>COUNT($BP45:BR45)</f>
        <v>0</v>
      </c>
      <c r="CS45" s="8">
        <f>COUNT($BP45:BS45)</f>
        <v>0</v>
      </c>
      <c r="CT45" s="8">
        <f>COUNT($BP45:BT45)</f>
        <v>0</v>
      </c>
      <c r="CU45" s="8">
        <f>COUNT($BP45:BU45)</f>
        <v>0</v>
      </c>
      <c r="CV45" s="8">
        <f>COUNT($BP45:BV45)</f>
        <v>0</v>
      </c>
      <c r="CW45" s="8">
        <f>COUNT($BP45:BW45)</f>
        <v>0</v>
      </c>
      <c r="CX45" s="8">
        <f>COUNT($BP45:BX45)</f>
        <v>0</v>
      </c>
      <c r="CY45" s="8">
        <f>COUNT($BP45:BY45)</f>
        <v>0</v>
      </c>
      <c r="CZ45" s="8">
        <f>COUNT($BP45:BZ45)</f>
        <v>0</v>
      </c>
      <c r="DA45" s="8">
        <f>COUNT($BP45:CA45)</f>
        <v>1</v>
      </c>
      <c r="DC45">
        <f t="shared" si="47"/>
        <v>925</v>
      </c>
      <c r="DD45">
        <f t="shared" si="48"/>
        <v>31</v>
      </c>
      <c r="DE45" t="str">
        <f t="shared" si="49"/>
        <v>925-31</v>
      </c>
      <c r="DG45">
        <f t="shared" si="50"/>
        <v>1</v>
      </c>
      <c r="DH45">
        <f t="shared" si="51"/>
        <v>1</v>
      </c>
      <c r="DJ45" s="44" cm="1">
        <f t="array" ref="DJ45">IF(DJ$5&lt;=$DG45,INDEX($BC45:$BN45,1,_xlfn.XMATCH(DJ$5,$CC45:$CN45)),"na")</f>
        <v>45658</v>
      </c>
      <c r="DK45" s="45" cm="1">
        <f t="array" ref="DK45">IF(DK$5&lt;=$DH45,INDEX($BP45:$CA45,1,_xlfn.XMATCH(DK$5,$CP45:$DA45)),"na")</f>
        <v>46022</v>
      </c>
      <c r="DL45" s="46" cm="1">
        <f t="array" ref="DL45">IF(DL$5&lt;=$DG45,INDEX($AC45:$AN45,1,_xlfn.XMATCH(DL$5,$CC45:$CN45)),"na")</f>
        <v>36</v>
      </c>
      <c r="DM45" s="47" cm="1">
        <f t="array" ref="DM45">IF(DM$5&lt;=$DG45,INDEX($AP45:$BA45,1,_xlfn.XMATCH(DM$5,$CC45:$CN45)),"na")</f>
        <v>35</v>
      </c>
      <c r="DN45" s="44" t="str" cm="1">
        <f t="array" ref="DN45">IF(DN$5&lt;=$DG45,INDEX($BC45:$BN45,1,_xlfn.XMATCH(DN$5,$CC45:$CN45)),"na")</f>
        <v>na</v>
      </c>
      <c r="DO45" s="45" t="str" cm="1">
        <f t="array" ref="DO45">IF(DO$5&lt;=$DH45,INDEX($BP45:$CA45,1,_xlfn.XMATCH(DO$5,$CP45:$DA45)),"na")</f>
        <v>na</v>
      </c>
      <c r="DP45" s="46" t="str" cm="1">
        <f t="array" ref="DP45">IF(DP$5&lt;=$DG45,INDEX($AC45:$AN45,1,_xlfn.XMATCH(DP$5,$CC45:$CN45)),"na")</f>
        <v>na</v>
      </c>
      <c r="DQ45" s="47" t="str" cm="1">
        <f t="array" ref="DQ45">IF(DQ$5&lt;=$DG45,INDEX($AP45:$BA45,1,_xlfn.XMATCH(DQ$5,$CC45:$CN45)),"na")</f>
        <v>na</v>
      </c>
      <c r="DR45" s="44" t="str" cm="1">
        <f t="array" ref="DR45">IF(DR$5&lt;=$DG45,INDEX($BC45:$BN45,1,_xlfn.XMATCH(DR$5,$CC45:$CN45)),"na")</f>
        <v>na</v>
      </c>
      <c r="DS45" s="45" t="str" cm="1">
        <f t="array" ref="DS45">IF(DS$5&lt;=$DH45,INDEX($BP45:$CA45,1,_xlfn.XMATCH(DS$5,$CP45:$DA45)),"na")</f>
        <v>na</v>
      </c>
      <c r="DT45" s="46" t="str" cm="1">
        <f t="array" ref="DT45">IF(DT$5&lt;=$DG45,INDEX($AC45:$AN45,1,_xlfn.XMATCH(DT$5,$CC45:$CN45)),"na")</f>
        <v>na</v>
      </c>
      <c r="DU45" s="47" t="str" cm="1">
        <f t="array" ref="DU45">IF(DU$5&lt;=$DG45,INDEX($AP45:$BA45,1,_xlfn.XMATCH(DU$5,$CC45:$CN45)),"na")</f>
        <v>na</v>
      </c>
      <c r="DV45" s="44" t="str" cm="1">
        <f t="array" ref="DV45">IF(DV$5&lt;=$DG45,INDEX($BC45:$BN45,1,_xlfn.XMATCH(DV$5,$CC45:$CN45)),"na")</f>
        <v>na</v>
      </c>
      <c r="DW45" s="45" t="str" cm="1">
        <f t="array" ref="DW45">IF(DW$5&lt;=$DH45,INDEX($BP45:$CA45,1,_xlfn.XMATCH(DW$5,$CP45:$DA45)),"na")</f>
        <v>na</v>
      </c>
      <c r="DX45" s="46" t="str" cm="1">
        <f t="array" ref="DX45">IF(DX$5&lt;=$DG45,INDEX($AC45:$AN45,1,_xlfn.XMATCH(DX$5,$CC45:$CN45)),"na")</f>
        <v>na</v>
      </c>
      <c r="DY45" s="47" t="str" cm="1">
        <f t="array" ref="DY45">IF(DY$5&lt;=$DG45,INDEX($AP45:$BA45,1,_xlfn.XMATCH(DY$5,$CC45:$CN45)),"na")</f>
        <v>na</v>
      </c>
      <c r="DZ45" s="44" t="str" cm="1">
        <f t="array" ref="DZ45">IF(DZ$5&lt;=$DG45,INDEX($BC45:$BN45,1,_xlfn.XMATCH(DZ$5,$CC45:$CN45)),"na")</f>
        <v>na</v>
      </c>
      <c r="EA45" s="45" t="str" cm="1">
        <f t="array" ref="EA45">IF(EA$5&lt;=$DH45,INDEX($BP45:$CA45,1,_xlfn.XMATCH(EA$5,$CP45:$DA45)),"na")</f>
        <v>na</v>
      </c>
      <c r="EB45" s="46" t="str" cm="1">
        <f t="array" ref="EB45">IF(EB$5&lt;=$DG45,INDEX($AC45:$AN45,1,_xlfn.XMATCH(EB$5,$CC45:$CN45)),"na")</f>
        <v>na</v>
      </c>
      <c r="EC45" s="47" t="str" cm="1">
        <f t="array" ref="EC45">IF(EC$5&lt;=$DG45,INDEX($AP45:$BA45,1,_xlfn.XMATCH(EC$5,$CC45:$CN45)),"na")</f>
        <v>na</v>
      </c>
      <c r="ED45" s="44" t="str" cm="1">
        <f t="array" ref="ED45">IF(ED$5&lt;=$DG45,INDEX($BC45:$BN45,1,_xlfn.XMATCH(ED$5,$CC45:$CN45)),"na")</f>
        <v>na</v>
      </c>
      <c r="EE45" s="45" t="str" cm="1">
        <f t="array" ref="EE45">IF(EE$5&lt;=$DH45,INDEX($BP45:$CA45,1,_xlfn.XMATCH(EE$5,$CP45:$DA45)),"na")</f>
        <v>na</v>
      </c>
      <c r="EF45" s="46" t="str" cm="1">
        <f t="array" ref="EF45">IF(EF$5&lt;=$DG45,INDEX($AC45:$AN45,1,_xlfn.XMATCH(EF$5,$CC45:$CN45)),"na")</f>
        <v>na</v>
      </c>
      <c r="EG45" s="47" t="str" cm="1">
        <f t="array" ref="EG45">IF(EG$5&lt;=$DG45,INDEX($AP45:$BA45,1,_xlfn.XMATCH(EG$5,$CC45:$CN45)),"na")</f>
        <v>na</v>
      </c>
      <c r="EH45" s="44" t="str" cm="1">
        <f t="array" ref="EH45">IF(EH$5&lt;=$DG45,INDEX($BC45:$BN45,1,_xlfn.XMATCH(EH$5,$CC45:$CN45)),"na")</f>
        <v>na</v>
      </c>
      <c r="EI45" s="45" t="str" cm="1">
        <f t="array" ref="EI45">IF(EI$5&lt;=$DH45,INDEX($BP45:$CA45,1,_xlfn.XMATCH(EI$5,$CP45:$DA45)),"na")</f>
        <v>na</v>
      </c>
      <c r="EJ45" s="46" t="str" cm="1">
        <f t="array" ref="EJ45">IF(EJ$5&lt;=$DG45,INDEX($AC45:$AN45,1,_xlfn.XMATCH(EJ$5,$CC45:$CN45)),"na")</f>
        <v>na</v>
      </c>
      <c r="EK45" s="47" t="str" cm="1">
        <f t="array" ref="EK45">IF(EK$5&lt;=$DG45,INDEX($AP45:$BA45,1,_xlfn.XMATCH(EK$5,$CC45:$CN45)),"na")</f>
        <v>na</v>
      </c>
      <c r="EL45" s="44" t="str" cm="1">
        <f t="array" ref="EL45">IF(EL$5&lt;=$DG45,INDEX($BC45:$BN45,1,_xlfn.XMATCH(EL$5,$CC45:$CN45)),"na")</f>
        <v>na</v>
      </c>
      <c r="EM45" s="45" t="str" cm="1">
        <f t="array" ref="EM45">IF(EM$5&lt;=$DH45,INDEX($BP45:$CA45,1,_xlfn.XMATCH(EM$5,$CP45:$DA45)),"na")</f>
        <v>na</v>
      </c>
      <c r="EN45" s="46" t="str" cm="1">
        <f t="array" ref="EN45">IF(EN$5&lt;=$DG45,INDEX($AC45:$AN45,1,_xlfn.XMATCH(EN$5,$CC45:$CN45)),"na")</f>
        <v>na</v>
      </c>
      <c r="EO45" s="47" t="str" cm="1">
        <f t="array" ref="EO45">IF(EO$5&lt;=$DG45,INDEX($AP45:$BA45,1,_xlfn.XMATCH(EO$5,$CC45:$CN45)),"na")</f>
        <v>na</v>
      </c>
      <c r="EP45" s="44" t="str" cm="1">
        <f t="array" ref="EP45">IF(EP$5&lt;=$DG45,INDEX($BC45:$BN45,1,_xlfn.XMATCH(EP$5,$CC45:$CN45)),"na")</f>
        <v>na</v>
      </c>
      <c r="EQ45" s="45" t="str" cm="1">
        <f t="array" ref="EQ45">IF(EQ$5&lt;=$DH45,INDEX($BP45:$CA45,1,_xlfn.XMATCH(EQ$5,$CP45:$DA45)),"na")</f>
        <v>na</v>
      </c>
      <c r="ER45" s="46" t="str" cm="1">
        <f t="array" ref="ER45">IF(ER$5&lt;=$DG45,INDEX($AC45:$AN45,1,_xlfn.XMATCH(ER$5,$CC45:$CN45)),"na")</f>
        <v>na</v>
      </c>
      <c r="ES45" s="47" t="str" cm="1">
        <f t="array" ref="ES45">IF(ES$5&lt;=$DG45,INDEX($AP45:$BA45,1,_xlfn.XMATCH(ES$5,$CC45:$CN45)),"na")</f>
        <v>na</v>
      </c>
      <c r="ET45" s="44" t="str" cm="1">
        <f t="array" ref="ET45">IF(ET$5&lt;=$DG45,INDEX($BC45:$BN45,1,_xlfn.XMATCH(ET$5,$CC45:$CN45)),"na")</f>
        <v>na</v>
      </c>
      <c r="EU45" s="45" t="str" cm="1">
        <f t="array" ref="EU45">IF(EU$5&lt;=$DH45,INDEX($BP45:$CA45,1,_xlfn.XMATCH(EU$5,$CP45:$DA45)),"na")</f>
        <v>na</v>
      </c>
      <c r="EV45" s="46" t="str" cm="1">
        <f t="array" ref="EV45">IF(EV$5&lt;=$DG45,INDEX($AC45:$AN45,1,_xlfn.XMATCH(EV$5,$CC45:$CN45)),"na")</f>
        <v>na</v>
      </c>
      <c r="EW45" s="47" t="str" cm="1">
        <f t="array" ref="EW45">IF(EW$5&lt;=$DG45,INDEX($AP45:$BA45,1,_xlfn.XMATCH(EW$5,$CC45:$CN45)),"na")</f>
        <v>na</v>
      </c>
      <c r="EX45" s="44" t="str" cm="1">
        <f t="array" ref="EX45">IF(EX$5&lt;=$DG45,INDEX($BC45:$BN45,1,_xlfn.XMATCH(EX$5,$CC45:$CN45)),"na")</f>
        <v>na</v>
      </c>
      <c r="EY45" s="45" t="str" cm="1">
        <f t="array" ref="EY45">IF(EY$5&lt;=$DH45,INDEX($BP45:$CA45,1,_xlfn.XMATCH(EY$5,$CP45:$DA45)),"na")</f>
        <v>na</v>
      </c>
      <c r="EZ45" s="46" t="str" cm="1">
        <f t="array" ref="EZ45">IF(EZ$5&lt;=$DG45,INDEX($AC45:$AN45,1,_xlfn.XMATCH(EZ$5,$CC45:$CN45)),"na")</f>
        <v>na</v>
      </c>
      <c r="FA45" s="47" t="str" cm="1">
        <f t="array" ref="FA45">IF(FA$5&lt;=$DG45,INDEX($AP45:$BA45,1,_xlfn.XMATCH(FA$5,$CC45:$CN45)),"na")</f>
        <v>na</v>
      </c>
      <c r="FB45" s="44" t="str" cm="1">
        <f t="array" ref="FB45">IF(FB$5&lt;=$DG45,INDEX($BC45:$BN45,1,_xlfn.XMATCH(FB$5,$CC45:$CN45)),"na")</f>
        <v>na</v>
      </c>
      <c r="FC45" s="45" t="str" cm="1">
        <f t="array" ref="FC45">IF(FC$5&lt;=$DH45,INDEX($BP45:$CA45,1,_xlfn.XMATCH(FC$5,$CP45:$DA45)),"na")</f>
        <v>na</v>
      </c>
      <c r="FD45" s="46" t="str" cm="1">
        <f t="array" ref="FD45">IF(FD$5&lt;=$DG45,INDEX($AC45:$AN45,1,_xlfn.XMATCH(FD$5,$CC45:$CN45)),"na")</f>
        <v>na</v>
      </c>
      <c r="FE45" s="47" t="str" cm="1">
        <f t="array" ref="FE45">IF(FE$5&lt;=$DG45,INDEX($AP45:$BA45,1,_xlfn.XMATCH(FE$5,$CC45:$CN45)),"na")</f>
        <v>na</v>
      </c>
    </row>
    <row r="46" spans="2:161" x14ac:dyDescent="0.25">
      <c r="B46" s="10" t="s">
        <v>102</v>
      </c>
      <c r="C46" s="8">
        <v>1209</v>
      </c>
      <c r="D46" s="8">
        <v>1092</v>
      </c>
      <c r="E46" s="8">
        <v>1209</v>
      </c>
      <c r="F46" s="8">
        <v>1170</v>
      </c>
      <c r="G46" s="8">
        <v>1209</v>
      </c>
      <c r="H46" s="8">
        <v>1170</v>
      </c>
      <c r="I46" s="8">
        <v>1209</v>
      </c>
      <c r="J46" s="8">
        <v>1209</v>
      </c>
      <c r="K46" s="8">
        <v>1170</v>
      </c>
      <c r="L46" s="8">
        <v>1209</v>
      </c>
      <c r="M46" s="8">
        <v>1170</v>
      </c>
      <c r="N46" s="8">
        <v>1209</v>
      </c>
      <c r="O46" s="8"/>
      <c r="P46" s="8">
        <v>1147</v>
      </c>
      <c r="Q46" s="8">
        <v>1036</v>
      </c>
      <c r="R46" s="8">
        <v>1147</v>
      </c>
      <c r="S46" s="8">
        <v>1110</v>
      </c>
      <c r="T46" s="8">
        <v>1147</v>
      </c>
      <c r="U46" s="8">
        <v>1110</v>
      </c>
      <c r="V46" s="8">
        <v>1147</v>
      </c>
      <c r="W46" s="8">
        <v>1147</v>
      </c>
      <c r="X46" s="8">
        <v>1110</v>
      </c>
      <c r="Y46" s="8">
        <v>1147</v>
      </c>
      <c r="Z46" s="8">
        <v>1110</v>
      </c>
      <c r="AA46" s="8">
        <v>1147</v>
      </c>
      <c r="AC46" s="14">
        <f>C46/_xlfn.XLOOKUP(AC$5,'OC-Days'!$G:$G,'OC-Days'!$B:$B)</f>
        <v>39</v>
      </c>
      <c r="AD46" s="14">
        <f>D46/_xlfn.XLOOKUP(AD$5,'OC-Days'!$G:$G,'OC-Days'!$B:$B)</f>
        <v>39</v>
      </c>
      <c r="AE46" s="14">
        <f>E46/_xlfn.XLOOKUP(AE$5,'OC-Days'!$G:$G,'OC-Days'!$B:$B)</f>
        <v>39</v>
      </c>
      <c r="AF46" s="14">
        <f>F46/_xlfn.XLOOKUP(AF$5,'OC-Days'!$G:$G,'OC-Days'!$B:$B)</f>
        <v>39</v>
      </c>
      <c r="AG46" s="14">
        <f>G46/_xlfn.XLOOKUP(AG$5,'OC-Days'!$G:$G,'OC-Days'!$B:$B)</f>
        <v>39</v>
      </c>
      <c r="AH46" s="14">
        <f>H46/_xlfn.XLOOKUP(AH$5,'OC-Days'!$G:$G,'OC-Days'!$B:$B)</f>
        <v>39</v>
      </c>
      <c r="AI46" s="14">
        <f>I46/_xlfn.XLOOKUP(AI$5,'OC-Days'!$G:$G,'OC-Days'!$B:$B)</f>
        <v>39</v>
      </c>
      <c r="AJ46" s="14">
        <f>J46/_xlfn.XLOOKUP(AJ$5,'OC-Days'!$G:$G,'OC-Days'!$B:$B)</f>
        <v>39</v>
      </c>
      <c r="AK46" s="14">
        <f>K46/_xlfn.XLOOKUP(AK$5,'OC-Days'!$G:$G,'OC-Days'!$B:$B)</f>
        <v>39</v>
      </c>
      <c r="AL46" s="14">
        <f>L46/_xlfn.XLOOKUP(AL$5,'OC-Days'!$G:$G,'OC-Days'!$B:$B)</f>
        <v>39</v>
      </c>
      <c r="AM46" s="14">
        <f>M46/_xlfn.XLOOKUP(AM$5,'OC-Days'!$G:$G,'OC-Days'!$B:$B)</f>
        <v>39</v>
      </c>
      <c r="AN46" s="14">
        <f>N46/_xlfn.XLOOKUP(AN$5,'OC-Days'!$G:$G,'OC-Days'!$B:$B)</f>
        <v>39</v>
      </c>
      <c r="AP46" s="14">
        <f>P46/_xlfn.XLOOKUP(AP$5,'OC-Days'!$G:$G,'OC-Days'!$B:$B)</f>
        <v>37</v>
      </c>
      <c r="AQ46" s="14">
        <f>Q46/_xlfn.XLOOKUP(AQ$5,'OC-Days'!$G:$G,'OC-Days'!$B:$B)</f>
        <v>37</v>
      </c>
      <c r="AR46" s="14">
        <f>R46/_xlfn.XLOOKUP(AR$5,'OC-Days'!$G:$G,'OC-Days'!$B:$B)</f>
        <v>37</v>
      </c>
      <c r="AS46" s="14">
        <f>S46/_xlfn.XLOOKUP(AS$5,'OC-Days'!$G:$G,'OC-Days'!$B:$B)</f>
        <v>37</v>
      </c>
      <c r="AT46" s="14">
        <f>T46/_xlfn.XLOOKUP(AT$5,'OC-Days'!$G:$G,'OC-Days'!$B:$B)</f>
        <v>37</v>
      </c>
      <c r="AU46" s="14">
        <f>U46/_xlfn.XLOOKUP(AU$5,'OC-Days'!$G:$G,'OC-Days'!$B:$B)</f>
        <v>37</v>
      </c>
      <c r="AV46" s="14">
        <f>V46/_xlfn.XLOOKUP(AV$5,'OC-Days'!$G:$G,'OC-Days'!$B:$B)</f>
        <v>37</v>
      </c>
      <c r="AW46" s="14">
        <f>W46/_xlfn.XLOOKUP(AW$5,'OC-Days'!$G:$G,'OC-Days'!$B:$B)</f>
        <v>37</v>
      </c>
      <c r="AX46" s="14">
        <f>X46/_xlfn.XLOOKUP(AX$5,'OC-Days'!$G:$G,'OC-Days'!$B:$B)</f>
        <v>37</v>
      </c>
      <c r="AY46" s="14">
        <f>Y46/_xlfn.XLOOKUP(AY$5,'OC-Days'!$G:$G,'OC-Days'!$B:$B)</f>
        <v>37</v>
      </c>
      <c r="AZ46" s="14">
        <f>Z46/_xlfn.XLOOKUP(AZ$5,'OC-Days'!$G:$G,'OC-Days'!$B:$B)</f>
        <v>37</v>
      </c>
      <c r="BA46" s="14">
        <f>AA46/_xlfn.XLOOKUP(BA$5,'OC-Days'!$G:$G,'OC-Days'!$B:$B)</f>
        <v>37</v>
      </c>
      <c r="BC46" s="33">
        <f>_xlfn.XLOOKUP(BC$5,'OC-Days'!$G:$G,'OC-Days'!$F:$F)</f>
        <v>45658</v>
      </c>
      <c r="BD46" s="34" t="str">
        <f>IF(AQ46=AP46,"na",_xlfn.XLOOKUP(BD$5,'OC-Days'!$G:$G,'OC-Days'!$F:$F))</f>
        <v>na</v>
      </c>
      <c r="BE46" s="34" t="str">
        <f>IF(AR46=AQ46,"na",_xlfn.XLOOKUP(BE$5,'OC-Days'!$G:$G,'OC-Days'!$F:$F))</f>
        <v>na</v>
      </c>
      <c r="BF46" s="34" t="str">
        <f>IF(AS46=AR46,"na",_xlfn.XLOOKUP(BF$5,'OC-Days'!$G:$G,'OC-Days'!$F:$F))</f>
        <v>na</v>
      </c>
      <c r="BG46" s="34" t="str">
        <f>IF(AT46=AS46,"na",_xlfn.XLOOKUP(BG$5,'OC-Days'!$G:$G,'OC-Days'!$F:$F))</f>
        <v>na</v>
      </c>
      <c r="BH46" s="34" t="str">
        <f>IF(AU46=AT46,"na",_xlfn.XLOOKUP(BH$5,'OC-Days'!$G:$G,'OC-Days'!$F:$F))</f>
        <v>na</v>
      </c>
      <c r="BI46" s="34" t="str">
        <f>IF(AV46=AU46,"na",_xlfn.XLOOKUP(BI$5,'OC-Days'!$G:$G,'OC-Days'!$F:$F))</f>
        <v>na</v>
      </c>
      <c r="BJ46" s="34" t="str">
        <f>IF(AW46=AV46,"na",_xlfn.XLOOKUP(BJ$5,'OC-Days'!$G:$G,'OC-Days'!$F:$F))</f>
        <v>na</v>
      </c>
      <c r="BK46" s="34" t="str">
        <f>IF(AX46=AW46,"na",_xlfn.XLOOKUP(BK$5,'OC-Days'!$G:$G,'OC-Days'!$F:$F))</f>
        <v>na</v>
      </c>
      <c r="BL46" s="34" t="str">
        <f>IF(AY46=AX46,"na",_xlfn.XLOOKUP(BL$5,'OC-Days'!$G:$G,'OC-Days'!$F:$F))</f>
        <v>na</v>
      </c>
      <c r="BM46" s="34" t="str">
        <f>IF(AZ46=AY46,"na",_xlfn.XLOOKUP(BM$5,'OC-Days'!$G:$G,'OC-Days'!$F:$F))</f>
        <v>na</v>
      </c>
      <c r="BN46" s="34" t="str">
        <f>IF(BA46=AZ46,"na",_xlfn.XLOOKUP(BN$5,'OC-Days'!$G:$G,'OC-Days'!$F:$F))</f>
        <v>na</v>
      </c>
      <c r="BP46" s="36" t="str">
        <f t="shared" si="52"/>
        <v>na</v>
      </c>
      <c r="BQ46" s="36" t="str">
        <f t="shared" si="53"/>
        <v>na</v>
      </c>
      <c r="BR46" s="36" t="str">
        <f t="shared" si="54"/>
        <v>na</v>
      </c>
      <c r="BS46" s="36" t="str">
        <f t="shared" si="55"/>
        <v>na</v>
      </c>
      <c r="BT46" s="36" t="str">
        <f t="shared" si="56"/>
        <v>na</v>
      </c>
      <c r="BU46" s="36" t="str">
        <f t="shared" si="57"/>
        <v>na</v>
      </c>
      <c r="BV46" s="36" t="str">
        <f t="shared" si="58"/>
        <v>na</v>
      </c>
      <c r="BW46" s="36" t="str">
        <f t="shared" si="59"/>
        <v>na</v>
      </c>
      <c r="BX46" s="36" t="str">
        <f t="shared" si="60"/>
        <v>na</v>
      </c>
      <c r="BY46" s="36" t="str">
        <f t="shared" si="61"/>
        <v>na</v>
      </c>
      <c r="BZ46" s="36" t="str">
        <f t="shared" si="62"/>
        <v>na</v>
      </c>
      <c r="CA46" s="43">
        <f t="shared" si="46"/>
        <v>46022</v>
      </c>
      <c r="CC46" s="8">
        <f>COUNT($BC46:BC46)</f>
        <v>1</v>
      </c>
      <c r="CD46" s="8">
        <f>COUNT($BC46:BD46)</f>
        <v>1</v>
      </c>
      <c r="CE46" s="8">
        <f>COUNT($BC46:BE46)</f>
        <v>1</v>
      </c>
      <c r="CF46" s="8">
        <f>COUNT($BC46:BF46)</f>
        <v>1</v>
      </c>
      <c r="CG46" s="8">
        <f>COUNT($BC46:BG46)</f>
        <v>1</v>
      </c>
      <c r="CH46" s="8">
        <f>COUNT($BC46:BH46)</f>
        <v>1</v>
      </c>
      <c r="CI46" s="8">
        <f>COUNT($BC46:BI46)</f>
        <v>1</v>
      </c>
      <c r="CJ46" s="8">
        <f>COUNT($BC46:BJ46)</f>
        <v>1</v>
      </c>
      <c r="CK46" s="8">
        <f>COUNT($BC46:BK46)</f>
        <v>1</v>
      </c>
      <c r="CL46" s="8">
        <f>COUNT($BC46:BL46)</f>
        <v>1</v>
      </c>
      <c r="CM46" s="8">
        <f>COUNT($BC46:BM46)</f>
        <v>1</v>
      </c>
      <c r="CN46" s="8">
        <f>COUNT($BC46:BN46)</f>
        <v>1</v>
      </c>
      <c r="CO46" s="8"/>
      <c r="CP46" s="8">
        <f>COUNT($BP46:BP46)</f>
        <v>0</v>
      </c>
      <c r="CQ46" s="8">
        <f>COUNT($BP46:BQ46)</f>
        <v>0</v>
      </c>
      <c r="CR46" s="8">
        <f>COUNT($BP46:BR46)</f>
        <v>0</v>
      </c>
      <c r="CS46" s="8">
        <f>COUNT($BP46:BS46)</f>
        <v>0</v>
      </c>
      <c r="CT46" s="8">
        <f>COUNT($BP46:BT46)</f>
        <v>0</v>
      </c>
      <c r="CU46" s="8">
        <f>COUNT($BP46:BU46)</f>
        <v>0</v>
      </c>
      <c r="CV46" s="8">
        <f>COUNT($BP46:BV46)</f>
        <v>0</v>
      </c>
      <c r="CW46" s="8">
        <f>COUNT($BP46:BW46)</f>
        <v>0</v>
      </c>
      <c r="CX46" s="8">
        <f>COUNT($BP46:BX46)</f>
        <v>0</v>
      </c>
      <c r="CY46" s="8">
        <f>COUNT($BP46:BY46)</f>
        <v>0</v>
      </c>
      <c r="CZ46" s="8">
        <f>COUNT($BP46:BZ46)</f>
        <v>0</v>
      </c>
      <c r="DA46" s="8">
        <f>COUNT($BP46:CA46)</f>
        <v>1</v>
      </c>
      <c r="DC46">
        <f t="shared" si="47"/>
        <v>925</v>
      </c>
      <c r="DD46">
        <f t="shared" si="48"/>
        <v>51</v>
      </c>
      <c r="DE46" t="str">
        <f t="shared" si="49"/>
        <v>925-51</v>
      </c>
      <c r="DG46">
        <f t="shared" si="50"/>
        <v>1</v>
      </c>
      <c r="DH46">
        <f t="shared" si="51"/>
        <v>1</v>
      </c>
      <c r="DJ46" s="44" cm="1">
        <f t="array" ref="DJ46">IF(DJ$5&lt;=$DG46,INDEX($BC46:$BN46,1,_xlfn.XMATCH(DJ$5,$CC46:$CN46)),"na")</f>
        <v>45658</v>
      </c>
      <c r="DK46" s="45" cm="1">
        <f t="array" ref="DK46">IF(DK$5&lt;=$DH46,INDEX($BP46:$CA46,1,_xlfn.XMATCH(DK$5,$CP46:$DA46)),"na")</f>
        <v>46022</v>
      </c>
      <c r="DL46" s="46" cm="1">
        <f t="array" ref="DL46">IF(DL$5&lt;=$DG46,INDEX($AC46:$AN46,1,_xlfn.XMATCH(DL$5,$CC46:$CN46)),"na")</f>
        <v>39</v>
      </c>
      <c r="DM46" s="47" cm="1">
        <f t="array" ref="DM46">IF(DM$5&lt;=$DG46,INDEX($AP46:$BA46,1,_xlfn.XMATCH(DM$5,$CC46:$CN46)),"na")</f>
        <v>37</v>
      </c>
      <c r="DN46" s="44" t="str" cm="1">
        <f t="array" ref="DN46">IF(DN$5&lt;=$DG46,INDEX($BC46:$BN46,1,_xlfn.XMATCH(DN$5,$CC46:$CN46)),"na")</f>
        <v>na</v>
      </c>
      <c r="DO46" s="45" t="str" cm="1">
        <f t="array" ref="DO46">IF(DO$5&lt;=$DH46,INDEX($BP46:$CA46,1,_xlfn.XMATCH(DO$5,$CP46:$DA46)),"na")</f>
        <v>na</v>
      </c>
      <c r="DP46" s="46" t="str" cm="1">
        <f t="array" ref="DP46">IF(DP$5&lt;=$DG46,INDEX($AC46:$AN46,1,_xlfn.XMATCH(DP$5,$CC46:$CN46)),"na")</f>
        <v>na</v>
      </c>
      <c r="DQ46" s="47" t="str" cm="1">
        <f t="array" ref="DQ46">IF(DQ$5&lt;=$DG46,INDEX($AP46:$BA46,1,_xlfn.XMATCH(DQ$5,$CC46:$CN46)),"na")</f>
        <v>na</v>
      </c>
      <c r="DR46" s="44" t="str" cm="1">
        <f t="array" ref="DR46">IF(DR$5&lt;=$DG46,INDEX($BC46:$BN46,1,_xlfn.XMATCH(DR$5,$CC46:$CN46)),"na")</f>
        <v>na</v>
      </c>
      <c r="DS46" s="45" t="str" cm="1">
        <f t="array" ref="DS46">IF(DS$5&lt;=$DH46,INDEX($BP46:$CA46,1,_xlfn.XMATCH(DS$5,$CP46:$DA46)),"na")</f>
        <v>na</v>
      </c>
      <c r="DT46" s="46" t="str" cm="1">
        <f t="array" ref="DT46">IF(DT$5&lt;=$DG46,INDEX($AC46:$AN46,1,_xlfn.XMATCH(DT$5,$CC46:$CN46)),"na")</f>
        <v>na</v>
      </c>
      <c r="DU46" s="47" t="str" cm="1">
        <f t="array" ref="DU46">IF(DU$5&lt;=$DG46,INDEX($AP46:$BA46,1,_xlfn.XMATCH(DU$5,$CC46:$CN46)),"na")</f>
        <v>na</v>
      </c>
      <c r="DV46" s="44" t="str" cm="1">
        <f t="array" ref="DV46">IF(DV$5&lt;=$DG46,INDEX($BC46:$BN46,1,_xlfn.XMATCH(DV$5,$CC46:$CN46)),"na")</f>
        <v>na</v>
      </c>
      <c r="DW46" s="45" t="str" cm="1">
        <f t="array" ref="DW46">IF(DW$5&lt;=$DH46,INDEX($BP46:$CA46,1,_xlfn.XMATCH(DW$5,$CP46:$DA46)),"na")</f>
        <v>na</v>
      </c>
      <c r="DX46" s="46" t="str" cm="1">
        <f t="array" ref="DX46">IF(DX$5&lt;=$DG46,INDEX($AC46:$AN46,1,_xlfn.XMATCH(DX$5,$CC46:$CN46)),"na")</f>
        <v>na</v>
      </c>
      <c r="DY46" s="47" t="str" cm="1">
        <f t="array" ref="DY46">IF(DY$5&lt;=$DG46,INDEX($AP46:$BA46,1,_xlfn.XMATCH(DY$5,$CC46:$CN46)),"na")</f>
        <v>na</v>
      </c>
      <c r="DZ46" s="44" t="str" cm="1">
        <f t="array" ref="DZ46">IF(DZ$5&lt;=$DG46,INDEX($BC46:$BN46,1,_xlfn.XMATCH(DZ$5,$CC46:$CN46)),"na")</f>
        <v>na</v>
      </c>
      <c r="EA46" s="45" t="str" cm="1">
        <f t="array" ref="EA46">IF(EA$5&lt;=$DH46,INDEX($BP46:$CA46,1,_xlfn.XMATCH(EA$5,$CP46:$DA46)),"na")</f>
        <v>na</v>
      </c>
      <c r="EB46" s="46" t="str" cm="1">
        <f t="array" ref="EB46">IF(EB$5&lt;=$DG46,INDEX($AC46:$AN46,1,_xlfn.XMATCH(EB$5,$CC46:$CN46)),"na")</f>
        <v>na</v>
      </c>
      <c r="EC46" s="47" t="str" cm="1">
        <f t="array" ref="EC46">IF(EC$5&lt;=$DG46,INDEX($AP46:$BA46,1,_xlfn.XMATCH(EC$5,$CC46:$CN46)),"na")</f>
        <v>na</v>
      </c>
      <c r="ED46" s="44" t="str" cm="1">
        <f t="array" ref="ED46">IF(ED$5&lt;=$DG46,INDEX($BC46:$BN46,1,_xlfn.XMATCH(ED$5,$CC46:$CN46)),"na")</f>
        <v>na</v>
      </c>
      <c r="EE46" s="45" t="str" cm="1">
        <f t="array" ref="EE46">IF(EE$5&lt;=$DH46,INDEX($BP46:$CA46,1,_xlfn.XMATCH(EE$5,$CP46:$DA46)),"na")</f>
        <v>na</v>
      </c>
      <c r="EF46" s="46" t="str" cm="1">
        <f t="array" ref="EF46">IF(EF$5&lt;=$DG46,INDEX($AC46:$AN46,1,_xlfn.XMATCH(EF$5,$CC46:$CN46)),"na")</f>
        <v>na</v>
      </c>
      <c r="EG46" s="47" t="str" cm="1">
        <f t="array" ref="EG46">IF(EG$5&lt;=$DG46,INDEX($AP46:$BA46,1,_xlfn.XMATCH(EG$5,$CC46:$CN46)),"na")</f>
        <v>na</v>
      </c>
      <c r="EH46" s="44" t="str" cm="1">
        <f t="array" ref="EH46">IF(EH$5&lt;=$DG46,INDEX($BC46:$BN46,1,_xlfn.XMATCH(EH$5,$CC46:$CN46)),"na")</f>
        <v>na</v>
      </c>
      <c r="EI46" s="45" t="str" cm="1">
        <f t="array" ref="EI46">IF(EI$5&lt;=$DH46,INDEX($BP46:$CA46,1,_xlfn.XMATCH(EI$5,$CP46:$DA46)),"na")</f>
        <v>na</v>
      </c>
      <c r="EJ46" s="46" t="str" cm="1">
        <f t="array" ref="EJ46">IF(EJ$5&lt;=$DG46,INDEX($AC46:$AN46,1,_xlfn.XMATCH(EJ$5,$CC46:$CN46)),"na")</f>
        <v>na</v>
      </c>
      <c r="EK46" s="47" t="str" cm="1">
        <f t="array" ref="EK46">IF(EK$5&lt;=$DG46,INDEX($AP46:$BA46,1,_xlfn.XMATCH(EK$5,$CC46:$CN46)),"na")</f>
        <v>na</v>
      </c>
      <c r="EL46" s="44" t="str" cm="1">
        <f t="array" ref="EL46">IF(EL$5&lt;=$DG46,INDEX($BC46:$BN46,1,_xlfn.XMATCH(EL$5,$CC46:$CN46)),"na")</f>
        <v>na</v>
      </c>
      <c r="EM46" s="45" t="str" cm="1">
        <f t="array" ref="EM46">IF(EM$5&lt;=$DH46,INDEX($BP46:$CA46,1,_xlfn.XMATCH(EM$5,$CP46:$DA46)),"na")</f>
        <v>na</v>
      </c>
      <c r="EN46" s="46" t="str" cm="1">
        <f t="array" ref="EN46">IF(EN$5&lt;=$DG46,INDEX($AC46:$AN46,1,_xlfn.XMATCH(EN$5,$CC46:$CN46)),"na")</f>
        <v>na</v>
      </c>
      <c r="EO46" s="47" t="str" cm="1">
        <f t="array" ref="EO46">IF(EO$5&lt;=$DG46,INDEX($AP46:$BA46,1,_xlfn.XMATCH(EO$5,$CC46:$CN46)),"na")</f>
        <v>na</v>
      </c>
      <c r="EP46" s="44" t="str" cm="1">
        <f t="array" ref="EP46">IF(EP$5&lt;=$DG46,INDEX($BC46:$BN46,1,_xlfn.XMATCH(EP$5,$CC46:$CN46)),"na")</f>
        <v>na</v>
      </c>
      <c r="EQ46" s="45" t="str" cm="1">
        <f t="array" ref="EQ46">IF(EQ$5&lt;=$DH46,INDEX($BP46:$CA46,1,_xlfn.XMATCH(EQ$5,$CP46:$DA46)),"na")</f>
        <v>na</v>
      </c>
      <c r="ER46" s="46" t="str" cm="1">
        <f t="array" ref="ER46">IF(ER$5&lt;=$DG46,INDEX($AC46:$AN46,1,_xlfn.XMATCH(ER$5,$CC46:$CN46)),"na")</f>
        <v>na</v>
      </c>
      <c r="ES46" s="47" t="str" cm="1">
        <f t="array" ref="ES46">IF(ES$5&lt;=$DG46,INDEX($AP46:$BA46,1,_xlfn.XMATCH(ES$5,$CC46:$CN46)),"na")</f>
        <v>na</v>
      </c>
      <c r="ET46" s="44" t="str" cm="1">
        <f t="array" ref="ET46">IF(ET$5&lt;=$DG46,INDEX($BC46:$BN46,1,_xlfn.XMATCH(ET$5,$CC46:$CN46)),"na")</f>
        <v>na</v>
      </c>
      <c r="EU46" s="45" t="str" cm="1">
        <f t="array" ref="EU46">IF(EU$5&lt;=$DH46,INDEX($BP46:$CA46,1,_xlfn.XMATCH(EU$5,$CP46:$DA46)),"na")</f>
        <v>na</v>
      </c>
      <c r="EV46" s="46" t="str" cm="1">
        <f t="array" ref="EV46">IF(EV$5&lt;=$DG46,INDEX($AC46:$AN46,1,_xlfn.XMATCH(EV$5,$CC46:$CN46)),"na")</f>
        <v>na</v>
      </c>
      <c r="EW46" s="47" t="str" cm="1">
        <f t="array" ref="EW46">IF(EW$5&lt;=$DG46,INDEX($AP46:$BA46,1,_xlfn.XMATCH(EW$5,$CC46:$CN46)),"na")</f>
        <v>na</v>
      </c>
      <c r="EX46" s="44" t="str" cm="1">
        <f t="array" ref="EX46">IF(EX$5&lt;=$DG46,INDEX($BC46:$BN46,1,_xlfn.XMATCH(EX$5,$CC46:$CN46)),"na")</f>
        <v>na</v>
      </c>
      <c r="EY46" s="45" t="str" cm="1">
        <f t="array" ref="EY46">IF(EY$5&lt;=$DH46,INDEX($BP46:$CA46,1,_xlfn.XMATCH(EY$5,$CP46:$DA46)),"na")</f>
        <v>na</v>
      </c>
      <c r="EZ46" s="46" t="str" cm="1">
        <f t="array" ref="EZ46">IF(EZ$5&lt;=$DG46,INDEX($AC46:$AN46,1,_xlfn.XMATCH(EZ$5,$CC46:$CN46)),"na")</f>
        <v>na</v>
      </c>
      <c r="FA46" s="47" t="str" cm="1">
        <f t="array" ref="FA46">IF(FA$5&lt;=$DG46,INDEX($AP46:$BA46,1,_xlfn.XMATCH(FA$5,$CC46:$CN46)),"na")</f>
        <v>na</v>
      </c>
      <c r="FB46" s="44" t="str" cm="1">
        <f t="array" ref="FB46">IF(FB$5&lt;=$DG46,INDEX($BC46:$BN46,1,_xlfn.XMATCH(FB$5,$CC46:$CN46)),"na")</f>
        <v>na</v>
      </c>
      <c r="FC46" s="45" t="str" cm="1">
        <f t="array" ref="FC46">IF(FC$5&lt;=$DH46,INDEX($BP46:$CA46,1,_xlfn.XMATCH(FC$5,$CP46:$DA46)),"na")</f>
        <v>na</v>
      </c>
      <c r="FD46" s="46" t="str" cm="1">
        <f t="array" ref="FD46">IF(FD$5&lt;=$DG46,INDEX($AC46:$AN46,1,_xlfn.XMATCH(FD$5,$CC46:$CN46)),"na")</f>
        <v>na</v>
      </c>
      <c r="FE46" s="47" t="str" cm="1">
        <f t="array" ref="FE46">IF(FE$5&lt;=$DG46,INDEX($AP46:$BA46,1,_xlfn.XMATCH(FE$5,$CC46:$CN46)),"na")</f>
        <v>na</v>
      </c>
    </row>
    <row r="47" spans="2:161" hidden="1" x14ac:dyDescent="0.25">
      <c r="B47" s="9" t="s">
        <v>103</v>
      </c>
      <c r="C47" s="8">
        <v>3286</v>
      </c>
      <c r="D47" s="8">
        <v>2968</v>
      </c>
      <c r="E47" s="8">
        <v>3286</v>
      </c>
      <c r="F47" s="8">
        <v>3180</v>
      </c>
      <c r="G47" s="8">
        <v>3286</v>
      </c>
      <c r="H47" s="8">
        <v>3180</v>
      </c>
      <c r="I47" s="8">
        <v>3286</v>
      </c>
      <c r="J47" s="8">
        <v>3286</v>
      </c>
      <c r="K47" s="8">
        <v>3180</v>
      </c>
      <c r="L47" s="8">
        <v>3286</v>
      </c>
      <c r="M47" s="8">
        <v>3180</v>
      </c>
      <c r="N47" s="8">
        <v>3286</v>
      </c>
      <c r="O47" s="8"/>
      <c r="P47" s="8">
        <v>3162</v>
      </c>
      <c r="Q47" s="8">
        <v>2856</v>
      </c>
      <c r="R47" s="8">
        <v>3162</v>
      </c>
      <c r="S47" s="8">
        <v>3060</v>
      </c>
      <c r="T47" s="8">
        <v>3162</v>
      </c>
      <c r="U47" s="8">
        <v>3060</v>
      </c>
      <c r="V47" s="8">
        <v>3162</v>
      </c>
      <c r="W47" s="8">
        <v>3162</v>
      </c>
      <c r="X47" s="8">
        <v>3060</v>
      </c>
      <c r="Y47" s="8">
        <v>3162</v>
      </c>
      <c r="Z47" s="8">
        <v>3060</v>
      </c>
      <c r="AA47" s="8">
        <v>3162</v>
      </c>
      <c r="AC47" s="14">
        <f>C47/_xlfn.XLOOKUP(AC$5,'OC-Days'!$G:$G,'OC-Days'!$B:$B)</f>
        <v>106</v>
      </c>
      <c r="AD47" s="14">
        <f>D47/_xlfn.XLOOKUP(AD$5,'OC-Days'!$G:$G,'OC-Days'!$B:$B)</f>
        <v>106</v>
      </c>
      <c r="AE47" s="14">
        <f>E47/_xlfn.XLOOKUP(AE$5,'OC-Days'!$G:$G,'OC-Days'!$B:$B)</f>
        <v>106</v>
      </c>
      <c r="AF47" s="14">
        <f>F47/_xlfn.XLOOKUP(AF$5,'OC-Days'!$G:$G,'OC-Days'!$B:$B)</f>
        <v>106</v>
      </c>
      <c r="AG47" s="14">
        <f>G47/_xlfn.XLOOKUP(AG$5,'OC-Days'!$G:$G,'OC-Days'!$B:$B)</f>
        <v>106</v>
      </c>
      <c r="AH47" s="14">
        <f>H47/_xlfn.XLOOKUP(AH$5,'OC-Days'!$G:$G,'OC-Days'!$B:$B)</f>
        <v>106</v>
      </c>
      <c r="AI47" s="14">
        <f>I47/_xlfn.XLOOKUP(AI$5,'OC-Days'!$G:$G,'OC-Days'!$B:$B)</f>
        <v>106</v>
      </c>
      <c r="AJ47" s="14">
        <f>J47/_xlfn.XLOOKUP(AJ$5,'OC-Days'!$G:$G,'OC-Days'!$B:$B)</f>
        <v>106</v>
      </c>
      <c r="AK47" s="14">
        <f>K47/_xlfn.XLOOKUP(AK$5,'OC-Days'!$G:$G,'OC-Days'!$B:$B)</f>
        <v>106</v>
      </c>
      <c r="AL47" s="14">
        <f>L47/_xlfn.XLOOKUP(AL$5,'OC-Days'!$G:$G,'OC-Days'!$B:$B)</f>
        <v>106</v>
      </c>
      <c r="AM47" s="14">
        <f>M47/_xlfn.XLOOKUP(AM$5,'OC-Days'!$G:$G,'OC-Days'!$B:$B)</f>
        <v>106</v>
      </c>
      <c r="AN47" s="14">
        <f>N47/_xlfn.XLOOKUP(AN$5,'OC-Days'!$G:$G,'OC-Days'!$B:$B)</f>
        <v>106</v>
      </c>
      <c r="AP47" s="14">
        <f>P47/_xlfn.XLOOKUP(AP$5,'OC-Days'!$G:$G,'OC-Days'!$B:$B)</f>
        <v>102</v>
      </c>
      <c r="AQ47" s="14">
        <f>Q47/_xlfn.XLOOKUP(AQ$5,'OC-Days'!$G:$G,'OC-Days'!$B:$B)</f>
        <v>102</v>
      </c>
      <c r="AR47" s="14">
        <f>R47/_xlfn.XLOOKUP(AR$5,'OC-Days'!$G:$G,'OC-Days'!$B:$B)</f>
        <v>102</v>
      </c>
      <c r="AS47" s="14">
        <f>S47/_xlfn.XLOOKUP(AS$5,'OC-Days'!$G:$G,'OC-Days'!$B:$B)</f>
        <v>102</v>
      </c>
      <c r="AT47" s="14">
        <f>T47/_xlfn.XLOOKUP(AT$5,'OC-Days'!$G:$G,'OC-Days'!$B:$B)</f>
        <v>102</v>
      </c>
      <c r="AU47" s="14">
        <f>U47/_xlfn.XLOOKUP(AU$5,'OC-Days'!$G:$G,'OC-Days'!$B:$B)</f>
        <v>102</v>
      </c>
      <c r="AV47" s="14">
        <f>V47/_xlfn.XLOOKUP(AV$5,'OC-Days'!$G:$G,'OC-Days'!$B:$B)</f>
        <v>102</v>
      </c>
      <c r="AW47" s="14">
        <f>W47/_xlfn.XLOOKUP(AW$5,'OC-Days'!$G:$G,'OC-Days'!$B:$B)</f>
        <v>102</v>
      </c>
      <c r="AX47" s="14">
        <f>X47/_xlfn.XLOOKUP(AX$5,'OC-Days'!$G:$G,'OC-Days'!$B:$B)</f>
        <v>102</v>
      </c>
      <c r="AY47" s="14">
        <f>Y47/_xlfn.XLOOKUP(AY$5,'OC-Days'!$G:$G,'OC-Days'!$B:$B)</f>
        <v>102</v>
      </c>
      <c r="AZ47" s="14">
        <f>Z47/_xlfn.XLOOKUP(AZ$5,'OC-Days'!$G:$G,'OC-Days'!$B:$B)</f>
        <v>102</v>
      </c>
      <c r="BA47" s="14">
        <f>AA47/_xlfn.XLOOKUP(BA$5,'OC-Days'!$G:$G,'OC-Days'!$B:$B)</f>
        <v>102</v>
      </c>
      <c r="BC47" s="33">
        <f>_xlfn.XLOOKUP(BC$5,'OC-Days'!$G:$G,'OC-Days'!$F:$F)</f>
        <v>45658</v>
      </c>
      <c r="BD47" s="34" t="str">
        <f>IF(AQ47=AP47,"na",_xlfn.XLOOKUP(BD$5,'OC-Days'!$G:$G,'OC-Days'!$F:$F))</f>
        <v>na</v>
      </c>
      <c r="BE47" s="34" t="str">
        <f>IF(AR47=AQ47,"na",_xlfn.XLOOKUP(BE$5,'OC-Days'!$G:$G,'OC-Days'!$F:$F))</f>
        <v>na</v>
      </c>
      <c r="BF47" s="34" t="str">
        <f>IF(AS47=AR47,"na",_xlfn.XLOOKUP(BF$5,'OC-Days'!$G:$G,'OC-Days'!$F:$F))</f>
        <v>na</v>
      </c>
      <c r="BG47" s="34" t="str">
        <f>IF(AT47=AS47,"na",_xlfn.XLOOKUP(BG$5,'OC-Days'!$G:$G,'OC-Days'!$F:$F))</f>
        <v>na</v>
      </c>
      <c r="BH47" s="34" t="str">
        <f>IF(AU47=AT47,"na",_xlfn.XLOOKUP(BH$5,'OC-Days'!$G:$G,'OC-Days'!$F:$F))</f>
        <v>na</v>
      </c>
      <c r="BI47" s="34" t="str">
        <f>IF(AV47=AU47,"na",_xlfn.XLOOKUP(BI$5,'OC-Days'!$G:$G,'OC-Days'!$F:$F))</f>
        <v>na</v>
      </c>
      <c r="BJ47" s="34" t="str">
        <f>IF(AW47=AV47,"na",_xlfn.XLOOKUP(BJ$5,'OC-Days'!$G:$G,'OC-Days'!$F:$F))</f>
        <v>na</v>
      </c>
      <c r="BK47" s="34" t="str">
        <f>IF(AX47=AW47,"na",_xlfn.XLOOKUP(BK$5,'OC-Days'!$G:$G,'OC-Days'!$F:$F))</f>
        <v>na</v>
      </c>
      <c r="BL47" s="34" t="str">
        <f>IF(AY47=AX47,"na",_xlfn.XLOOKUP(BL$5,'OC-Days'!$G:$G,'OC-Days'!$F:$F))</f>
        <v>na</v>
      </c>
      <c r="BM47" s="34" t="str">
        <f>IF(AZ47=AY47,"na",_xlfn.XLOOKUP(BM$5,'OC-Days'!$G:$G,'OC-Days'!$F:$F))</f>
        <v>na</v>
      </c>
      <c r="BN47" s="34" t="str">
        <f>IF(BA47=AZ47,"na",_xlfn.XLOOKUP(BN$5,'OC-Days'!$G:$G,'OC-Days'!$F:$F))</f>
        <v>na</v>
      </c>
      <c r="BP47" s="36" t="str">
        <f t="shared" si="52"/>
        <v>na</v>
      </c>
      <c r="BQ47" s="36" t="str">
        <f t="shared" si="53"/>
        <v>na</v>
      </c>
      <c r="BR47" s="36" t="str">
        <f t="shared" si="54"/>
        <v>na</v>
      </c>
      <c r="BS47" s="36" t="str">
        <f t="shared" si="55"/>
        <v>na</v>
      </c>
      <c r="BT47" s="36" t="str">
        <f t="shared" si="56"/>
        <v>na</v>
      </c>
      <c r="BU47" s="36" t="str">
        <f t="shared" si="57"/>
        <v>na</v>
      </c>
      <c r="BV47" s="36" t="str">
        <f t="shared" si="58"/>
        <v>na</v>
      </c>
      <c r="BW47" s="36" t="str">
        <f t="shared" si="59"/>
        <v>na</v>
      </c>
      <c r="BX47" s="36" t="str">
        <f t="shared" si="60"/>
        <v>na</v>
      </c>
      <c r="BY47" s="36" t="str">
        <f t="shared" si="61"/>
        <v>na</v>
      </c>
      <c r="BZ47" s="36" t="str">
        <f t="shared" si="62"/>
        <v>na</v>
      </c>
      <c r="CA47" s="43">
        <f t="shared" si="46"/>
        <v>46022</v>
      </c>
      <c r="CC47" s="8">
        <f>COUNT($BC47:BC47)</f>
        <v>1</v>
      </c>
      <c r="CD47" s="8">
        <f>COUNT($BC47:BD47)</f>
        <v>1</v>
      </c>
      <c r="CE47" s="8">
        <f>COUNT($BC47:BE47)</f>
        <v>1</v>
      </c>
      <c r="CF47" s="8">
        <f>COUNT($BC47:BF47)</f>
        <v>1</v>
      </c>
      <c r="CG47" s="8">
        <f>COUNT($BC47:BG47)</f>
        <v>1</v>
      </c>
      <c r="CH47" s="8">
        <f>COUNT($BC47:BH47)</f>
        <v>1</v>
      </c>
      <c r="CI47" s="8">
        <f>COUNT($BC47:BI47)</f>
        <v>1</v>
      </c>
      <c r="CJ47" s="8">
        <f>COUNT($BC47:BJ47)</f>
        <v>1</v>
      </c>
      <c r="CK47" s="8">
        <f>COUNT($BC47:BK47)</f>
        <v>1</v>
      </c>
      <c r="CL47" s="8">
        <f>COUNT($BC47:BL47)</f>
        <v>1</v>
      </c>
      <c r="CM47" s="8">
        <f>COUNT($BC47:BM47)</f>
        <v>1</v>
      </c>
      <c r="CN47" s="8">
        <f>COUNT($BC47:BN47)</f>
        <v>1</v>
      </c>
      <c r="CO47" s="8"/>
      <c r="CP47" s="8">
        <f>COUNT($BP47:BP47)</f>
        <v>0</v>
      </c>
      <c r="CQ47" s="8">
        <f>COUNT($BP47:BQ47)</f>
        <v>0</v>
      </c>
      <c r="CR47" s="8">
        <f>COUNT($BP47:BR47)</f>
        <v>0</v>
      </c>
      <c r="CS47" s="8">
        <f>COUNT($BP47:BS47)</f>
        <v>0</v>
      </c>
      <c r="CT47" s="8">
        <f>COUNT($BP47:BT47)</f>
        <v>0</v>
      </c>
      <c r="CU47" s="8">
        <f>COUNT($BP47:BU47)</f>
        <v>0</v>
      </c>
      <c r="CV47" s="8">
        <f>COUNT($BP47:BV47)</f>
        <v>0</v>
      </c>
      <c r="CW47" s="8">
        <f>COUNT($BP47:BW47)</f>
        <v>0</v>
      </c>
      <c r="CX47" s="8">
        <f>COUNT($BP47:BX47)</f>
        <v>0</v>
      </c>
      <c r="CY47" s="8">
        <f>COUNT($BP47:BY47)</f>
        <v>0</v>
      </c>
      <c r="CZ47" s="8">
        <f>COUNT($BP47:BZ47)</f>
        <v>0</v>
      </c>
      <c r="DA47" s="8">
        <f>COUNT($BP47:CA47)</f>
        <v>1</v>
      </c>
      <c r="DC47">
        <f t="shared" si="47"/>
        <v>925</v>
      </c>
      <c r="DD47" t="str">
        <f t="shared" si="48"/>
        <v>Rollup</v>
      </c>
      <c r="DE47" t="str">
        <f t="shared" si="49"/>
        <v>925-Rollup</v>
      </c>
      <c r="DG47">
        <f t="shared" si="50"/>
        <v>1</v>
      </c>
      <c r="DH47">
        <f t="shared" si="51"/>
        <v>1</v>
      </c>
    </row>
    <row r="48" spans="2:161" hidden="1" x14ac:dyDescent="0.25">
      <c r="B48" s="9" t="s">
        <v>104</v>
      </c>
      <c r="C48" s="8">
        <v>80538</v>
      </c>
      <c r="D48" s="8">
        <v>72744</v>
      </c>
      <c r="E48" s="8">
        <v>80538</v>
      </c>
      <c r="F48" s="8">
        <v>77940</v>
      </c>
      <c r="G48" s="8">
        <v>80538</v>
      </c>
      <c r="H48" s="8">
        <v>77940</v>
      </c>
      <c r="I48" s="8">
        <v>80538</v>
      </c>
      <c r="J48" s="8">
        <v>80538</v>
      </c>
      <c r="K48" s="8">
        <v>77940</v>
      </c>
      <c r="L48" s="8">
        <v>80538</v>
      </c>
      <c r="M48" s="8">
        <v>77940</v>
      </c>
      <c r="N48" s="8">
        <v>80538</v>
      </c>
      <c r="O48" s="8"/>
      <c r="P48" s="8">
        <v>72214.5</v>
      </c>
      <c r="Q48" s="8">
        <v>65282</v>
      </c>
      <c r="R48" s="8">
        <v>72400.5</v>
      </c>
      <c r="S48" s="8">
        <v>70155</v>
      </c>
      <c r="T48" s="8">
        <v>72586.5</v>
      </c>
      <c r="U48" s="8">
        <v>70275</v>
      </c>
      <c r="V48" s="8">
        <v>72803.5</v>
      </c>
      <c r="W48" s="8">
        <v>72834.5</v>
      </c>
      <c r="X48" s="8">
        <v>70575</v>
      </c>
      <c r="Y48" s="8">
        <v>72989.5</v>
      </c>
      <c r="Z48" s="8">
        <v>70725</v>
      </c>
      <c r="AA48" s="8">
        <v>73113.5</v>
      </c>
      <c r="AC48" s="14">
        <f>C48/_xlfn.XLOOKUP(AC$5,'OC-Days'!$G:$G,'OC-Days'!$B:$B)</f>
        <v>2598</v>
      </c>
      <c r="AD48" s="14">
        <f>D48/_xlfn.XLOOKUP(AD$5,'OC-Days'!$G:$G,'OC-Days'!$B:$B)</f>
        <v>2598</v>
      </c>
      <c r="AE48" s="14">
        <f>E48/_xlfn.XLOOKUP(AE$5,'OC-Days'!$G:$G,'OC-Days'!$B:$B)</f>
        <v>2598</v>
      </c>
      <c r="AF48" s="14">
        <f>F48/_xlfn.XLOOKUP(AF$5,'OC-Days'!$G:$G,'OC-Days'!$B:$B)</f>
        <v>2598</v>
      </c>
      <c r="AG48" s="14">
        <f>G48/_xlfn.XLOOKUP(AG$5,'OC-Days'!$G:$G,'OC-Days'!$B:$B)</f>
        <v>2598</v>
      </c>
      <c r="AH48" s="14">
        <f>H48/_xlfn.XLOOKUP(AH$5,'OC-Days'!$G:$G,'OC-Days'!$B:$B)</f>
        <v>2598</v>
      </c>
      <c r="AI48" s="14">
        <f>I48/_xlfn.XLOOKUP(AI$5,'OC-Days'!$G:$G,'OC-Days'!$B:$B)</f>
        <v>2598</v>
      </c>
      <c r="AJ48" s="14">
        <f>J48/_xlfn.XLOOKUP(AJ$5,'OC-Days'!$G:$G,'OC-Days'!$B:$B)</f>
        <v>2598</v>
      </c>
      <c r="AK48" s="14">
        <f>K48/_xlfn.XLOOKUP(AK$5,'OC-Days'!$G:$G,'OC-Days'!$B:$B)</f>
        <v>2598</v>
      </c>
      <c r="AL48" s="14">
        <f>L48/_xlfn.XLOOKUP(AL$5,'OC-Days'!$G:$G,'OC-Days'!$B:$B)</f>
        <v>2598</v>
      </c>
      <c r="AM48" s="14">
        <f>M48/_xlfn.XLOOKUP(AM$5,'OC-Days'!$G:$G,'OC-Days'!$B:$B)</f>
        <v>2598</v>
      </c>
      <c r="AN48" s="14">
        <f>N48/_xlfn.XLOOKUP(AN$5,'OC-Days'!$G:$G,'OC-Days'!$B:$B)</f>
        <v>2598</v>
      </c>
      <c r="AP48" s="14">
        <f>P48/_xlfn.XLOOKUP(AP$5,'OC-Days'!$G:$G,'OC-Days'!$B:$B)</f>
        <v>2329.5</v>
      </c>
      <c r="AQ48" s="14">
        <f>Q48/_xlfn.XLOOKUP(AQ$5,'OC-Days'!$G:$G,'OC-Days'!$B:$B)</f>
        <v>2331.5</v>
      </c>
      <c r="AR48" s="14">
        <f>R48/_xlfn.XLOOKUP(AR$5,'OC-Days'!$G:$G,'OC-Days'!$B:$B)</f>
        <v>2335.5</v>
      </c>
      <c r="AS48" s="14">
        <f>S48/_xlfn.XLOOKUP(AS$5,'OC-Days'!$G:$G,'OC-Days'!$B:$B)</f>
        <v>2338.5</v>
      </c>
      <c r="AT48" s="14">
        <f>T48/_xlfn.XLOOKUP(AT$5,'OC-Days'!$G:$G,'OC-Days'!$B:$B)</f>
        <v>2341.5</v>
      </c>
      <c r="AU48" s="14">
        <f>U48/_xlfn.XLOOKUP(AU$5,'OC-Days'!$G:$G,'OC-Days'!$B:$B)</f>
        <v>2342.5</v>
      </c>
      <c r="AV48" s="14">
        <f>V48/_xlfn.XLOOKUP(AV$5,'OC-Days'!$G:$G,'OC-Days'!$B:$B)</f>
        <v>2348.5</v>
      </c>
      <c r="AW48" s="14">
        <f>W48/_xlfn.XLOOKUP(AW$5,'OC-Days'!$G:$G,'OC-Days'!$B:$B)</f>
        <v>2349.5</v>
      </c>
      <c r="AX48" s="14">
        <f>X48/_xlfn.XLOOKUP(AX$5,'OC-Days'!$G:$G,'OC-Days'!$B:$B)</f>
        <v>2352.5</v>
      </c>
      <c r="AY48" s="14">
        <f>Y48/_xlfn.XLOOKUP(AY$5,'OC-Days'!$G:$G,'OC-Days'!$B:$B)</f>
        <v>2354.5</v>
      </c>
      <c r="AZ48" s="14">
        <f>Z48/_xlfn.XLOOKUP(AZ$5,'OC-Days'!$G:$G,'OC-Days'!$B:$B)</f>
        <v>2357.5</v>
      </c>
      <c r="BA48" s="14">
        <f>AA48/_xlfn.XLOOKUP(BA$5,'OC-Days'!$G:$G,'OC-Days'!$B:$B)</f>
        <v>2358.5</v>
      </c>
      <c r="BC48" s="33">
        <f>_xlfn.XLOOKUP(BC$5,'OC-Days'!$G:$G,'OC-Days'!$F:$F)</f>
        <v>45658</v>
      </c>
      <c r="BD48" s="34">
        <f>IF(AQ48=AP48,"na",_xlfn.XLOOKUP(BD$5,'OC-Days'!$G:$G,'OC-Days'!$F:$F))</f>
        <v>45689</v>
      </c>
      <c r="BE48" s="34">
        <f>IF(AR48=AQ48,"na",_xlfn.XLOOKUP(BE$5,'OC-Days'!$G:$G,'OC-Days'!$F:$F))</f>
        <v>45717</v>
      </c>
      <c r="BF48" s="34">
        <f>IF(AS48=AR48,"na",_xlfn.XLOOKUP(BF$5,'OC-Days'!$G:$G,'OC-Days'!$F:$F))</f>
        <v>45748</v>
      </c>
      <c r="BG48" s="34">
        <f>IF(AT48=AS48,"na",_xlfn.XLOOKUP(BG$5,'OC-Days'!$G:$G,'OC-Days'!$F:$F))</f>
        <v>45778</v>
      </c>
      <c r="BH48" s="34">
        <f>IF(AU48=AT48,"na",_xlfn.XLOOKUP(BH$5,'OC-Days'!$G:$G,'OC-Days'!$F:$F))</f>
        <v>45809</v>
      </c>
      <c r="BI48" s="34">
        <f>IF(AV48=AU48,"na",_xlfn.XLOOKUP(BI$5,'OC-Days'!$G:$G,'OC-Days'!$F:$F))</f>
        <v>45839</v>
      </c>
      <c r="BJ48" s="34">
        <f>IF(AW48=AV48,"na",_xlfn.XLOOKUP(BJ$5,'OC-Days'!$G:$G,'OC-Days'!$F:$F))</f>
        <v>45870</v>
      </c>
      <c r="BK48" s="34">
        <f>IF(AX48=AW48,"na",_xlfn.XLOOKUP(BK$5,'OC-Days'!$G:$G,'OC-Days'!$F:$F))</f>
        <v>45901</v>
      </c>
      <c r="BL48" s="34">
        <f>IF(AY48=AX48,"na",_xlfn.XLOOKUP(BL$5,'OC-Days'!$G:$G,'OC-Days'!$F:$F))</f>
        <v>45931</v>
      </c>
      <c r="BM48" s="34">
        <f>IF(AZ48=AY48,"na",_xlfn.XLOOKUP(BM$5,'OC-Days'!$G:$G,'OC-Days'!$F:$F))</f>
        <v>45962</v>
      </c>
      <c r="BN48" s="34">
        <f>IF(BA48=AZ48,"na",_xlfn.XLOOKUP(BN$5,'OC-Days'!$G:$G,'OC-Days'!$F:$F))</f>
        <v>45992</v>
      </c>
      <c r="BP48" s="36">
        <f t="shared" si="52"/>
        <v>45688</v>
      </c>
      <c r="BQ48" s="36">
        <f t="shared" si="53"/>
        <v>45716</v>
      </c>
      <c r="BR48" s="36">
        <f t="shared" si="54"/>
        <v>45747</v>
      </c>
      <c r="BS48" s="36">
        <f t="shared" si="55"/>
        <v>45777</v>
      </c>
      <c r="BT48" s="36">
        <f t="shared" si="56"/>
        <v>45808</v>
      </c>
      <c r="BU48" s="36">
        <f t="shared" si="57"/>
        <v>45838</v>
      </c>
      <c r="BV48" s="36">
        <f t="shared" si="58"/>
        <v>45869</v>
      </c>
      <c r="BW48" s="36">
        <f t="shared" si="59"/>
        <v>45900</v>
      </c>
      <c r="BX48" s="36">
        <f t="shared" si="60"/>
        <v>45930</v>
      </c>
      <c r="BY48" s="36">
        <f t="shared" si="61"/>
        <v>45961</v>
      </c>
      <c r="BZ48" s="36">
        <f t="shared" si="62"/>
        <v>45991</v>
      </c>
      <c r="CA48" s="43">
        <f t="shared" si="46"/>
        <v>46022</v>
      </c>
      <c r="CC48" s="8">
        <f>COUNT($BC48:BC48)</f>
        <v>1</v>
      </c>
      <c r="CD48" s="8">
        <f>COUNT($BC48:BD48)</f>
        <v>2</v>
      </c>
      <c r="CE48" s="8">
        <f>COUNT($BC48:BE48)</f>
        <v>3</v>
      </c>
      <c r="CF48" s="8">
        <f>COUNT($BC48:BF48)</f>
        <v>4</v>
      </c>
      <c r="CG48" s="8">
        <f>COUNT($BC48:BG48)</f>
        <v>5</v>
      </c>
      <c r="CH48" s="8">
        <f>COUNT($BC48:BH48)</f>
        <v>6</v>
      </c>
      <c r="CI48" s="8">
        <f>COUNT($BC48:BI48)</f>
        <v>7</v>
      </c>
      <c r="CJ48" s="8">
        <f>COUNT($BC48:BJ48)</f>
        <v>8</v>
      </c>
      <c r="CK48" s="8">
        <f>COUNT($BC48:BK48)</f>
        <v>9</v>
      </c>
      <c r="CL48" s="8">
        <f>COUNT($BC48:BL48)</f>
        <v>10</v>
      </c>
      <c r="CM48" s="8">
        <f>COUNT($BC48:BM48)</f>
        <v>11</v>
      </c>
      <c r="CN48" s="8">
        <f>COUNT($BC48:BN48)</f>
        <v>12</v>
      </c>
      <c r="CO48" s="8"/>
      <c r="CP48" s="8">
        <f>COUNT($BP48:BP48)</f>
        <v>1</v>
      </c>
      <c r="CQ48" s="8">
        <f>COUNT($BP48:BQ48)</f>
        <v>2</v>
      </c>
      <c r="CR48" s="8">
        <f>COUNT($BP48:BR48)</f>
        <v>3</v>
      </c>
      <c r="CS48" s="8">
        <f>COUNT($BP48:BS48)</f>
        <v>4</v>
      </c>
      <c r="CT48" s="8">
        <f>COUNT($BP48:BT48)</f>
        <v>5</v>
      </c>
      <c r="CU48" s="8">
        <f>COUNT($BP48:BU48)</f>
        <v>6</v>
      </c>
      <c r="CV48" s="8">
        <f>COUNT($BP48:BV48)</f>
        <v>7</v>
      </c>
      <c r="CW48" s="8">
        <f>COUNT($BP48:BW48)</f>
        <v>8</v>
      </c>
      <c r="CX48" s="8">
        <f>COUNT($BP48:BX48)</f>
        <v>9</v>
      </c>
      <c r="CY48" s="8">
        <f>COUNT($BP48:BY48)</f>
        <v>10</v>
      </c>
      <c r="CZ48" s="8">
        <f>COUNT($BP48:BZ48)</f>
        <v>11</v>
      </c>
      <c r="DA48" s="8">
        <f>COUNT($BP48:CA48)</f>
        <v>12</v>
      </c>
      <c r="DC48" t="str">
        <f t="shared" si="47"/>
        <v>Entity</v>
      </c>
      <c r="DD48" t="str">
        <f t="shared" si="48"/>
        <v>Rollup</v>
      </c>
      <c r="DE48" t="str">
        <f t="shared" si="49"/>
        <v>Entity-Rollup</v>
      </c>
      <c r="DG48">
        <f t="shared" si="50"/>
        <v>12</v>
      </c>
      <c r="DH48">
        <f t="shared" si="51"/>
        <v>12</v>
      </c>
    </row>
    <row r="49" spans="2:161" hidden="1" x14ac:dyDescent="0.25">
      <c r="B49" s="9" t="s">
        <v>105</v>
      </c>
      <c r="C49" s="8">
        <v>80538</v>
      </c>
      <c r="D49" s="8">
        <v>72744</v>
      </c>
      <c r="E49" s="8">
        <v>80538</v>
      </c>
      <c r="F49" s="8">
        <v>77940</v>
      </c>
      <c r="G49" s="8">
        <v>80538</v>
      </c>
      <c r="H49" s="8">
        <v>77940</v>
      </c>
      <c r="I49" s="8">
        <v>80538</v>
      </c>
      <c r="J49" s="8">
        <v>80538</v>
      </c>
      <c r="K49" s="8">
        <v>77940</v>
      </c>
      <c r="L49" s="8">
        <v>80538</v>
      </c>
      <c r="M49" s="8">
        <v>77940</v>
      </c>
      <c r="N49" s="8">
        <v>80538</v>
      </c>
      <c r="O49" s="8"/>
      <c r="P49" s="8">
        <v>72214.5</v>
      </c>
      <c r="Q49" s="8">
        <v>65282</v>
      </c>
      <c r="R49" s="8">
        <v>72400.5</v>
      </c>
      <c r="S49" s="8">
        <v>70155</v>
      </c>
      <c r="T49" s="8">
        <v>72586.5</v>
      </c>
      <c r="U49" s="8">
        <v>70275</v>
      </c>
      <c r="V49" s="8">
        <v>72803.5</v>
      </c>
      <c r="W49" s="8">
        <v>72834.5</v>
      </c>
      <c r="X49" s="8">
        <v>70575</v>
      </c>
      <c r="Y49" s="8">
        <v>72989.5</v>
      </c>
      <c r="Z49" s="8">
        <v>70725</v>
      </c>
      <c r="AA49" s="8">
        <v>73113.5</v>
      </c>
      <c r="AC49" s="14">
        <f>C49/_xlfn.XLOOKUP(AC$5,'OC-Days'!$G:$G,'OC-Days'!$B:$B)</f>
        <v>2598</v>
      </c>
      <c r="AD49" s="14">
        <f>D49/_xlfn.XLOOKUP(AD$5,'OC-Days'!$G:$G,'OC-Days'!$B:$B)</f>
        <v>2598</v>
      </c>
      <c r="AE49" s="14">
        <f>E49/_xlfn.XLOOKUP(AE$5,'OC-Days'!$G:$G,'OC-Days'!$B:$B)</f>
        <v>2598</v>
      </c>
      <c r="AF49" s="14">
        <f>F49/_xlfn.XLOOKUP(AF$5,'OC-Days'!$G:$G,'OC-Days'!$B:$B)</f>
        <v>2598</v>
      </c>
      <c r="AG49" s="14">
        <f>G49/_xlfn.XLOOKUP(AG$5,'OC-Days'!$G:$G,'OC-Days'!$B:$B)</f>
        <v>2598</v>
      </c>
      <c r="AH49" s="14">
        <f>H49/_xlfn.XLOOKUP(AH$5,'OC-Days'!$G:$G,'OC-Days'!$B:$B)</f>
        <v>2598</v>
      </c>
      <c r="AI49" s="14">
        <f>I49/_xlfn.XLOOKUP(AI$5,'OC-Days'!$G:$G,'OC-Days'!$B:$B)</f>
        <v>2598</v>
      </c>
      <c r="AJ49" s="14">
        <f>J49/_xlfn.XLOOKUP(AJ$5,'OC-Days'!$G:$G,'OC-Days'!$B:$B)</f>
        <v>2598</v>
      </c>
      <c r="AK49" s="14">
        <f>K49/_xlfn.XLOOKUP(AK$5,'OC-Days'!$G:$G,'OC-Days'!$B:$B)</f>
        <v>2598</v>
      </c>
      <c r="AL49" s="14">
        <f>L49/_xlfn.XLOOKUP(AL$5,'OC-Days'!$G:$G,'OC-Days'!$B:$B)</f>
        <v>2598</v>
      </c>
      <c r="AM49" s="14">
        <f>M49/_xlfn.XLOOKUP(AM$5,'OC-Days'!$G:$G,'OC-Days'!$B:$B)</f>
        <v>2598</v>
      </c>
      <c r="AN49" s="14">
        <f>N49/_xlfn.XLOOKUP(AN$5,'OC-Days'!$G:$G,'OC-Days'!$B:$B)</f>
        <v>2598</v>
      </c>
      <c r="AP49" s="14">
        <f>P49/_xlfn.XLOOKUP(AP$5,'OC-Days'!$G:$G,'OC-Days'!$B:$B)</f>
        <v>2329.5</v>
      </c>
      <c r="AQ49" s="14">
        <f>Q49/_xlfn.XLOOKUP(AQ$5,'OC-Days'!$G:$G,'OC-Days'!$B:$B)</f>
        <v>2331.5</v>
      </c>
      <c r="AR49" s="14">
        <f>R49/_xlfn.XLOOKUP(AR$5,'OC-Days'!$G:$G,'OC-Days'!$B:$B)</f>
        <v>2335.5</v>
      </c>
      <c r="AS49" s="14">
        <f>S49/_xlfn.XLOOKUP(AS$5,'OC-Days'!$G:$G,'OC-Days'!$B:$B)</f>
        <v>2338.5</v>
      </c>
      <c r="AT49" s="14">
        <f>T49/_xlfn.XLOOKUP(AT$5,'OC-Days'!$G:$G,'OC-Days'!$B:$B)</f>
        <v>2341.5</v>
      </c>
      <c r="AU49" s="14">
        <f>U49/_xlfn.XLOOKUP(AU$5,'OC-Days'!$G:$G,'OC-Days'!$B:$B)</f>
        <v>2342.5</v>
      </c>
      <c r="AV49" s="14">
        <f>V49/_xlfn.XLOOKUP(AV$5,'OC-Days'!$G:$G,'OC-Days'!$B:$B)</f>
        <v>2348.5</v>
      </c>
      <c r="AW49" s="14">
        <f>W49/_xlfn.XLOOKUP(AW$5,'OC-Days'!$G:$G,'OC-Days'!$B:$B)</f>
        <v>2349.5</v>
      </c>
      <c r="AX49" s="14">
        <f>X49/_xlfn.XLOOKUP(AX$5,'OC-Days'!$G:$G,'OC-Days'!$B:$B)</f>
        <v>2352.5</v>
      </c>
      <c r="AY49" s="14">
        <f>Y49/_xlfn.XLOOKUP(AY$5,'OC-Days'!$G:$G,'OC-Days'!$B:$B)</f>
        <v>2354.5</v>
      </c>
      <c r="AZ49" s="14">
        <f>Z49/_xlfn.XLOOKUP(AZ$5,'OC-Days'!$G:$G,'OC-Days'!$B:$B)</f>
        <v>2357.5</v>
      </c>
      <c r="BA49" s="14">
        <f>AA49/_xlfn.XLOOKUP(BA$5,'OC-Days'!$G:$G,'OC-Days'!$B:$B)</f>
        <v>2358.5</v>
      </c>
      <c r="BC49" s="33">
        <f>_xlfn.XLOOKUP(BC$5,'OC-Days'!$G:$G,'OC-Days'!$F:$F)</f>
        <v>45658</v>
      </c>
      <c r="BD49" s="34">
        <f>IF(AQ49=AP49,"na",_xlfn.XLOOKUP(BD$5,'OC-Days'!$G:$G,'OC-Days'!$F:$F))</f>
        <v>45689</v>
      </c>
      <c r="BE49" s="34">
        <f>IF(AR49=AQ49,"na",_xlfn.XLOOKUP(BE$5,'OC-Days'!$G:$G,'OC-Days'!$F:$F))</f>
        <v>45717</v>
      </c>
      <c r="BF49" s="34">
        <f>IF(AS49=AR49,"na",_xlfn.XLOOKUP(BF$5,'OC-Days'!$G:$G,'OC-Days'!$F:$F))</f>
        <v>45748</v>
      </c>
      <c r="BG49" s="34">
        <f>IF(AT49=AS49,"na",_xlfn.XLOOKUP(BG$5,'OC-Days'!$G:$G,'OC-Days'!$F:$F))</f>
        <v>45778</v>
      </c>
      <c r="BH49" s="34">
        <f>IF(AU49=AT49,"na",_xlfn.XLOOKUP(BH$5,'OC-Days'!$G:$G,'OC-Days'!$F:$F))</f>
        <v>45809</v>
      </c>
      <c r="BI49" s="34">
        <f>IF(AV49=AU49,"na",_xlfn.XLOOKUP(BI$5,'OC-Days'!$G:$G,'OC-Days'!$F:$F))</f>
        <v>45839</v>
      </c>
      <c r="BJ49" s="34">
        <f>IF(AW49=AV49,"na",_xlfn.XLOOKUP(BJ$5,'OC-Days'!$G:$G,'OC-Days'!$F:$F))</f>
        <v>45870</v>
      </c>
      <c r="BK49" s="34">
        <f>IF(AX49=AW49,"na",_xlfn.XLOOKUP(BK$5,'OC-Days'!$G:$G,'OC-Days'!$F:$F))</f>
        <v>45901</v>
      </c>
      <c r="BL49" s="34">
        <f>IF(AY49=AX49,"na",_xlfn.XLOOKUP(BL$5,'OC-Days'!$G:$G,'OC-Days'!$F:$F))</f>
        <v>45931</v>
      </c>
      <c r="BM49" s="34">
        <f>IF(AZ49=AY49,"na",_xlfn.XLOOKUP(BM$5,'OC-Days'!$G:$G,'OC-Days'!$F:$F))</f>
        <v>45962</v>
      </c>
      <c r="BN49" s="34">
        <f>IF(BA49=AZ49,"na",_xlfn.XLOOKUP(BN$5,'OC-Days'!$G:$G,'OC-Days'!$F:$F))</f>
        <v>45992</v>
      </c>
      <c r="BP49" s="36">
        <f t="shared" si="52"/>
        <v>45688</v>
      </c>
      <c r="BQ49" s="36">
        <f t="shared" si="53"/>
        <v>45716</v>
      </c>
      <c r="BR49" s="36">
        <f t="shared" si="54"/>
        <v>45747</v>
      </c>
      <c r="BS49" s="36">
        <f t="shared" si="55"/>
        <v>45777</v>
      </c>
      <c r="BT49" s="36">
        <f t="shared" si="56"/>
        <v>45808</v>
      </c>
      <c r="BU49" s="36">
        <f t="shared" si="57"/>
        <v>45838</v>
      </c>
      <c r="BV49" s="36">
        <f t="shared" si="58"/>
        <v>45869</v>
      </c>
      <c r="BW49" s="36">
        <f t="shared" si="59"/>
        <v>45900</v>
      </c>
      <c r="BX49" s="36">
        <f t="shared" si="60"/>
        <v>45930</v>
      </c>
      <c r="BY49" s="36">
        <f t="shared" si="61"/>
        <v>45961</v>
      </c>
      <c r="BZ49" s="36">
        <f t="shared" si="62"/>
        <v>45991</v>
      </c>
      <c r="CA49" s="43">
        <f t="shared" si="46"/>
        <v>46022</v>
      </c>
      <c r="CC49" s="8">
        <f>COUNT($BC49:BC49)</f>
        <v>1</v>
      </c>
      <c r="CD49" s="8">
        <f>COUNT($BC49:BD49)</f>
        <v>2</v>
      </c>
      <c r="CE49" s="8">
        <f>COUNT($BC49:BE49)</f>
        <v>3</v>
      </c>
      <c r="CF49" s="8">
        <f>COUNT($BC49:BF49)</f>
        <v>4</v>
      </c>
      <c r="CG49" s="8">
        <f>COUNT($BC49:BG49)</f>
        <v>5</v>
      </c>
      <c r="CH49" s="8">
        <f>COUNT($BC49:BH49)</f>
        <v>6</v>
      </c>
      <c r="CI49" s="8">
        <f>COUNT($BC49:BI49)</f>
        <v>7</v>
      </c>
      <c r="CJ49" s="8">
        <f>COUNT($BC49:BJ49)</f>
        <v>8</v>
      </c>
      <c r="CK49" s="8">
        <f>COUNT($BC49:BK49)</f>
        <v>9</v>
      </c>
      <c r="CL49" s="8">
        <f>COUNT($BC49:BL49)</f>
        <v>10</v>
      </c>
      <c r="CM49" s="8">
        <f>COUNT($BC49:BM49)</f>
        <v>11</v>
      </c>
      <c r="CN49" s="8">
        <f>COUNT($BC49:BN49)</f>
        <v>12</v>
      </c>
      <c r="CO49" s="8"/>
      <c r="CP49" s="8">
        <f>COUNT($BP49:BP49)</f>
        <v>1</v>
      </c>
      <c r="CQ49" s="8">
        <f>COUNT($BP49:BQ49)</f>
        <v>2</v>
      </c>
      <c r="CR49" s="8">
        <f>COUNT($BP49:BR49)</f>
        <v>3</v>
      </c>
      <c r="CS49" s="8">
        <f>COUNT($BP49:BS49)</f>
        <v>4</v>
      </c>
      <c r="CT49" s="8">
        <f>COUNT($BP49:BT49)</f>
        <v>5</v>
      </c>
      <c r="CU49" s="8">
        <f>COUNT($BP49:BU49)</f>
        <v>6</v>
      </c>
      <c r="CV49" s="8">
        <f>COUNT($BP49:BV49)</f>
        <v>7</v>
      </c>
      <c r="CW49" s="8">
        <f>COUNT($BP49:BW49)</f>
        <v>8</v>
      </c>
      <c r="CX49" s="8">
        <f>COUNT($BP49:BX49)</f>
        <v>9</v>
      </c>
      <c r="CY49" s="8">
        <f>COUNT($BP49:BY49)</f>
        <v>10</v>
      </c>
      <c r="CZ49" s="8">
        <f>COUNT($BP49:BZ49)</f>
        <v>11</v>
      </c>
      <c r="DA49" s="8">
        <f>COUNT($BP49:CA49)</f>
        <v>12</v>
      </c>
      <c r="DC49" t="str">
        <f t="shared" si="47"/>
        <v>Entity</v>
      </c>
      <c r="DD49" t="str">
        <f t="shared" si="48"/>
        <v>Rollup</v>
      </c>
      <c r="DE49" t="str">
        <f t="shared" si="49"/>
        <v>Entity-Rollup</v>
      </c>
      <c r="DG49">
        <f t="shared" si="50"/>
        <v>12</v>
      </c>
      <c r="DH49">
        <f t="shared" si="51"/>
        <v>12</v>
      </c>
    </row>
    <row r="50" spans="2:161" x14ac:dyDescent="0.25">
      <c r="B50" s="10" t="s">
        <v>106</v>
      </c>
      <c r="C50" s="8">
        <v>1581</v>
      </c>
      <c r="D50" s="8">
        <v>1428</v>
      </c>
      <c r="E50" s="8">
        <v>1581</v>
      </c>
      <c r="F50" s="8">
        <v>1530</v>
      </c>
      <c r="G50" s="8">
        <v>1581</v>
      </c>
      <c r="H50" s="8">
        <v>1530</v>
      </c>
      <c r="I50" s="8">
        <v>1581</v>
      </c>
      <c r="J50" s="8">
        <v>1581</v>
      </c>
      <c r="K50" s="8">
        <v>1530</v>
      </c>
      <c r="L50" s="8">
        <v>1581</v>
      </c>
      <c r="M50" s="8">
        <v>1530</v>
      </c>
      <c r="N50" s="8">
        <v>1581</v>
      </c>
      <c r="O50" s="8"/>
      <c r="P50" s="8">
        <v>1488</v>
      </c>
      <c r="Q50" s="8">
        <v>1344</v>
      </c>
      <c r="R50" s="8">
        <v>1488</v>
      </c>
      <c r="S50" s="8">
        <v>1440</v>
      </c>
      <c r="T50" s="8">
        <v>1488</v>
      </c>
      <c r="U50" s="8">
        <v>1440</v>
      </c>
      <c r="V50" s="8">
        <v>1488</v>
      </c>
      <c r="W50" s="8">
        <v>1488</v>
      </c>
      <c r="X50" s="8">
        <v>1440</v>
      </c>
      <c r="Y50" s="8">
        <v>1488</v>
      </c>
      <c r="Z50" s="8">
        <v>1440</v>
      </c>
      <c r="AA50" s="8">
        <v>1488</v>
      </c>
      <c r="AC50" s="14">
        <f>C50/_xlfn.XLOOKUP(AC$5,'OC-Days'!$G:$G,'OC-Days'!$B:$B)</f>
        <v>51</v>
      </c>
      <c r="AD50" s="14">
        <f>D50/_xlfn.XLOOKUP(AD$5,'OC-Days'!$G:$G,'OC-Days'!$B:$B)</f>
        <v>51</v>
      </c>
      <c r="AE50" s="14">
        <f>E50/_xlfn.XLOOKUP(AE$5,'OC-Days'!$G:$G,'OC-Days'!$B:$B)</f>
        <v>51</v>
      </c>
      <c r="AF50" s="14">
        <f>F50/_xlfn.XLOOKUP(AF$5,'OC-Days'!$G:$G,'OC-Days'!$B:$B)</f>
        <v>51</v>
      </c>
      <c r="AG50" s="14">
        <f>G50/_xlfn.XLOOKUP(AG$5,'OC-Days'!$G:$G,'OC-Days'!$B:$B)</f>
        <v>51</v>
      </c>
      <c r="AH50" s="14">
        <f>H50/_xlfn.XLOOKUP(AH$5,'OC-Days'!$G:$G,'OC-Days'!$B:$B)</f>
        <v>51</v>
      </c>
      <c r="AI50" s="14">
        <f>I50/_xlfn.XLOOKUP(AI$5,'OC-Days'!$G:$G,'OC-Days'!$B:$B)</f>
        <v>51</v>
      </c>
      <c r="AJ50" s="14">
        <f>J50/_xlfn.XLOOKUP(AJ$5,'OC-Days'!$G:$G,'OC-Days'!$B:$B)</f>
        <v>51</v>
      </c>
      <c r="AK50" s="14">
        <f>K50/_xlfn.XLOOKUP(AK$5,'OC-Days'!$G:$G,'OC-Days'!$B:$B)</f>
        <v>51</v>
      </c>
      <c r="AL50" s="14">
        <f>L50/_xlfn.XLOOKUP(AL$5,'OC-Days'!$G:$G,'OC-Days'!$B:$B)</f>
        <v>51</v>
      </c>
      <c r="AM50" s="14">
        <f>M50/_xlfn.XLOOKUP(AM$5,'OC-Days'!$G:$G,'OC-Days'!$B:$B)</f>
        <v>51</v>
      </c>
      <c r="AN50" s="14">
        <f>N50/_xlfn.XLOOKUP(AN$5,'OC-Days'!$G:$G,'OC-Days'!$B:$B)</f>
        <v>51</v>
      </c>
      <c r="AP50" s="14">
        <f>P50/_xlfn.XLOOKUP(AP$5,'OC-Days'!$G:$G,'OC-Days'!$B:$B)</f>
        <v>48</v>
      </c>
      <c r="AQ50" s="14">
        <f>Q50/_xlfn.XLOOKUP(AQ$5,'OC-Days'!$G:$G,'OC-Days'!$B:$B)</f>
        <v>48</v>
      </c>
      <c r="AR50" s="14">
        <f>R50/_xlfn.XLOOKUP(AR$5,'OC-Days'!$G:$G,'OC-Days'!$B:$B)</f>
        <v>48</v>
      </c>
      <c r="AS50" s="14">
        <f>S50/_xlfn.XLOOKUP(AS$5,'OC-Days'!$G:$G,'OC-Days'!$B:$B)</f>
        <v>48</v>
      </c>
      <c r="AT50" s="14">
        <f>T50/_xlfn.XLOOKUP(AT$5,'OC-Days'!$G:$G,'OC-Days'!$B:$B)</f>
        <v>48</v>
      </c>
      <c r="AU50" s="14">
        <f>U50/_xlfn.XLOOKUP(AU$5,'OC-Days'!$G:$G,'OC-Days'!$B:$B)</f>
        <v>48</v>
      </c>
      <c r="AV50" s="14">
        <f>V50/_xlfn.XLOOKUP(AV$5,'OC-Days'!$G:$G,'OC-Days'!$B:$B)</f>
        <v>48</v>
      </c>
      <c r="AW50" s="14">
        <f>W50/_xlfn.XLOOKUP(AW$5,'OC-Days'!$G:$G,'OC-Days'!$B:$B)</f>
        <v>48</v>
      </c>
      <c r="AX50" s="14">
        <f>X50/_xlfn.XLOOKUP(AX$5,'OC-Days'!$G:$G,'OC-Days'!$B:$B)</f>
        <v>48</v>
      </c>
      <c r="AY50" s="14">
        <f>Y50/_xlfn.XLOOKUP(AY$5,'OC-Days'!$G:$G,'OC-Days'!$B:$B)</f>
        <v>48</v>
      </c>
      <c r="AZ50" s="14">
        <f>Z50/_xlfn.XLOOKUP(AZ$5,'OC-Days'!$G:$G,'OC-Days'!$B:$B)</f>
        <v>48</v>
      </c>
      <c r="BA50" s="14">
        <f>AA50/_xlfn.XLOOKUP(BA$5,'OC-Days'!$G:$G,'OC-Days'!$B:$B)</f>
        <v>48</v>
      </c>
      <c r="BC50" s="33">
        <f>_xlfn.XLOOKUP(BC$5,'OC-Days'!$G:$G,'OC-Days'!$F:$F)</f>
        <v>45658</v>
      </c>
      <c r="BD50" s="34" t="str">
        <f>IF(AQ50=AP50,"na",_xlfn.XLOOKUP(BD$5,'OC-Days'!$G:$G,'OC-Days'!$F:$F))</f>
        <v>na</v>
      </c>
      <c r="BE50" s="34" t="str">
        <f>IF(AR50=AQ50,"na",_xlfn.XLOOKUP(BE$5,'OC-Days'!$G:$G,'OC-Days'!$F:$F))</f>
        <v>na</v>
      </c>
      <c r="BF50" s="34" t="str">
        <f>IF(AS50=AR50,"na",_xlfn.XLOOKUP(BF$5,'OC-Days'!$G:$G,'OC-Days'!$F:$F))</f>
        <v>na</v>
      </c>
      <c r="BG50" s="34" t="str">
        <f>IF(AT50=AS50,"na",_xlfn.XLOOKUP(BG$5,'OC-Days'!$G:$G,'OC-Days'!$F:$F))</f>
        <v>na</v>
      </c>
      <c r="BH50" s="34" t="str">
        <f>IF(AU50=AT50,"na",_xlfn.XLOOKUP(BH$5,'OC-Days'!$G:$G,'OC-Days'!$F:$F))</f>
        <v>na</v>
      </c>
      <c r="BI50" s="34" t="str">
        <f>IF(AV50=AU50,"na",_xlfn.XLOOKUP(BI$5,'OC-Days'!$G:$G,'OC-Days'!$F:$F))</f>
        <v>na</v>
      </c>
      <c r="BJ50" s="34" t="str">
        <f>IF(AW50=AV50,"na",_xlfn.XLOOKUP(BJ$5,'OC-Days'!$G:$G,'OC-Days'!$F:$F))</f>
        <v>na</v>
      </c>
      <c r="BK50" s="34" t="str">
        <f>IF(AX50=AW50,"na",_xlfn.XLOOKUP(BK$5,'OC-Days'!$G:$G,'OC-Days'!$F:$F))</f>
        <v>na</v>
      </c>
      <c r="BL50" s="34" t="str">
        <f>IF(AY50=AX50,"na",_xlfn.XLOOKUP(BL$5,'OC-Days'!$G:$G,'OC-Days'!$F:$F))</f>
        <v>na</v>
      </c>
      <c r="BM50" s="34" t="str">
        <f>IF(AZ50=AY50,"na",_xlfn.XLOOKUP(BM$5,'OC-Days'!$G:$G,'OC-Days'!$F:$F))</f>
        <v>na</v>
      </c>
      <c r="BN50" s="34" t="str">
        <f>IF(BA50=AZ50,"na",_xlfn.XLOOKUP(BN$5,'OC-Days'!$G:$G,'OC-Days'!$F:$F))</f>
        <v>na</v>
      </c>
      <c r="BP50" s="36" t="str">
        <f t="shared" si="52"/>
        <v>na</v>
      </c>
      <c r="BQ50" s="36" t="str">
        <f t="shared" si="53"/>
        <v>na</v>
      </c>
      <c r="BR50" s="36" t="str">
        <f t="shared" si="54"/>
        <v>na</v>
      </c>
      <c r="BS50" s="36" t="str">
        <f t="shared" si="55"/>
        <v>na</v>
      </c>
      <c r="BT50" s="36" t="str">
        <f t="shared" si="56"/>
        <v>na</v>
      </c>
      <c r="BU50" s="36" t="str">
        <f t="shared" si="57"/>
        <v>na</v>
      </c>
      <c r="BV50" s="36" t="str">
        <f t="shared" si="58"/>
        <v>na</v>
      </c>
      <c r="BW50" s="36" t="str">
        <f t="shared" si="59"/>
        <v>na</v>
      </c>
      <c r="BX50" s="36" t="str">
        <f t="shared" si="60"/>
        <v>na</v>
      </c>
      <c r="BY50" s="36" t="str">
        <f t="shared" si="61"/>
        <v>na</v>
      </c>
      <c r="BZ50" s="36" t="str">
        <f t="shared" si="62"/>
        <v>na</v>
      </c>
      <c r="CA50" s="43">
        <f t="shared" si="46"/>
        <v>46022</v>
      </c>
      <c r="CC50" s="8">
        <f>COUNT($BC50:BC50)</f>
        <v>1</v>
      </c>
      <c r="CD50" s="8">
        <f>COUNT($BC50:BD50)</f>
        <v>1</v>
      </c>
      <c r="CE50" s="8">
        <f>COUNT($BC50:BE50)</f>
        <v>1</v>
      </c>
      <c r="CF50" s="8">
        <f>COUNT($BC50:BF50)</f>
        <v>1</v>
      </c>
      <c r="CG50" s="8">
        <f>COUNT($BC50:BG50)</f>
        <v>1</v>
      </c>
      <c r="CH50" s="8">
        <f>COUNT($BC50:BH50)</f>
        <v>1</v>
      </c>
      <c r="CI50" s="8">
        <f>COUNT($BC50:BI50)</f>
        <v>1</v>
      </c>
      <c r="CJ50" s="8">
        <f>COUNT($BC50:BJ50)</f>
        <v>1</v>
      </c>
      <c r="CK50" s="8">
        <f>COUNT($BC50:BK50)</f>
        <v>1</v>
      </c>
      <c r="CL50" s="8">
        <f>COUNT($BC50:BL50)</f>
        <v>1</v>
      </c>
      <c r="CM50" s="8">
        <f>COUNT($BC50:BM50)</f>
        <v>1</v>
      </c>
      <c r="CN50" s="8">
        <f>COUNT($BC50:BN50)</f>
        <v>1</v>
      </c>
      <c r="CO50" s="8"/>
      <c r="CP50" s="8">
        <f>COUNT($BP50:BP50)</f>
        <v>0</v>
      </c>
      <c r="CQ50" s="8">
        <f>COUNT($BP50:BQ50)</f>
        <v>0</v>
      </c>
      <c r="CR50" s="8">
        <f>COUNT($BP50:BR50)</f>
        <v>0</v>
      </c>
      <c r="CS50" s="8">
        <f>COUNT($BP50:BS50)</f>
        <v>0</v>
      </c>
      <c r="CT50" s="8">
        <f>COUNT($BP50:BT50)</f>
        <v>0</v>
      </c>
      <c r="CU50" s="8">
        <f>COUNT($BP50:BU50)</f>
        <v>0</v>
      </c>
      <c r="CV50" s="8">
        <f>COUNT($BP50:BV50)</f>
        <v>0</v>
      </c>
      <c r="CW50" s="8">
        <f>COUNT($BP50:BW50)</f>
        <v>0</v>
      </c>
      <c r="CX50" s="8">
        <f>COUNT($BP50:BX50)</f>
        <v>0</v>
      </c>
      <c r="CY50" s="8">
        <f>COUNT($BP50:BY50)</f>
        <v>0</v>
      </c>
      <c r="CZ50" s="8">
        <f>COUNT($BP50:BZ50)</f>
        <v>0</v>
      </c>
      <c r="DA50" s="8">
        <f>COUNT($BP50:CA50)</f>
        <v>1</v>
      </c>
      <c r="DC50">
        <f t="shared" si="47"/>
        <v>835</v>
      </c>
      <c r="DD50">
        <f t="shared" si="48"/>
        <v>21</v>
      </c>
      <c r="DE50" t="str">
        <f t="shared" si="49"/>
        <v>835-21</v>
      </c>
      <c r="DG50">
        <f t="shared" si="50"/>
        <v>1</v>
      </c>
      <c r="DH50">
        <f t="shared" si="51"/>
        <v>1</v>
      </c>
      <c r="DJ50" s="44" cm="1">
        <f t="array" ref="DJ50">IF(DJ$5&lt;=$DG50,INDEX($BC50:$BN50,1,_xlfn.XMATCH(DJ$5,$CC50:$CN50)),"na")</f>
        <v>45658</v>
      </c>
      <c r="DK50" s="45" cm="1">
        <f t="array" ref="DK50">IF(DK$5&lt;=$DH50,INDEX($BP50:$CA50,1,_xlfn.XMATCH(DK$5,$CP50:$DA50)),"na")</f>
        <v>46022</v>
      </c>
      <c r="DL50" s="46" cm="1">
        <f t="array" ref="DL50">IF(DL$5&lt;=$DG50,INDEX($AC50:$AN50,1,_xlfn.XMATCH(DL$5,$CC50:$CN50)),"na")</f>
        <v>51</v>
      </c>
      <c r="DM50" s="47" cm="1">
        <f t="array" ref="DM50">IF(DM$5&lt;=$DG50,INDEX($AP50:$BA50,1,_xlfn.XMATCH(DM$5,$CC50:$CN50)),"na")</f>
        <v>48</v>
      </c>
      <c r="DN50" s="44" t="str" cm="1">
        <f t="array" ref="DN50">IF(DN$5&lt;=$DG50,INDEX($BC50:$BN50,1,_xlfn.XMATCH(DN$5,$CC50:$CN50)),"na")</f>
        <v>na</v>
      </c>
      <c r="DO50" s="45" t="str" cm="1">
        <f t="array" ref="DO50">IF(DO$5&lt;=$DH50,INDEX($BP50:$CA50,1,_xlfn.XMATCH(DO$5,$CP50:$DA50)),"na")</f>
        <v>na</v>
      </c>
      <c r="DP50" s="46" t="str" cm="1">
        <f t="array" ref="DP50">IF(DP$5&lt;=$DG50,INDEX($AC50:$AN50,1,_xlfn.XMATCH(DP$5,$CC50:$CN50)),"na")</f>
        <v>na</v>
      </c>
      <c r="DQ50" s="47" t="str" cm="1">
        <f t="array" ref="DQ50">IF(DQ$5&lt;=$DG50,INDEX($AP50:$BA50,1,_xlfn.XMATCH(DQ$5,$CC50:$CN50)),"na")</f>
        <v>na</v>
      </c>
      <c r="DR50" s="44" t="str" cm="1">
        <f t="array" ref="DR50">IF(DR$5&lt;=$DG50,INDEX($BC50:$BN50,1,_xlfn.XMATCH(DR$5,$CC50:$CN50)),"na")</f>
        <v>na</v>
      </c>
      <c r="DS50" s="45" t="str" cm="1">
        <f t="array" ref="DS50">IF(DS$5&lt;=$DH50,INDEX($BP50:$CA50,1,_xlfn.XMATCH(DS$5,$CP50:$DA50)),"na")</f>
        <v>na</v>
      </c>
      <c r="DT50" s="46" t="str" cm="1">
        <f t="array" ref="DT50">IF(DT$5&lt;=$DG50,INDEX($AC50:$AN50,1,_xlfn.XMATCH(DT$5,$CC50:$CN50)),"na")</f>
        <v>na</v>
      </c>
      <c r="DU50" s="47" t="str" cm="1">
        <f t="array" ref="DU50">IF(DU$5&lt;=$DG50,INDEX($AP50:$BA50,1,_xlfn.XMATCH(DU$5,$CC50:$CN50)),"na")</f>
        <v>na</v>
      </c>
      <c r="DV50" s="44" t="str" cm="1">
        <f t="array" ref="DV50">IF(DV$5&lt;=$DG50,INDEX($BC50:$BN50,1,_xlfn.XMATCH(DV$5,$CC50:$CN50)),"na")</f>
        <v>na</v>
      </c>
      <c r="DW50" s="45" t="str" cm="1">
        <f t="array" ref="DW50">IF(DW$5&lt;=$DH50,INDEX($BP50:$CA50,1,_xlfn.XMATCH(DW$5,$CP50:$DA50)),"na")</f>
        <v>na</v>
      </c>
      <c r="DX50" s="46" t="str" cm="1">
        <f t="array" ref="DX50">IF(DX$5&lt;=$DG50,INDEX($AC50:$AN50,1,_xlfn.XMATCH(DX$5,$CC50:$CN50)),"na")</f>
        <v>na</v>
      </c>
      <c r="DY50" s="47" t="str" cm="1">
        <f t="array" ref="DY50">IF(DY$5&lt;=$DG50,INDEX($AP50:$BA50,1,_xlfn.XMATCH(DY$5,$CC50:$CN50)),"na")</f>
        <v>na</v>
      </c>
      <c r="DZ50" s="44" t="str" cm="1">
        <f t="array" ref="DZ50">IF(DZ$5&lt;=$DG50,INDEX($BC50:$BN50,1,_xlfn.XMATCH(DZ$5,$CC50:$CN50)),"na")</f>
        <v>na</v>
      </c>
      <c r="EA50" s="45" t="str" cm="1">
        <f t="array" ref="EA50">IF(EA$5&lt;=$DH50,INDEX($BP50:$CA50,1,_xlfn.XMATCH(EA$5,$CP50:$DA50)),"na")</f>
        <v>na</v>
      </c>
      <c r="EB50" s="46" t="str" cm="1">
        <f t="array" ref="EB50">IF(EB$5&lt;=$DG50,INDEX($AC50:$AN50,1,_xlfn.XMATCH(EB$5,$CC50:$CN50)),"na")</f>
        <v>na</v>
      </c>
      <c r="EC50" s="47" t="str" cm="1">
        <f t="array" ref="EC50">IF(EC$5&lt;=$DG50,INDEX($AP50:$BA50,1,_xlfn.XMATCH(EC$5,$CC50:$CN50)),"na")</f>
        <v>na</v>
      </c>
      <c r="ED50" s="44" t="str" cm="1">
        <f t="array" ref="ED50">IF(ED$5&lt;=$DG50,INDEX($BC50:$BN50,1,_xlfn.XMATCH(ED$5,$CC50:$CN50)),"na")</f>
        <v>na</v>
      </c>
      <c r="EE50" s="45" t="str" cm="1">
        <f t="array" ref="EE50">IF(EE$5&lt;=$DH50,INDEX($BP50:$CA50,1,_xlfn.XMATCH(EE$5,$CP50:$DA50)),"na")</f>
        <v>na</v>
      </c>
      <c r="EF50" s="46" t="str" cm="1">
        <f t="array" ref="EF50">IF(EF$5&lt;=$DG50,INDEX($AC50:$AN50,1,_xlfn.XMATCH(EF$5,$CC50:$CN50)),"na")</f>
        <v>na</v>
      </c>
      <c r="EG50" s="47" t="str" cm="1">
        <f t="array" ref="EG50">IF(EG$5&lt;=$DG50,INDEX($AP50:$BA50,1,_xlfn.XMATCH(EG$5,$CC50:$CN50)),"na")</f>
        <v>na</v>
      </c>
      <c r="EH50" s="44" t="str" cm="1">
        <f t="array" ref="EH50">IF(EH$5&lt;=$DG50,INDEX($BC50:$BN50,1,_xlfn.XMATCH(EH$5,$CC50:$CN50)),"na")</f>
        <v>na</v>
      </c>
      <c r="EI50" s="45" t="str" cm="1">
        <f t="array" ref="EI50">IF(EI$5&lt;=$DH50,INDEX($BP50:$CA50,1,_xlfn.XMATCH(EI$5,$CP50:$DA50)),"na")</f>
        <v>na</v>
      </c>
      <c r="EJ50" s="46" t="str" cm="1">
        <f t="array" ref="EJ50">IF(EJ$5&lt;=$DG50,INDEX($AC50:$AN50,1,_xlfn.XMATCH(EJ$5,$CC50:$CN50)),"na")</f>
        <v>na</v>
      </c>
      <c r="EK50" s="47" t="str" cm="1">
        <f t="array" ref="EK50">IF(EK$5&lt;=$DG50,INDEX($AP50:$BA50,1,_xlfn.XMATCH(EK$5,$CC50:$CN50)),"na")</f>
        <v>na</v>
      </c>
      <c r="EL50" s="44" t="str" cm="1">
        <f t="array" ref="EL50">IF(EL$5&lt;=$DG50,INDEX($BC50:$BN50,1,_xlfn.XMATCH(EL$5,$CC50:$CN50)),"na")</f>
        <v>na</v>
      </c>
      <c r="EM50" s="45" t="str" cm="1">
        <f t="array" ref="EM50">IF(EM$5&lt;=$DH50,INDEX($BP50:$CA50,1,_xlfn.XMATCH(EM$5,$CP50:$DA50)),"na")</f>
        <v>na</v>
      </c>
      <c r="EN50" s="46" t="str" cm="1">
        <f t="array" ref="EN50">IF(EN$5&lt;=$DG50,INDEX($AC50:$AN50,1,_xlfn.XMATCH(EN$5,$CC50:$CN50)),"na")</f>
        <v>na</v>
      </c>
      <c r="EO50" s="47" t="str" cm="1">
        <f t="array" ref="EO50">IF(EO$5&lt;=$DG50,INDEX($AP50:$BA50,1,_xlfn.XMATCH(EO$5,$CC50:$CN50)),"na")</f>
        <v>na</v>
      </c>
      <c r="EP50" s="44" t="str" cm="1">
        <f t="array" ref="EP50">IF(EP$5&lt;=$DG50,INDEX($BC50:$BN50,1,_xlfn.XMATCH(EP$5,$CC50:$CN50)),"na")</f>
        <v>na</v>
      </c>
      <c r="EQ50" s="45" t="str" cm="1">
        <f t="array" ref="EQ50">IF(EQ$5&lt;=$DH50,INDEX($BP50:$CA50,1,_xlfn.XMATCH(EQ$5,$CP50:$DA50)),"na")</f>
        <v>na</v>
      </c>
      <c r="ER50" s="46" t="str" cm="1">
        <f t="array" ref="ER50">IF(ER$5&lt;=$DG50,INDEX($AC50:$AN50,1,_xlfn.XMATCH(ER$5,$CC50:$CN50)),"na")</f>
        <v>na</v>
      </c>
      <c r="ES50" s="47" t="str" cm="1">
        <f t="array" ref="ES50">IF(ES$5&lt;=$DG50,INDEX($AP50:$BA50,1,_xlfn.XMATCH(ES$5,$CC50:$CN50)),"na")</f>
        <v>na</v>
      </c>
      <c r="ET50" s="44" t="str" cm="1">
        <f t="array" ref="ET50">IF(ET$5&lt;=$DG50,INDEX($BC50:$BN50,1,_xlfn.XMATCH(ET$5,$CC50:$CN50)),"na")</f>
        <v>na</v>
      </c>
      <c r="EU50" s="45" t="str" cm="1">
        <f t="array" ref="EU50">IF(EU$5&lt;=$DH50,INDEX($BP50:$CA50,1,_xlfn.XMATCH(EU$5,$CP50:$DA50)),"na")</f>
        <v>na</v>
      </c>
      <c r="EV50" s="46" t="str" cm="1">
        <f t="array" ref="EV50">IF(EV$5&lt;=$DG50,INDEX($AC50:$AN50,1,_xlfn.XMATCH(EV$5,$CC50:$CN50)),"na")</f>
        <v>na</v>
      </c>
      <c r="EW50" s="47" t="str" cm="1">
        <f t="array" ref="EW50">IF(EW$5&lt;=$DG50,INDEX($AP50:$BA50,1,_xlfn.XMATCH(EW$5,$CC50:$CN50)),"na")</f>
        <v>na</v>
      </c>
      <c r="EX50" s="44" t="str" cm="1">
        <f t="array" ref="EX50">IF(EX$5&lt;=$DG50,INDEX($BC50:$BN50,1,_xlfn.XMATCH(EX$5,$CC50:$CN50)),"na")</f>
        <v>na</v>
      </c>
      <c r="EY50" s="45" t="str" cm="1">
        <f t="array" ref="EY50">IF(EY$5&lt;=$DH50,INDEX($BP50:$CA50,1,_xlfn.XMATCH(EY$5,$CP50:$DA50)),"na")</f>
        <v>na</v>
      </c>
      <c r="EZ50" s="46" t="str" cm="1">
        <f t="array" ref="EZ50">IF(EZ$5&lt;=$DG50,INDEX($AC50:$AN50,1,_xlfn.XMATCH(EZ$5,$CC50:$CN50)),"na")</f>
        <v>na</v>
      </c>
      <c r="FA50" s="47" t="str" cm="1">
        <f t="array" ref="FA50">IF(FA$5&lt;=$DG50,INDEX($AP50:$BA50,1,_xlfn.XMATCH(FA$5,$CC50:$CN50)),"na")</f>
        <v>na</v>
      </c>
      <c r="FB50" s="44" t="str" cm="1">
        <f t="array" ref="FB50">IF(FB$5&lt;=$DG50,INDEX($BC50:$BN50,1,_xlfn.XMATCH(FB$5,$CC50:$CN50)),"na")</f>
        <v>na</v>
      </c>
      <c r="FC50" s="45" t="str" cm="1">
        <f t="array" ref="FC50">IF(FC$5&lt;=$DH50,INDEX($BP50:$CA50,1,_xlfn.XMATCH(FC$5,$CP50:$DA50)),"na")</f>
        <v>na</v>
      </c>
      <c r="FD50" s="46" t="str" cm="1">
        <f t="array" ref="FD50">IF(FD$5&lt;=$DG50,INDEX($AC50:$AN50,1,_xlfn.XMATCH(FD$5,$CC50:$CN50)),"na")</f>
        <v>na</v>
      </c>
      <c r="FE50" s="47" t="str" cm="1">
        <f t="array" ref="FE50">IF(FE$5&lt;=$DG50,INDEX($AP50:$BA50,1,_xlfn.XMATCH(FE$5,$CC50:$CN50)),"na")</f>
        <v>na</v>
      </c>
    </row>
    <row r="51" spans="2:161" x14ac:dyDescent="0.25">
      <c r="B51" s="10" t="s">
        <v>107</v>
      </c>
      <c r="C51" s="8">
        <v>2418</v>
      </c>
      <c r="D51" s="8">
        <v>2184</v>
      </c>
      <c r="E51" s="8">
        <v>2418</v>
      </c>
      <c r="F51" s="8">
        <v>2340</v>
      </c>
      <c r="G51" s="8">
        <v>2418</v>
      </c>
      <c r="H51" s="8">
        <v>2340</v>
      </c>
      <c r="I51" s="8">
        <v>2418</v>
      </c>
      <c r="J51" s="8">
        <v>2418</v>
      </c>
      <c r="K51" s="8">
        <v>2340</v>
      </c>
      <c r="L51" s="8">
        <v>2418</v>
      </c>
      <c r="M51" s="8">
        <v>2340</v>
      </c>
      <c r="N51" s="8">
        <v>2418</v>
      </c>
      <c r="O51" s="8"/>
      <c r="P51" s="8">
        <v>2232</v>
      </c>
      <c r="Q51" s="8">
        <v>2016</v>
      </c>
      <c r="R51" s="8">
        <v>2232</v>
      </c>
      <c r="S51" s="8">
        <v>2160</v>
      </c>
      <c r="T51" s="8">
        <v>2232</v>
      </c>
      <c r="U51" s="8">
        <v>2160</v>
      </c>
      <c r="V51" s="8">
        <v>2232</v>
      </c>
      <c r="W51" s="8">
        <v>2232</v>
      </c>
      <c r="X51" s="8">
        <v>2160</v>
      </c>
      <c r="Y51" s="8">
        <v>2232</v>
      </c>
      <c r="Z51" s="8">
        <v>2160</v>
      </c>
      <c r="AA51" s="8">
        <v>2232</v>
      </c>
      <c r="AC51" s="14">
        <f>C51/_xlfn.XLOOKUP(AC$5,'OC-Days'!$G:$G,'OC-Days'!$B:$B)</f>
        <v>78</v>
      </c>
      <c r="AD51" s="14">
        <f>D51/_xlfn.XLOOKUP(AD$5,'OC-Days'!$G:$G,'OC-Days'!$B:$B)</f>
        <v>78</v>
      </c>
      <c r="AE51" s="14">
        <f>E51/_xlfn.XLOOKUP(AE$5,'OC-Days'!$G:$G,'OC-Days'!$B:$B)</f>
        <v>78</v>
      </c>
      <c r="AF51" s="14">
        <f>F51/_xlfn.XLOOKUP(AF$5,'OC-Days'!$G:$G,'OC-Days'!$B:$B)</f>
        <v>78</v>
      </c>
      <c r="AG51" s="14">
        <f>G51/_xlfn.XLOOKUP(AG$5,'OC-Days'!$G:$G,'OC-Days'!$B:$B)</f>
        <v>78</v>
      </c>
      <c r="AH51" s="14">
        <f>H51/_xlfn.XLOOKUP(AH$5,'OC-Days'!$G:$G,'OC-Days'!$B:$B)</f>
        <v>78</v>
      </c>
      <c r="AI51" s="14">
        <f>I51/_xlfn.XLOOKUP(AI$5,'OC-Days'!$G:$G,'OC-Days'!$B:$B)</f>
        <v>78</v>
      </c>
      <c r="AJ51" s="14">
        <f>J51/_xlfn.XLOOKUP(AJ$5,'OC-Days'!$G:$G,'OC-Days'!$B:$B)</f>
        <v>78</v>
      </c>
      <c r="AK51" s="14">
        <f>K51/_xlfn.XLOOKUP(AK$5,'OC-Days'!$G:$G,'OC-Days'!$B:$B)</f>
        <v>78</v>
      </c>
      <c r="AL51" s="14">
        <f>L51/_xlfn.XLOOKUP(AL$5,'OC-Days'!$G:$G,'OC-Days'!$B:$B)</f>
        <v>78</v>
      </c>
      <c r="AM51" s="14">
        <f>M51/_xlfn.XLOOKUP(AM$5,'OC-Days'!$G:$G,'OC-Days'!$B:$B)</f>
        <v>78</v>
      </c>
      <c r="AN51" s="14">
        <f>N51/_xlfn.XLOOKUP(AN$5,'OC-Days'!$G:$G,'OC-Days'!$B:$B)</f>
        <v>78</v>
      </c>
      <c r="AP51" s="14">
        <f>P51/_xlfn.XLOOKUP(AP$5,'OC-Days'!$G:$G,'OC-Days'!$B:$B)</f>
        <v>72</v>
      </c>
      <c r="AQ51" s="14">
        <f>Q51/_xlfn.XLOOKUP(AQ$5,'OC-Days'!$G:$G,'OC-Days'!$B:$B)</f>
        <v>72</v>
      </c>
      <c r="AR51" s="14">
        <f>R51/_xlfn.XLOOKUP(AR$5,'OC-Days'!$G:$G,'OC-Days'!$B:$B)</f>
        <v>72</v>
      </c>
      <c r="AS51" s="14">
        <f>S51/_xlfn.XLOOKUP(AS$5,'OC-Days'!$G:$G,'OC-Days'!$B:$B)</f>
        <v>72</v>
      </c>
      <c r="AT51" s="14">
        <f>T51/_xlfn.XLOOKUP(AT$5,'OC-Days'!$G:$G,'OC-Days'!$B:$B)</f>
        <v>72</v>
      </c>
      <c r="AU51" s="14">
        <f>U51/_xlfn.XLOOKUP(AU$5,'OC-Days'!$G:$G,'OC-Days'!$B:$B)</f>
        <v>72</v>
      </c>
      <c r="AV51" s="14">
        <f>V51/_xlfn.XLOOKUP(AV$5,'OC-Days'!$G:$G,'OC-Days'!$B:$B)</f>
        <v>72</v>
      </c>
      <c r="AW51" s="14">
        <f>W51/_xlfn.XLOOKUP(AW$5,'OC-Days'!$G:$G,'OC-Days'!$B:$B)</f>
        <v>72</v>
      </c>
      <c r="AX51" s="14">
        <f>X51/_xlfn.XLOOKUP(AX$5,'OC-Days'!$G:$G,'OC-Days'!$B:$B)</f>
        <v>72</v>
      </c>
      <c r="AY51" s="14">
        <f>Y51/_xlfn.XLOOKUP(AY$5,'OC-Days'!$G:$G,'OC-Days'!$B:$B)</f>
        <v>72</v>
      </c>
      <c r="AZ51" s="14">
        <f>Z51/_xlfn.XLOOKUP(AZ$5,'OC-Days'!$G:$G,'OC-Days'!$B:$B)</f>
        <v>72</v>
      </c>
      <c r="BA51" s="14">
        <f>AA51/_xlfn.XLOOKUP(BA$5,'OC-Days'!$G:$G,'OC-Days'!$B:$B)</f>
        <v>72</v>
      </c>
      <c r="BC51" s="33">
        <f>_xlfn.XLOOKUP(BC$5,'OC-Days'!$G:$G,'OC-Days'!$F:$F)</f>
        <v>45658</v>
      </c>
      <c r="BD51" s="34" t="str">
        <f>IF(AQ51=AP51,"na",_xlfn.XLOOKUP(BD$5,'OC-Days'!$G:$G,'OC-Days'!$F:$F))</f>
        <v>na</v>
      </c>
      <c r="BE51" s="34" t="str">
        <f>IF(AR51=AQ51,"na",_xlfn.XLOOKUP(BE$5,'OC-Days'!$G:$G,'OC-Days'!$F:$F))</f>
        <v>na</v>
      </c>
      <c r="BF51" s="34" t="str">
        <f>IF(AS51=AR51,"na",_xlfn.XLOOKUP(BF$5,'OC-Days'!$G:$G,'OC-Days'!$F:$F))</f>
        <v>na</v>
      </c>
      <c r="BG51" s="34" t="str">
        <f>IF(AT51=AS51,"na",_xlfn.XLOOKUP(BG$5,'OC-Days'!$G:$G,'OC-Days'!$F:$F))</f>
        <v>na</v>
      </c>
      <c r="BH51" s="34" t="str">
        <f>IF(AU51=AT51,"na",_xlfn.XLOOKUP(BH$5,'OC-Days'!$G:$G,'OC-Days'!$F:$F))</f>
        <v>na</v>
      </c>
      <c r="BI51" s="34" t="str">
        <f>IF(AV51=AU51,"na",_xlfn.XLOOKUP(BI$5,'OC-Days'!$G:$G,'OC-Days'!$F:$F))</f>
        <v>na</v>
      </c>
      <c r="BJ51" s="34" t="str">
        <f>IF(AW51=AV51,"na",_xlfn.XLOOKUP(BJ$5,'OC-Days'!$G:$G,'OC-Days'!$F:$F))</f>
        <v>na</v>
      </c>
      <c r="BK51" s="34" t="str">
        <f>IF(AX51=AW51,"na",_xlfn.XLOOKUP(BK$5,'OC-Days'!$G:$G,'OC-Days'!$F:$F))</f>
        <v>na</v>
      </c>
      <c r="BL51" s="34" t="str">
        <f>IF(AY51=AX51,"na",_xlfn.XLOOKUP(BL$5,'OC-Days'!$G:$G,'OC-Days'!$F:$F))</f>
        <v>na</v>
      </c>
      <c r="BM51" s="34" t="str">
        <f>IF(AZ51=AY51,"na",_xlfn.XLOOKUP(BM$5,'OC-Days'!$G:$G,'OC-Days'!$F:$F))</f>
        <v>na</v>
      </c>
      <c r="BN51" s="34" t="str">
        <f>IF(BA51=AZ51,"na",_xlfn.XLOOKUP(BN$5,'OC-Days'!$G:$G,'OC-Days'!$F:$F))</f>
        <v>na</v>
      </c>
      <c r="BP51" s="36" t="str">
        <f t="shared" si="52"/>
        <v>na</v>
      </c>
      <c r="BQ51" s="36" t="str">
        <f t="shared" si="53"/>
        <v>na</v>
      </c>
      <c r="BR51" s="36" t="str">
        <f t="shared" si="54"/>
        <v>na</v>
      </c>
      <c r="BS51" s="36" t="str">
        <f t="shared" si="55"/>
        <v>na</v>
      </c>
      <c r="BT51" s="36" t="str">
        <f t="shared" si="56"/>
        <v>na</v>
      </c>
      <c r="BU51" s="36" t="str">
        <f t="shared" si="57"/>
        <v>na</v>
      </c>
      <c r="BV51" s="36" t="str">
        <f t="shared" si="58"/>
        <v>na</v>
      </c>
      <c r="BW51" s="36" t="str">
        <f t="shared" si="59"/>
        <v>na</v>
      </c>
      <c r="BX51" s="36" t="str">
        <f t="shared" si="60"/>
        <v>na</v>
      </c>
      <c r="BY51" s="36" t="str">
        <f t="shared" si="61"/>
        <v>na</v>
      </c>
      <c r="BZ51" s="36" t="str">
        <f t="shared" si="62"/>
        <v>na</v>
      </c>
      <c r="CA51" s="43">
        <f t="shared" si="46"/>
        <v>46022</v>
      </c>
      <c r="CC51" s="8">
        <f>COUNT($BC51:BC51)</f>
        <v>1</v>
      </c>
      <c r="CD51" s="8">
        <f>COUNT($BC51:BD51)</f>
        <v>1</v>
      </c>
      <c r="CE51" s="8">
        <f>COUNT($BC51:BE51)</f>
        <v>1</v>
      </c>
      <c r="CF51" s="8">
        <f>COUNT($BC51:BF51)</f>
        <v>1</v>
      </c>
      <c r="CG51" s="8">
        <f>COUNT($BC51:BG51)</f>
        <v>1</v>
      </c>
      <c r="CH51" s="8">
        <f>COUNT($BC51:BH51)</f>
        <v>1</v>
      </c>
      <c r="CI51" s="8">
        <f>COUNT($BC51:BI51)</f>
        <v>1</v>
      </c>
      <c r="CJ51" s="8">
        <f>COUNT($BC51:BJ51)</f>
        <v>1</v>
      </c>
      <c r="CK51" s="8">
        <f>COUNT($BC51:BK51)</f>
        <v>1</v>
      </c>
      <c r="CL51" s="8">
        <f>COUNT($BC51:BL51)</f>
        <v>1</v>
      </c>
      <c r="CM51" s="8">
        <f>COUNT($BC51:BM51)</f>
        <v>1</v>
      </c>
      <c r="CN51" s="8">
        <f>COUNT($BC51:BN51)</f>
        <v>1</v>
      </c>
      <c r="CO51" s="8"/>
      <c r="CP51" s="8">
        <f>COUNT($BP51:BP51)</f>
        <v>0</v>
      </c>
      <c r="CQ51" s="8">
        <f>COUNT($BP51:BQ51)</f>
        <v>0</v>
      </c>
      <c r="CR51" s="8">
        <f>COUNT($BP51:BR51)</f>
        <v>0</v>
      </c>
      <c r="CS51" s="8">
        <f>COUNT($BP51:BS51)</f>
        <v>0</v>
      </c>
      <c r="CT51" s="8">
        <f>COUNT($BP51:BT51)</f>
        <v>0</v>
      </c>
      <c r="CU51" s="8">
        <f>COUNT($BP51:BU51)</f>
        <v>0</v>
      </c>
      <c r="CV51" s="8">
        <f>COUNT($BP51:BV51)</f>
        <v>0</v>
      </c>
      <c r="CW51" s="8">
        <f>COUNT($BP51:BW51)</f>
        <v>0</v>
      </c>
      <c r="CX51" s="8">
        <f>COUNT($BP51:BX51)</f>
        <v>0</v>
      </c>
      <c r="CY51" s="8">
        <f>COUNT($BP51:BY51)</f>
        <v>0</v>
      </c>
      <c r="CZ51" s="8">
        <f>COUNT($BP51:BZ51)</f>
        <v>0</v>
      </c>
      <c r="DA51" s="8">
        <f>COUNT($BP51:CA51)</f>
        <v>1</v>
      </c>
      <c r="DC51">
        <f t="shared" si="47"/>
        <v>835</v>
      </c>
      <c r="DD51">
        <f t="shared" si="48"/>
        <v>31</v>
      </c>
      <c r="DE51" t="str">
        <f t="shared" si="49"/>
        <v>835-31</v>
      </c>
      <c r="DG51">
        <f t="shared" si="50"/>
        <v>1</v>
      </c>
      <c r="DH51">
        <f t="shared" si="51"/>
        <v>1</v>
      </c>
      <c r="DJ51" s="44" cm="1">
        <f t="array" ref="DJ51">IF(DJ$5&lt;=$DG51,INDEX($BC51:$BN51,1,_xlfn.XMATCH(DJ$5,$CC51:$CN51)),"na")</f>
        <v>45658</v>
      </c>
      <c r="DK51" s="45" cm="1">
        <f t="array" ref="DK51">IF(DK$5&lt;=$DH51,INDEX($BP51:$CA51,1,_xlfn.XMATCH(DK$5,$CP51:$DA51)),"na")</f>
        <v>46022</v>
      </c>
      <c r="DL51" s="46" cm="1">
        <f t="array" ref="DL51">IF(DL$5&lt;=$DG51,INDEX($AC51:$AN51,1,_xlfn.XMATCH(DL$5,$CC51:$CN51)),"na")</f>
        <v>78</v>
      </c>
      <c r="DM51" s="47" cm="1">
        <f t="array" ref="DM51">IF(DM$5&lt;=$DG51,INDEX($AP51:$BA51,1,_xlfn.XMATCH(DM$5,$CC51:$CN51)),"na")</f>
        <v>72</v>
      </c>
      <c r="DN51" s="44" t="str" cm="1">
        <f t="array" ref="DN51">IF(DN$5&lt;=$DG51,INDEX($BC51:$BN51,1,_xlfn.XMATCH(DN$5,$CC51:$CN51)),"na")</f>
        <v>na</v>
      </c>
      <c r="DO51" s="45" t="str" cm="1">
        <f t="array" ref="DO51">IF(DO$5&lt;=$DH51,INDEX($BP51:$CA51,1,_xlfn.XMATCH(DO$5,$CP51:$DA51)),"na")</f>
        <v>na</v>
      </c>
      <c r="DP51" s="46" t="str" cm="1">
        <f t="array" ref="DP51">IF(DP$5&lt;=$DG51,INDEX($AC51:$AN51,1,_xlfn.XMATCH(DP$5,$CC51:$CN51)),"na")</f>
        <v>na</v>
      </c>
      <c r="DQ51" s="47" t="str" cm="1">
        <f t="array" ref="DQ51">IF(DQ$5&lt;=$DG51,INDEX($AP51:$BA51,1,_xlfn.XMATCH(DQ$5,$CC51:$CN51)),"na")</f>
        <v>na</v>
      </c>
      <c r="DR51" s="44" t="str" cm="1">
        <f t="array" ref="DR51">IF(DR$5&lt;=$DG51,INDEX($BC51:$BN51,1,_xlfn.XMATCH(DR$5,$CC51:$CN51)),"na")</f>
        <v>na</v>
      </c>
      <c r="DS51" s="45" t="str" cm="1">
        <f t="array" ref="DS51">IF(DS$5&lt;=$DH51,INDEX($BP51:$CA51,1,_xlfn.XMATCH(DS$5,$CP51:$DA51)),"na")</f>
        <v>na</v>
      </c>
      <c r="DT51" s="46" t="str" cm="1">
        <f t="array" ref="DT51">IF(DT$5&lt;=$DG51,INDEX($AC51:$AN51,1,_xlfn.XMATCH(DT$5,$CC51:$CN51)),"na")</f>
        <v>na</v>
      </c>
      <c r="DU51" s="47" t="str" cm="1">
        <f t="array" ref="DU51">IF(DU$5&lt;=$DG51,INDEX($AP51:$BA51,1,_xlfn.XMATCH(DU$5,$CC51:$CN51)),"na")</f>
        <v>na</v>
      </c>
      <c r="DV51" s="44" t="str" cm="1">
        <f t="array" ref="DV51">IF(DV$5&lt;=$DG51,INDEX($BC51:$BN51,1,_xlfn.XMATCH(DV$5,$CC51:$CN51)),"na")</f>
        <v>na</v>
      </c>
      <c r="DW51" s="45" t="str" cm="1">
        <f t="array" ref="DW51">IF(DW$5&lt;=$DH51,INDEX($BP51:$CA51,1,_xlfn.XMATCH(DW$5,$CP51:$DA51)),"na")</f>
        <v>na</v>
      </c>
      <c r="DX51" s="46" t="str" cm="1">
        <f t="array" ref="DX51">IF(DX$5&lt;=$DG51,INDEX($AC51:$AN51,1,_xlfn.XMATCH(DX$5,$CC51:$CN51)),"na")</f>
        <v>na</v>
      </c>
      <c r="DY51" s="47" t="str" cm="1">
        <f t="array" ref="DY51">IF(DY$5&lt;=$DG51,INDEX($AP51:$BA51,1,_xlfn.XMATCH(DY$5,$CC51:$CN51)),"na")</f>
        <v>na</v>
      </c>
      <c r="DZ51" s="44" t="str" cm="1">
        <f t="array" ref="DZ51">IF(DZ$5&lt;=$DG51,INDEX($BC51:$BN51,1,_xlfn.XMATCH(DZ$5,$CC51:$CN51)),"na")</f>
        <v>na</v>
      </c>
      <c r="EA51" s="45" t="str" cm="1">
        <f t="array" ref="EA51">IF(EA$5&lt;=$DH51,INDEX($BP51:$CA51,1,_xlfn.XMATCH(EA$5,$CP51:$DA51)),"na")</f>
        <v>na</v>
      </c>
      <c r="EB51" s="46" t="str" cm="1">
        <f t="array" ref="EB51">IF(EB$5&lt;=$DG51,INDEX($AC51:$AN51,1,_xlfn.XMATCH(EB$5,$CC51:$CN51)),"na")</f>
        <v>na</v>
      </c>
      <c r="EC51" s="47" t="str" cm="1">
        <f t="array" ref="EC51">IF(EC$5&lt;=$DG51,INDEX($AP51:$BA51,1,_xlfn.XMATCH(EC$5,$CC51:$CN51)),"na")</f>
        <v>na</v>
      </c>
      <c r="ED51" s="44" t="str" cm="1">
        <f t="array" ref="ED51">IF(ED$5&lt;=$DG51,INDEX($BC51:$BN51,1,_xlfn.XMATCH(ED$5,$CC51:$CN51)),"na")</f>
        <v>na</v>
      </c>
      <c r="EE51" s="45" t="str" cm="1">
        <f t="array" ref="EE51">IF(EE$5&lt;=$DH51,INDEX($BP51:$CA51,1,_xlfn.XMATCH(EE$5,$CP51:$DA51)),"na")</f>
        <v>na</v>
      </c>
      <c r="EF51" s="46" t="str" cm="1">
        <f t="array" ref="EF51">IF(EF$5&lt;=$DG51,INDEX($AC51:$AN51,1,_xlfn.XMATCH(EF$5,$CC51:$CN51)),"na")</f>
        <v>na</v>
      </c>
      <c r="EG51" s="47" t="str" cm="1">
        <f t="array" ref="EG51">IF(EG$5&lt;=$DG51,INDEX($AP51:$BA51,1,_xlfn.XMATCH(EG$5,$CC51:$CN51)),"na")</f>
        <v>na</v>
      </c>
      <c r="EH51" s="44" t="str" cm="1">
        <f t="array" ref="EH51">IF(EH$5&lt;=$DG51,INDEX($BC51:$BN51,1,_xlfn.XMATCH(EH$5,$CC51:$CN51)),"na")</f>
        <v>na</v>
      </c>
      <c r="EI51" s="45" t="str" cm="1">
        <f t="array" ref="EI51">IF(EI$5&lt;=$DH51,INDEX($BP51:$CA51,1,_xlfn.XMATCH(EI$5,$CP51:$DA51)),"na")</f>
        <v>na</v>
      </c>
      <c r="EJ51" s="46" t="str" cm="1">
        <f t="array" ref="EJ51">IF(EJ$5&lt;=$DG51,INDEX($AC51:$AN51,1,_xlfn.XMATCH(EJ$5,$CC51:$CN51)),"na")</f>
        <v>na</v>
      </c>
      <c r="EK51" s="47" t="str" cm="1">
        <f t="array" ref="EK51">IF(EK$5&lt;=$DG51,INDEX($AP51:$BA51,1,_xlfn.XMATCH(EK$5,$CC51:$CN51)),"na")</f>
        <v>na</v>
      </c>
      <c r="EL51" s="44" t="str" cm="1">
        <f t="array" ref="EL51">IF(EL$5&lt;=$DG51,INDEX($BC51:$BN51,1,_xlfn.XMATCH(EL$5,$CC51:$CN51)),"na")</f>
        <v>na</v>
      </c>
      <c r="EM51" s="45" t="str" cm="1">
        <f t="array" ref="EM51">IF(EM$5&lt;=$DH51,INDEX($BP51:$CA51,1,_xlfn.XMATCH(EM$5,$CP51:$DA51)),"na")</f>
        <v>na</v>
      </c>
      <c r="EN51" s="46" t="str" cm="1">
        <f t="array" ref="EN51">IF(EN$5&lt;=$DG51,INDEX($AC51:$AN51,1,_xlfn.XMATCH(EN$5,$CC51:$CN51)),"na")</f>
        <v>na</v>
      </c>
      <c r="EO51" s="47" t="str" cm="1">
        <f t="array" ref="EO51">IF(EO$5&lt;=$DG51,INDEX($AP51:$BA51,1,_xlfn.XMATCH(EO$5,$CC51:$CN51)),"na")</f>
        <v>na</v>
      </c>
      <c r="EP51" s="44" t="str" cm="1">
        <f t="array" ref="EP51">IF(EP$5&lt;=$DG51,INDEX($BC51:$BN51,1,_xlfn.XMATCH(EP$5,$CC51:$CN51)),"na")</f>
        <v>na</v>
      </c>
      <c r="EQ51" s="45" t="str" cm="1">
        <f t="array" ref="EQ51">IF(EQ$5&lt;=$DH51,INDEX($BP51:$CA51,1,_xlfn.XMATCH(EQ$5,$CP51:$DA51)),"na")</f>
        <v>na</v>
      </c>
      <c r="ER51" s="46" t="str" cm="1">
        <f t="array" ref="ER51">IF(ER$5&lt;=$DG51,INDEX($AC51:$AN51,1,_xlfn.XMATCH(ER$5,$CC51:$CN51)),"na")</f>
        <v>na</v>
      </c>
      <c r="ES51" s="47" t="str" cm="1">
        <f t="array" ref="ES51">IF(ES$5&lt;=$DG51,INDEX($AP51:$BA51,1,_xlfn.XMATCH(ES$5,$CC51:$CN51)),"na")</f>
        <v>na</v>
      </c>
      <c r="ET51" s="44" t="str" cm="1">
        <f t="array" ref="ET51">IF(ET$5&lt;=$DG51,INDEX($BC51:$BN51,1,_xlfn.XMATCH(ET$5,$CC51:$CN51)),"na")</f>
        <v>na</v>
      </c>
      <c r="EU51" s="45" t="str" cm="1">
        <f t="array" ref="EU51">IF(EU$5&lt;=$DH51,INDEX($BP51:$CA51,1,_xlfn.XMATCH(EU$5,$CP51:$DA51)),"na")</f>
        <v>na</v>
      </c>
      <c r="EV51" s="46" t="str" cm="1">
        <f t="array" ref="EV51">IF(EV$5&lt;=$DG51,INDEX($AC51:$AN51,1,_xlfn.XMATCH(EV$5,$CC51:$CN51)),"na")</f>
        <v>na</v>
      </c>
      <c r="EW51" s="47" t="str" cm="1">
        <f t="array" ref="EW51">IF(EW$5&lt;=$DG51,INDEX($AP51:$BA51,1,_xlfn.XMATCH(EW$5,$CC51:$CN51)),"na")</f>
        <v>na</v>
      </c>
      <c r="EX51" s="44" t="str" cm="1">
        <f t="array" ref="EX51">IF(EX$5&lt;=$DG51,INDEX($BC51:$BN51,1,_xlfn.XMATCH(EX$5,$CC51:$CN51)),"na")</f>
        <v>na</v>
      </c>
      <c r="EY51" s="45" t="str" cm="1">
        <f t="array" ref="EY51">IF(EY$5&lt;=$DH51,INDEX($BP51:$CA51,1,_xlfn.XMATCH(EY$5,$CP51:$DA51)),"na")</f>
        <v>na</v>
      </c>
      <c r="EZ51" s="46" t="str" cm="1">
        <f t="array" ref="EZ51">IF(EZ$5&lt;=$DG51,INDEX($AC51:$AN51,1,_xlfn.XMATCH(EZ$5,$CC51:$CN51)),"na")</f>
        <v>na</v>
      </c>
      <c r="FA51" s="47" t="str" cm="1">
        <f t="array" ref="FA51">IF(FA$5&lt;=$DG51,INDEX($AP51:$BA51,1,_xlfn.XMATCH(FA$5,$CC51:$CN51)),"na")</f>
        <v>na</v>
      </c>
      <c r="FB51" s="44" t="str" cm="1">
        <f t="array" ref="FB51">IF(FB$5&lt;=$DG51,INDEX($BC51:$BN51,1,_xlfn.XMATCH(FB$5,$CC51:$CN51)),"na")</f>
        <v>na</v>
      </c>
      <c r="FC51" s="45" t="str" cm="1">
        <f t="array" ref="FC51">IF(FC$5&lt;=$DH51,INDEX($BP51:$CA51,1,_xlfn.XMATCH(FC$5,$CP51:$DA51)),"na")</f>
        <v>na</v>
      </c>
      <c r="FD51" s="46" t="str" cm="1">
        <f t="array" ref="FD51">IF(FD$5&lt;=$DG51,INDEX($AC51:$AN51,1,_xlfn.XMATCH(FD$5,$CC51:$CN51)),"na")</f>
        <v>na</v>
      </c>
      <c r="FE51" s="47" t="str" cm="1">
        <f t="array" ref="FE51">IF(FE$5&lt;=$DG51,INDEX($AP51:$BA51,1,_xlfn.XMATCH(FE$5,$CC51:$CN51)),"na")</f>
        <v>na</v>
      </c>
    </row>
    <row r="52" spans="2:161" x14ac:dyDescent="0.25">
      <c r="B52" s="10" t="s">
        <v>108</v>
      </c>
      <c r="C52" s="8">
        <v>1178</v>
      </c>
      <c r="D52" s="8">
        <v>1064</v>
      </c>
      <c r="E52" s="8">
        <v>1178</v>
      </c>
      <c r="F52" s="8">
        <v>1140</v>
      </c>
      <c r="G52" s="8">
        <v>1178</v>
      </c>
      <c r="H52" s="8">
        <v>1140</v>
      </c>
      <c r="I52" s="8">
        <v>1178</v>
      </c>
      <c r="J52" s="8">
        <v>1178</v>
      </c>
      <c r="K52" s="8">
        <v>1140</v>
      </c>
      <c r="L52" s="8">
        <v>1178</v>
      </c>
      <c r="M52" s="8">
        <v>1140</v>
      </c>
      <c r="N52" s="8">
        <v>1178</v>
      </c>
      <c r="O52" s="8"/>
      <c r="P52" s="8">
        <v>1095.5400000000002</v>
      </c>
      <c r="Q52" s="8">
        <v>989.52</v>
      </c>
      <c r="R52" s="8">
        <v>1095.5400000000002</v>
      </c>
      <c r="S52" s="8">
        <v>1060.2</v>
      </c>
      <c r="T52" s="8">
        <v>1095.5400000000002</v>
      </c>
      <c r="U52" s="8">
        <v>1060.2</v>
      </c>
      <c r="V52" s="8">
        <v>1095.5400000000002</v>
      </c>
      <c r="W52" s="8">
        <v>1095.5400000000002</v>
      </c>
      <c r="X52" s="8">
        <v>1060.2</v>
      </c>
      <c r="Y52" s="8">
        <v>1095.5400000000002</v>
      </c>
      <c r="Z52" s="8">
        <v>1060.2</v>
      </c>
      <c r="AA52" s="8">
        <v>1095.5400000000002</v>
      </c>
      <c r="AC52" s="14">
        <f>C52/_xlfn.XLOOKUP(AC$5,'OC-Days'!$G:$G,'OC-Days'!$B:$B)</f>
        <v>38</v>
      </c>
      <c r="AD52" s="14">
        <f>D52/_xlfn.XLOOKUP(AD$5,'OC-Days'!$G:$G,'OC-Days'!$B:$B)</f>
        <v>38</v>
      </c>
      <c r="AE52" s="14">
        <f>E52/_xlfn.XLOOKUP(AE$5,'OC-Days'!$G:$G,'OC-Days'!$B:$B)</f>
        <v>38</v>
      </c>
      <c r="AF52" s="14">
        <f>F52/_xlfn.XLOOKUP(AF$5,'OC-Days'!$G:$G,'OC-Days'!$B:$B)</f>
        <v>38</v>
      </c>
      <c r="AG52" s="14">
        <f>G52/_xlfn.XLOOKUP(AG$5,'OC-Days'!$G:$G,'OC-Days'!$B:$B)</f>
        <v>38</v>
      </c>
      <c r="AH52" s="14">
        <f>H52/_xlfn.XLOOKUP(AH$5,'OC-Days'!$G:$G,'OC-Days'!$B:$B)</f>
        <v>38</v>
      </c>
      <c r="AI52" s="14">
        <f>I52/_xlfn.XLOOKUP(AI$5,'OC-Days'!$G:$G,'OC-Days'!$B:$B)</f>
        <v>38</v>
      </c>
      <c r="AJ52" s="14">
        <f>J52/_xlfn.XLOOKUP(AJ$5,'OC-Days'!$G:$G,'OC-Days'!$B:$B)</f>
        <v>38</v>
      </c>
      <c r="AK52" s="14">
        <f>K52/_xlfn.XLOOKUP(AK$5,'OC-Days'!$G:$G,'OC-Days'!$B:$B)</f>
        <v>38</v>
      </c>
      <c r="AL52" s="14">
        <f>L52/_xlfn.XLOOKUP(AL$5,'OC-Days'!$G:$G,'OC-Days'!$B:$B)</f>
        <v>38</v>
      </c>
      <c r="AM52" s="14">
        <f>M52/_xlfn.XLOOKUP(AM$5,'OC-Days'!$G:$G,'OC-Days'!$B:$B)</f>
        <v>38</v>
      </c>
      <c r="AN52" s="14">
        <f>N52/_xlfn.XLOOKUP(AN$5,'OC-Days'!$G:$G,'OC-Days'!$B:$B)</f>
        <v>38</v>
      </c>
      <c r="AP52" s="14">
        <f>P52/_xlfn.XLOOKUP(AP$5,'OC-Days'!$G:$G,'OC-Days'!$B:$B)</f>
        <v>35.340000000000003</v>
      </c>
      <c r="AQ52" s="14">
        <f>Q52/_xlfn.XLOOKUP(AQ$5,'OC-Days'!$G:$G,'OC-Days'!$B:$B)</f>
        <v>35.339999999999996</v>
      </c>
      <c r="AR52" s="14">
        <f>R52/_xlfn.XLOOKUP(AR$5,'OC-Days'!$G:$G,'OC-Days'!$B:$B)</f>
        <v>35.340000000000003</v>
      </c>
      <c r="AS52" s="14">
        <f>S52/_xlfn.XLOOKUP(AS$5,'OC-Days'!$G:$G,'OC-Days'!$B:$B)</f>
        <v>35.340000000000003</v>
      </c>
      <c r="AT52" s="14">
        <f>T52/_xlfn.XLOOKUP(AT$5,'OC-Days'!$G:$G,'OC-Days'!$B:$B)</f>
        <v>35.340000000000003</v>
      </c>
      <c r="AU52" s="14">
        <f>U52/_xlfn.XLOOKUP(AU$5,'OC-Days'!$G:$G,'OC-Days'!$B:$B)</f>
        <v>35.340000000000003</v>
      </c>
      <c r="AV52" s="14">
        <f>V52/_xlfn.XLOOKUP(AV$5,'OC-Days'!$G:$G,'OC-Days'!$B:$B)</f>
        <v>35.340000000000003</v>
      </c>
      <c r="AW52" s="14">
        <f>W52/_xlfn.XLOOKUP(AW$5,'OC-Days'!$G:$G,'OC-Days'!$B:$B)</f>
        <v>35.340000000000003</v>
      </c>
      <c r="AX52" s="14">
        <f>X52/_xlfn.XLOOKUP(AX$5,'OC-Days'!$G:$G,'OC-Days'!$B:$B)</f>
        <v>35.340000000000003</v>
      </c>
      <c r="AY52" s="14">
        <f>Y52/_xlfn.XLOOKUP(AY$5,'OC-Days'!$G:$G,'OC-Days'!$B:$B)</f>
        <v>35.340000000000003</v>
      </c>
      <c r="AZ52" s="14">
        <f>Z52/_xlfn.XLOOKUP(AZ$5,'OC-Days'!$G:$G,'OC-Days'!$B:$B)</f>
        <v>35.340000000000003</v>
      </c>
      <c r="BA52" s="14">
        <f>AA52/_xlfn.XLOOKUP(BA$5,'OC-Days'!$G:$G,'OC-Days'!$B:$B)</f>
        <v>35.340000000000003</v>
      </c>
      <c r="BC52" s="33">
        <f>_xlfn.XLOOKUP(BC$5,'OC-Days'!$G:$G,'OC-Days'!$F:$F)</f>
        <v>45658</v>
      </c>
      <c r="BD52" s="34" t="str">
        <f>IF(AQ52=AP52,"na",_xlfn.XLOOKUP(BD$5,'OC-Days'!$G:$G,'OC-Days'!$F:$F))</f>
        <v>na</v>
      </c>
      <c r="BE52" s="34" t="str">
        <f>IF(AR52=AQ52,"na",_xlfn.XLOOKUP(BE$5,'OC-Days'!$G:$G,'OC-Days'!$F:$F))</f>
        <v>na</v>
      </c>
      <c r="BF52" s="34" t="str">
        <f>IF(AS52=AR52,"na",_xlfn.XLOOKUP(BF$5,'OC-Days'!$G:$G,'OC-Days'!$F:$F))</f>
        <v>na</v>
      </c>
      <c r="BG52" s="34" t="str">
        <f>IF(AT52=AS52,"na",_xlfn.XLOOKUP(BG$5,'OC-Days'!$G:$G,'OC-Days'!$F:$F))</f>
        <v>na</v>
      </c>
      <c r="BH52" s="34" t="str">
        <f>IF(AU52=AT52,"na",_xlfn.XLOOKUP(BH$5,'OC-Days'!$G:$G,'OC-Days'!$F:$F))</f>
        <v>na</v>
      </c>
      <c r="BI52" s="34" t="str">
        <f>IF(AV52=AU52,"na",_xlfn.XLOOKUP(BI$5,'OC-Days'!$G:$G,'OC-Days'!$F:$F))</f>
        <v>na</v>
      </c>
      <c r="BJ52" s="34" t="str">
        <f>IF(AW52=AV52,"na",_xlfn.XLOOKUP(BJ$5,'OC-Days'!$G:$G,'OC-Days'!$F:$F))</f>
        <v>na</v>
      </c>
      <c r="BK52" s="34" t="str">
        <f>IF(AX52=AW52,"na",_xlfn.XLOOKUP(BK$5,'OC-Days'!$G:$G,'OC-Days'!$F:$F))</f>
        <v>na</v>
      </c>
      <c r="BL52" s="34" t="str">
        <f>IF(AY52=AX52,"na",_xlfn.XLOOKUP(BL$5,'OC-Days'!$G:$G,'OC-Days'!$F:$F))</f>
        <v>na</v>
      </c>
      <c r="BM52" s="34" t="str">
        <f>IF(AZ52=AY52,"na",_xlfn.XLOOKUP(BM$5,'OC-Days'!$G:$G,'OC-Days'!$F:$F))</f>
        <v>na</v>
      </c>
      <c r="BN52" s="34" t="str">
        <f>IF(BA52=AZ52,"na",_xlfn.XLOOKUP(BN$5,'OC-Days'!$G:$G,'OC-Days'!$F:$F))</f>
        <v>na</v>
      </c>
      <c r="BP52" s="36" t="str">
        <f t="shared" si="52"/>
        <v>na</v>
      </c>
      <c r="BQ52" s="36" t="str">
        <f t="shared" si="53"/>
        <v>na</v>
      </c>
      <c r="BR52" s="36" t="str">
        <f t="shared" si="54"/>
        <v>na</v>
      </c>
      <c r="BS52" s="36" t="str">
        <f t="shared" si="55"/>
        <v>na</v>
      </c>
      <c r="BT52" s="36" t="str">
        <f t="shared" si="56"/>
        <v>na</v>
      </c>
      <c r="BU52" s="36" t="str">
        <f t="shared" si="57"/>
        <v>na</v>
      </c>
      <c r="BV52" s="36" t="str">
        <f t="shared" si="58"/>
        <v>na</v>
      </c>
      <c r="BW52" s="36" t="str">
        <f t="shared" si="59"/>
        <v>na</v>
      </c>
      <c r="BX52" s="36" t="str">
        <f t="shared" si="60"/>
        <v>na</v>
      </c>
      <c r="BY52" s="36" t="str">
        <f t="shared" si="61"/>
        <v>na</v>
      </c>
      <c r="BZ52" s="36" t="str">
        <f t="shared" si="62"/>
        <v>na</v>
      </c>
      <c r="CA52" s="43">
        <f t="shared" si="46"/>
        <v>46022</v>
      </c>
      <c r="CC52" s="8">
        <f>COUNT($BC52:BC52)</f>
        <v>1</v>
      </c>
      <c r="CD52" s="8">
        <f>COUNT($BC52:BD52)</f>
        <v>1</v>
      </c>
      <c r="CE52" s="8">
        <f>COUNT($BC52:BE52)</f>
        <v>1</v>
      </c>
      <c r="CF52" s="8">
        <f>COUNT($BC52:BF52)</f>
        <v>1</v>
      </c>
      <c r="CG52" s="8">
        <f>COUNT($BC52:BG52)</f>
        <v>1</v>
      </c>
      <c r="CH52" s="8">
        <f>COUNT($BC52:BH52)</f>
        <v>1</v>
      </c>
      <c r="CI52" s="8">
        <f>COUNT($BC52:BI52)</f>
        <v>1</v>
      </c>
      <c r="CJ52" s="8">
        <f>COUNT($BC52:BJ52)</f>
        <v>1</v>
      </c>
      <c r="CK52" s="8">
        <f>COUNT($BC52:BK52)</f>
        <v>1</v>
      </c>
      <c r="CL52" s="8">
        <f>COUNT($BC52:BL52)</f>
        <v>1</v>
      </c>
      <c r="CM52" s="8">
        <f>COUNT($BC52:BM52)</f>
        <v>1</v>
      </c>
      <c r="CN52" s="8">
        <f>COUNT($BC52:BN52)</f>
        <v>1</v>
      </c>
      <c r="CO52" s="8"/>
      <c r="CP52" s="8">
        <f>COUNT($BP52:BP52)</f>
        <v>0</v>
      </c>
      <c r="CQ52" s="8">
        <f>COUNT($BP52:BQ52)</f>
        <v>0</v>
      </c>
      <c r="CR52" s="8">
        <f>COUNT($BP52:BR52)</f>
        <v>0</v>
      </c>
      <c r="CS52" s="8">
        <f>COUNT($BP52:BS52)</f>
        <v>0</v>
      </c>
      <c r="CT52" s="8">
        <f>COUNT($BP52:BT52)</f>
        <v>0</v>
      </c>
      <c r="CU52" s="8">
        <f>COUNT($BP52:BU52)</f>
        <v>0</v>
      </c>
      <c r="CV52" s="8">
        <f>COUNT($BP52:BV52)</f>
        <v>0</v>
      </c>
      <c r="CW52" s="8">
        <f>COUNT($BP52:BW52)</f>
        <v>0</v>
      </c>
      <c r="CX52" s="8">
        <f>COUNT($BP52:BX52)</f>
        <v>0</v>
      </c>
      <c r="CY52" s="8">
        <f>COUNT($BP52:BY52)</f>
        <v>0</v>
      </c>
      <c r="CZ52" s="8">
        <f>COUNT($BP52:BZ52)</f>
        <v>0</v>
      </c>
      <c r="DA52" s="8">
        <f>COUNT($BP52:CA52)</f>
        <v>1</v>
      </c>
      <c r="DC52">
        <f t="shared" si="47"/>
        <v>835</v>
      </c>
      <c r="DD52">
        <f t="shared" si="48"/>
        <v>51</v>
      </c>
      <c r="DE52" t="str">
        <f t="shared" si="49"/>
        <v>835-51</v>
      </c>
      <c r="DG52">
        <f t="shared" si="50"/>
        <v>1</v>
      </c>
      <c r="DH52">
        <f t="shared" si="51"/>
        <v>1</v>
      </c>
      <c r="DJ52" s="44" cm="1">
        <f t="array" ref="DJ52">IF(DJ$5&lt;=$DG52,INDEX($BC52:$BN52,1,_xlfn.XMATCH(DJ$5,$CC52:$CN52)),"na")</f>
        <v>45658</v>
      </c>
      <c r="DK52" s="45" cm="1">
        <f t="array" ref="DK52">IF(DK$5&lt;=$DH52,INDEX($BP52:$CA52,1,_xlfn.XMATCH(DK$5,$CP52:$DA52)),"na")</f>
        <v>46022</v>
      </c>
      <c r="DL52" s="46" cm="1">
        <f t="array" ref="DL52">IF(DL$5&lt;=$DG52,INDEX($AC52:$AN52,1,_xlfn.XMATCH(DL$5,$CC52:$CN52)),"na")</f>
        <v>38</v>
      </c>
      <c r="DM52" s="47" cm="1">
        <f t="array" ref="DM52">IF(DM$5&lt;=$DG52,INDEX($AP52:$BA52,1,_xlfn.XMATCH(DM$5,$CC52:$CN52)),"na")</f>
        <v>35.340000000000003</v>
      </c>
      <c r="DN52" s="44" t="str" cm="1">
        <f t="array" ref="DN52">IF(DN$5&lt;=$DG52,INDEX($BC52:$BN52,1,_xlfn.XMATCH(DN$5,$CC52:$CN52)),"na")</f>
        <v>na</v>
      </c>
      <c r="DO52" s="45" t="str" cm="1">
        <f t="array" ref="DO52">IF(DO$5&lt;=$DH52,INDEX($BP52:$CA52,1,_xlfn.XMATCH(DO$5,$CP52:$DA52)),"na")</f>
        <v>na</v>
      </c>
      <c r="DP52" s="46" t="str" cm="1">
        <f t="array" ref="DP52">IF(DP$5&lt;=$DG52,INDEX($AC52:$AN52,1,_xlfn.XMATCH(DP$5,$CC52:$CN52)),"na")</f>
        <v>na</v>
      </c>
      <c r="DQ52" s="47" t="str" cm="1">
        <f t="array" ref="DQ52">IF(DQ$5&lt;=$DG52,INDEX($AP52:$BA52,1,_xlfn.XMATCH(DQ$5,$CC52:$CN52)),"na")</f>
        <v>na</v>
      </c>
      <c r="DR52" s="44" t="str" cm="1">
        <f t="array" ref="DR52">IF(DR$5&lt;=$DG52,INDEX($BC52:$BN52,1,_xlfn.XMATCH(DR$5,$CC52:$CN52)),"na")</f>
        <v>na</v>
      </c>
      <c r="DS52" s="45" t="str" cm="1">
        <f t="array" ref="DS52">IF(DS$5&lt;=$DH52,INDEX($BP52:$CA52,1,_xlfn.XMATCH(DS$5,$CP52:$DA52)),"na")</f>
        <v>na</v>
      </c>
      <c r="DT52" s="46" t="str" cm="1">
        <f t="array" ref="DT52">IF(DT$5&lt;=$DG52,INDEX($AC52:$AN52,1,_xlfn.XMATCH(DT$5,$CC52:$CN52)),"na")</f>
        <v>na</v>
      </c>
      <c r="DU52" s="47" t="str" cm="1">
        <f t="array" ref="DU52">IF(DU$5&lt;=$DG52,INDEX($AP52:$BA52,1,_xlfn.XMATCH(DU$5,$CC52:$CN52)),"na")</f>
        <v>na</v>
      </c>
      <c r="DV52" s="44" t="str" cm="1">
        <f t="array" ref="DV52">IF(DV$5&lt;=$DG52,INDEX($BC52:$BN52,1,_xlfn.XMATCH(DV$5,$CC52:$CN52)),"na")</f>
        <v>na</v>
      </c>
      <c r="DW52" s="45" t="str" cm="1">
        <f t="array" ref="DW52">IF(DW$5&lt;=$DH52,INDEX($BP52:$CA52,1,_xlfn.XMATCH(DW$5,$CP52:$DA52)),"na")</f>
        <v>na</v>
      </c>
      <c r="DX52" s="46" t="str" cm="1">
        <f t="array" ref="DX52">IF(DX$5&lt;=$DG52,INDEX($AC52:$AN52,1,_xlfn.XMATCH(DX$5,$CC52:$CN52)),"na")</f>
        <v>na</v>
      </c>
      <c r="DY52" s="47" t="str" cm="1">
        <f t="array" ref="DY52">IF(DY$5&lt;=$DG52,INDEX($AP52:$BA52,1,_xlfn.XMATCH(DY$5,$CC52:$CN52)),"na")</f>
        <v>na</v>
      </c>
      <c r="DZ52" s="44" t="str" cm="1">
        <f t="array" ref="DZ52">IF(DZ$5&lt;=$DG52,INDEX($BC52:$BN52,1,_xlfn.XMATCH(DZ$5,$CC52:$CN52)),"na")</f>
        <v>na</v>
      </c>
      <c r="EA52" s="45" t="str" cm="1">
        <f t="array" ref="EA52">IF(EA$5&lt;=$DH52,INDEX($BP52:$CA52,1,_xlfn.XMATCH(EA$5,$CP52:$DA52)),"na")</f>
        <v>na</v>
      </c>
      <c r="EB52" s="46" t="str" cm="1">
        <f t="array" ref="EB52">IF(EB$5&lt;=$DG52,INDEX($AC52:$AN52,1,_xlfn.XMATCH(EB$5,$CC52:$CN52)),"na")</f>
        <v>na</v>
      </c>
      <c r="EC52" s="47" t="str" cm="1">
        <f t="array" ref="EC52">IF(EC$5&lt;=$DG52,INDEX($AP52:$BA52,1,_xlfn.XMATCH(EC$5,$CC52:$CN52)),"na")</f>
        <v>na</v>
      </c>
      <c r="ED52" s="44" t="str" cm="1">
        <f t="array" ref="ED52">IF(ED$5&lt;=$DG52,INDEX($BC52:$BN52,1,_xlfn.XMATCH(ED$5,$CC52:$CN52)),"na")</f>
        <v>na</v>
      </c>
      <c r="EE52" s="45" t="str" cm="1">
        <f t="array" ref="EE52">IF(EE$5&lt;=$DH52,INDEX($BP52:$CA52,1,_xlfn.XMATCH(EE$5,$CP52:$DA52)),"na")</f>
        <v>na</v>
      </c>
      <c r="EF52" s="46" t="str" cm="1">
        <f t="array" ref="EF52">IF(EF$5&lt;=$DG52,INDEX($AC52:$AN52,1,_xlfn.XMATCH(EF$5,$CC52:$CN52)),"na")</f>
        <v>na</v>
      </c>
      <c r="EG52" s="47" t="str" cm="1">
        <f t="array" ref="EG52">IF(EG$5&lt;=$DG52,INDEX($AP52:$BA52,1,_xlfn.XMATCH(EG$5,$CC52:$CN52)),"na")</f>
        <v>na</v>
      </c>
      <c r="EH52" s="44" t="str" cm="1">
        <f t="array" ref="EH52">IF(EH$5&lt;=$DG52,INDEX($BC52:$BN52,1,_xlfn.XMATCH(EH$5,$CC52:$CN52)),"na")</f>
        <v>na</v>
      </c>
      <c r="EI52" s="45" t="str" cm="1">
        <f t="array" ref="EI52">IF(EI$5&lt;=$DH52,INDEX($BP52:$CA52,1,_xlfn.XMATCH(EI$5,$CP52:$DA52)),"na")</f>
        <v>na</v>
      </c>
      <c r="EJ52" s="46" t="str" cm="1">
        <f t="array" ref="EJ52">IF(EJ$5&lt;=$DG52,INDEX($AC52:$AN52,1,_xlfn.XMATCH(EJ$5,$CC52:$CN52)),"na")</f>
        <v>na</v>
      </c>
      <c r="EK52" s="47" t="str" cm="1">
        <f t="array" ref="EK52">IF(EK$5&lt;=$DG52,INDEX($AP52:$BA52,1,_xlfn.XMATCH(EK$5,$CC52:$CN52)),"na")</f>
        <v>na</v>
      </c>
      <c r="EL52" s="44" t="str" cm="1">
        <f t="array" ref="EL52">IF(EL$5&lt;=$DG52,INDEX($BC52:$BN52,1,_xlfn.XMATCH(EL$5,$CC52:$CN52)),"na")</f>
        <v>na</v>
      </c>
      <c r="EM52" s="45" t="str" cm="1">
        <f t="array" ref="EM52">IF(EM$5&lt;=$DH52,INDEX($BP52:$CA52,1,_xlfn.XMATCH(EM$5,$CP52:$DA52)),"na")</f>
        <v>na</v>
      </c>
      <c r="EN52" s="46" t="str" cm="1">
        <f t="array" ref="EN52">IF(EN$5&lt;=$DG52,INDEX($AC52:$AN52,1,_xlfn.XMATCH(EN$5,$CC52:$CN52)),"na")</f>
        <v>na</v>
      </c>
      <c r="EO52" s="47" t="str" cm="1">
        <f t="array" ref="EO52">IF(EO$5&lt;=$DG52,INDEX($AP52:$BA52,1,_xlfn.XMATCH(EO$5,$CC52:$CN52)),"na")</f>
        <v>na</v>
      </c>
      <c r="EP52" s="44" t="str" cm="1">
        <f t="array" ref="EP52">IF(EP$5&lt;=$DG52,INDEX($BC52:$BN52,1,_xlfn.XMATCH(EP$5,$CC52:$CN52)),"na")</f>
        <v>na</v>
      </c>
      <c r="EQ52" s="45" t="str" cm="1">
        <f t="array" ref="EQ52">IF(EQ$5&lt;=$DH52,INDEX($BP52:$CA52,1,_xlfn.XMATCH(EQ$5,$CP52:$DA52)),"na")</f>
        <v>na</v>
      </c>
      <c r="ER52" s="46" t="str" cm="1">
        <f t="array" ref="ER52">IF(ER$5&lt;=$DG52,INDEX($AC52:$AN52,1,_xlfn.XMATCH(ER$5,$CC52:$CN52)),"na")</f>
        <v>na</v>
      </c>
      <c r="ES52" s="47" t="str" cm="1">
        <f t="array" ref="ES52">IF(ES$5&lt;=$DG52,INDEX($AP52:$BA52,1,_xlfn.XMATCH(ES$5,$CC52:$CN52)),"na")</f>
        <v>na</v>
      </c>
      <c r="ET52" s="44" t="str" cm="1">
        <f t="array" ref="ET52">IF(ET$5&lt;=$DG52,INDEX($BC52:$BN52,1,_xlfn.XMATCH(ET$5,$CC52:$CN52)),"na")</f>
        <v>na</v>
      </c>
      <c r="EU52" s="45" t="str" cm="1">
        <f t="array" ref="EU52">IF(EU$5&lt;=$DH52,INDEX($BP52:$CA52,1,_xlfn.XMATCH(EU$5,$CP52:$DA52)),"na")</f>
        <v>na</v>
      </c>
      <c r="EV52" s="46" t="str" cm="1">
        <f t="array" ref="EV52">IF(EV$5&lt;=$DG52,INDEX($AC52:$AN52,1,_xlfn.XMATCH(EV$5,$CC52:$CN52)),"na")</f>
        <v>na</v>
      </c>
      <c r="EW52" s="47" t="str" cm="1">
        <f t="array" ref="EW52">IF(EW$5&lt;=$DG52,INDEX($AP52:$BA52,1,_xlfn.XMATCH(EW$5,$CC52:$CN52)),"na")</f>
        <v>na</v>
      </c>
      <c r="EX52" s="44" t="str" cm="1">
        <f t="array" ref="EX52">IF(EX$5&lt;=$DG52,INDEX($BC52:$BN52,1,_xlfn.XMATCH(EX$5,$CC52:$CN52)),"na")</f>
        <v>na</v>
      </c>
      <c r="EY52" s="45" t="str" cm="1">
        <f t="array" ref="EY52">IF(EY$5&lt;=$DH52,INDEX($BP52:$CA52,1,_xlfn.XMATCH(EY$5,$CP52:$DA52)),"na")</f>
        <v>na</v>
      </c>
      <c r="EZ52" s="46" t="str" cm="1">
        <f t="array" ref="EZ52">IF(EZ$5&lt;=$DG52,INDEX($AC52:$AN52,1,_xlfn.XMATCH(EZ$5,$CC52:$CN52)),"na")</f>
        <v>na</v>
      </c>
      <c r="FA52" s="47" t="str" cm="1">
        <f t="array" ref="FA52">IF(FA$5&lt;=$DG52,INDEX($AP52:$BA52,1,_xlfn.XMATCH(FA$5,$CC52:$CN52)),"na")</f>
        <v>na</v>
      </c>
      <c r="FB52" s="44" t="str" cm="1">
        <f t="array" ref="FB52">IF(FB$5&lt;=$DG52,INDEX($BC52:$BN52,1,_xlfn.XMATCH(FB$5,$CC52:$CN52)),"na")</f>
        <v>na</v>
      </c>
      <c r="FC52" s="45" t="str" cm="1">
        <f t="array" ref="FC52">IF(FC$5&lt;=$DH52,INDEX($BP52:$CA52,1,_xlfn.XMATCH(FC$5,$CP52:$DA52)),"na")</f>
        <v>na</v>
      </c>
      <c r="FD52" s="46" t="str" cm="1">
        <f t="array" ref="FD52">IF(FD$5&lt;=$DG52,INDEX($AC52:$AN52,1,_xlfn.XMATCH(FD$5,$CC52:$CN52)),"na")</f>
        <v>na</v>
      </c>
      <c r="FE52" s="47" t="str" cm="1">
        <f t="array" ref="FE52">IF(FE$5&lt;=$DG52,INDEX($AP52:$BA52,1,_xlfn.XMATCH(FE$5,$CC52:$CN52)),"na")</f>
        <v>na</v>
      </c>
    </row>
    <row r="53" spans="2:161" x14ac:dyDescent="0.25">
      <c r="B53" s="10" t="s">
        <v>109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/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C53" s="14">
        <f>C53/_xlfn.XLOOKUP(AC$5,'OC-Days'!$G:$G,'OC-Days'!$B:$B)</f>
        <v>0</v>
      </c>
      <c r="AD53" s="14">
        <f>D53/_xlfn.XLOOKUP(AD$5,'OC-Days'!$G:$G,'OC-Days'!$B:$B)</f>
        <v>0</v>
      </c>
      <c r="AE53" s="14">
        <f>E53/_xlfn.XLOOKUP(AE$5,'OC-Days'!$G:$G,'OC-Days'!$B:$B)</f>
        <v>0</v>
      </c>
      <c r="AF53" s="14">
        <f>F53/_xlfn.XLOOKUP(AF$5,'OC-Days'!$G:$G,'OC-Days'!$B:$B)</f>
        <v>0</v>
      </c>
      <c r="AG53" s="14">
        <f>G53/_xlfn.XLOOKUP(AG$5,'OC-Days'!$G:$G,'OC-Days'!$B:$B)</f>
        <v>0</v>
      </c>
      <c r="AH53" s="14">
        <f>H53/_xlfn.XLOOKUP(AH$5,'OC-Days'!$G:$G,'OC-Days'!$B:$B)</f>
        <v>0</v>
      </c>
      <c r="AI53" s="14">
        <f>I53/_xlfn.XLOOKUP(AI$5,'OC-Days'!$G:$G,'OC-Days'!$B:$B)</f>
        <v>0</v>
      </c>
      <c r="AJ53" s="14">
        <f>J53/_xlfn.XLOOKUP(AJ$5,'OC-Days'!$G:$G,'OC-Days'!$B:$B)</f>
        <v>0</v>
      </c>
      <c r="AK53" s="14">
        <f>K53/_xlfn.XLOOKUP(AK$5,'OC-Days'!$G:$G,'OC-Days'!$B:$B)</f>
        <v>0</v>
      </c>
      <c r="AL53" s="14">
        <f>L53/_xlfn.XLOOKUP(AL$5,'OC-Days'!$G:$G,'OC-Days'!$B:$B)</f>
        <v>0</v>
      </c>
      <c r="AM53" s="14">
        <f>M53/_xlfn.XLOOKUP(AM$5,'OC-Days'!$G:$G,'OC-Days'!$B:$B)</f>
        <v>0</v>
      </c>
      <c r="AN53" s="14">
        <f>N53/_xlfn.XLOOKUP(AN$5,'OC-Days'!$G:$G,'OC-Days'!$B:$B)</f>
        <v>0</v>
      </c>
      <c r="AP53" s="14">
        <f>P53/_xlfn.XLOOKUP(AP$5,'OC-Days'!$G:$G,'OC-Days'!$B:$B)</f>
        <v>0</v>
      </c>
      <c r="AQ53" s="14">
        <f>Q53/_xlfn.XLOOKUP(AQ$5,'OC-Days'!$G:$G,'OC-Days'!$B:$B)</f>
        <v>0</v>
      </c>
      <c r="AR53" s="14">
        <f>R53/_xlfn.XLOOKUP(AR$5,'OC-Days'!$G:$G,'OC-Days'!$B:$B)</f>
        <v>0</v>
      </c>
      <c r="AS53" s="14">
        <f>S53/_xlfn.XLOOKUP(AS$5,'OC-Days'!$G:$G,'OC-Days'!$B:$B)</f>
        <v>0</v>
      </c>
      <c r="AT53" s="14">
        <f>T53/_xlfn.XLOOKUP(AT$5,'OC-Days'!$G:$G,'OC-Days'!$B:$B)</f>
        <v>0</v>
      </c>
      <c r="AU53" s="14">
        <f>U53/_xlfn.XLOOKUP(AU$5,'OC-Days'!$G:$G,'OC-Days'!$B:$B)</f>
        <v>0</v>
      </c>
      <c r="AV53" s="14">
        <f>V53/_xlfn.XLOOKUP(AV$5,'OC-Days'!$G:$G,'OC-Days'!$B:$B)</f>
        <v>0</v>
      </c>
      <c r="AW53" s="14">
        <f>W53/_xlfn.XLOOKUP(AW$5,'OC-Days'!$G:$G,'OC-Days'!$B:$B)</f>
        <v>0</v>
      </c>
      <c r="AX53" s="14">
        <f>X53/_xlfn.XLOOKUP(AX$5,'OC-Days'!$G:$G,'OC-Days'!$B:$B)</f>
        <v>0</v>
      </c>
      <c r="AY53" s="14">
        <f>Y53/_xlfn.XLOOKUP(AY$5,'OC-Days'!$G:$G,'OC-Days'!$B:$B)</f>
        <v>0</v>
      </c>
      <c r="AZ53" s="14">
        <f>Z53/_xlfn.XLOOKUP(AZ$5,'OC-Days'!$G:$G,'OC-Days'!$B:$B)</f>
        <v>0</v>
      </c>
      <c r="BA53" s="14">
        <f>AA53/_xlfn.XLOOKUP(BA$5,'OC-Days'!$G:$G,'OC-Days'!$B:$B)</f>
        <v>0</v>
      </c>
      <c r="BC53" s="33">
        <f>_xlfn.XLOOKUP(BC$5,'OC-Days'!$G:$G,'OC-Days'!$F:$F)</f>
        <v>45658</v>
      </c>
      <c r="BD53" s="34" t="str">
        <f>IF(AQ53=AP53,"na",_xlfn.XLOOKUP(BD$5,'OC-Days'!$G:$G,'OC-Days'!$F:$F))</f>
        <v>na</v>
      </c>
      <c r="BE53" s="34" t="str">
        <f>IF(AR53=AQ53,"na",_xlfn.XLOOKUP(BE$5,'OC-Days'!$G:$G,'OC-Days'!$F:$F))</f>
        <v>na</v>
      </c>
      <c r="BF53" s="34" t="str">
        <f>IF(AS53=AR53,"na",_xlfn.XLOOKUP(BF$5,'OC-Days'!$G:$G,'OC-Days'!$F:$F))</f>
        <v>na</v>
      </c>
      <c r="BG53" s="34" t="str">
        <f>IF(AT53=AS53,"na",_xlfn.XLOOKUP(BG$5,'OC-Days'!$G:$G,'OC-Days'!$F:$F))</f>
        <v>na</v>
      </c>
      <c r="BH53" s="34" t="str">
        <f>IF(AU53=AT53,"na",_xlfn.XLOOKUP(BH$5,'OC-Days'!$G:$G,'OC-Days'!$F:$F))</f>
        <v>na</v>
      </c>
      <c r="BI53" s="34" t="str">
        <f>IF(AV53=AU53,"na",_xlfn.XLOOKUP(BI$5,'OC-Days'!$G:$G,'OC-Days'!$F:$F))</f>
        <v>na</v>
      </c>
      <c r="BJ53" s="34" t="str">
        <f>IF(AW53=AV53,"na",_xlfn.XLOOKUP(BJ$5,'OC-Days'!$G:$G,'OC-Days'!$F:$F))</f>
        <v>na</v>
      </c>
      <c r="BK53" s="34" t="str">
        <f>IF(AX53=AW53,"na",_xlfn.XLOOKUP(BK$5,'OC-Days'!$G:$G,'OC-Days'!$F:$F))</f>
        <v>na</v>
      </c>
      <c r="BL53" s="34" t="str">
        <f>IF(AY53=AX53,"na",_xlfn.XLOOKUP(BL$5,'OC-Days'!$G:$G,'OC-Days'!$F:$F))</f>
        <v>na</v>
      </c>
      <c r="BM53" s="34" t="str">
        <f>IF(AZ53=AY53,"na",_xlfn.XLOOKUP(BM$5,'OC-Days'!$G:$G,'OC-Days'!$F:$F))</f>
        <v>na</v>
      </c>
      <c r="BN53" s="34" t="str">
        <f>IF(BA53=AZ53,"na",_xlfn.XLOOKUP(BN$5,'OC-Days'!$G:$G,'OC-Days'!$F:$F))</f>
        <v>na</v>
      </c>
      <c r="BP53" s="36" t="str">
        <f t="shared" si="52"/>
        <v>na</v>
      </c>
      <c r="BQ53" s="36" t="str">
        <f t="shared" si="53"/>
        <v>na</v>
      </c>
      <c r="BR53" s="36" t="str">
        <f t="shared" si="54"/>
        <v>na</v>
      </c>
      <c r="BS53" s="36" t="str">
        <f t="shared" si="55"/>
        <v>na</v>
      </c>
      <c r="BT53" s="36" t="str">
        <f t="shared" si="56"/>
        <v>na</v>
      </c>
      <c r="BU53" s="36" t="str">
        <f t="shared" si="57"/>
        <v>na</v>
      </c>
      <c r="BV53" s="36" t="str">
        <f t="shared" si="58"/>
        <v>na</v>
      </c>
      <c r="BW53" s="36" t="str">
        <f t="shared" si="59"/>
        <v>na</v>
      </c>
      <c r="BX53" s="36" t="str">
        <f t="shared" si="60"/>
        <v>na</v>
      </c>
      <c r="BY53" s="36" t="str">
        <f t="shared" si="61"/>
        <v>na</v>
      </c>
      <c r="BZ53" s="36" t="str">
        <f t="shared" si="62"/>
        <v>na</v>
      </c>
      <c r="CA53" s="43">
        <f t="shared" si="46"/>
        <v>46022</v>
      </c>
      <c r="CC53" s="8">
        <f>COUNT($BC53:BC53)</f>
        <v>1</v>
      </c>
      <c r="CD53" s="8">
        <f>COUNT($BC53:BD53)</f>
        <v>1</v>
      </c>
      <c r="CE53" s="8">
        <f>COUNT($BC53:BE53)</f>
        <v>1</v>
      </c>
      <c r="CF53" s="8">
        <f>COUNT($BC53:BF53)</f>
        <v>1</v>
      </c>
      <c r="CG53" s="8">
        <f>COUNT($BC53:BG53)</f>
        <v>1</v>
      </c>
      <c r="CH53" s="8">
        <f>COUNT($BC53:BH53)</f>
        <v>1</v>
      </c>
      <c r="CI53" s="8">
        <f>COUNT($BC53:BI53)</f>
        <v>1</v>
      </c>
      <c r="CJ53" s="8">
        <f>COUNT($BC53:BJ53)</f>
        <v>1</v>
      </c>
      <c r="CK53" s="8">
        <f>COUNT($BC53:BK53)</f>
        <v>1</v>
      </c>
      <c r="CL53" s="8">
        <f>COUNT($BC53:BL53)</f>
        <v>1</v>
      </c>
      <c r="CM53" s="8">
        <f>COUNT($BC53:BM53)</f>
        <v>1</v>
      </c>
      <c r="CN53" s="8">
        <f>COUNT($BC53:BN53)</f>
        <v>1</v>
      </c>
      <c r="CO53" s="8"/>
      <c r="CP53" s="8">
        <f>COUNT($BP53:BP53)</f>
        <v>0</v>
      </c>
      <c r="CQ53" s="8">
        <f>COUNT($BP53:BQ53)</f>
        <v>0</v>
      </c>
      <c r="CR53" s="8">
        <f>COUNT($BP53:BR53)</f>
        <v>0</v>
      </c>
      <c r="CS53" s="8">
        <f>COUNT($BP53:BS53)</f>
        <v>0</v>
      </c>
      <c r="CT53" s="8">
        <f>COUNT($BP53:BT53)</f>
        <v>0</v>
      </c>
      <c r="CU53" s="8">
        <f>COUNT($BP53:BU53)</f>
        <v>0</v>
      </c>
      <c r="CV53" s="8">
        <f>COUNT($BP53:BV53)</f>
        <v>0</v>
      </c>
      <c r="CW53" s="8">
        <f>COUNT($BP53:BW53)</f>
        <v>0</v>
      </c>
      <c r="CX53" s="8">
        <f>COUNT($BP53:BX53)</f>
        <v>0</v>
      </c>
      <c r="CY53" s="8">
        <f>COUNT($BP53:BY53)</f>
        <v>0</v>
      </c>
      <c r="CZ53" s="8">
        <f>COUNT($BP53:BZ53)</f>
        <v>0</v>
      </c>
      <c r="DA53" s="8">
        <f>COUNT($BP53:CA53)</f>
        <v>1</v>
      </c>
      <c r="DC53">
        <f t="shared" si="47"/>
        <v>835</v>
      </c>
      <c r="DD53">
        <f t="shared" si="48"/>
        <v>61</v>
      </c>
      <c r="DE53" t="str">
        <f t="shared" si="49"/>
        <v>835-61</v>
      </c>
      <c r="DG53">
        <f t="shared" si="50"/>
        <v>1</v>
      </c>
      <c r="DH53">
        <f t="shared" si="51"/>
        <v>1</v>
      </c>
      <c r="DJ53" s="44" cm="1">
        <f t="array" ref="DJ53">IF(DJ$5&lt;=$DG53,INDEX($BC53:$BN53,1,_xlfn.XMATCH(DJ$5,$CC53:$CN53)),"na")</f>
        <v>45658</v>
      </c>
      <c r="DK53" s="45" cm="1">
        <f t="array" ref="DK53">IF(DK$5&lt;=$DH53,INDEX($BP53:$CA53,1,_xlfn.XMATCH(DK$5,$CP53:$DA53)),"na")</f>
        <v>46022</v>
      </c>
      <c r="DL53" s="46" cm="1">
        <f t="array" ref="DL53">IF(DL$5&lt;=$DG53,INDEX($AC53:$AN53,1,_xlfn.XMATCH(DL$5,$CC53:$CN53)),"na")</f>
        <v>0</v>
      </c>
      <c r="DM53" s="47" cm="1">
        <f t="array" ref="DM53">IF(DM$5&lt;=$DG53,INDEX($AP53:$BA53,1,_xlfn.XMATCH(DM$5,$CC53:$CN53)),"na")</f>
        <v>0</v>
      </c>
      <c r="DN53" s="44" t="str" cm="1">
        <f t="array" ref="DN53">IF(DN$5&lt;=$DG53,INDEX($BC53:$BN53,1,_xlfn.XMATCH(DN$5,$CC53:$CN53)),"na")</f>
        <v>na</v>
      </c>
      <c r="DO53" s="45" t="str" cm="1">
        <f t="array" ref="DO53">IF(DO$5&lt;=$DH53,INDEX($BP53:$CA53,1,_xlfn.XMATCH(DO$5,$CP53:$DA53)),"na")</f>
        <v>na</v>
      </c>
      <c r="DP53" s="46" t="str" cm="1">
        <f t="array" ref="DP53">IF(DP$5&lt;=$DG53,INDEX($AC53:$AN53,1,_xlfn.XMATCH(DP$5,$CC53:$CN53)),"na")</f>
        <v>na</v>
      </c>
      <c r="DQ53" s="47" t="str" cm="1">
        <f t="array" ref="DQ53">IF(DQ$5&lt;=$DG53,INDEX($AP53:$BA53,1,_xlfn.XMATCH(DQ$5,$CC53:$CN53)),"na")</f>
        <v>na</v>
      </c>
      <c r="DR53" s="44" t="str" cm="1">
        <f t="array" ref="DR53">IF(DR$5&lt;=$DG53,INDEX($BC53:$BN53,1,_xlfn.XMATCH(DR$5,$CC53:$CN53)),"na")</f>
        <v>na</v>
      </c>
      <c r="DS53" s="45" t="str" cm="1">
        <f t="array" ref="DS53">IF(DS$5&lt;=$DH53,INDEX($BP53:$CA53,1,_xlfn.XMATCH(DS$5,$CP53:$DA53)),"na")</f>
        <v>na</v>
      </c>
      <c r="DT53" s="46" t="str" cm="1">
        <f t="array" ref="DT53">IF(DT$5&lt;=$DG53,INDEX($AC53:$AN53,1,_xlfn.XMATCH(DT$5,$CC53:$CN53)),"na")</f>
        <v>na</v>
      </c>
      <c r="DU53" s="47" t="str" cm="1">
        <f t="array" ref="DU53">IF(DU$5&lt;=$DG53,INDEX($AP53:$BA53,1,_xlfn.XMATCH(DU$5,$CC53:$CN53)),"na")</f>
        <v>na</v>
      </c>
      <c r="DV53" s="44" t="str" cm="1">
        <f t="array" ref="DV53">IF(DV$5&lt;=$DG53,INDEX($BC53:$BN53,1,_xlfn.XMATCH(DV$5,$CC53:$CN53)),"na")</f>
        <v>na</v>
      </c>
      <c r="DW53" s="45" t="str" cm="1">
        <f t="array" ref="DW53">IF(DW$5&lt;=$DH53,INDEX($BP53:$CA53,1,_xlfn.XMATCH(DW$5,$CP53:$DA53)),"na")</f>
        <v>na</v>
      </c>
      <c r="DX53" s="46" t="str" cm="1">
        <f t="array" ref="DX53">IF(DX$5&lt;=$DG53,INDEX($AC53:$AN53,1,_xlfn.XMATCH(DX$5,$CC53:$CN53)),"na")</f>
        <v>na</v>
      </c>
      <c r="DY53" s="47" t="str" cm="1">
        <f t="array" ref="DY53">IF(DY$5&lt;=$DG53,INDEX($AP53:$BA53,1,_xlfn.XMATCH(DY$5,$CC53:$CN53)),"na")</f>
        <v>na</v>
      </c>
      <c r="DZ53" s="44" t="str" cm="1">
        <f t="array" ref="DZ53">IF(DZ$5&lt;=$DG53,INDEX($BC53:$BN53,1,_xlfn.XMATCH(DZ$5,$CC53:$CN53)),"na")</f>
        <v>na</v>
      </c>
      <c r="EA53" s="45" t="str" cm="1">
        <f t="array" ref="EA53">IF(EA$5&lt;=$DH53,INDEX($BP53:$CA53,1,_xlfn.XMATCH(EA$5,$CP53:$DA53)),"na")</f>
        <v>na</v>
      </c>
      <c r="EB53" s="46" t="str" cm="1">
        <f t="array" ref="EB53">IF(EB$5&lt;=$DG53,INDEX($AC53:$AN53,1,_xlfn.XMATCH(EB$5,$CC53:$CN53)),"na")</f>
        <v>na</v>
      </c>
      <c r="EC53" s="47" t="str" cm="1">
        <f t="array" ref="EC53">IF(EC$5&lt;=$DG53,INDEX($AP53:$BA53,1,_xlfn.XMATCH(EC$5,$CC53:$CN53)),"na")</f>
        <v>na</v>
      </c>
      <c r="ED53" s="44" t="str" cm="1">
        <f t="array" ref="ED53">IF(ED$5&lt;=$DG53,INDEX($BC53:$BN53,1,_xlfn.XMATCH(ED$5,$CC53:$CN53)),"na")</f>
        <v>na</v>
      </c>
      <c r="EE53" s="45" t="str" cm="1">
        <f t="array" ref="EE53">IF(EE$5&lt;=$DH53,INDEX($BP53:$CA53,1,_xlfn.XMATCH(EE$5,$CP53:$DA53)),"na")</f>
        <v>na</v>
      </c>
      <c r="EF53" s="46" t="str" cm="1">
        <f t="array" ref="EF53">IF(EF$5&lt;=$DG53,INDEX($AC53:$AN53,1,_xlfn.XMATCH(EF$5,$CC53:$CN53)),"na")</f>
        <v>na</v>
      </c>
      <c r="EG53" s="47" t="str" cm="1">
        <f t="array" ref="EG53">IF(EG$5&lt;=$DG53,INDEX($AP53:$BA53,1,_xlfn.XMATCH(EG$5,$CC53:$CN53)),"na")</f>
        <v>na</v>
      </c>
      <c r="EH53" s="44" t="str" cm="1">
        <f t="array" ref="EH53">IF(EH$5&lt;=$DG53,INDEX($BC53:$BN53,1,_xlfn.XMATCH(EH$5,$CC53:$CN53)),"na")</f>
        <v>na</v>
      </c>
      <c r="EI53" s="45" t="str" cm="1">
        <f t="array" ref="EI53">IF(EI$5&lt;=$DH53,INDEX($BP53:$CA53,1,_xlfn.XMATCH(EI$5,$CP53:$DA53)),"na")</f>
        <v>na</v>
      </c>
      <c r="EJ53" s="46" t="str" cm="1">
        <f t="array" ref="EJ53">IF(EJ$5&lt;=$DG53,INDEX($AC53:$AN53,1,_xlfn.XMATCH(EJ$5,$CC53:$CN53)),"na")</f>
        <v>na</v>
      </c>
      <c r="EK53" s="47" t="str" cm="1">
        <f t="array" ref="EK53">IF(EK$5&lt;=$DG53,INDEX($AP53:$BA53,1,_xlfn.XMATCH(EK$5,$CC53:$CN53)),"na")</f>
        <v>na</v>
      </c>
      <c r="EL53" s="44" t="str" cm="1">
        <f t="array" ref="EL53">IF(EL$5&lt;=$DG53,INDEX($BC53:$BN53,1,_xlfn.XMATCH(EL$5,$CC53:$CN53)),"na")</f>
        <v>na</v>
      </c>
      <c r="EM53" s="45" t="str" cm="1">
        <f t="array" ref="EM53">IF(EM$5&lt;=$DH53,INDEX($BP53:$CA53,1,_xlfn.XMATCH(EM$5,$CP53:$DA53)),"na")</f>
        <v>na</v>
      </c>
      <c r="EN53" s="46" t="str" cm="1">
        <f t="array" ref="EN53">IF(EN$5&lt;=$DG53,INDEX($AC53:$AN53,1,_xlfn.XMATCH(EN$5,$CC53:$CN53)),"na")</f>
        <v>na</v>
      </c>
      <c r="EO53" s="47" t="str" cm="1">
        <f t="array" ref="EO53">IF(EO$5&lt;=$DG53,INDEX($AP53:$BA53,1,_xlfn.XMATCH(EO$5,$CC53:$CN53)),"na")</f>
        <v>na</v>
      </c>
      <c r="EP53" s="44" t="str" cm="1">
        <f t="array" ref="EP53">IF(EP$5&lt;=$DG53,INDEX($BC53:$BN53,1,_xlfn.XMATCH(EP$5,$CC53:$CN53)),"na")</f>
        <v>na</v>
      </c>
      <c r="EQ53" s="45" t="str" cm="1">
        <f t="array" ref="EQ53">IF(EQ$5&lt;=$DH53,INDEX($BP53:$CA53,1,_xlfn.XMATCH(EQ$5,$CP53:$DA53)),"na")</f>
        <v>na</v>
      </c>
      <c r="ER53" s="46" t="str" cm="1">
        <f t="array" ref="ER53">IF(ER$5&lt;=$DG53,INDEX($AC53:$AN53,1,_xlfn.XMATCH(ER$5,$CC53:$CN53)),"na")</f>
        <v>na</v>
      </c>
      <c r="ES53" s="47" t="str" cm="1">
        <f t="array" ref="ES53">IF(ES$5&lt;=$DG53,INDEX($AP53:$BA53,1,_xlfn.XMATCH(ES$5,$CC53:$CN53)),"na")</f>
        <v>na</v>
      </c>
      <c r="ET53" s="44" t="str" cm="1">
        <f t="array" ref="ET53">IF(ET$5&lt;=$DG53,INDEX($BC53:$BN53,1,_xlfn.XMATCH(ET$5,$CC53:$CN53)),"na")</f>
        <v>na</v>
      </c>
      <c r="EU53" s="45" t="str" cm="1">
        <f t="array" ref="EU53">IF(EU$5&lt;=$DH53,INDEX($BP53:$CA53,1,_xlfn.XMATCH(EU$5,$CP53:$DA53)),"na")</f>
        <v>na</v>
      </c>
      <c r="EV53" s="46" t="str" cm="1">
        <f t="array" ref="EV53">IF(EV$5&lt;=$DG53,INDEX($AC53:$AN53,1,_xlfn.XMATCH(EV$5,$CC53:$CN53)),"na")</f>
        <v>na</v>
      </c>
      <c r="EW53" s="47" t="str" cm="1">
        <f t="array" ref="EW53">IF(EW$5&lt;=$DG53,INDEX($AP53:$BA53,1,_xlfn.XMATCH(EW$5,$CC53:$CN53)),"na")</f>
        <v>na</v>
      </c>
      <c r="EX53" s="44" t="str" cm="1">
        <f t="array" ref="EX53">IF(EX$5&lt;=$DG53,INDEX($BC53:$BN53,1,_xlfn.XMATCH(EX$5,$CC53:$CN53)),"na")</f>
        <v>na</v>
      </c>
      <c r="EY53" s="45" t="str" cm="1">
        <f t="array" ref="EY53">IF(EY$5&lt;=$DH53,INDEX($BP53:$CA53,1,_xlfn.XMATCH(EY$5,$CP53:$DA53)),"na")</f>
        <v>na</v>
      </c>
      <c r="EZ53" s="46" t="str" cm="1">
        <f t="array" ref="EZ53">IF(EZ$5&lt;=$DG53,INDEX($AC53:$AN53,1,_xlfn.XMATCH(EZ$5,$CC53:$CN53)),"na")</f>
        <v>na</v>
      </c>
      <c r="FA53" s="47" t="str" cm="1">
        <f t="array" ref="FA53">IF(FA$5&lt;=$DG53,INDEX($AP53:$BA53,1,_xlfn.XMATCH(FA$5,$CC53:$CN53)),"na")</f>
        <v>na</v>
      </c>
      <c r="FB53" s="44" t="str" cm="1">
        <f t="array" ref="FB53">IF(FB$5&lt;=$DG53,INDEX($BC53:$BN53,1,_xlfn.XMATCH(FB$5,$CC53:$CN53)),"na")</f>
        <v>na</v>
      </c>
      <c r="FC53" s="45" t="str" cm="1">
        <f t="array" ref="FC53">IF(FC$5&lt;=$DH53,INDEX($BP53:$CA53,1,_xlfn.XMATCH(FC$5,$CP53:$DA53)),"na")</f>
        <v>na</v>
      </c>
      <c r="FD53" s="46" t="str" cm="1">
        <f t="array" ref="FD53">IF(FD$5&lt;=$DG53,INDEX($AC53:$AN53,1,_xlfn.XMATCH(FD$5,$CC53:$CN53)),"na")</f>
        <v>na</v>
      </c>
      <c r="FE53" s="47" t="str" cm="1">
        <f t="array" ref="FE53">IF(FE$5&lt;=$DG53,INDEX($AP53:$BA53,1,_xlfn.XMATCH(FE$5,$CC53:$CN53)),"na")</f>
        <v>na</v>
      </c>
    </row>
    <row r="54" spans="2:161" hidden="1" x14ac:dyDescent="0.25">
      <c r="B54" s="9" t="s">
        <v>110</v>
      </c>
      <c r="C54" s="8">
        <v>5177</v>
      </c>
      <c r="D54" s="8">
        <v>4676</v>
      </c>
      <c r="E54" s="8">
        <v>5177</v>
      </c>
      <c r="F54" s="8">
        <v>5010</v>
      </c>
      <c r="G54" s="8">
        <v>5177</v>
      </c>
      <c r="H54" s="8">
        <v>5010</v>
      </c>
      <c r="I54" s="8">
        <v>5177</v>
      </c>
      <c r="J54" s="8">
        <v>5177</v>
      </c>
      <c r="K54" s="8">
        <v>5010</v>
      </c>
      <c r="L54" s="8">
        <v>5177</v>
      </c>
      <c r="M54" s="8">
        <v>5010</v>
      </c>
      <c r="N54" s="8">
        <v>5177</v>
      </c>
      <c r="O54" s="8"/>
      <c r="P54" s="8">
        <v>4815.54</v>
      </c>
      <c r="Q54" s="8">
        <v>4349.5200000000004</v>
      </c>
      <c r="R54" s="8">
        <v>4815.54</v>
      </c>
      <c r="S54" s="8">
        <v>4660.2</v>
      </c>
      <c r="T54" s="8">
        <v>4815.54</v>
      </c>
      <c r="U54" s="8">
        <v>4660.2</v>
      </c>
      <c r="V54" s="8">
        <v>4815.54</v>
      </c>
      <c r="W54" s="8">
        <v>4815.54</v>
      </c>
      <c r="X54" s="8">
        <v>4660.2</v>
      </c>
      <c r="Y54" s="8">
        <v>4815.54</v>
      </c>
      <c r="Z54" s="8">
        <v>4660.2</v>
      </c>
      <c r="AA54" s="8">
        <v>4815.54</v>
      </c>
      <c r="AC54" s="14">
        <f>C54/_xlfn.XLOOKUP(AC$5,'OC-Days'!$G:$G,'OC-Days'!$B:$B)</f>
        <v>167</v>
      </c>
      <c r="AD54" s="14">
        <f>D54/_xlfn.XLOOKUP(AD$5,'OC-Days'!$G:$G,'OC-Days'!$B:$B)</f>
        <v>167</v>
      </c>
      <c r="AE54" s="14">
        <f>E54/_xlfn.XLOOKUP(AE$5,'OC-Days'!$G:$G,'OC-Days'!$B:$B)</f>
        <v>167</v>
      </c>
      <c r="AF54" s="14">
        <f>F54/_xlfn.XLOOKUP(AF$5,'OC-Days'!$G:$G,'OC-Days'!$B:$B)</f>
        <v>167</v>
      </c>
      <c r="AG54" s="14">
        <f>G54/_xlfn.XLOOKUP(AG$5,'OC-Days'!$G:$G,'OC-Days'!$B:$B)</f>
        <v>167</v>
      </c>
      <c r="AH54" s="14">
        <f>H54/_xlfn.XLOOKUP(AH$5,'OC-Days'!$G:$G,'OC-Days'!$B:$B)</f>
        <v>167</v>
      </c>
      <c r="AI54" s="14">
        <f>I54/_xlfn.XLOOKUP(AI$5,'OC-Days'!$G:$G,'OC-Days'!$B:$B)</f>
        <v>167</v>
      </c>
      <c r="AJ54" s="14">
        <f>J54/_xlfn.XLOOKUP(AJ$5,'OC-Days'!$G:$G,'OC-Days'!$B:$B)</f>
        <v>167</v>
      </c>
      <c r="AK54" s="14">
        <f>K54/_xlfn.XLOOKUP(AK$5,'OC-Days'!$G:$G,'OC-Days'!$B:$B)</f>
        <v>167</v>
      </c>
      <c r="AL54" s="14">
        <f>L54/_xlfn.XLOOKUP(AL$5,'OC-Days'!$G:$G,'OC-Days'!$B:$B)</f>
        <v>167</v>
      </c>
      <c r="AM54" s="14">
        <f>M54/_xlfn.XLOOKUP(AM$5,'OC-Days'!$G:$G,'OC-Days'!$B:$B)</f>
        <v>167</v>
      </c>
      <c r="AN54" s="14">
        <f>N54/_xlfn.XLOOKUP(AN$5,'OC-Days'!$G:$G,'OC-Days'!$B:$B)</f>
        <v>167</v>
      </c>
      <c r="AP54" s="14">
        <f>P54/_xlfn.XLOOKUP(AP$5,'OC-Days'!$G:$G,'OC-Days'!$B:$B)</f>
        <v>155.34</v>
      </c>
      <c r="AQ54" s="14">
        <f>Q54/_xlfn.XLOOKUP(AQ$5,'OC-Days'!$G:$G,'OC-Days'!$B:$B)</f>
        <v>155.34</v>
      </c>
      <c r="AR54" s="14">
        <f>R54/_xlfn.XLOOKUP(AR$5,'OC-Days'!$G:$G,'OC-Days'!$B:$B)</f>
        <v>155.34</v>
      </c>
      <c r="AS54" s="14">
        <f>S54/_xlfn.XLOOKUP(AS$5,'OC-Days'!$G:$G,'OC-Days'!$B:$B)</f>
        <v>155.34</v>
      </c>
      <c r="AT54" s="14">
        <f>T54/_xlfn.XLOOKUP(AT$5,'OC-Days'!$G:$G,'OC-Days'!$B:$B)</f>
        <v>155.34</v>
      </c>
      <c r="AU54" s="14">
        <f>U54/_xlfn.XLOOKUP(AU$5,'OC-Days'!$G:$G,'OC-Days'!$B:$B)</f>
        <v>155.34</v>
      </c>
      <c r="AV54" s="14">
        <f>V54/_xlfn.XLOOKUP(AV$5,'OC-Days'!$G:$G,'OC-Days'!$B:$B)</f>
        <v>155.34</v>
      </c>
      <c r="AW54" s="14">
        <f>W54/_xlfn.XLOOKUP(AW$5,'OC-Days'!$G:$G,'OC-Days'!$B:$B)</f>
        <v>155.34</v>
      </c>
      <c r="AX54" s="14">
        <f>X54/_xlfn.XLOOKUP(AX$5,'OC-Days'!$G:$G,'OC-Days'!$B:$B)</f>
        <v>155.34</v>
      </c>
      <c r="AY54" s="14">
        <f>Y54/_xlfn.XLOOKUP(AY$5,'OC-Days'!$G:$G,'OC-Days'!$B:$B)</f>
        <v>155.34</v>
      </c>
      <c r="AZ54" s="14">
        <f>Z54/_xlfn.XLOOKUP(AZ$5,'OC-Days'!$G:$G,'OC-Days'!$B:$B)</f>
        <v>155.34</v>
      </c>
      <c r="BA54" s="14">
        <f>AA54/_xlfn.XLOOKUP(BA$5,'OC-Days'!$G:$G,'OC-Days'!$B:$B)</f>
        <v>155.34</v>
      </c>
      <c r="BC54" s="33">
        <f>_xlfn.XLOOKUP(BC$5,'OC-Days'!$G:$G,'OC-Days'!$F:$F)</f>
        <v>45658</v>
      </c>
      <c r="BD54" s="34" t="str">
        <f>IF(AQ54=AP54,"na",_xlfn.XLOOKUP(BD$5,'OC-Days'!$G:$G,'OC-Days'!$F:$F))</f>
        <v>na</v>
      </c>
      <c r="BE54" s="34" t="str">
        <f>IF(AR54=AQ54,"na",_xlfn.XLOOKUP(BE$5,'OC-Days'!$G:$G,'OC-Days'!$F:$F))</f>
        <v>na</v>
      </c>
      <c r="BF54" s="34" t="str">
        <f>IF(AS54=AR54,"na",_xlfn.XLOOKUP(BF$5,'OC-Days'!$G:$G,'OC-Days'!$F:$F))</f>
        <v>na</v>
      </c>
      <c r="BG54" s="34" t="str">
        <f>IF(AT54=AS54,"na",_xlfn.XLOOKUP(BG$5,'OC-Days'!$G:$G,'OC-Days'!$F:$F))</f>
        <v>na</v>
      </c>
      <c r="BH54" s="34" t="str">
        <f>IF(AU54=AT54,"na",_xlfn.XLOOKUP(BH$5,'OC-Days'!$G:$G,'OC-Days'!$F:$F))</f>
        <v>na</v>
      </c>
      <c r="BI54" s="34" t="str">
        <f>IF(AV54=AU54,"na",_xlfn.XLOOKUP(BI$5,'OC-Days'!$G:$G,'OC-Days'!$F:$F))</f>
        <v>na</v>
      </c>
      <c r="BJ54" s="34" t="str">
        <f>IF(AW54=AV54,"na",_xlfn.XLOOKUP(BJ$5,'OC-Days'!$G:$G,'OC-Days'!$F:$F))</f>
        <v>na</v>
      </c>
      <c r="BK54" s="34" t="str">
        <f>IF(AX54=AW54,"na",_xlfn.XLOOKUP(BK$5,'OC-Days'!$G:$G,'OC-Days'!$F:$F))</f>
        <v>na</v>
      </c>
      <c r="BL54" s="34" t="str">
        <f>IF(AY54=AX54,"na",_xlfn.XLOOKUP(BL$5,'OC-Days'!$G:$G,'OC-Days'!$F:$F))</f>
        <v>na</v>
      </c>
      <c r="BM54" s="34" t="str">
        <f>IF(AZ54=AY54,"na",_xlfn.XLOOKUP(BM$5,'OC-Days'!$G:$G,'OC-Days'!$F:$F))</f>
        <v>na</v>
      </c>
      <c r="BN54" s="34" t="str">
        <f>IF(BA54=AZ54,"na",_xlfn.XLOOKUP(BN$5,'OC-Days'!$G:$G,'OC-Days'!$F:$F))</f>
        <v>na</v>
      </c>
      <c r="BP54" s="36" t="str">
        <f t="shared" si="52"/>
        <v>na</v>
      </c>
      <c r="BQ54" s="36" t="str">
        <f t="shared" si="53"/>
        <v>na</v>
      </c>
      <c r="BR54" s="36" t="str">
        <f t="shared" si="54"/>
        <v>na</v>
      </c>
      <c r="BS54" s="36" t="str">
        <f t="shared" si="55"/>
        <v>na</v>
      </c>
      <c r="BT54" s="36" t="str">
        <f t="shared" si="56"/>
        <v>na</v>
      </c>
      <c r="BU54" s="36" t="str">
        <f t="shared" si="57"/>
        <v>na</v>
      </c>
      <c r="BV54" s="36" t="str">
        <f t="shared" si="58"/>
        <v>na</v>
      </c>
      <c r="BW54" s="36" t="str">
        <f t="shared" si="59"/>
        <v>na</v>
      </c>
      <c r="BX54" s="36" t="str">
        <f t="shared" si="60"/>
        <v>na</v>
      </c>
      <c r="BY54" s="36" t="str">
        <f t="shared" si="61"/>
        <v>na</v>
      </c>
      <c r="BZ54" s="36" t="str">
        <f t="shared" si="62"/>
        <v>na</v>
      </c>
      <c r="CA54" s="43">
        <f t="shared" si="46"/>
        <v>46022</v>
      </c>
      <c r="CC54" s="8">
        <f>COUNT($BC54:BC54)</f>
        <v>1</v>
      </c>
      <c r="CD54" s="8">
        <f>COUNT($BC54:BD54)</f>
        <v>1</v>
      </c>
      <c r="CE54" s="8">
        <f>COUNT($BC54:BE54)</f>
        <v>1</v>
      </c>
      <c r="CF54" s="8">
        <f>COUNT($BC54:BF54)</f>
        <v>1</v>
      </c>
      <c r="CG54" s="8">
        <f>COUNT($BC54:BG54)</f>
        <v>1</v>
      </c>
      <c r="CH54" s="8">
        <f>COUNT($BC54:BH54)</f>
        <v>1</v>
      </c>
      <c r="CI54" s="8">
        <f>COUNT($BC54:BI54)</f>
        <v>1</v>
      </c>
      <c r="CJ54" s="8">
        <f>COUNT($BC54:BJ54)</f>
        <v>1</v>
      </c>
      <c r="CK54" s="8">
        <f>COUNT($BC54:BK54)</f>
        <v>1</v>
      </c>
      <c r="CL54" s="8">
        <f>COUNT($BC54:BL54)</f>
        <v>1</v>
      </c>
      <c r="CM54" s="8">
        <f>COUNT($BC54:BM54)</f>
        <v>1</v>
      </c>
      <c r="CN54" s="8">
        <f>COUNT($BC54:BN54)</f>
        <v>1</v>
      </c>
      <c r="CO54" s="8"/>
      <c r="CP54" s="8">
        <f>COUNT($BP54:BP54)</f>
        <v>0</v>
      </c>
      <c r="CQ54" s="8">
        <f>COUNT($BP54:BQ54)</f>
        <v>0</v>
      </c>
      <c r="CR54" s="8">
        <f>COUNT($BP54:BR54)</f>
        <v>0</v>
      </c>
      <c r="CS54" s="8">
        <f>COUNT($BP54:BS54)</f>
        <v>0</v>
      </c>
      <c r="CT54" s="8">
        <f>COUNT($BP54:BT54)</f>
        <v>0</v>
      </c>
      <c r="CU54" s="8">
        <f>COUNT($BP54:BU54)</f>
        <v>0</v>
      </c>
      <c r="CV54" s="8">
        <f>COUNT($BP54:BV54)</f>
        <v>0</v>
      </c>
      <c r="CW54" s="8">
        <f>COUNT($BP54:BW54)</f>
        <v>0</v>
      </c>
      <c r="CX54" s="8">
        <f>COUNT($BP54:BX54)</f>
        <v>0</v>
      </c>
      <c r="CY54" s="8">
        <f>COUNT($BP54:BY54)</f>
        <v>0</v>
      </c>
      <c r="CZ54" s="8">
        <f>COUNT($BP54:BZ54)</f>
        <v>0</v>
      </c>
      <c r="DA54" s="8">
        <f>COUNT($BP54:CA54)</f>
        <v>1</v>
      </c>
      <c r="DC54">
        <f t="shared" si="47"/>
        <v>835</v>
      </c>
      <c r="DD54" t="str">
        <f t="shared" si="48"/>
        <v>Rollup</v>
      </c>
      <c r="DE54" t="str">
        <f t="shared" si="49"/>
        <v>835-Rollup</v>
      </c>
      <c r="DG54">
        <f t="shared" si="50"/>
        <v>1</v>
      </c>
      <c r="DH54">
        <f t="shared" si="51"/>
        <v>1</v>
      </c>
    </row>
    <row r="55" spans="2:161" x14ac:dyDescent="0.25">
      <c r="B55" s="10" t="s">
        <v>111</v>
      </c>
      <c r="C55" s="8">
        <v>2046</v>
      </c>
      <c r="D55" s="8">
        <v>1848</v>
      </c>
      <c r="E55" s="8">
        <v>2046</v>
      </c>
      <c r="F55" s="8">
        <v>1980</v>
      </c>
      <c r="G55" s="8">
        <v>2046</v>
      </c>
      <c r="H55" s="8">
        <v>1980</v>
      </c>
      <c r="I55" s="8">
        <v>2046</v>
      </c>
      <c r="J55" s="8">
        <v>2046</v>
      </c>
      <c r="K55" s="8">
        <v>1980</v>
      </c>
      <c r="L55" s="8">
        <v>2046</v>
      </c>
      <c r="M55" s="8">
        <v>1980</v>
      </c>
      <c r="N55" s="8">
        <v>2046</v>
      </c>
      <c r="O55" s="8"/>
      <c r="P55" s="8">
        <v>1922</v>
      </c>
      <c r="Q55" s="8">
        <v>1736</v>
      </c>
      <c r="R55" s="8">
        <v>1922</v>
      </c>
      <c r="S55" s="8">
        <v>1860</v>
      </c>
      <c r="T55" s="8">
        <v>1922</v>
      </c>
      <c r="U55" s="8">
        <v>1860</v>
      </c>
      <c r="V55" s="8">
        <v>1922</v>
      </c>
      <c r="W55" s="8">
        <v>1922</v>
      </c>
      <c r="X55" s="8">
        <v>1860</v>
      </c>
      <c r="Y55" s="8">
        <v>1922</v>
      </c>
      <c r="Z55" s="8">
        <v>1860</v>
      </c>
      <c r="AA55" s="8">
        <v>1922</v>
      </c>
      <c r="AC55" s="14">
        <f>C55/_xlfn.XLOOKUP(AC$5,'OC-Days'!$G:$G,'OC-Days'!$B:$B)</f>
        <v>66</v>
      </c>
      <c r="AD55" s="14">
        <f>D55/_xlfn.XLOOKUP(AD$5,'OC-Days'!$G:$G,'OC-Days'!$B:$B)</f>
        <v>66</v>
      </c>
      <c r="AE55" s="14">
        <f>E55/_xlfn.XLOOKUP(AE$5,'OC-Days'!$G:$G,'OC-Days'!$B:$B)</f>
        <v>66</v>
      </c>
      <c r="AF55" s="14">
        <f>F55/_xlfn.XLOOKUP(AF$5,'OC-Days'!$G:$G,'OC-Days'!$B:$B)</f>
        <v>66</v>
      </c>
      <c r="AG55" s="14">
        <f>G55/_xlfn.XLOOKUP(AG$5,'OC-Days'!$G:$G,'OC-Days'!$B:$B)</f>
        <v>66</v>
      </c>
      <c r="AH55" s="14">
        <f>H55/_xlfn.XLOOKUP(AH$5,'OC-Days'!$G:$G,'OC-Days'!$B:$B)</f>
        <v>66</v>
      </c>
      <c r="AI55" s="14">
        <f>I55/_xlfn.XLOOKUP(AI$5,'OC-Days'!$G:$G,'OC-Days'!$B:$B)</f>
        <v>66</v>
      </c>
      <c r="AJ55" s="14">
        <f>J55/_xlfn.XLOOKUP(AJ$5,'OC-Days'!$G:$G,'OC-Days'!$B:$B)</f>
        <v>66</v>
      </c>
      <c r="AK55" s="14">
        <f>K55/_xlfn.XLOOKUP(AK$5,'OC-Days'!$G:$G,'OC-Days'!$B:$B)</f>
        <v>66</v>
      </c>
      <c r="AL55" s="14">
        <f>L55/_xlfn.XLOOKUP(AL$5,'OC-Days'!$G:$G,'OC-Days'!$B:$B)</f>
        <v>66</v>
      </c>
      <c r="AM55" s="14">
        <f>M55/_xlfn.XLOOKUP(AM$5,'OC-Days'!$G:$G,'OC-Days'!$B:$B)</f>
        <v>66</v>
      </c>
      <c r="AN55" s="14">
        <f>N55/_xlfn.XLOOKUP(AN$5,'OC-Days'!$G:$G,'OC-Days'!$B:$B)</f>
        <v>66</v>
      </c>
      <c r="AP55" s="14">
        <f>P55/_xlfn.XLOOKUP(AP$5,'OC-Days'!$G:$G,'OC-Days'!$B:$B)</f>
        <v>62</v>
      </c>
      <c r="AQ55" s="14">
        <f>Q55/_xlfn.XLOOKUP(AQ$5,'OC-Days'!$G:$G,'OC-Days'!$B:$B)</f>
        <v>62</v>
      </c>
      <c r="AR55" s="14">
        <f>R55/_xlfn.XLOOKUP(AR$5,'OC-Days'!$G:$G,'OC-Days'!$B:$B)</f>
        <v>62</v>
      </c>
      <c r="AS55" s="14">
        <f>S55/_xlfn.XLOOKUP(AS$5,'OC-Days'!$G:$G,'OC-Days'!$B:$B)</f>
        <v>62</v>
      </c>
      <c r="AT55" s="14">
        <f>T55/_xlfn.XLOOKUP(AT$5,'OC-Days'!$G:$G,'OC-Days'!$B:$B)</f>
        <v>62</v>
      </c>
      <c r="AU55" s="14">
        <f>U55/_xlfn.XLOOKUP(AU$5,'OC-Days'!$G:$G,'OC-Days'!$B:$B)</f>
        <v>62</v>
      </c>
      <c r="AV55" s="14">
        <f>V55/_xlfn.XLOOKUP(AV$5,'OC-Days'!$G:$G,'OC-Days'!$B:$B)</f>
        <v>62</v>
      </c>
      <c r="AW55" s="14">
        <f>W55/_xlfn.XLOOKUP(AW$5,'OC-Days'!$G:$G,'OC-Days'!$B:$B)</f>
        <v>62</v>
      </c>
      <c r="AX55" s="14">
        <f>X55/_xlfn.XLOOKUP(AX$5,'OC-Days'!$G:$G,'OC-Days'!$B:$B)</f>
        <v>62</v>
      </c>
      <c r="AY55" s="14">
        <f>Y55/_xlfn.XLOOKUP(AY$5,'OC-Days'!$G:$G,'OC-Days'!$B:$B)</f>
        <v>62</v>
      </c>
      <c r="AZ55" s="14">
        <f>Z55/_xlfn.XLOOKUP(AZ$5,'OC-Days'!$G:$G,'OC-Days'!$B:$B)</f>
        <v>62</v>
      </c>
      <c r="BA55" s="14">
        <f>AA55/_xlfn.XLOOKUP(BA$5,'OC-Days'!$G:$G,'OC-Days'!$B:$B)</f>
        <v>62</v>
      </c>
      <c r="BC55" s="33">
        <f>_xlfn.XLOOKUP(BC$5,'OC-Days'!$G:$G,'OC-Days'!$F:$F)</f>
        <v>45658</v>
      </c>
      <c r="BD55" s="34" t="str">
        <f>IF(AQ55=AP55,"na",_xlfn.XLOOKUP(BD$5,'OC-Days'!$G:$G,'OC-Days'!$F:$F))</f>
        <v>na</v>
      </c>
      <c r="BE55" s="34" t="str">
        <f>IF(AR55=AQ55,"na",_xlfn.XLOOKUP(BE$5,'OC-Days'!$G:$G,'OC-Days'!$F:$F))</f>
        <v>na</v>
      </c>
      <c r="BF55" s="34" t="str">
        <f>IF(AS55=AR55,"na",_xlfn.XLOOKUP(BF$5,'OC-Days'!$G:$G,'OC-Days'!$F:$F))</f>
        <v>na</v>
      </c>
      <c r="BG55" s="34" t="str">
        <f>IF(AT55=AS55,"na",_xlfn.XLOOKUP(BG$5,'OC-Days'!$G:$G,'OC-Days'!$F:$F))</f>
        <v>na</v>
      </c>
      <c r="BH55" s="34" t="str">
        <f>IF(AU55=AT55,"na",_xlfn.XLOOKUP(BH$5,'OC-Days'!$G:$G,'OC-Days'!$F:$F))</f>
        <v>na</v>
      </c>
      <c r="BI55" s="34" t="str">
        <f>IF(AV55=AU55,"na",_xlfn.XLOOKUP(BI$5,'OC-Days'!$G:$G,'OC-Days'!$F:$F))</f>
        <v>na</v>
      </c>
      <c r="BJ55" s="34" t="str">
        <f>IF(AW55=AV55,"na",_xlfn.XLOOKUP(BJ$5,'OC-Days'!$G:$G,'OC-Days'!$F:$F))</f>
        <v>na</v>
      </c>
      <c r="BK55" s="34" t="str">
        <f>IF(AX55=AW55,"na",_xlfn.XLOOKUP(BK$5,'OC-Days'!$G:$G,'OC-Days'!$F:$F))</f>
        <v>na</v>
      </c>
      <c r="BL55" s="34" t="str">
        <f>IF(AY55=AX55,"na",_xlfn.XLOOKUP(BL$5,'OC-Days'!$G:$G,'OC-Days'!$F:$F))</f>
        <v>na</v>
      </c>
      <c r="BM55" s="34" t="str">
        <f>IF(AZ55=AY55,"na",_xlfn.XLOOKUP(BM$5,'OC-Days'!$G:$G,'OC-Days'!$F:$F))</f>
        <v>na</v>
      </c>
      <c r="BN55" s="34" t="str">
        <f>IF(BA55=AZ55,"na",_xlfn.XLOOKUP(BN$5,'OC-Days'!$G:$G,'OC-Days'!$F:$F))</f>
        <v>na</v>
      </c>
      <c r="BP55" s="36" t="str">
        <f t="shared" si="52"/>
        <v>na</v>
      </c>
      <c r="BQ55" s="36" t="str">
        <f t="shared" si="53"/>
        <v>na</v>
      </c>
      <c r="BR55" s="36" t="str">
        <f t="shared" si="54"/>
        <v>na</v>
      </c>
      <c r="BS55" s="36" t="str">
        <f t="shared" si="55"/>
        <v>na</v>
      </c>
      <c r="BT55" s="36" t="str">
        <f t="shared" si="56"/>
        <v>na</v>
      </c>
      <c r="BU55" s="36" t="str">
        <f t="shared" si="57"/>
        <v>na</v>
      </c>
      <c r="BV55" s="36" t="str">
        <f t="shared" si="58"/>
        <v>na</v>
      </c>
      <c r="BW55" s="36" t="str">
        <f t="shared" si="59"/>
        <v>na</v>
      </c>
      <c r="BX55" s="36" t="str">
        <f t="shared" si="60"/>
        <v>na</v>
      </c>
      <c r="BY55" s="36" t="str">
        <f t="shared" si="61"/>
        <v>na</v>
      </c>
      <c r="BZ55" s="36" t="str">
        <f t="shared" si="62"/>
        <v>na</v>
      </c>
      <c r="CA55" s="43">
        <f t="shared" si="46"/>
        <v>46022</v>
      </c>
      <c r="CC55" s="8">
        <f>COUNT($BC55:BC55)</f>
        <v>1</v>
      </c>
      <c r="CD55" s="8">
        <f>COUNT($BC55:BD55)</f>
        <v>1</v>
      </c>
      <c r="CE55" s="8">
        <f>COUNT($BC55:BE55)</f>
        <v>1</v>
      </c>
      <c r="CF55" s="8">
        <f>COUNT($BC55:BF55)</f>
        <v>1</v>
      </c>
      <c r="CG55" s="8">
        <f>COUNT($BC55:BG55)</f>
        <v>1</v>
      </c>
      <c r="CH55" s="8">
        <f>COUNT($BC55:BH55)</f>
        <v>1</v>
      </c>
      <c r="CI55" s="8">
        <f>COUNT($BC55:BI55)</f>
        <v>1</v>
      </c>
      <c r="CJ55" s="8">
        <f>COUNT($BC55:BJ55)</f>
        <v>1</v>
      </c>
      <c r="CK55" s="8">
        <f>COUNT($BC55:BK55)</f>
        <v>1</v>
      </c>
      <c r="CL55" s="8">
        <f>COUNT($BC55:BL55)</f>
        <v>1</v>
      </c>
      <c r="CM55" s="8">
        <f>COUNT($BC55:BM55)</f>
        <v>1</v>
      </c>
      <c r="CN55" s="8">
        <f>COUNT($BC55:BN55)</f>
        <v>1</v>
      </c>
      <c r="CO55" s="8"/>
      <c r="CP55" s="8">
        <f>COUNT($BP55:BP55)</f>
        <v>0</v>
      </c>
      <c r="CQ55" s="8">
        <f>COUNT($BP55:BQ55)</f>
        <v>0</v>
      </c>
      <c r="CR55" s="8">
        <f>COUNT($BP55:BR55)</f>
        <v>0</v>
      </c>
      <c r="CS55" s="8">
        <f>COUNT($BP55:BS55)</f>
        <v>0</v>
      </c>
      <c r="CT55" s="8">
        <f>COUNT($BP55:BT55)</f>
        <v>0</v>
      </c>
      <c r="CU55" s="8">
        <f>COUNT($BP55:BU55)</f>
        <v>0</v>
      </c>
      <c r="CV55" s="8">
        <f>COUNT($BP55:BV55)</f>
        <v>0</v>
      </c>
      <c r="CW55" s="8">
        <f>COUNT($BP55:BW55)</f>
        <v>0</v>
      </c>
      <c r="CX55" s="8">
        <f>COUNT($BP55:BX55)</f>
        <v>0</v>
      </c>
      <c r="CY55" s="8">
        <f>COUNT($BP55:BY55)</f>
        <v>0</v>
      </c>
      <c r="CZ55" s="8">
        <f>COUNT($BP55:BZ55)</f>
        <v>0</v>
      </c>
      <c r="DA55" s="8">
        <f>COUNT($BP55:CA55)</f>
        <v>1</v>
      </c>
      <c r="DC55">
        <f t="shared" si="47"/>
        <v>840</v>
      </c>
      <c r="DD55">
        <f t="shared" si="48"/>
        <v>21</v>
      </c>
      <c r="DE55" t="str">
        <f t="shared" si="49"/>
        <v>840-21</v>
      </c>
      <c r="DG55">
        <f t="shared" si="50"/>
        <v>1</v>
      </c>
      <c r="DH55">
        <f t="shared" si="51"/>
        <v>1</v>
      </c>
      <c r="DJ55" s="44" cm="1">
        <f t="array" ref="DJ55">IF(DJ$5&lt;=$DG55,INDEX($BC55:$BN55,1,_xlfn.XMATCH(DJ$5,$CC55:$CN55)),"na")</f>
        <v>45658</v>
      </c>
      <c r="DK55" s="45" cm="1">
        <f t="array" ref="DK55">IF(DK$5&lt;=$DH55,INDEX($BP55:$CA55,1,_xlfn.XMATCH(DK$5,$CP55:$DA55)),"na")</f>
        <v>46022</v>
      </c>
      <c r="DL55" s="46" cm="1">
        <f t="array" ref="DL55">IF(DL$5&lt;=$DG55,INDEX($AC55:$AN55,1,_xlfn.XMATCH(DL$5,$CC55:$CN55)),"na")</f>
        <v>66</v>
      </c>
      <c r="DM55" s="47" cm="1">
        <f t="array" ref="DM55">IF(DM$5&lt;=$DG55,INDEX($AP55:$BA55,1,_xlfn.XMATCH(DM$5,$CC55:$CN55)),"na")</f>
        <v>62</v>
      </c>
      <c r="DN55" s="44" t="str" cm="1">
        <f t="array" ref="DN55">IF(DN$5&lt;=$DG55,INDEX($BC55:$BN55,1,_xlfn.XMATCH(DN$5,$CC55:$CN55)),"na")</f>
        <v>na</v>
      </c>
      <c r="DO55" s="45" t="str" cm="1">
        <f t="array" ref="DO55">IF(DO$5&lt;=$DH55,INDEX($BP55:$CA55,1,_xlfn.XMATCH(DO$5,$CP55:$DA55)),"na")</f>
        <v>na</v>
      </c>
      <c r="DP55" s="46" t="str" cm="1">
        <f t="array" ref="DP55">IF(DP$5&lt;=$DG55,INDEX($AC55:$AN55,1,_xlfn.XMATCH(DP$5,$CC55:$CN55)),"na")</f>
        <v>na</v>
      </c>
      <c r="DQ55" s="47" t="str" cm="1">
        <f t="array" ref="DQ55">IF(DQ$5&lt;=$DG55,INDEX($AP55:$BA55,1,_xlfn.XMATCH(DQ$5,$CC55:$CN55)),"na")</f>
        <v>na</v>
      </c>
      <c r="DR55" s="44" t="str" cm="1">
        <f t="array" ref="DR55">IF(DR$5&lt;=$DG55,INDEX($BC55:$BN55,1,_xlfn.XMATCH(DR$5,$CC55:$CN55)),"na")</f>
        <v>na</v>
      </c>
      <c r="DS55" s="45" t="str" cm="1">
        <f t="array" ref="DS55">IF(DS$5&lt;=$DH55,INDEX($BP55:$CA55,1,_xlfn.XMATCH(DS$5,$CP55:$DA55)),"na")</f>
        <v>na</v>
      </c>
      <c r="DT55" s="46" t="str" cm="1">
        <f t="array" ref="DT55">IF(DT$5&lt;=$DG55,INDEX($AC55:$AN55,1,_xlfn.XMATCH(DT$5,$CC55:$CN55)),"na")</f>
        <v>na</v>
      </c>
      <c r="DU55" s="47" t="str" cm="1">
        <f t="array" ref="DU55">IF(DU$5&lt;=$DG55,INDEX($AP55:$BA55,1,_xlfn.XMATCH(DU$5,$CC55:$CN55)),"na")</f>
        <v>na</v>
      </c>
      <c r="DV55" s="44" t="str" cm="1">
        <f t="array" ref="DV55">IF(DV$5&lt;=$DG55,INDEX($BC55:$BN55,1,_xlfn.XMATCH(DV$5,$CC55:$CN55)),"na")</f>
        <v>na</v>
      </c>
      <c r="DW55" s="45" t="str" cm="1">
        <f t="array" ref="DW55">IF(DW$5&lt;=$DH55,INDEX($BP55:$CA55,1,_xlfn.XMATCH(DW$5,$CP55:$DA55)),"na")</f>
        <v>na</v>
      </c>
      <c r="DX55" s="46" t="str" cm="1">
        <f t="array" ref="DX55">IF(DX$5&lt;=$DG55,INDEX($AC55:$AN55,1,_xlfn.XMATCH(DX$5,$CC55:$CN55)),"na")</f>
        <v>na</v>
      </c>
      <c r="DY55" s="47" t="str" cm="1">
        <f t="array" ref="DY55">IF(DY$5&lt;=$DG55,INDEX($AP55:$BA55,1,_xlfn.XMATCH(DY$5,$CC55:$CN55)),"na")</f>
        <v>na</v>
      </c>
      <c r="DZ55" s="44" t="str" cm="1">
        <f t="array" ref="DZ55">IF(DZ$5&lt;=$DG55,INDEX($BC55:$BN55,1,_xlfn.XMATCH(DZ$5,$CC55:$CN55)),"na")</f>
        <v>na</v>
      </c>
      <c r="EA55" s="45" t="str" cm="1">
        <f t="array" ref="EA55">IF(EA$5&lt;=$DH55,INDEX($BP55:$CA55,1,_xlfn.XMATCH(EA$5,$CP55:$DA55)),"na")</f>
        <v>na</v>
      </c>
      <c r="EB55" s="46" t="str" cm="1">
        <f t="array" ref="EB55">IF(EB$5&lt;=$DG55,INDEX($AC55:$AN55,1,_xlfn.XMATCH(EB$5,$CC55:$CN55)),"na")</f>
        <v>na</v>
      </c>
      <c r="EC55" s="47" t="str" cm="1">
        <f t="array" ref="EC55">IF(EC$5&lt;=$DG55,INDEX($AP55:$BA55,1,_xlfn.XMATCH(EC$5,$CC55:$CN55)),"na")</f>
        <v>na</v>
      </c>
      <c r="ED55" s="44" t="str" cm="1">
        <f t="array" ref="ED55">IF(ED$5&lt;=$DG55,INDEX($BC55:$BN55,1,_xlfn.XMATCH(ED$5,$CC55:$CN55)),"na")</f>
        <v>na</v>
      </c>
      <c r="EE55" s="45" t="str" cm="1">
        <f t="array" ref="EE55">IF(EE$5&lt;=$DH55,INDEX($BP55:$CA55,1,_xlfn.XMATCH(EE$5,$CP55:$DA55)),"na")</f>
        <v>na</v>
      </c>
      <c r="EF55" s="46" t="str" cm="1">
        <f t="array" ref="EF55">IF(EF$5&lt;=$DG55,INDEX($AC55:$AN55,1,_xlfn.XMATCH(EF$5,$CC55:$CN55)),"na")</f>
        <v>na</v>
      </c>
      <c r="EG55" s="47" t="str" cm="1">
        <f t="array" ref="EG55">IF(EG$5&lt;=$DG55,INDEX($AP55:$BA55,1,_xlfn.XMATCH(EG$5,$CC55:$CN55)),"na")</f>
        <v>na</v>
      </c>
      <c r="EH55" s="44" t="str" cm="1">
        <f t="array" ref="EH55">IF(EH$5&lt;=$DG55,INDEX($BC55:$BN55,1,_xlfn.XMATCH(EH$5,$CC55:$CN55)),"na")</f>
        <v>na</v>
      </c>
      <c r="EI55" s="45" t="str" cm="1">
        <f t="array" ref="EI55">IF(EI$5&lt;=$DH55,INDEX($BP55:$CA55,1,_xlfn.XMATCH(EI$5,$CP55:$DA55)),"na")</f>
        <v>na</v>
      </c>
      <c r="EJ55" s="46" t="str" cm="1">
        <f t="array" ref="EJ55">IF(EJ$5&lt;=$DG55,INDEX($AC55:$AN55,1,_xlfn.XMATCH(EJ$5,$CC55:$CN55)),"na")</f>
        <v>na</v>
      </c>
      <c r="EK55" s="47" t="str" cm="1">
        <f t="array" ref="EK55">IF(EK$5&lt;=$DG55,INDEX($AP55:$BA55,1,_xlfn.XMATCH(EK$5,$CC55:$CN55)),"na")</f>
        <v>na</v>
      </c>
      <c r="EL55" s="44" t="str" cm="1">
        <f t="array" ref="EL55">IF(EL$5&lt;=$DG55,INDEX($BC55:$BN55,1,_xlfn.XMATCH(EL$5,$CC55:$CN55)),"na")</f>
        <v>na</v>
      </c>
      <c r="EM55" s="45" t="str" cm="1">
        <f t="array" ref="EM55">IF(EM$5&lt;=$DH55,INDEX($BP55:$CA55,1,_xlfn.XMATCH(EM$5,$CP55:$DA55)),"na")</f>
        <v>na</v>
      </c>
      <c r="EN55" s="46" t="str" cm="1">
        <f t="array" ref="EN55">IF(EN$5&lt;=$DG55,INDEX($AC55:$AN55,1,_xlfn.XMATCH(EN$5,$CC55:$CN55)),"na")</f>
        <v>na</v>
      </c>
      <c r="EO55" s="47" t="str" cm="1">
        <f t="array" ref="EO55">IF(EO$5&lt;=$DG55,INDEX($AP55:$BA55,1,_xlfn.XMATCH(EO$5,$CC55:$CN55)),"na")</f>
        <v>na</v>
      </c>
      <c r="EP55" s="44" t="str" cm="1">
        <f t="array" ref="EP55">IF(EP$5&lt;=$DG55,INDEX($BC55:$BN55,1,_xlfn.XMATCH(EP$5,$CC55:$CN55)),"na")</f>
        <v>na</v>
      </c>
      <c r="EQ55" s="45" t="str" cm="1">
        <f t="array" ref="EQ55">IF(EQ$5&lt;=$DH55,INDEX($BP55:$CA55,1,_xlfn.XMATCH(EQ$5,$CP55:$DA55)),"na")</f>
        <v>na</v>
      </c>
      <c r="ER55" s="46" t="str" cm="1">
        <f t="array" ref="ER55">IF(ER$5&lt;=$DG55,INDEX($AC55:$AN55,1,_xlfn.XMATCH(ER$5,$CC55:$CN55)),"na")</f>
        <v>na</v>
      </c>
      <c r="ES55" s="47" t="str" cm="1">
        <f t="array" ref="ES55">IF(ES$5&lt;=$DG55,INDEX($AP55:$BA55,1,_xlfn.XMATCH(ES$5,$CC55:$CN55)),"na")</f>
        <v>na</v>
      </c>
      <c r="ET55" s="44" t="str" cm="1">
        <f t="array" ref="ET55">IF(ET$5&lt;=$DG55,INDEX($BC55:$BN55,1,_xlfn.XMATCH(ET$5,$CC55:$CN55)),"na")</f>
        <v>na</v>
      </c>
      <c r="EU55" s="45" t="str" cm="1">
        <f t="array" ref="EU55">IF(EU$5&lt;=$DH55,INDEX($BP55:$CA55,1,_xlfn.XMATCH(EU$5,$CP55:$DA55)),"na")</f>
        <v>na</v>
      </c>
      <c r="EV55" s="46" t="str" cm="1">
        <f t="array" ref="EV55">IF(EV$5&lt;=$DG55,INDEX($AC55:$AN55,1,_xlfn.XMATCH(EV$5,$CC55:$CN55)),"na")</f>
        <v>na</v>
      </c>
      <c r="EW55" s="47" t="str" cm="1">
        <f t="array" ref="EW55">IF(EW$5&lt;=$DG55,INDEX($AP55:$BA55,1,_xlfn.XMATCH(EW$5,$CC55:$CN55)),"na")</f>
        <v>na</v>
      </c>
      <c r="EX55" s="44" t="str" cm="1">
        <f t="array" ref="EX55">IF(EX$5&lt;=$DG55,INDEX($BC55:$BN55,1,_xlfn.XMATCH(EX$5,$CC55:$CN55)),"na")</f>
        <v>na</v>
      </c>
      <c r="EY55" s="45" t="str" cm="1">
        <f t="array" ref="EY55">IF(EY$5&lt;=$DH55,INDEX($BP55:$CA55,1,_xlfn.XMATCH(EY$5,$CP55:$DA55)),"na")</f>
        <v>na</v>
      </c>
      <c r="EZ55" s="46" t="str" cm="1">
        <f t="array" ref="EZ55">IF(EZ$5&lt;=$DG55,INDEX($AC55:$AN55,1,_xlfn.XMATCH(EZ$5,$CC55:$CN55)),"na")</f>
        <v>na</v>
      </c>
      <c r="FA55" s="47" t="str" cm="1">
        <f t="array" ref="FA55">IF(FA$5&lt;=$DG55,INDEX($AP55:$BA55,1,_xlfn.XMATCH(FA$5,$CC55:$CN55)),"na")</f>
        <v>na</v>
      </c>
      <c r="FB55" s="44" t="str" cm="1">
        <f t="array" ref="FB55">IF(FB$5&lt;=$DG55,INDEX($BC55:$BN55,1,_xlfn.XMATCH(FB$5,$CC55:$CN55)),"na")</f>
        <v>na</v>
      </c>
      <c r="FC55" s="45" t="str" cm="1">
        <f t="array" ref="FC55">IF(FC$5&lt;=$DH55,INDEX($BP55:$CA55,1,_xlfn.XMATCH(FC$5,$CP55:$DA55)),"na")</f>
        <v>na</v>
      </c>
      <c r="FD55" s="46" t="str" cm="1">
        <f t="array" ref="FD55">IF(FD$5&lt;=$DG55,INDEX($AC55:$AN55,1,_xlfn.XMATCH(FD$5,$CC55:$CN55)),"na")</f>
        <v>na</v>
      </c>
      <c r="FE55" s="47" t="str" cm="1">
        <f t="array" ref="FE55">IF(FE$5&lt;=$DG55,INDEX($AP55:$BA55,1,_xlfn.XMATCH(FE$5,$CC55:$CN55)),"na")</f>
        <v>na</v>
      </c>
    </row>
    <row r="56" spans="2:161" x14ac:dyDescent="0.25">
      <c r="B56" s="10" t="s">
        <v>112</v>
      </c>
      <c r="C56" s="8">
        <v>2728</v>
      </c>
      <c r="D56" s="8">
        <v>2464</v>
      </c>
      <c r="E56" s="8">
        <v>2728</v>
      </c>
      <c r="F56" s="8">
        <v>2640</v>
      </c>
      <c r="G56" s="8">
        <v>2728</v>
      </c>
      <c r="H56" s="8">
        <v>2640</v>
      </c>
      <c r="I56" s="8">
        <v>2728</v>
      </c>
      <c r="J56" s="8">
        <v>2728</v>
      </c>
      <c r="K56" s="8">
        <v>2640</v>
      </c>
      <c r="L56" s="8">
        <v>2728</v>
      </c>
      <c r="M56" s="8">
        <v>2640</v>
      </c>
      <c r="N56" s="8">
        <v>2728</v>
      </c>
      <c r="O56" s="8"/>
      <c r="P56" s="8">
        <v>2604</v>
      </c>
      <c r="Q56" s="8">
        <v>2352</v>
      </c>
      <c r="R56" s="8">
        <v>2604</v>
      </c>
      <c r="S56" s="8">
        <v>2520</v>
      </c>
      <c r="T56" s="8">
        <v>2604</v>
      </c>
      <c r="U56" s="8">
        <v>2520</v>
      </c>
      <c r="V56" s="8">
        <v>2604</v>
      </c>
      <c r="W56" s="8">
        <v>2604</v>
      </c>
      <c r="X56" s="8">
        <v>2520</v>
      </c>
      <c r="Y56" s="8">
        <v>2604</v>
      </c>
      <c r="Z56" s="8">
        <v>2520</v>
      </c>
      <c r="AA56" s="8">
        <v>2604</v>
      </c>
      <c r="AC56" s="14">
        <f>C56/_xlfn.XLOOKUP(AC$5,'OC-Days'!$G:$G,'OC-Days'!$B:$B)</f>
        <v>88</v>
      </c>
      <c r="AD56" s="14">
        <f>D56/_xlfn.XLOOKUP(AD$5,'OC-Days'!$G:$G,'OC-Days'!$B:$B)</f>
        <v>88</v>
      </c>
      <c r="AE56" s="14">
        <f>E56/_xlfn.XLOOKUP(AE$5,'OC-Days'!$G:$G,'OC-Days'!$B:$B)</f>
        <v>88</v>
      </c>
      <c r="AF56" s="14">
        <f>F56/_xlfn.XLOOKUP(AF$5,'OC-Days'!$G:$G,'OC-Days'!$B:$B)</f>
        <v>88</v>
      </c>
      <c r="AG56" s="14">
        <f>G56/_xlfn.XLOOKUP(AG$5,'OC-Days'!$G:$G,'OC-Days'!$B:$B)</f>
        <v>88</v>
      </c>
      <c r="AH56" s="14">
        <f>H56/_xlfn.XLOOKUP(AH$5,'OC-Days'!$G:$G,'OC-Days'!$B:$B)</f>
        <v>88</v>
      </c>
      <c r="AI56" s="14">
        <f>I56/_xlfn.XLOOKUP(AI$5,'OC-Days'!$G:$G,'OC-Days'!$B:$B)</f>
        <v>88</v>
      </c>
      <c r="AJ56" s="14">
        <f>J56/_xlfn.XLOOKUP(AJ$5,'OC-Days'!$G:$G,'OC-Days'!$B:$B)</f>
        <v>88</v>
      </c>
      <c r="AK56" s="14">
        <f>K56/_xlfn.XLOOKUP(AK$5,'OC-Days'!$G:$G,'OC-Days'!$B:$B)</f>
        <v>88</v>
      </c>
      <c r="AL56" s="14">
        <f>L56/_xlfn.XLOOKUP(AL$5,'OC-Days'!$G:$G,'OC-Days'!$B:$B)</f>
        <v>88</v>
      </c>
      <c r="AM56" s="14">
        <f>M56/_xlfn.XLOOKUP(AM$5,'OC-Days'!$G:$G,'OC-Days'!$B:$B)</f>
        <v>88</v>
      </c>
      <c r="AN56" s="14">
        <f>N56/_xlfn.XLOOKUP(AN$5,'OC-Days'!$G:$G,'OC-Days'!$B:$B)</f>
        <v>88</v>
      </c>
      <c r="AP56" s="14">
        <f>P56/_xlfn.XLOOKUP(AP$5,'OC-Days'!$G:$G,'OC-Days'!$B:$B)</f>
        <v>84</v>
      </c>
      <c r="AQ56" s="14">
        <f>Q56/_xlfn.XLOOKUP(AQ$5,'OC-Days'!$G:$G,'OC-Days'!$B:$B)</f>
        <v>84</v>
      </c>
      <c r="AR56" s="14">
        <f>R56/_xlfn.XLOOKUP(AR$5,'OC-Days'!$G:$G,'OC-Days'!$B:$B)</f>
        <v>84</v>
      </c>
      <c r="AS56" s="14">
        <f>S56/_xlfn.XLOOKUP(AS$5,'OC-Days'!$G:$G,'OC-Days'!$B:$B)</f>
        <v>84</v>
      </c>
      <c r="AT56" s="14">
        <f>T56/_xlfn.XLOOKUP(AT$5,'OC-Days'!$G:$G,'OC-Days'!$B:$B)</f>
        <v>84</v>
      </c>
      <c r="AU56" s="14">
        <f>U56/_xlfn.XLOOKUP(AU$5,'OC-Days'!$G:$G,'OC-Days'!$B:$B)</f>
        <v>84</v>
      </c>
      <c r="AV56" s="14">
        <f>V56/_xlfn.XLOOKUP(AV$5,'OC-Days'!$G:$G,'OC-Days'!$B:$B)</f>
        <v>84</v>
      </c>
      <c r="AW56" s="14">
        <f>W56/_xlfn.XLOOKUP(AW$5,'OC-Days'!$G:$G,'OC-Days'!$B:$B)</f>
        <v>84</v>
      </c>
      <c r="AX56" s="14">
        <f>X56/_xlfn.XLOOKUP(AX$5,'OC-Days'!$G:$G,'OC-Days'!$B:$B)</f>
        <v>84</v>
      </c>
      <c r="AY56" s="14">
        <f>Y56/_xlfn.XLOOKUP(AY$5,'OC-Days'!$G:$G,'OC-Days'!$B:$B)</f>
        <v>84</v>
      </c>
      <c r="AZ56" s="14">
        <f>Z56/_xlfn.XLOOKUP(AZ$5,'OC-Days'!$G:$G,'OC-Days'!$B:$B)</f>
        <v>84</v>
      </c>
      <c r="BA56" s="14">
        <f>AA56/_xlfn.XLOOKUP(BA$5,'OC-Days'!$G:$G,'OC-Days'!$B:$B)</f>
        <v>84</v>
      </c>
      <c r="BC56" s="33">
        <f>_xlfn.XLOOKUP(BC$5,'OC-Days'!$G:$G,'OC-Days'!$F:$F)</f>
        <v>45658</v>
      </c>
      <c r="BD56" s="34" t="str">
        <f>IF(AQ56=AP56,"na",_xlfn.XLOOKUP(BD$5,'OC-Days'!$G:$G,'OC-Days'!$F:$F))</f>
        <v>na</v>
      </c>
      <c r="BE56" s="34" t="str">
        <f>IF(AR56=AQ56,"na",_xlfn.XLOOKUP(BE$5,'OC-Days'!$G:$G,'OC-Days'!$F:$F))</f>
        <v>na</v>
      </c>
      <c r="BF56" s="34" t="str">
        <f>IF(AS56=AR56,"na",_xlfn.XLOOKUP(BF$5,'OC-Days'!$G:$G,'OC-Days'!$F:$F))</f>
        <v>na</v>
      </c>
      <c r="BG56" s="34" t="str">
        <f>IF(AT56=AS56,"na",_xlfn.XLOOKUP(BG$5,'OC-Days'!$G:$G,'OC-Days'!$F:$F))</f>
        <v>na</v>
      </c>
      <c r="BH56" s="34" t="str">
        <f>IF(AU56=AT56,"na",_xlfn.XLOOKUP(BH$5,'OC-Days'!$G:$G,'OC-Days'!$F:$F))</f>
        <v>na</v>
      </c>
      <c r="BI56" s="34" t="str">
        <f>IF(AV56=AU56,"na",_xlfn.XLOOKUP(BI$5,'OC-Days'!$G:$G,'OC-Days'!$F:$F))</f>
        <v>na</v>
      </c>
      <c r="BJ56" s="34" t="str">
        <f>IF(AW56=AV56,"na",_xlfn.XLOOKUP(BJ$5,'OC-Days'!$G:$G,'OC-Days'!$F:$F))</f>
        <v>na</v>
      </c>
      <c r="BK56" s="34" t="str">
        <f>IF(AX56=AW56,"na",_xlfn.XLOOKUP(BK$5,'OC-Days'!$G:$G,'OC-Days'!$F:$F))</f>
        <v>na</v>
      </c>
      <c r="BL56" s="34" t="str">
        <f>IF(AY56=AX56,"na",_xlfn.XLOOKUP(BL$5,'OC-Days'!$G:$G,'OC-Days'!$F:$F))</f>
        <v>na</v>
      </c>
      <c r="BM56" s="34" t="str">
        <f>IF(AZ56=AY56,"na",_xlfn.XLOOKUP(BM$5,'OC-Days'!$G:$G,'OC-Days'!$F:$F))</f>
        <v>na</v>
      </c>
      <c r="BN56" s="34" t="str">
        <f>IF(BA56=AZ56,"na",_xlfn.XLOOKUP(BN$5,'OC-Days'!$G:$G,'OC-Days'!$F:$F))</f>
        <v>na</v>
      </c>
      <c r="BP56" s="36" t="str">
        <f t="shared" si="52"/>
        <v>na</v>
      </c>
      <c r="BQ56" s="36" t="str">
        <f t="shared" si="53"/>
        <v>na</v>
      </c>
      <c r="BR56" s="36" t="str">
        <f t="shared" si="54"/>
        <v>na</v>
      </c>
      <c r="BS56" s="36" t="str">
        <f t="shared" si="55"/>
        <v>na</v>
      </c>
      <c r="BT56" s="36" t="str">
        <f t="shared" si="56"/>
        <v>na</v>
      </c>
      <c r="BU56" s="36" t="str">
        <f t="shared" si="57"/>
        <v>na</v>
      </c>
      <c r="BV56" s="36" t="str">
        <f t="shared" si="58"/>
        <v>na</v>
      </c>
      <c r="BW56" s="36" t="str">
        <f t="shared" si="59"/>
        <v>na</v>
      </c>
      <c r="BX56" s="36" t="str">
        <f t="shared" si="60"/>
        <v>na</v>
      </c>
      <c r="BY56" s="36" t="str">
        <f t="shared" si="61"/>
        <v>na</v>
      </c>
      <c r="BZ56" s="36" t="str">
        <f t="shared" si="62"/>
        <v>na</v>
      </c>
      <c r="CA56" s="43">
        <f t="shared" si="46"/>
        <v>46022</v>
      </c>
      <c r="CC56" s="8">
        <f>COUNT($BC56:BC56)</f>
        <v>1</v>
      </c>
      <c r="CD56" s="8">
        <f>COUNT($BC56:BD56)</f>
        <v>1</v>
      </c>
      <c r="CE56" s="8">
        <f>COUNT($BC56:BE56)</f>
        <v>1</v>
      </c>
      <c r="CF56" s="8">
        <f>COUNT($BC56:BF56)</f>
        <v>1</v>
      </c>
      <c r="CG56" s="8">
        <f>COUNT($BC56:BG56)</f>
        <v>1</v>
      </c>
      <c r="CH56" s="8">
        <f>COUNT($BC56:BH56)</f>
        <v>1</v>
      </c>
      <c r="CI56" s="8">
        <f>COUNT($BC56:BI56)</f>
        <v>1</v>
      </c>
      <c r="CJ56" s="8">
        <f>COUNT($BC56:BJ56)</f>
        <v>1</v>
      </c>
      <c r="CK56" s="8">
        <f>COUNT($BC56:BK56)</f>
        <v>1</v>
      </c>
      <c r="CL56" s="8">
        <f>COUNT($BC56:BL56)</f>
        <v>1</v>
      </c>
      <c r="CM56" s="8">
        <f>COUNT($BC56:BM56)</f>
        <v>1</v>
      </c>
      <c r="CN56" s="8">
        <f>COUNT($BC56:BN56)</f>
        <v>1</v>
      </c>
      <c r="CO56" s="8"/>
      <c r="CP56" s="8">
        <f>COUNT($BP56:BP56)</f>
        <v>0</v>
      </c>
      <c r="CQ56" s="8">
        <f>COUNT($BP56:BQ56)</f>
        <v>0</v>
      </c>
      <c r="CR56" s="8">
        <f>COUNT($BP56:BR56)</f>
        <v>0</v>
      </c>
      <c r="CS56" s="8">
        <f>COUNT($BP56:BS56)</f>
        <v>0</v>
      </c>
      <c r="CT56" s="8">
        <f>COUNT($BP56:BT56)</f>
        <v>0</v>
      </c>
      <c r="CU56" s="8">
        <f>COUNT($BP56:BU56)</f>
        <v>0</v>
      </c>
      <c r="CV56" s="8">
        <f>COUNT($BP56:BV56)</f>
        <v>0</v>
      </c>
      <c r="CW56" s="8">
        <f>COUNT($BP56:BW56)</f>
        <v>0</v>
      </c>
      <c r="CX56" s="8">
        <f>COUNT($BP56:BX56)</f>
        <v>0</v>
      </c>
      <c r="CY56" s="8">
        <f>COUNT($BP56:BY56)</f>
        <v>0</v>
      </c>
      <c r="CZ56" s="8">
        <f>COUNT($BP56:BZ56)</f>
        <v>0</v>
      </c>
      <c r="DA56" s="8">
        <f>COUNT($BP56:CA56)</f>
        <v>1</v>
      </c>
      <c r="DC56">
        <f t="shared" si="47"/>
        <v>840</v>
      </c>
      <c r="DD56">
        <f t="shared" si="48"/>
        <v>31</v>
      </c>
      <c r="DE56" t="str">
        <f t="shared" si="49"/>
        <v>840-31</v>
      </c>
      <c r="DG56">
        <f t="shared" si="50"/>
        <v>1</v>
      </c>
      <c r="DH56">
        <f t="shared" si="51"/>
        <v>1</v>
      </c>
      <c r="DJ56" s="44" cm="1">
        <f t="array" ref="DJ56">IF(DJ$5&lt;=$DG56,INDEX($BC56:$BN56,1,_xlfn.XMATCH(DJ$5,$CC56:$CN56)),"na")</f>
        <v>45658</v>
      </c>
      <c r="DK56" s="45" cm="1">
        <f t="array" ref="DK56">IF(DK$5&lt;=$DH56,INDEX($BP56:$CA56,1,_xlfn.XMATCH(DK$5,$CP56:$DA56)),"na")</f>
        <v>46022</v>
      </c>
      <c r="DL56" s="46" cm="1">
        <f t="array" ref="DL56">IF(DL$5&lt;=$DG56,INDEX($AC56:$AN56,1,_xlfn.XMATCH(DL$5,$CC56:$CN56)),"na")</f>
        <v>88</v>
      </c>
      <c r="DM56" s="47" cm="1">
        <f t="array" ref="DM56">IF(DM$5&lt;=$DG56,INDEX($AP56:$BA56,1,_xlfn.XMATCH(DM$5,$CC56:$CN56)),"na")</f>
        <v>84</v>
      </c>
      <c r="DN56" s="44" t="str" cm="1">
        <f t="array" ref="DN56">IF(DN$5&lt;=$DG56,INDEX($BC56:$BN56,1,_xlfn.XMATCH(DN$5,$CC56:$CN56)),"na")</f>
        <v>na</v>
      </c>
      <c r="DO56" s="45" t="str" cm="1">
        <f t="array" ref="DO56">IF(DO$5&lt;=$DH56,INDEX($BP56:$CA56,1,_xlfn.XMATCH(DO$5,$CP56:$DA56)),"na")</f>
        <v>na</v>
      </c>
      <c r="DP56" s="46" t="str" cm="1">
        <f t="array" ref="DP56">IF(DP$5&lt;=$DG56,INDEX($AC56:$AN56,1,_xlfn.XMATCH(DP$5,$CC56:$CN56)),"na")</f>
        <v>na</v>
      </c>
      <c r="DQ56" s="47" t="str" cm="1">
        <f t="array" ref="DQ56">IF(DQ$5&lt;=$DG56,INDEX($AP56:$BA56,1,_xlfn.XMATCH(DQ$5,$CC56:$CN56)),"na")</f>
        <v>na</v>
      </c>
      <c r="DR56" s="44" t="str" cm="1">
        <f t="array" ref="DR56">IF(DR$5&lt;=$DG56,INDEX($BC56:$BN56,1,_xlfn.XMATCH(DR$5,$CC56:$CN56)),"na")</f>
        <v>na</v>
      </c>
      <c r="DS56" s="45" t="str" cm="1">
        <f t="array" ref="DS56">IF(DS$5&lt;=$DH56,INDEX($BP56:$CA56,1,_xlfn.XMATCH(DS$5,$CP56:$DA56)),"na")</f>
        <v>na</v>
      </c>
      <c r="DT56" s="46" t="str" cm="1">
        <f t="array" ref="DT56">IF(DT$5&lt;=$DG56,INDEX($AC56:$AN56,1,_xlfn.XMATCH(DT$5,$CC56:$CN56)),"na")</f>
        <v>na</v>
      </c>
      <c r="DU56" s="47" t="str" cm="1">
        <f t="array" ref="DU56">IF(DU$5&lt;=$DG56,INDEX($AP56:$BA56,1,_xlfn.XMATCH(DU$5,$CC56:$CN56)),"na")</f>
        <v>na</v>
      </c>
      <c r="DV56" s="44" t="str" cm="1">
        <f t="array" ref="DV56">IF(DV$5&lt;=$DG56,INDEX($BC56:$BN56,1,_xlfn.XMATCH(DV$5,$CC56:$CN56)),"na")</f>
        <v>na</v>
      </c>
      <c r="DW56" s="45" t="str" cm="1">
        <f t="array" ref="DW56">IF(DW$5&lt;=$DH56,INDEX($BP56:$CA56,1,_xlfn.XMATCH(DW$5,$CP56:$DA56)),"na")</f>
        <v>na</v>
      </c>
      <c r="DX56" s="46" t="str" cm="1">
        <f t="array" ref="DX56">IF(DX$5&lt;=$DG56,INDEX($AC56:$AN56,1,_xlfn.XMATCH(DX$5,$CC56:$CN56)),"na")</f>
        <v>na</v>
      </c>
      <c r="DY56" s="47" t="str" cm="1">
        <f t="array" ref="DY56">IF(DY$5&lt;=$DG56,INDEX($AP56:$BA56,1,_xlfn.XMATCH(DY$5,$CC56:$CN56)),"na")</f>
        <v>na</v>
      </c>
      <c r="DZ56" s="44" t="str" cm="1">
        <f t="array" ref="DZ56">IF(DZ$5&lt;=$DG56,INDEX($BC56:$BN56,1,_xlfn.XMATCH(DZ$5,$CC56:$CN56)),"na")</f>
        <v>na</v>
      </c>
      <c r="EA56" s="45" t="str" cm="1">
        <f t="array" ref="EA56">IF(EA$5&lt;=$DH56,INDEX($BP56:$CA56,1,_xlfn.XMATCH(EA$5,$CP56:$DA56)),"na")</f>
        <v>na</v>
      </c>
      <c r="EB56" s="46" t="str" cm="1">
        <f t="array" ref="EB56">IF(EB$5&lt;=$DG56,INDEX($AC56:$AN56,1,_xlfn.XMATCH(EB$5,$CC56:$CN56)),"na")</f>
        <v>na</v>
      </c>
      <c r="EC56" s="47" t="str" cm="1">
        <f t="array" ref="EC56">IF(EC$5&lt;=$DG56,INDEX($AP56:$BA56,1,_xlfn.XMATCH(EC$5,$CC56:$CN56)),"na")</f>
        <v>na</v>
      </c>
      <c r="ED56" s="44" t="str" cm="1">
        <f t="array" ref="ED56">IF(ED$5&lt;=$DG56,INDEX($BC56:$BN56,1,_xlfn.XMATCH(ED$5,$CC56:$CN56)),"na")</f>
        <v>na</v>
      </c>
      <c r="EE56" s="45" t="str" cm="1">
        <f t="array" ref="EE56">IF(EE$5&lt;=$DH56,INDEX($BP56:$CA56,1,_xlfn.XMATCH(EE$5,$CP56:$DA56)),"na")</f>
        <v>na</v>
      </c>
      <c r="EF56" s="46" t="str" cm="1">
        <f t="array" ref="EF56">IF(EF$5&lt;=$DG56,INDEX($AC56:$AN56,1,_xlfn.XMATCH(EF$5,$CC56:$CN56)),"na")</f>
        <v>na</v>
      </c>
      <c r="EG56" s="47" t="str" cm="1">
        <f t="array" ref="EG56">IF(EG$5&lt;=$DG56,INDEX($AP56:$BA56,1,_xlfn.XMATCH(EG$5,$CC56:$CN56)),"na")</f>
        <v>na</v>
      </c>
      <c r="EH56" s="44" t="str" cm="1">
        <f t="array" ref="EH56">IF(EH$5&lt;=$DG56,INDEX($BC56:$BN56,1,_xlfn.XMATCH(EH$5,$CC56:$CN56)),"na")</f>
        <v>na</v>
      </c>
      <c r="EI56" s="45" t="str" cm="1">
        <f t="array" ref="EI56">IF(EI$5&lt;=$DH56,INDEX($BP56:$CA56,1,_xlfn.XMATCH(EI$5,$CP56:$DA56)),"na")</f>
        <v>na</v>
      </c>
      <c r="EJ56" s="46" t="str" cm="1">
        <f t="array" ref="EJ56">IF(EJ$5&lt;=$DG56,INDEX($AC56:$AN56,1,_xlfn.XMATCH(EJ$5,$CC56:$CN56)),"na")</f>
        <v>na</v>
      </c>
      <c r="EK56" s="47" t="str" cm="1">
        <f t="array" ref="EK56">IF(EK$5&lt;=$DG56,INDEX($AP56:$BA56,1,_xlfn.XMATCH(EK$5,$CC56:$CN56)),"na")</f>
        <v>na</v>
      </c>
      <c r="EL56" s="44" t="str" cm="1">
        <f t="array" ref="EL56">IF(EL$5&lt;=$DG56,INDEX($BC56:$BN56,1,_xlfn.XMATCH(EL$5,$CC56:$CN56)),"na")</f>
        <v>na</v>
      </c>
      <c r="EM56" s="45" t="str" cm="1">
        <f t="array" ref="EM56">IF(EM$5&lt;=$DH56,INDEX($BP56:$CA56,1,_xlfn.XMATCH(EM$5,$CP56:$DA56)),"na")</f>
        <v>na</v>
      </c>
      <c r="EN56" s="46" t="str" cm="1">
        <f t="array" ref="EN56">IF(EN$5&lt;=$DG56,INDEX($AC56:$AN56,1,_xlfn.XMATCH(EN$5,$CC56:$CN56)),"na")</f>
        <v>na</v>
      </c>
      <c r="EO56" s="47" t="str" cm="1">
        <f t="array" ref="EO56">IF(EO$5&lt;=$DG56,INDEX($AP56:$BA56,1,_xlfn.XMATCH(EO$5,$CC56:$CN56)),"na")</f>
        <v>na</v>
      </c>
      <c r="EP56" s="44" t="str" cm="1">
        <f t="array" ref="EP56">IF(EP$5&lt;=$DG56,INDEX($BC56:$BN56,1,_xlfn.XMATCH(EP$5,$CC56:$CN56)),"na")</f>
        <v>na</v>
      </c>
      <c r="EQ56" s="45" t="str" cm="1">
        <f t="array" ref="EQ56">IF(EQ$5&lt;=$DH56,INDEX($BP56:$CA56,1,_xlfn.XMATCH(EQ$5,$CP56:$DA56)),"na")</f>
        <v>na</v>
      </c>
      <c r="ER56" s="46" t="str" cm="1">
        <f t="array" ref="ER56">IF(ER$5&lt;=$DG56,INDEX($AC56:$AN56,1,_xlfn.XMATCH(ER$5,$CC56:$CN56)),"na")</f>
        <v>na</v>
      </c>
      <c r="ES56" s="47" t="str" cm="1">
        <f t="array" ref="ES56">IF(ES$5&lt;=$DG56,INDEX($AP56:$BA56,1,_xlfn.XMATCH(ES$5,$CC56:$CN56)),"na")</f>
        <v>na</v>
      </c>
      <c r="ET56" s="44" t="str" cm="1">
        <f t="array" ref="ET56">IF(ET$5&lt;=$DG56,INDEX($BC56:$BN56,1,_xlfn.XMATCH(ET$5,$CC56:$CN56)),"na")</f>
        <v>na</v>
      </c>
      <c r="EU56" s="45" t="str" cm="1">
        <f t="array" ref="EU56">IF(EU$5&lt;=$DH56,INDEX($BP56:$CA56,1,_xlfn.XMATCH(EU$5,$CP56:$DA56)),"na")</f>
        <v>na</v>
      </c>
      <c r="EV56" s="46" t="str" cm="1">
        <f t="array" ref="EV56">IF(EV$5&lt;=$DG56,INDEX($AC56:$AN56,1,_xlfn.XMATCH(EV$5,$CC56:$CN56)),"na")</f>
        <v>na</v>
      </c>
      <c r="EW56" s="47" t="str" cm="1">
        <f t="array" ref="EW56">IF(EW$5&lt;=$DG56,INDEX($AP56:$BA56,1,_xlfn.XMATCH(EW$5,$CC56:$CN56)),"na")</f>
        <v>na</v>
      </c>
      <c r="EX56" s="44" t="str" cm="1">
        <f t="array" ref="EX56">IF(EX$5&lt;=$DG56,INDEX($BC56:$BN56,1,_xlfn.XMATCH(EX$5,$CC56:$CN56)),"na")</f>
        <v>na</v>
      </c>
      <c r="EY56" s="45" t="str" cm="1">
        <f t="array" ref="EY56">IF(EY$5&lt;=$DH56,INDEX($BP56:$CA56,1,_xlfn.XMATCH(EY$5,$CP56:$DA56)),"na")</f>
        <v>na</v>
      </c>
      <c r="EZ56" s="46" t="str" cm="1">
        <f t="array" ref="EZ56">IF(EZ$5&lt;=$DG56,INDEX($AC56:$AN56,1,_xlfn.XMATCH(EZ$5,$CC56:$CN56)),"na")</f>
        <v>na</v>
      </c>
      <c r="FA56" s="47" t="str" cm="1">
        <f t="array" ref="FA56">IF(FA$5&lt;=$DG56,INDEX($AP56:$BA56,1,_xlfn.XMATCH(FA$5,$CC56:$CN56)),"na")</f>
        <v>na</v>
      </c>
      <c r="FB56" s="44" t="str" cm="1">
        <f t="array" ref="FB56">IF(FB$5&lt;=$DG56,INDEX($BC56:$BN56,1,_xlfn.XMATCH(FB$5,$CC56:$CN56)),"na")</f>
        <v>na</v>
      </c>
      <c r="FC56" s="45" t="str" cm="1">
        <f t="array" ref="FC56">IF(FC$5&lt;=$DH56,INDEX($BP56:$CA56,1,_xlfn.XMATCH(FC$5,$CP56:$DA56)),"na")</f>
        <v>na</v>
      </c>
      <c r="FD56" s="46" t="str" cm="1">
        <f t="array" ref="FD56">IF(FD$5&lt;=$DG56,INDEX($AC56:$AN56,1,_xlfn.XMATCH(FD$5,$CC56:$CN56)),"na")</f>
        <v>na</v>
      </c>
      <c r="FE56" s="47" t="str" cm="1">
        <f t="array" ref="FE56">IF(FE$5&lt;=$DG56,INDEX($AP56:$BA56,1,_xlfn.XMATCH(FE$5,$CC56:$CN56)),"na")</f>
        <v>na</v>
      </c>
    </row>
    <row r="57" spans="2:161" x14ac:dyDescent="0.25">
      <c r="B57" s="10" t="s">
        <v>113</v>
      </c>
      <c r="C57" s="8">
        <v>279</v>
      </c>
      <c r="D57" s="8">
        <v>252</v>
      </c>
      <c r="E57" s="8">
        <v>279</v>
      </c>
      <c r="F57" s="8">
        <v>270</v>
      </c>
      <c r="G57" s="8">
        <v>279</v>
      </c>
      <c r="H57" s="8">
        <v>270</v>
      </c>
      <c r="I57" s="8">
        <v>279</v>
      </c>
      <c r="J57" s="8">
        <v>279</v>
      </c>
      <c r="K57" s="8">
        <v>270</v>
      </c>
      <c r="L57" s="8">
        <v>279</v>
      </c>
      <c r="M57" s="8">
        <v>270</v>
      </c>
      <c r="N57" s="8">
        <v>279</v>
      </c>
      <c r="O57" s="8"/>
      <c r="P57" s="8">
        <v>263.5</v>
      </c>
      <c r="Q57" s="8">
        <v>238</v>
      </c>
      <c r="R57" s="8">
        <v>263.5</v>
      </c>
      <c r="S57" s="8">
        <v>255</v>
      </c>
      <c r="T57" s="8">
        <v>263.5</v>
      </c>
      <c r="U57" s="8">
        <v>255</v>
      </c>
      <c r="V57" s="8">
        <v>263.5</v>
      </c>
      <c r="W57" s="8">
        <v>263.5</v>
      </c>
      <c r="X57" s="8">
        <v>255</v>
      </c>
      <c r="Y57" s="8">
        <v>263.5</v>
      </c>
      <c r="Z57" s="8">
        <v>255</v>
      </c>
      <c r="AA57" s="8">
        <v>263.5</v>
      </c>
      <c r="AC57" s="14">
        <f>C57/_xlfn.XLOOKUP(AC$5,'OC-Days'!$G:$G,'OC-Days'!$B:$B)</f>
        <v>9</v>
      </c>
      <c r="AD57" s="14">
        <f>D57/_xlfn.XLOOKUP(AD$5,'OC-Days'!$G:$G,'OC-Days'!$B:$B)</f>
        <v>9</v>
      </c>
      <c r="AE57" s="14">
        <f>E57/_xlfn.XLOOKUP(AE$5,'OC-Days'!$G:$G,'OC-Days'!$B:$B)</f>
        <v>9</v>
      </c>
      <c r="AF57" s="14">
        <f>F57/_xlfn.XLOOKUP(AF$5,'OC-Days'!$G:$G,'OC-Days'!$B:$B)</f>
        <v>9</v>
      </c>
      <c r="AG57" s="14">
        <f>G57/_xlfn.XLOOKUP(AG$5,'OC-Days'!$G:$G,'OC-Days'!$B:$B)</f>
        <v>9</v>
      </c>
      <c r="AH57" s="14">
        <f>H57/_xlfn.XLOOKUP(AH$5,'OC-Days'!$G:$G,'OC-Days'!$B:$B)</f>
        <v>9</v>
      </c>
      <c r="AI57" s="14">
        <f>I57/_xlfn.XLOOKUP(AI$5,'OC-Days'!$G:$G,'OC-Days'!$B:$B)</f>
        <v>9</v>
      </c>
      <c r="AJ57" s="14">
        <f>J57/_xlfn.XLOOKUP(AJ$5,'OC-Days'!$G:$G,'OC-Days'!$B:$B)</f>
        <v>9</v>
      </c>
      <c r="AK57" s="14">
        <f>K57/_xlfn.XLOOKUP(AK$5,'OC-Days'!$G:$G,'OC-Days'!$B:$B)</f>
        <v>9</v>
      </c>
      <c r="AL57" s="14">
        <f>L57/_xlfn.XLOOKUP(AL$5,'OC-Days'!$G:$G,'OC-Days'!$B:$B)</f>
        <v>9</v>
      </c>
      <c r="AM57" s="14">
        <f>M57/_xlfn.XLOOKUP(AM$5,'OC-Days'!$G:$G,'OC-Days'!$B:$B)</f>
        <v>9</v>
      </c>
      <c r="AN57" s="14">
        <f>N57/_xlfn.XLOOKUP(AN$5,'OC-Days'!$G:$G,'OC-Days'!$B:$B)</f>
        <v>9</v>
      </c>
      <c r="AP57" s="14">
        <f>P57/_xlfn.XLOOKUP(AP$5,'OC-Days'!$G:$G,'OC-Days'!$B:$B)</f>
        <v>8.5</v>
      </c>
      <c r="AQ57" s="14">
        <f>Q57/_xlfn.XLOOKUP(AQ$5,'OC-Days'!$G:$G,'OC-Days'!$B:$B)</f>
        <v>8.5</v>
      </c>
      <c r="AR57" s="14">
        <f>R57/_xlfn.XLOOKUP(AR$5,'OC-Days'!$G:$G,'OC-Days'!$B:$B)</f>
        <v>8.5</v>
      </c>
      <c r="AS57" s="14">
        <f>S57/_xlfn.XLOOKUP(AS$5,'OC-Days'!$G:$G,'OC-Days'!$B:$B)</f>
        <v>8.5</v>
      </c>
      <c r="AT57" s="14">
        <f>T57/_xlfn.XLOOKUP(AT$5,'OC-Days'!$G:$G,'OC-Days'!$B:$B)</f>
        <v>8.5</v>
      </c>
      <c r="AU57" s="14">
        <f>U57/_xlfn.XLOOKUP(AU$5,'OC-Days'!$G:$G,'OC-Days'!$B:$B)</f>
        <v>8.5</v>
      </c>
      <c r="AV57" s="14">
        <f>V57/_xlfn.XLOOKUP(AV$5,'OC-Days'!$G:$G,'OC-Days'!$B:$B)</f>
        <v>8.5</v>
      </c>
      <c r="AW57" s="14">
        <f>W57/_xlfn.XLOOKUP(AW$5,'OC-Days'!$G:$G,'OC-Days'!$B:$B)</f>
        <v>8.5</v>
      </c>
      <c r="AX57" s="14">
        <f>X57/_xlfn.XLOOKUP(AX$5,'OC-Days'!$G:$G,'OC-Days'!$B:$B)</f>
        <v>8.5</v>
      </c>
      <c r="AY57" s="14">
        <f>Y57/_xlfn.XLOOKUP(AY$5,'OC-Days'!$G:$G,'OC-Days'!$B:$B)</f>
        <v>8.5</v>
      </c>
      <c r="AZ57" s="14">
        <f>Z57/_xlfn.XLOOKUP(AZ$5,'OC-Days'!$G:$G,'OC-Days'!$B:$B)</f>
        <v>8.5</v>
      </c>
      <c r="BA57" s="14">
        <f>AA57/_xlfn.XLOOKUP(BA$5,'OC-Days'!$G:$G,'OC-Days'!$B:$B)</f>
        <v>8.5</v>
      </c>
      <c r="BC57" s="33">
        <f>_xlfn.XLOOKUP(BC$5,'OC-Days'!$G:$G,'OC-Days'!$F:$F)</f>
        <v>45658</v>
      </c>
      <c r="BD57" s="34" t="str">
        <f>IF(AQ57=AP57,"na",_xlfn.XLOOKUP(BD$5,'OC-Days'!$G:$G,'OC-Days'!$F:$F))</f>
        <v>na</v>
      </c>
      <c r="BE57" s="34" t="str">
        <f>IF(AR57=AQ57,"na",_xlfn.XLOOKUP(BE$5,'OC-Days'!$G:$G,'OC-Days'!$F:$F))</f>
        <v>na</v>
      </c>
      <c r="BF57" s="34" t="str">
        <f>IF(AS57=AR57,"na",_xlfn.XLOOKUP(BF$5,'OC-Days'!$G:$G,'OC-Days'!$F:$F))</f>
        <v>na</v>
      </c>
      <c r="BG57" s="34" t="str">
        <f>IF(AT57=AS57,"na",_xlfn.XLOOKUP(BG$5,'OC-Days'!$G:$G,'OC-Days'!$F:$F))</f>
        <v>na</v>
      </c>
      <c r="BH57" s="34" t="str">
        <f>IF(AU57=AT57,"na",_xlfn.XLOOKUP(BH$5,'OC-Days'!$G:$G,'OC-Days'!$F:$F))</f>
        <v>na</v>
      </c>
      <c r="BI57" s="34" t="str">
        <f>IF(AV57=AU57,"na",_xlfn.XLOOKUP(BI$5,'OC-Days'!$G:$G,'OC-Days'!$F:$F))</f>
        <v>na</v>
      </c>
      <c r="BJ57" s="34" t="str">
        <f>IF(AW57=AV57,"na",_xlfn.XLOOKUP(BJ$5,'OC-Days'!$G:$G,'OC-Days'!$F:$F))</f>
        <v>na</v>
      </c>
      <c r="BK57" s="34" t="str">
        <f>IF(AX57=AW57,"na",_xlfn.XLOOKUP(BK$5,'OC-Days'!$G:$G,'OC-Days'!$F:$F))</f>
        <v>na</v>
      </c>
      <c r="BL57" s="34" t="str">
        <f>IF(AY57=AX57,"na",_xlfn.XLOOKUP(BL$5,'OC-Days'!$G:$G,'OC-Days'!$F:$F))</f>
        <v>na</v>
      </c>
      <c r="BM57" s="34" t="str">
        <f>IF(AZ57=AY57,"na",_xlfn.XLOOKUP(BM$5,'OC-Days'!$G:$G,'OC-Days'!$F:$F))</f>
        <v>na</v>
      </c>
      <c r="BN57" s="34" t="str">
        <f>IF(BA57=AZ57,"na",_xlfn.XLOOKUP(BN$5,'OC-Days'!$G:$G,'OC-Days'!$F:$F))</f>
        <v>na</v>
      </c>
      <c r="BP57" s="36" t="str">
        <f t="shared" si="52"/>
        <v>na</v>
      </c>
      <c r="BQ57" s="36" t="str">
        <f t="shared" si="53"/>
        <v>na</v>
      </c>
      <c r="BR57" s="36" t="str">
        <f t="shared" si="54"/>
        <v>na</v>
      </c>
      <c r="BS57" s="36" t="str">
        <f t="shared" si="55"/>
        <v>na</v>
      </c>
      <c r="BT57" s="36" t="str">
        <f t="shared" si="56"/>
        <v>na</v>
      </c>
      <c r="BU57" s="36" t="str">
        <f t="shared" si="57"/>
        <v>na</v>
      </c>
      <c r="BV57" s="36" t="str">
        <f t="shared" si="58"/>
        <v>na</v>
      </c>
      <c r="BW57" s="36" t="str">
        <f t="shared" si="59"/>
        <v>na</v>
      </c>
      <c r="BX57" s="36" t="str">
        <f t="shared" si="60"/>
        <v>na</v>
      </c>
      <c r="BY57" s="36" t="str">
        <f t="shared" si="61"/>
        <v>na</v>
      </c>
      <c r="BZ57" s="36" t="str">
        <f t="shared" si="62"/>
        <v>na</v>
      </c>
      <c r="CA57" s="43">
        <f t="shared" si="46"/>
        <v>46022</v>
      </c>
      <c r="CC57" s="8">
        <f>COUNT($BC57:BC57)</f>
        <v>1</v>
      </c>
      <c r="CD57" s="8">
        <f>COUNT($BC57:BD57)</f>
        <v>1</v>
      </c>
      <c r="CE57" s="8">
        <f>COUNT($BC57:BE57)</f>
        <v>1</v>
      </c>
      <c r="CF57" s="8">
        <f>COUNT($BC57:BF57)</f>
        <v>1</v>
      </c>
      <c r="CG57" s="8">
        <f>COUNT($BC57:BG57)</f>
        <v>1</v>
      </c>
      <c r="CH57" s="8">
        <f>COUNT($BC57:BH57)</f>
        <v>1</v>
      </c>
      <c r="CI57" s="8">
        <f>COUNT($BC57:BI57)</f>
        <v>1</v>
      </c>
      <c r="CJ57" s="8">
        <f>COUNT($BC57:BJ57)</f>
        <v>1</v>
      </c>
      <c r="CK57" s="8">
        <f>COUNT($BC57:BK57)</f>
        <v>1</v>
      </c>
      <c r="CL57" s="8">
        <f>COUNT($BC57:BL57)</f>
        <v>1</v>
      </c>
      <c r="CM57" s="8">
        <f>COUNT($BC57:BM57)</f>
        <v>1</v>
      </c>
      <c r="CN57" s="8">
        <f>COUNT($BC57:BN57)</f>
        <v>1</v>
      </c>
      <c r="CO57" s="8"/>
      <c r="CP57" s="8">
        <f>COUNT($BP57:BP57)</f>
        <v>0</v>
      </c>
      <c r="CQ57" s="8">
        <f>COUNT($BP57:BQ57)</f>
        <v>0</v>
      </c>
      <c r="CR57" s="8">
        <f>COUNT($BP57:BR57)</f>
        <v>0</v>
      </c>
      <c r="CS57" s="8">
        <f>COUNT($BP57:BS57)</f>
        <v>0</v>
      </c>
      <c r="CT57" s="8">
        <f>COUNT($BP57:BT57)</f>
        <v>0</v>
      </c>
      <c r="CU57" s="8">
        <f>COUNT($BP57:BU57)</f>
        <v>0</v>
      </c>
      <c r="CV57" s="8">
        <f>COUNT($BP57:BV57)</f>
        <v>0</v>
      </c>
      <c r="CW57" s="8">
        <f>COUNT($BP57:BW57)</f>
        <v>0</v>
      </c>
      <c r="CX57" s="8">
        <f>COUNT($BP57:BX57)</f>
        <v>0</v>
      </c>
      <c r="CY57" s="8">
        <f>COUNT($BP57:BY57)</f>
        <v>0</v>
      </c>
      <c r="CZ57" s="8">
        <f>COUNT($BP57:BZ57)</f>
        <v>0</v>
      </c>
      <c r="DA57" s="8">
        <f>COUNT($BP57:CA57)</f>
        <v>1</v>
      </c>
      <c r="DC57">
        <f t="shared" si="47"/>
        <v>840</v>
      </c>
      <c r="DD57">
        <f t="shared" si="48"/>
        <v>51</v>
      </c>
      <c r="DE57" t="str">
        <f t="shared" si="49"/>
        <v>840-51</v>
      </c>
      <c r="DG57">
        <f t="shared" si="50"/>
        <v>1</v>
      </c>
      <c r="DH57">
        <f t="shared" si="51"/>
        <v>1</v>
      </c>
      <c r="DJ57" s="44" cm="1">
        <f t="array" ref="DJ57">IF(DJ$5&lt;=$DG57,INDEX($BC57:$BN57,1,_xlfn.XMATCH(DJ$5,$CC57:$CN57)),"na")</f>
        <v>45658</v>
      </c>
      <c r="DK57" s="45" cm="1">
        <f t="array" ref="DK57">IF(DK$5&lt;=$DH57,INDEX($BP57:$CA57,1,_xlfn.XMATCH(DK$5,$CP57:$DA57)),"na")</f>
        <v>46022</v>
      </c>
      <c r="DL57" s="46" cm="1">
        <f t="array" ref="DL57">IF(DL$5&lt;=$DG57,INDEX($AC57:$AN57,1,_xlfn.XMATCH(DL$5,$CC57:$CN57)),"na")</f>
        <v>9</v>
      </c>
      <c r="DM57" s="47" cm="1">
        <f t="array" ref="DM57">IF(DM$5&lt;=$DG57,INDEX($AP57:$BA57,1,_xlfn.XMATCH(DM$5,$CC57:$CN57)),"na")</f>
        <v>8.5</v>
      </c>
      <c r="DN57" s="44" t="str" cm="1">
        <f t="array" ref="DN57">IF(DN$5&lt;=$DG57,INDEX($BC57:$BN57,1,_xlfn.XMATCH(DN$5,$CC57:$CN57)),"na")</f>
        <v>na</v>
      </c>
      <c r="DO57" s="45" t="str" cm="1">
        <f t="array" ref="DO57">IF(DO$5&lt;=$DH57,INDEX($BP57:$CA57,1,_xlfn.XMATCH(DO$5,$CP57:$DA57)),"na")</f>
        <v>na</v>
      </c>
      <c r="DP57" s="46" t="str" cm="1">
        <f t="array" ref="DP57">IF(DP$5&lt;=$DG57,INDEX($AC57:$AN57,1,_xlfn.XMATCH(DP$5,$CC57:$CN57)),"na")</f>
        <v>na</v>
      </c>
      <c r="DQ57" s="47" t="str" cm="1">
        <f t="array" ref="DQ57">IF(DQ$5&lt;=$DG57,INDEX($AP57:$BA57,1,_xlfn.XMATCH(DQ$5,$CC57:$CN57)),"na")</f>
        <v>na</v>
      </c>
      <c r="DR57" s="44" t="str" cm="1">
        <f t="array" ref="DR57">IF(DR$5&lt;=$DG57,INDEX($BC57:$BN57,1,_xlfn.XMATCH(DR$5,$CC57:$CN57)),"na")</f>
        <v>na</v>
      </c>
      <c r="DS57" s="45" t="str" cm="1">
        <f t="array" ref="DS57">IF(DS$5&lt;=$DH57,INDEX($BP57:$CA57,1,_xlfn.XMATCH(DS$5,$CP57:$DA57)),"na")</f>
        <v>na</v>
      </c>
      <c r="DT57" s="46" t="str" cm="1">
        <f t="array" ref="DT57">IF(DT$5&lt;=$DG57,INDEX($AC57:$AN57,1,_xlfn.XMATCH(DT$5,$CC57:$CN57)),"na")</f>
        <v>na</v>
      </c>
      <c r="DU57" s="47" t="str" cm="1">
        <f t="array" ref="DU57">IF(DU$5&lt;=$DG57,INDEX($AP57:$BA57,1,_xlfn.XMATCH(DU$5,$CC57:$CN57)),"na")</f>
        <v>na</v>
      </c>
      <c r="DV57" s="44" t="str" cm="1">
        <f t="array" ref="DV57">IF(DV$5&lt;=$DG57,INDEX($BC57:$BN57,1,_xlfn.XMATCH(DV$5,$CC57:$CN57)),"na")</f>
        <v>na</v>
      </c>
      <c r="DW57" s="45" t="str" cm="1">
        <f t="array" ref="DW57">IF(DW$5&lt;=$DH57,INDEX($BP57:$CA57,1,_xlfn.XMATCH(DW$5,$CP57:$DA57)),"na")</f>
        <v>na</v>
      </c>
      <c r="DX57" s="46" t="str" cm="1">
        <f t="array" ref="DX57">IF(DX$5&lt;=$DG57,INDEX($AC57:$AN57,1,_xlfn.XMATCH(DX$5,$CC57:$CN57)),"na")</f>
        <v>na</v>
      </c>
      <c r="DY57" s="47" t="str" cm="1">
        <f t="array" ref="DY57">IF(DY$5&lt;=$DG57,INDEX($AP57:$BA57,1,_xlfn.XMATCH(DY$5,$CC57:$CN57)),"na")</f>
        <v>na</v>
      </c>
      <c r="DZ57" s="44" t="str" cm="1">
        <f t="array" ref="DZ57">IF(DZ$5&lt;=$DG57,INDEX($BC57:$BN57,1,_xlfn.XMATCH(DZ$5,$CC57:$CN57)),"na")</f>
        <v>na</v>
      </c>
      <c r="EA57" s="45" t="str" cm="1">
        <f t="array" ref="EA57">IF(EA$5&lt;=$DH57,INDEX($BP57:$CA57,1,_xlfn.XMATCH(EA$5,$CP57:$DA57)),"na")</f>
        <v>na</v>
      </c>
      <c r="EB57" s="46" t="str" cm="1">
        <f t="array" ref="EB57">IF(EB$5&lt;=$DG57,INDEX($AC57:$AN57,1,_xlfn.XMATCH(EB$5,$CC57:$CN57)),"na")</f>
        <v>na</v>
      </c>
      <c r="EC57" s="47" t="str" cm="1">
        <f t="array" ref="EC57">IF(EC$5&lt;=$DG57,INDEX($AP57:$BA57,1,_xlfn.XMATCH(EC$5,$CC57:$CN57)),"na")</f>
        <v>na</v>
      </c>
      <c r="ED57" s="44" t="str" cm="1">
        <f t="array" ref="ED57">IF(ED$5&lt;=$DG57,INDEX($BC57:$BN57,1,_xlfn.XMATCH(ED$5,$CC57:$CN57)),"na")</f>
        <v>na</v>
      </c>
      <c r="EE57" s="45" t="str" cm="1">
        <f t="array" ref="EE57">IF(EE$5&lt;=$DH57,INDEX($BP57:$CA57,1,_xlfn.XMATCH(EE$5,$CP57:$DA57)),"na")</f>
        <v>na</v>
      </c>
      <c r="EF57" s="46" t="str" cm="1">
        <f t="array" ref="EF57">IF(EF$5&lt;=$DG57,INDEX($AC57:$AN57,1,_xlfn.XMATCH(EF$5,$CC57:$CN57)),"na")</f>
        <v>na</v>
      </c>
      <c r="EG57" s="47" t="str" cm="1">
        <f t="array" ref="EG57">IF(EG$5&lt;=$DG57,INDEX($AP57:$BA57,1,_xlfn.XMATCH(EG$5,$CC57:$CN57)),"na")</f>
        <v>na</v>
      </c>
      <c r="EH57" s="44" t="str" cm="1">
        <f t="array" ref="EH57">IF(EH$5&lt;=$DG57,INDEX($BC57:$BN57,1,_xlfn.XMATCH(EH$5,$CC57:$CN57)),"na")</f>
        <v>na</v>
      </c>
      <c r="EI57" s="45" t="str" cm="1">
        <f t="array" ref="EI57">IF(EI$5&lt;=$DH57,INDEX($BP57:$CA57,1,_xlfn.XMATCH(EI$5,$CP57:$DA57)),"na")</f>
        <v>na</v>
      </c>
      <c r="EJ57" s="46" t="str" cm="1">
        <f t="array" ref="EJ57">IF(EJ$5&lt;=$DG57,INDEX($AC57:$AN57,1,_xlfn.XMATCH(EJ$5,$CC57:$CN57)),"na")</f>
        <v>na</v>
      </c>
      <c r="EK57" s="47" t="str" cm="1">
        <f t="array" ref="EK57">IF(EK$5&lt;=$DG57,INDEX($AP57:$BA57,1,_xlfn.XMATCH(EK$5,$CC57:$CN57)),"na")</f>
        <v>na</v>
      </c>
      <c r="EL57" s="44" t="str" cm="1">
        <f t="array" ref="EL57">IF(EL$5&lt;=$DG57,INDEX($BC57:$BN57,1,_xlfn.XMATCH(EL$5,$CC57:$CN57)),"na")</f>
        <v>na</v>
      </c>
      <c r="EM57" s="45" t="str" cm="1">
        <f t="array" ref="EM57">IF(EM$5&lt;=$DH57,INDEX($BP57:$CA57,1,_xlfn.XMATCH(EM$5,$CP57:$DA57)),"na")</f>
        <v>na</v>
      </c>
      <c r="EN57" s="46" t="str" cm="1">
        <f t="array" ref="EN57">IF(EN$5&lt;=$DG57,INDEX($AC57:$AN57,1,_xlfn.XMATCH(EN$5,$CC57:$CN57)),"na")</f>
        <v>na</v>
      </c>
      <c r="EO57" s="47" t="str" cm="1">
        <f t="array" ref="EO57">IF(EO$5&lt;=$DG57,INDEX($AP57:$BA57,1,_xlfn.XMATCH(EO$5,$CC57:$CN57)),"na")</f>
        <v>na</v>
      </c>
      <c r="EP57" s="44" t="str" cm="1">
        <f t="array" ref="EP57">IF(EP$5&lt;=$DG57,INDEX($BC57:$BN57,1,_xlfn.XMATCH(EP$5,$CC57:$CN57)),"na")</f>
        <v>na</v>
      </c>
      <c r="EQ57" s="45" t="str" cm="1">
        <f t="array" ref="EQ57">IF(EQ$5&lt;=$DH57,INDEX($BP57:$CA57,1,_xlfn.XMATCH(EQ$5,$CP57:$DA57)),"na")</f>
        <v>na</v>
      </c>
      <c r="ER57" s="46" t="str" cm="1">
        <f t="array" ref="ER57">IF(ER$5&lt;=$DG57,INDEX($AC57:$AN57,1,_xlfn.XMATCH(ER$5,$CC57:$CN57)),"na")</f>
        <v>na</v>
      </c>
      <c r="ES57" s="47" t="str" cm="1">
        <f t="array" ref="ES57">IF(ES$5&lt;=$DG57,INDEX($AP57:$BA57,1,_xlfn.XMATCH(ES$5,$CC57:$CN57)),"na")</f>
        <v>na</v>
      </c>
      <c r="ET57" s="44" t="str" cm="1">
        <f t="array" ref="ET57">IF(ET$5&lt;=$DG57,INDEX($BC57:$BN57,1,_xlfn.XMATCH(ET$5,$CC57:$CN57)),"na")</f>
        <v>na</v>
      </c>
      <c r="EU57" s="45" t="str" cm="1">
        <f t="array" ref="EU57">IF(EU$5&lt;=$DH57,INDEX($BP57:$CA57,1,_xlfn.XMATCH(EU$5,$CP57:$DA57)),"na")</f>
        <v>na</v>
      </c>
      <c r="EV57" s="46" t="str" cm="1">
        <f t="array" ref="EV57">IF(EV$5&lt;=$DG57,INDEX($AC57:$AN57,1,_xlfn.XMATCH(EV$5,$CC57:$CN57)),"na")</f>
        <v>na</v>
      </c>
      <c r="EW57" s="47" t="str" cm="1">
        <f t="array" ref="EW57">IF(EW$5&lt;=$DG57,INDEX($AP57:$BA57,1,_xlfn.XMATCH(EW$5,$CC57:$CN57)),"na")</f>
        <v>na</v>
      </c>
      <c r="EX57" s="44" t="str" cm="1">
        <f t="array" ref="EX57">IF(EX$5&lt;=$DG57,INDEX($BC57:$BN57,1,_xlfn.XMATCH(EX$5,$CC57:$CN57)),"na")</f>
        <v>na</v>
      </c>
      <c r="EY57" s="45" t="str" cm="1">
        <f t="array" ref="EY57">IF(EY$5&lt;=$DH57,INDEX($BP57:$CA57,1,_xlfn.XMATCH(EY$5,$CP57:$DA57)),"na")</f>
        <v>na</v>
      </c>
      <c r="EZ57" s="46" t="str" cm="1">
        <f t="array" ref="EZ57">IF(EZ$5&lt;=$DG57,INDEX($AC57:$AN57,1,_xlfn.XMATCH(EZ$5,$CC57:$CN57)),"na")</f>
        <v>na</v>
      </c>
      <c r="FA57" s="47" t="str" cm="1">
        <f t="array" ref="FA57">IF(FA$5&lt;=$DG57,INDEX($AP57:$BA57,1,_xlfn.XMATCH(FA$5,$CC57:$CN57)),"na")</f>
        <v>na</v>
      </c>
      <c r="FB57" s="44" t="str" cm="1">
        <f t="array" ref="FB57">IF(FB$5&lt;=$DG57,INDEX($BC57:$BN57,1,_xlfn.XMATCH(FB$5,$CC57:$CN57)),"na")</f>
        <v>na</v>
      </c>
      <c r="FC57" s="45" t="str" cm="1">
        <f t="array" ref="FC57">IF(FC$5&lt;=$DH57,INDEX($BP57:$CA57,1,_xlfn.XMATCH(FC$5,$CP57:$DA57)),"na")</f>
        <v>na</v>
      </c>
      <c r="FD57" s="46" t="str" cm="1">
        <f t="array" ref="FD57">IF(FD$5&lt;=$DG57,INDEX($AC57:$AN57,1,_xlfn.XMATCH(FD$5,$CC57:$CN57)),"na")</f>
        <v>na</v>
      </c>
      <c r="FE57" s="47" t="str" cm="1">
        <f t="array" ref="FE57">IF(FE$5&lt;=$DG57,INDEX($AP57:$BA57,1,_xlfn.XMATCH(FE$5,$CC57:$CN57)),"na")</f>
        <v>na</v>
      </c>
    </row>
    <row r="58" spans="2:161" x14ac:dyDescent="0.25">
      <c r="B58" s="10" t="s">
        <v>114</v>
      </c>
      <c r="C58" s="8">
        <v>496</v>
      </c>
      <c r="D58" s="8">
        <v>448</v>
      </c>
      <c r="E58" s="8">
        <v>496</v>
      </c>
      <c r="F58" s="8">
        <v>480</v>
      </c>
      <c r="G58" s="8">
        <v>496</v>
      </c>
      <c r="H58" s="8">
        <v>480</v>
      </c>
      <c r="I58" s="8">
        <v>496</v>
      </c>
      <c r="J58" s="8">
        <v>496</v>
      </c>
      <c r="K58" s="8">
        <v>480</v>
      </c>
      <c r="L58" s="8">
        <v>496</v>
      </c>
      <c r="M58" s="8">
        <v>480</v>
      </c>
      <c r="N58" s="8">
        <v>496</v>
      </c>
      <c r="O58" s="8"/>
      <c r="P58" s="8">
        <v>480.5</v>
      </c>
      <c r="Q58" s="8">
        <v>434</v>
      </c>
      <c r="R58" s="8">
        <v>480.5</v>
      </c>
      <c r="S58" s="8">
        <v>465</v>
      </c>
      <c r="T58" s="8">
        <v>480.5</v>
      </c>
      <c r="U58" s="8">
        <v>465</v>
      </c>
      <c r="V58" s="8">
        <v>480.5</v>
      </c>
      <c r="W58" s="8">
        <v>480.5</v>
      </c>
      <c r="X58" s="8">
        <v>465</v>
      </c>
      <c r="Y58" s="8">
        <v>480.5</v>
      </c>
      <c r="Z58" s="8">
        <v>465</v>
      </c>
      <c r="AA58" s="8">
        <v>480.5</v>
      </c>
      <c r="AC58" s="14">
        <f>C58/_xlfn.XLOOKUP(AC$5,'OC-Days'!$G:$G,'OC-Days'!$B:$B)</f>
        <v>16</v>
      </c>
      <c r="AD58" s="14">
        <f>D58/_xlfn.XLOOKUP(AD$5,'OC-Days'!$G:$G,'OC-Days'!$B:$B)</f>
        <v>16</v>
      </c>
      <c r="AE58" s="14">
        <f>E58/_xlfn.XLOOKUP(AE$5,'OC-Days'!$G:$G,'OC-Days'!$B:$B)</f>
        <v>16</v>
      </c>
      <c r="AF58" s="14">
        <f>F58/_xlfn.XLOOKUP(AF$5,'OC-Days'!$G:$G,'OC-Days'!$B:$B)</f>
        <v>16</v>
      </c>
      <c r="AG58" s="14">
        <f>G58/_xlfn.XLOOKUP(AG$5,'OC-Days'!$G:$G,'OC-Days'!$B:$B)</f>
        <v>16</v>
      </c>
      <c r="AH58" s="14">
        <f>H58/_xlfn.XLOOKUP(AH$5,'OC-Days'!$G:$G,'OC-Days'!$B:$B)</f>
        <v>16</v>
      </c>
      <c r="AI58" s="14">
        <f>I58/_xlfn.XLOOKUP(AI$5,'OC-Days'!$G:$G,'OC-Days'!$B:$B)</f>
        <v>16</v>
      </c>
      <c r="AJ58" s="14">
        <f>J58/_xlfn.XLOOKUP(AJ$5,'OC-Days'!$G:$G,'OC-Days'!$B:$B)</f>
        <v>16</v>
      </c>
      <c r="AK58" s="14">
        <f>K58/_xlfn.XLOOKUP(AK$5,'OC-Days'!$G:$G,'OC-Days'!$B:$B)</f>
        <v>16</v>
      </c>
      <c r="AL58" s="14">
        <f>L58/_xlfn.XLOOKUP(AL$5,'OC-Days'!$G:$G,'OC-Days'!$B:$B)</f>
        <v>16</v>
      </c>
      <c r="AM58" s="14">
        <f>M58/_xlfn.XLOOKUP(AM$5,'OC-Days'!$G:$G,'OC-Days'!$B:$B)</f>
        <v>16</v>
      </c>
      <c r="AN58" s="14">
        <f>N58/_xlfn.XLOOKUP(AN$5,'OC-Days'!$G:$G,'OC-Days'!$B:$B)</f>
        <v>16</v>
      </c>
      <c r="AP58" s="14">
        <f>P58/_xlfn.XLOOKUP(AP$5,'OC-Days'!$G:$G,'OC-Days'!$B:$B)</f>
        <v>15.5</v>
      </c>
      <c r="AQ58" s="14">
        <f>Q58/_xlfn.XLOOKUP(AQ$5,'OC-Days'!$G:$G,'OC-Days'!$B:$B)</f>
        <v>15.5</v>
      </c>
      <c r="AR58" s="14">
        <f>R58/_xlfn.XLOOKUP(AR$5,'OC-Days'!$G:$G,'OC-Days'!$B:$B)</f>
        <v>15.5</v>
      </c>
      <c r="AS58" s="14">
        <f>S58/_xlfn.XLOOKUP(AS$5,'OC-Days'!$G:$G,'OC-Days'!$B:$B)</f>
        <v>15.5</v>
      </c>
      <c r="AT58" s="14">
        <f>T58/_xlfn.XLOOKUP(AT$5,'OC-Days'!$G:$G,'OC-Days'!$B:$B)</f>
        <v>15.5</v>
      </c>
      <c r="AU58" s="14">
        <f>U58/_xlfn.XLOOKUP(AU$5,'OC-Days'!$G:$G,'OC-Days'!$B:$B)</f>
        <v>15.5</v>
      </c>
      <c r="AV58" s="14">
        <f>V58/_xlfn.XLOOKUP(AV$5,'OC-Days'!$G:$G,'OC-Days'!$B:$B)</f>
        <v>15.5</v>
      </c>
      <c r="AW58" s="14">
        <f>W58/_xlfn.XLOOKUP(AW$5,'OC-Days'!$G:$G,'OC-Days'!$B:$B)</f>
        <v>15.5</v>
      </c>
      <c r="AX58" s="14">
        <f>X58/_xlfn.XLOOKUP(AX$5,'OC-Days'!$G:$G,'OC-Days'!$B:$B)</f>
        <v>15.5</v>
      </c>
      <c r="AY58" s="14">
        <f>Y58/_xlfn.XLOOKUP(AY$5,'OC-Days'!$G:$G,'OC-Days'!$B:$B)</f>
        <v>15.5</v>
      </c>
      <c r="AZ58" s="14">
        <f>Z58/_xlfn.XLOOKUP(AZ$5,'OC-Days'!$G:$G,'OC-Days'!$B:$B)</f>
        <v>15.5</v>
      </c>
      <c r="BA58" s="14">
        <f>AA58/_xlfn.XLOOKUP(BA$5,'OC-Days'!$G:$G,'OC-Days'!$B:$B)</f>
        <v>15.5</v>
      </c>
      <c r="BC58" s="33">
        <f>_xlfn.XLOOKUP(BC$5,'OC-Days'!$G:$G,'OC-Days'!$F:$F)</f>
        <v>45658</v>
      </c>
      <c r="BD58" s="34" t="str">
        <f>IF(AQ58=AP58,"na",_xlfn.XLOOKUP(BD$5,'OC-Days'!$G:$G,'OC-Days'!$F:$F))</f>
        <v>na</v>
      </c>
      <c r="BE58" s="34" t="str">
        <f>IF(AR58=AQ58,"na",_xlfn.XLOOKUP(BE$5,'OC-Days'!$G:$G,'OC-Days'!$F:$F))</f>
        <v>na</v>
      </c>
      <c r="BF58" s="34" t="str">
        <f>IF(AS58=AR58,"na",_xlfn.XLOOKUP(BF$5,'OC-Days'!$G:$G,'OC-Days'!$F:$F))</f>
        <v>na</v>
      </c>
      <c r="BG58" s="34" t="str">
        <f>IF(AT58=AS58,"na",_xlfn.XLOOKUP(BG$5,'OC-Days'!$G:$G,'OC-Days'!$F:$F))</f>
        <v>na</v>
      </c>
      <c r="BH58" s="34" t="str">
        <f>IF(AU58=AT58,"na",_xlfn.XLOOKUP(BH$5,'OC-Days'!$G:$G,'OC-Days'!$F:$F))</f>
        <v>na</v>
      </c>
      <c r="BI58" s="34" t="str">
        <f>IF(AV58=AU58,"na",_xlfn.XLOOKUP(BI$5,'OC-Days'!$G:$G,'OC-Days'!$F:$F))</f>
        <v>na</v>
      </c>
      <c r="BJ58" s="34" t="str">
        <f>IF(AW58=AV58,"na",_xlfn.XLOOKUP(BJ$5,'OC-Days'!$G:$G,'OC-Days'!$F:$F))</f>
        <v>na</v>
      </c>
      <c r="BK58" s="34" t="str">
        <f>IF(AX58=AW58,"na",_xlfn.XLOOKUP(BK$5,'OC-Days'!$G:$G,'OC-Days'!$F:$F))</f>
        <v>na</v>
      </c>
      <c r="BL58" s="34" t="str">
        <f>IF(AY58=AX58,"na",_xlfn.XLOOKUP(BL$5,'OC-Days'!$G:$G,'OC-Days'!$F:$F))</f>
        <v>na</v>
      </c>
      <c r="BM58" s="34" t="str">
        <f>IF(AZ58=AY58,"na",_xlfn.XLOOKUP(BM$5,'OC-Days'!$G:$G,'OC-Days'!$F:$F))</f>
        <v>na</v>
      </c>
      <c r="BN58" s="34" t="str">
        <f>IF(BA58=AZ58,"na",_xlfn.XLOOKUP(BN$5,'OC-Days'!$G:$G,'OC-Days'!$F:$F))</f>
        <v>na</v>
      </c>
      <c r="BP58" s="36" t="str">
        <f t="shared" si="52"/>
        <v>na</v>
      </c>
      <c r="BQ58" s="36" t="str">
        <f t="shared" si="53"/>
        <v>na</v>
      </c>
      <c r="BR58" s="36" t="str">
        <f t="shared" si="54"/>
        <v>na</v>
      </c>
      <c r="BS58" s="36" t="str">
        <f t="shared" si="55"/>
        <v>na</v>
      </c>
      <c r="BT58" s="36" t="str">
        <f t="shared" si="56"/>
        <v>na</v>
      </c>
      <c r="BU58" s="36" t="str">
        <f t="shared" si="57"/>
        <v>na</v>
      </c>
      <c r="BV58" s="36" t="str">
        <f t="shared" si="58"/>
        <v>na</v>
      </c>
      <c r="BW58" s="36" t="str">
        <f t="shared" si="59"/>
        <v>na</v>
      </c>
      <c r="BX58" s="36" t="str">
        <f t="shared" si="60"/>
        <v>na</v>
      </c>
      <c r="BY58" s="36" t="str">
        <f t="shared" si="61"/>
        <v>na</v>
      </c>
      <c r="BZ58" s="36" t="str">
        <f t="shared" si="62"/>
        <v>na</v>
      </c>
      <c r="CA58" s="43">
        <f t="shared" si="46"/>
        <v>46022</v>
      </c>
      <c r="CC58" s="8">
        <f>COUNT($BC58:BC58)</f>
        <v>1</v>
      </c>
      <c r="CD58" s="8">
        <f>COUNT($BC58:BD58)</f>
        <v>1</v>
      </c>
      <c r="CE58" s="8">
        <f>COUNT($BC58:BE58)</f>
        <v>1</v>
      </c>
      <c r="CF58" s="8">
        <f>COUNT($BC58:BF58)</f>
        <v>1</v>
      </c>
      <c r="CG58" s="8">
        <f>COUNT($BC58:BG58)</f>
        <v>1</v>
      </c>
      <c r="CH58" s="8">
        <f>COUNT($BC58:BH58)</f>
        <v>1</v>
      </c>
      <c r="CI58" s="8">
        <f>COUNT($BC58:BI58)</f>
        <v>1</v>
      </c>
      <c r="CJ58" s="8">
        <f>COUNT($BC58:BJ58)</f>
        <v>1</v>
      </c>
      <c r="CK58" s="8">
        <f>COUNT($BC58:BK58)</f>
        <v>1</v>
      </c>
      <c r="CL58" s="8">
        <f>COUNT($BC58:BL58)</f>
        <v>1</v>
      </c>
      <c r="CM58" s="8">
        <f>COUNT($BC58:BM58)</f>
        <v>1</v>
      </c>
      <c r="CN58" s="8">
        <f>COUNT($BC58:BN58)</f>
        <v>1</v>
      </c>
      <c r="CO58" s="8"/>
      <c r="CP58" s="8">
        <f>COUNT($BP58:BP58)</f>
        <v>0</v>
      </c>
      <c r="CQ58" s="8">
        <f>COUNT($BP58:BQ58)</f>
        <v>0</v>
      </c>
      <c r="CR58" s="8">
        <f>COUNT($BP58:BR58)</f>
        <v>0</v>
      </c>
      <c r="CS58" s="8">
        <f>COUNT($BP58:BS58)</f>
        <v>0</v>
      </c>
      <c r="CT58" s="8">
        <f>COUNT($BP58:BT58)</f>
        <v>0</v>
      </c>
      <c r="CU58" s="8">
        <f>COUNT($BP58:BU58)</f>
        <v>0</v>
      </c>
      <c r="CV58" s="8">
        <f>COUNT($BP58:BV58)</f>
        <v>0</v>
      </c>
      <c r="CW58" s="8">
        <f>COUNT($BP58:BW58)</f>
        <v>0</v>
      </c>
      <c r="CX58" s="8">
        <f>COUNT($BP58:BX58)</f>
        <v>0</v>
      </c>
      <c r="CY58" s="8">
        <f>COUNT($BP58:BY58)</f>
        <v>0</v>
      </c>
      <c r="CZ58" s="8">
        <f>COUNT($BP58:BZ58)</f>
        <v>0</v>
      </c>
      <c r="DA58" s="8">
        <f>COUNT($BP58:CA58)</f>
        <v>1</v>
      </c>
      <c r="DC58">
        <f t="shared" si="47"/>
        <v>840</v>
      </c>
      <c r="DD58">
        <f t="shared" si="48"/>
        <v>52</v>
      </c>
      <c r="DE58" t="str">
        <f t="shared" si="49"/>
        <v>840-52</v>
      </c>
      <c r="DG58">
        <f t="shared" si="50"/>
        <v>1</v>
      </c>
      <c r="DH58">
        <f t="shared" si="51"/>
        <v>1</v>
      </c>
      <c r="DJ58" s="44" cm="1">
        <f t="array" ref="DJ58">IF(DJ$5&lt;=$DG58,INDEX($BC58:$BN58,1,_xlfn.XMATCH(DJ$5,$CC58:$CN58)),"na")</f>
        <v>45658</v>
      </c>
      <c r="DK58" s="45" cm="1">
        <f t="array" ref="DK58">IF(DK$5&lt;=$DH58,INDEX($BP58:$CA58,1,_xlfn.XMATCH(DK$5,$CP58:$DA58)),"na")</f>
        <v>46022</v>
      </c>
      <c r="DL58" s="46" cm="1">
        <f t="array" ref="DL58">IF(DL$5&lt;=$DG58,INDEX($AC58:$AN58,1,_xlfn.XMATCH(DL$5,$CC58:$CN58)),"na")</f>
        <v>16</v>
      </c>
      <c r="DM58" s="47" cm="1">
        <f t="array" ref="DM58">IF(DM$5&lt;=$DG58,INDEX($AP58:$BA58,1,_xlfn.XMATCH(DM$5,$CC58:$CN58)),"na")</f>
        <v>15.5</v>
      </c>
      <c r="DN58" s="44" t="str" cm="1">
        <f t="array" ref="DN58">IF(DN$5&lt;=$DG58,INDEX($BC58:$BN58,1,_xlfn.XMATCH(DN$5,$CC58:$CN58)),"na")</f>
        <v>na</v>
      </c>
      <c r="DO58" s="45" t="str" cm="1">
        <f t="array" ref="DO58">IF(DO$5&lt;=$DH58,INDEX($BP58:$CA58,1,_xlfn.XMATCH(DO$5,$CP58:$DA58)),"na")</f>
        <v>na</v>
      </c>
      <c r="DP58" s="46" t="str" cm="1">
        <f t="array" ref="DP58">IF(DP$5&lt;=$DG58,INDEX($AC58:$AN58,1,_xlfn.XMATCH(DP$5,$CC58:$CN58)),"na")</f>
        <v>na</v>
      </c>
      <c r="DQ58" s="47" t="str" cm="1">
        <f t="array" ref="DQ58">IF(DQ$5&lt;=$DG58,INDEX($AP58:$BA58,1,_xlfn.XMATCH(DQ$5,$CC58:$CN58)),"na")</f>
        <v>na</v>
      </c>
      <c r="DR58" s="44" t="str" cm="1">
        <f t="array" ref="DR58">IF(DR$5&lt;=$DG58,INDEX($BC58:$BN58,1,_xlfn.XMATCH(DR$5,$CC58:$CN58)),"na")</f>
        <v>na</v>
      </c>
      <c r="DS58" s="45" t="str" cm="1">
        <f t="array" ref="DS58">IF(DS$5&lt;=$DH58,INDEX($BP58:$CA58,1,_xlfn.XMATCH(DS$5,$CP58:$DA58)),"na")</f>
        <v>na</v>
      </c>
      <c r="DT58" s="46" t="str" cm="1">
        <f t="array" ref="DT58">IF(DT$5&lt;=$DG58,INDEX($AC58:$AN58,1,_xlfn.XMATCH(DT$5,$CC58:$CN58)),"na")</f>
        <v>na</v>
      </c>
      <c r="DU58" s="47" t="str" cm="1">
        <f t="array" ref="DU58">IF(DU$5&lt;=$DG58,INDEX($AP58:$BA58,1,_xlfn.XMATCH(DU$5,$CC58:$CN58)),"na")</f>
        <v>na</v>
      </c>
      <c r="DV58" s="44" t="str" cm="1">
        <f t="array" ref="DV58">IF(DV$5&lt;=$DG58,INDEX($BC58:$BN58,1,_xlfn.XMATCH(DV$5,$CC58:$CN58)),"na")</f>
        <v>na</v>
      </c>
      <c r="DW58" s="45" t="str" cm="1">
        <f t="array" ref="DW58">IF(DW$5&lt;=$DH58,INDEX($BP58:$CA58,1,_xlfn.XMATCH(DW$5,$CP58:$DA58)),"na")</f>
        <v>na</v>
      </c>
      <c r="DX58" s="46" t="str" cm="1">
        <f t="array" ref="DX58">IF(DX$5&lt;=$DG58,INDEX($AC58:$AN58,1,_xlfn.XMATCH(DX$5,$CC58:$CN58)),"na")</f>
        <v>na</v>
      </c>
      <c r="DY58" s="47" t="str" cm="1">
        <f t="array" ref="DY58">IF(DY$5&lt;=$DG58,INDEX($AP58:$BA58,1,_xlfn.XMATCH(DY$5,$CC58:$CN58)),"na")</f>
        <v>na</v>
      </c>
      <c r="DZ58" s="44" t="str" cm="1">
        <f t="array" ref="DZ58">IF(DZ$5&lt;=$DG58,INDEX($BC58:$BN58,1,_xlfn.XMATCH(DZ$5,$CC58:$CN58)),"na")</f>
        <v>na</v>
      </c>
      <c r="EA58" s="45" t="str" cm="1">
        <f t="array" ref="EA58">IF(EA$5&lt;=$DH58,INDEX($BP58:$CA58,1,_xlfn.XMATCH(EA$5,$CP58:$DA58)),"na")</f>
        <v>na</v>
      </c>
      <c r="EB58" s="46" t="str" cm="1">
        <f t="array" ref="EB58">IF(EB$5&lt;=$DG58,INDEX($AC58:$AN58,1,_xlfn.XMATCH(EB$5,$CC58:$CN58)),"na")</f>
        <v>na</v>
      </c>
      <c r="EC58" s="47" t="str" cm="1">
        <f t="array" ref="EC58">IF(EC$5&lt;=$DG58,INDEX($AP58:$BA58,1,_xlfn.XMATCH(EC$5,$CC58:$CN58)),"na")</f>
        <v>na</v>
      </c>
      <c r="ED58" s="44" t="str" cm="1">
        <f t="array" ref="ED58">IF(ED$5&lt;=$DG58,INDEX($BC58:$BN58,1,_xlfn.XMATCH(ED$5,$CC58:$CN58)),"na")</f>
        <v>na</v>
      </c>
      <c r="EE58" s="45" t="str" cm="1">
        <f t="array" ref="EE58">IF(EE$5&lt;=$DH58,INDEX($BP58:$CA58,1,_xlfn.XMATCH(EE$5,$CP58:$DA58)),"na")</f>
        <v>na</v>
      </c>
      <c r="EF58" s="46" t="str" cm="1">
        <f t="array" ref="EF58">IF(EF$5&lt;=$DG58,INDEX($AC58:$AN58,1,_xlfn.XMATCH(EF$5,$CC58:$CN58)),"na")</f>
        <v>na</v>
      </c>
      <c r="EG58" s="47" t="str" cm="1">
        <f t="array" ref="EG58">IF(EG$5&lt;=$DG58,INDEX($AP58:$BA58,1,_xlfn.XMATCH(EG$5,$CC58:$CN58)),"na")</f>
        <v>na</v>
      </c>
      <c r="EH58" s="44" t="str" cm="1">
        <f t="array" ref="EH58">IF(EH$5&lt;=$DG58,INDEX($BC58:$BN58,1,_xlfn.XMATCH(EH$5,$CC58:$CN58)),"na")</f>
        <v>na</v>
      </c>
      <c r="EI58" s="45" t="str" cm="1">
        <f t="array" ref="EI58">IF(EI$5&lt;=$DH58,INDEX($BP58:$CA58,1,_xlfn.XMATCH(EI$5,$CP58:$DA58)),"na")</f>
        <v>na</v>
      </c>
      <c r="EJ58" s="46" t="str" cm="1">
        <f t="array" ref="EJ58">IF(EJ$5&lt;=$DG58,INDEX($AC58:$AN58,1,_xlfn.XMATCH(EJ$5,$CC58:$CN58)),"na")</f>
        <v>na</v>
      </c>
      <c r="EK58" s="47" t="str" cm="1">
        <f t="array" ref="EK58">IF(EK$5&lt;=$DG58,INDEX($AP58:$BA58,1,_xlfn.XMATCH(EK$5,$CC58:$CN58)),"na")</f>
        <v>na</v>
      </c>
      <c r="EL58" s="44" t="str" cm="1">
        <f t="array" ref="EL58">IF(EL$5&lt;=$DG58,INDEX($BC58:$BN58,1,_xlfn.XMATCH(EL$5,$CC58:$CN58)),"na")</f>
        <v>na</v>
      </c>
      <c r="EM58" s="45" t="str" cm="1">
        <f t="array" ref="EM58">IF(EM$5&lt;=$DH58,INDEX($BP58:$CA58,1,_xlfn.XMATCH(EM$5,$CP58:$DA58)),"na")</f>
        <v>na</v>
      </c>
      <c r="EN58" s="46" t="str" cm="1">
        <f t="array" ref="EN58">IF(EN$5&lt;=$DG58,INDEX($AC58:$AN58,1,_xlfn.XMATCH(EN$5,$CC58:$CN58)),"na")</f>
        <v>na</v>
      </c>
      <c r="EO58" s="47" t="str" cm="1">
        <f t="array" ref="EO58">IF(EO$5&lt;=$DG58,INDEX($AP58:$BA58,1,_xlfn.XMATCH(EO$5,$CC58:$CN58)),"na")</f>
        <v>na</v>
      </c>
      <c r="EP58" s="44" t="str" cm="1">
        <f t="array" ref="EP58">IF(EP$5&lt;=$DG58,INDEX($BC58:$BN58,1,_xlfn.XMATCH(EP$5,$CC58:$CN58)),"na")</f>
        <v>na</v>
      </c>
      <c r="EQ58" s="45" t="str" cm="1">
        <f t="array" ref="EQ58">IF(EQ$5&lt;=$DH58,INDEX($BP58:$CA58,1,_xlfn.XMATCH(EQ$5,$CP58:$DA58)),"na")</f>
        <v>na</v>
      </c>
      <c r="ER58" s="46" t="str" cm="1">
        <f t="array" ref="ER58">IF(ER$5&lt;=$DG58,INDEX($AC58:$AN58,1,_xlfn.XMATCH(ER$5,$CC58:$CN58)),"na")</f>
        <v>na</v>
      </c>
      <c r="ES58" s="47" t="str" cm="1">
        <f t="array" ref="ES58">IF(ES$5&lt;=$DG58,INDEX($AP58:$BA58,1,_xlfn.XMATCH(ES$5,$CC58:$CN58)),"na")</f>
        <v>na</v>
      </c>
      <c r="ET58" s="44" t="str" cm="1">
        <f t="array" ref="ET58">IF(ET$5&lt;=$DG58,INDEX($BC58:$BN58,1,_xlfn.XMATCH(ET$5,$CC58:$CN58)),"na")</f>
        <v>na</v>
      </c>
      <c r="EU58" s="45" t="str" cm="1">
        <f t="array" ref="EU58">IF(EU$5&lt;=$DH58,INDEX($BP58:$CA58,1,_xlfn.XMATCH(EU$5,$CP58:$DA58)),"na")</f>
        <v>na</v>
      </c>
      <c r="EV58" s="46" t="str" cm="1">
        <f t="array" ref="EV58">IF(EV$5&lt;=$DG58,INDEX($AC58:$AN58,1,_xlfn.XMATCH(EV$5,$CC58:$CN58)),"na")</f>
        <v>na</v>
      </c>
      <c r="EW58" s="47" t="str" cm="1">
        <f t="array" ref="EW58">IF(EW$5&lt;=$DG58,INDEX($AP58:$BA58,1,_xlfn.XMATCH(EW$5,$CC58:$CN58)),"na")</f>
        <v>na</v>
      </c>
      <c r="EX58" s="44" t="str" cm="1">
        <f t="array" ref="EX58">IF(EX$5&lt;=$DG58,INDEX($BC58:$BN58,1,_xlfn.XMATCH(EX$5,$CC58:$CN58)),"na")</f>
        <v>na</v>
      </c>
      <c r="EY58" s="45" t="str" cm="1">
        <f t="array" ref="EY58">IF(EY$5&lt;=$DH58,INDEX($BP58:$CA58,1,_xlfn.XMATCH(EY$5,$CP58:$DA58)),"na")</f>
        <v>na</v>
      </c>
      <c r="EZ58" s="46" t="str" cm="1">
        <f t="array" ref="EZ58">IF(EZ$5&lt;=$DG58,INDEX($AC58:$AN58,1,_xlfn.XMATCH(EZ$5,$CC58:$CN58)),"na")</f>
        <v>na</v>
      </c>
      <c r="FA58" s="47" t="str" cm="1">
        <f t="array" ref="FA58">IF(FA$5&lt;=$DG58,INDEX($AP58:$BA58,1,_xlfn.XMATCH(FA$5,$CC58:$CN58)),"na")</f>
        <v>na</v>
      </c>
      <c r="FB58" s="44" t="str" cm="1">
        <f t="array" ref="FB58">IF(FB$5&lt;=$DG58,INDEX($BC58:$BN58,1,_xlfn.XMATCH(FB$5,$CC58:$CN58)),"na")</f>
        <v>na</v>
      </c>
      <c r="FC58" s="45" t="str" cm="1">
        <f t="array" ref="FC58">IF(FC$5&lt;=$DH58,INDEX($BP58:$CA58,1,_xlfn.XMATCH(FC$5,$CP58:$DA58)),"na")</f>
        <v>na</v>
      </c>
      <c r="FD58" s="46" t="str" cm="1">
        <f t="array" ref="FD58">IF(FD$5&lt;=$DG58,INDEX($AC58:$AN58,1,_xlfn.XMATCH(FD$5,$CC58:$CN58)),"na")</f>
        <v>na</v>
      </c>
      <c r="FE58" s="47" t="str" cm="1">
        <f t="array" ref="FE58">IF(FE$5&lt;=$DG58,INDEX($AP58:$BA58,1,_xlfn.XMATCH(FE$5,$CC58:$CN58)),"na")</f>
        <v>na</v>
      </c>
    </row>
    <row r="59" spans="2:161" x14ac:dyDescent="0.25">
      <c r="B59" s="10" t="s">
        <v>115</v>
      </c>
      <c r="C59" s="8">
        <v>1984</v>
      </c>
      <c r="D59" s="8">
        <v>1792</v>
      </c>
      <c r="E59" s="8">
        <v>1984</v>
      </c>
      <c r="F59" s="8">
        <v>1920</v>
      </c>
      <c r="G59" s="8">
        <v>1984</v>
      </c>
      <c r="H59" s="8">
        <v>1920</v>
      </c>
      <c r="I59" s="8">
        <v>1984</v>
      </c>
      <c r="J59" s="8">
        <v>1984</v>
      </c>
      <c r="K59" s="8">
        <v>1920</v>
      </c>
      <c r="L59" s="8">
        <v>1984</v>
      </c>
      <c r="M59" s="8">
        <v>1920</v>
      </c>
      <c r="N59" s="8">
        <v>1984</v>
      </c>
      <c r="O59" s="8"/>
      <c r="P59" s="8">
        <v>1891</v>
      </c>
      <c r="Q59" s="8">
        <v>1708</v>
      </c>
      <c r="R59" s="8">
        <v>1891</v>
      </c>
      <c r="S59" s="8">
        <v>1830</v>
      </c>
      <c r="T59" s="8">
        <v>1891</v>
      </c>
      <c r="U59" s="8">
        <v>1830</v>
      </c>
      <c r="V59" s="8">
        <v>1891</v>
      </c>
      <c r="W59" s="8">
        <v>1891</v>
      </c>
      <c r="X59" s="8">
        <v>1830</v>
      </c>
      <c r="Y59" s="8">
        <v>1891</v>
      </c>
      <c r="Z59" s="8">
        <v>1830</v>
      </c>
      <c r="AA59" s="8">
        <v>1891</v>
      </c>
      <c r="AC59" s="14">
        <f>C59/_xlfn.XLOOKUP(AC$5,'OC-Days'!$G:$G,'OC-Days'!$B:$B)</f>
        <v>64</v>
      </c>
      <c r="AD59" s="14">
        <f>D59/_xlfn.XLOOKUP(AD$5,'OC-Days'!$G:$G,'OC-Days'!$B:$B)</f>
        <v>64</v>
      </c>
      <c r="AE59" s="14">
        <f>E59/_xlfn.XLOOKUP(AE$5,'OC-Days'!$G:$G,'OC-Days'!$B:$B)</f>
        <v>64</v>
      </c>
      <c r="AF59" s="14">
        <f>F59/_xlfn.XLOOKUP(AF$5,'OC-Days'!$G:$G,'OC-Days'!$B:$B)</f>
        <v>64</v>
      </c>
      <c r="AG59" s="14">
        <f>G59/_xlfn.XLOOKUP(AG$5,'OC-Days'!$G:$G,'OC-Days'!$B:$B)</f>
        <v>64</v>
      </c>
      <c r="AH59" s="14">
        <f>H59/_xlfn.XLOOKUP(AH$5,'OC-Days'!$G:$G,'OC-Days'!$B:$B)</f>
        <v>64</v>
      </c>
      <c r="AI59" s="14">
        <f>I59/_xlfn.XLOOKUP(AI$5,'OC-Days'!$G:$G,'OC-Days'!$B:$B)</f>
        <v>64</v>
      </c>
      <c r="AJ59" s="14">
        <f>J59/_xlfn.XLOOKUP(AJ$5,'OC-Days'!$G:$G,'OC-Days'!$B:$B)</f>
        <v>64</v>
      </c>
      <c r="AK59" s="14">
        <f>K59/_xlfn.XLOOKUP(AK$5,'OC-Days'!$G:$G,'OC-Days'!$B:$B)</f>
        <v>64</v>
      </c>
      <c r="AL59" s="14">
        <f>L59/_xlfn.XLOOKUP(AL$5,'OC-Days'!$G:$G,'OC-Days'!$B:$B)</f>
        <v>64</v>
      </c>
      <c r="AM59" s="14">
        <f>M59/_xlfn.XLOOKUP(AM$5,'OC-Days'!$G:$G,'OC-Days'!$B:$B)</f>
        <v>64</v>
      </c>
      <c r="AN59" s="14">
        <f>N59/_xlfn.XLOOKUP(AN$5,'OC-Days'!$G:$G,'OC-Days'!$B:$B)</f>
        <v>64</v>
      </c>
      <c r="AP59" s="14">
        <f>P59/_xlfn.XLOOKUP(AP$5,'OC-Days'!$G:$G,'OC-Days'!$B:$B)</f>
        <v>61</v>
      </c>
      <c r="AQ59" s="14">
        <f>Q59/_xlfn.XLOOKUP(AQ$5,'OC-Days'!$G:$G,'OC-Days'!$B:$B)</f>
        <v>61</v>
      </c>
      <c r="AR59" s="14">
        <f>R59/_xlfn.XLOOKUP(AR$5,'OC-Days'!$G:$G,'OC-Days'!$B:$B)</f>
        <v>61</v>
      </c>
      <c r="AS59" s="14">
        <f>S59/_xlfn.XLOOKUP(AS$5,'OC-Days'!$G:$G,'OC-Days'!$B:$B)</f>
        <v>61</v>
      </c>
      <c r="AT59" s="14">
        <f>T59/_xlfn.XLOOKUP(AT$5,'OC-Days'!$G:$G,'OC-Days'!$B:$B)</f>
        <v>61</v>
      </c>
      <c r="AU59" s="14">
        <f>U59/_xlfn.XLOOKUP(AU$5,'OC-Days'!$G:$G,'OC-Days'!$B:$B)</f>
        <v>61</v>
      </c>
      <c r="AV59" s="14">
        <f>V59/_xlfn.XLOOKUP(AV$5,'OC-Days'!$G:$G,'OC-Days'!$B:$B)</f>
        <v>61</v>
      </c>
      <c r="AW59" s="14">
        <f>W59/_xlfn.XLOOKUP(AW$5,'OC-Days'!$G:$G,'OC-Days'!$B:$B)</f>
        <v>61</v>
      </c>
      <c r="AX59" s="14">
        <f>X59/_xlfn.XLOOKUP(AX$5,'OC-Days'!$G:$G,'OC-Days'!$B:$B)</f>
        <v>61</v>
      </c>
      <c r="AY59" s="14">
        <f>Y59/_xlfn.XLOOKUP(AY$5,'OC-Days'!$G:$G,'OC-Days'!$B:$B)</f>
        <v>61</v>
      </c>
      <c r="AZ59" s="14">
        <f>Z59/_xlfn.XLOOKUP(AZ$5,'OC-Days'!$G:$G,'OC-Days'!$B:$B)</f>
        <v>61</v>
      </c>
      <c r="BA59" s="14">
        <f>AA59/_xlfn.XLOOKUP(BA$5,'OC-Days'!$G:$G,'OC-Days'!$B:$B)</f>
        <v>61</v>
      </c>
      <c r="BC59" s="33">
        <f>_xlfn.XLOOKUP(BC$5,'OC-Days'!$G:$G,'OC-Days'!$F:$F)</f>
        <v>45658</v>
      </c>
      <c r="BD59" s="34" t="str">
        <f>IF(AQ59=AP59,"na",_xlfn.XLOOKUP(BD$5,'OC-Days'!$G:$G,'OC-Days'!$F:$F))</f>
        <v>na</v>
      </c>
      <c r="BE59" s="34" t="str">
        <f>IF(AR59=AQ59,"na",_xlfn.XLOOKUP(BE$5,'OC-Days'!$G:$G,'OC-Days'!$F:$F))</f>
        <v>na</v>
      </c>
      <c r="BF59" s="34" t="str">
        <f>IF(AS59=AR59,"na",_xlfn.XLOOKUP(BF$5,'OC-Days'!$G:$G,'OC-Days'!$F:$F))</f>
        <v>na</v>
      </c>
      <c r="BG59" s="34" t="str">
        <f>IF(AT59=AS59,"na",_xlfn.XLOOKUP(BG$5,'OC-Days'!$G:$G,'OC-Days'!$F:$F))</f>
        <v>na</v>
      </c>
      <c r="BH59" s="34" t="str">
        <f>IF(AU59=AT59,"na",_xlfn.XLOOKUP(BH$5,'OC-Days'!$G:$G,'OC-Days'!$F:$F))</f>
        <v>na</v>
      </c>
      <c r="BI59" s="34" t="str">
        <f>IF(AV59=AU59,"na",_xlfn.XLOOKUP(BI$5,'OC-Days'!$G:$G,'OC-Days'!$F:$F))</f>
        <v>na</v>
      </c>
      <c r="BJ59" s="34" t="str">
        <f>IF(AW59=AV59,"na",_xlfn.XLOOKUP(BJ$5,'OC-Days'!$G:$G,'OC-Days'!$F:$F))</f>
        <v>na</v>
      </c>
      <c r="BK59" s="34" t="str">
        <f>IF(AX59=AW59,"na",_xlfn.XLOOKUP(BK$5,'OC-Days'!$G:$G,'OC-Days'!$F:$F))</f>
        <v>na</v>
      </c>
      <c r="BL59" s="34" t="str">
        <f>IF(AY59=AX59,"na",_xlfn.XLOOKUP(BL$5,'OC-Days'!$G:$G,'OC-Days'!$F:$F))</f>
        <v>na</v>
      </c>
      <c r="BM59" s="34" t="str">
        <f>IF(AZ59=AY59,"na",_xlfn.XLOOKUP(BM$5,'OC-Days'!$G:$G,'OC-Days'!$F:$F))</f>
        <v>na</v>
      </c>
      <c r="BN59" s="34" t="str">
        <f>IF(BA59=AZ59,"na",_xlfn.XLOOKUP(BN$5,'OC-Days'!$G:$G,'OC-Days'!$F:$F))</f>
        <v>na</v>
      </c>
      <c r="BP59" s="36" t="str">
        <f t="shared" si="52"/>
        <v>na</v>
      </c>
      <c r="BQ59" s="36" t="str">
        <f t="shared" si="53"/>
        <v>na</v>
      </c>
      <c r="BR59" s="36" t="str">
        <f t="shared" si="54"/>
        <v>na</v>
      </c>
      <c r="BS59" s="36" t="str">
        <f t="shared" si="55"/>
        <v>na</v>
      </c>
      <c r="BT59" s="36" t="str">
        <f t="shared" si="56"/>
        <v>na</v>
      </c>
      <c r="BU59" s="36" t="str">
        <f t="shared" si="57"/>
        <v>na</v>
      </c>
      <c r="BV59" s="36" t="str">
        <f t="shared" si="58"/>
        <v>na</v>
      </c>
      <c r="BW59" s="36" t="str">
        <f t="shared" si="59"/>
        <v>na</v>
      </c>
      <c r="BX59" s="36" t="str">
        <f t="shared" si="60"/>
        <v>na</v>
      </c>
      <c r="BY59" s="36" t="str">
        <f t="shared" si="61"/>
        <v>na</v>
      </c>
      <c r="BZ59" s="36" t="str">
        <f t="shared" si="62"/>
        <v>na</v>
      </c>
      <c r="CA59" s="43">
        <f t="shared" si="46"/>
        <v>46022</v>
      </c>
      <c r="CC59" s="8">
        <f>COUNT($BC59:BC59)</f>
        <v>1</v>
      </c>
      <c r="CD59" s="8">
        <f>COUNT($BC59:BD59)</f>
        <v>1</v>
      </c>
      <c r="CE59" s="8">
        <f>COUNT($BC59:BE59)</f>
        <v>1</v>
      </c>
      <c r="CF59" s="8">
        <f>COUNT($BC59:BF59)</f>
        <v>1</v>
      </c>
      <c r="CG59" s="8">
        <f>COUNT($BC59:BG59)</f>
        <v>1</v>
      </c>
      <c r="CH59" s="8">
        <f>COUNT($BC59:BH59)</f>
        <v>1</v>
      </c>
      <c r="CI59" s="8">
        <f>COUNT($BC59:BI59)</f>
        <v>1</v>
      </c>
      <c r="CJ59" s="8">
        <f>COUNT($BC59:BJ59)</f>
        <v>1</v>
      </c>
      <c r="CK59" s="8">
        <f>COUNT($BC59:BK59)</f>
        <v>1</v>
      </c>
      <c r="CL59" s="8">
        <f>COUNT($BC59:BL59)</f>
        <v>1</v>
      </c>
      <c r="CM59" s="8">
        <f>COUNT($BC59:BM59)</f>
        <v>1</v>
      </c>
      <c r="CN59" s="8">
        <f>COUNT($BC59:BN59)</f>
        <v>1</v>
      </c>
      <c r="CO59" s="8"/>
      <c r="CP59" s="8">
        <f>COUNT($BP59:BP59)</f>
        <v>0</v>
      </c>
      <c r="CQ59" s="8">
        <f>COUNT($BP59:BQ59)</f>
        <v>0</v>
      </c>
      <c r="CR59" s="8">
        <f>COUNT($BP59:BR59)</f>
        <v>0</v>
      </c>
      <c r="CS59" s="8">
        <f>COUNT($BP59:BS59)</f>
        <v>0</v>
      </c>
      <c r="CT59" s="8">
        <f>COUNT($BP59:BT59)</f>
        <v>0</v>
      </c>
      <c r="CU59" s="8">
        <f>COUNT($BP59:BU59)</f>
        <v>0</v>
      </c>
      <c r="CV59" s="8">
        <f>COUNT($BP59:BV59)</f>
        <v>0</v>
      </c>
      <c r="CW59" s="8">
        <f>COUNT($BP59:BW59)</f>
        <v>0</v>
      </c>
      <c r="CX59" s="8">
        <f>COUNT($BP59:BX59)</f>
        <v>0</v>
      </c>
      <c r="CY59" s="8">
        <f>COUNT($BP59:BY59)</f>
        <v>0</v>
      </c>
      <c r="CZ59" s="8">
        <f>COUNT($BP59:BZ59)</f>
        <v>0</v>
      </c>
      <c r="DA59" s="8">
        <f>COUNT($BP59:CA59)</f>
        <v>1</v>
      </c>
      <c r="DC59">
        <f t="shared" si="47"/>
        <v>840</v>
      </c>
      <c r="DD59">
        <f t="shared" si="48"/>
        <v>61</v>
      </c>
      <c r="DE59" t="str">
        <f t="shared" si="49"/>
        <v>840-61</v>
      </c>
      <c r="DG59">
        <f t="shared" si="50"/>
        <v>1</v>
      </c>
      <c r="DH59">
        <f t="shared" si="51"/>
        <v>1</v>
      </c>
      <c r="DJ59" s="44" cm="1">
        <f t="array" ref="DJ59">IF(DJ$5&lt;=$DG59,INDEX($BC59:$BN59,1,_xlfn.XMATCH(DJ$5,$CC59:$CN59)),"na")</f>
        <v>45658</v>
      </c>
      <c r="DK59" s="45" cm="1">
        <f t="array" ref="DK59">IF(DK$5&lt;=$DH59,INDEX($BP59:$CA59,1,_xlfn.XMATCH(DK$5,$CP59:$DA59)),"na")</f>
        <v>46022</v>
      </c>
      <c r="DL59" s="46" cm="1">
        <f t="array" ref="DL59">IF(DL$5&lt;=$DG59,INDEX($AC59:$AN59,1,_xlfn.XMATCH(DL$5,$CC59:$CN59)),"na")</f>
        <v>64</v>
      </c>
      <c r="DM59" s="47" cm="1">
        <f t="array" ref="DM59">IF(DM$5&lt;=$DG59,INDEX($AP59:$BA59,1,_xlfn.XMATCH(DM$5,$CC59:$CN59)),"na")</f>
        <v>61</v>
      </c>
      <c r="DN59" s="44" t="str" cm="1">
        <f t="array" ref="DN59">IF(DN$5&lt;=$DG59,INDEX($BC59:$BN59,1,_xlfn.XMATCH(DN$5,$CC59:$CN59)),"na")</f>
        <v>na</v>
      </c>
      <c r="DO59" s="45" t="str" cm="1">
        <f t="array" ref="DO59">IF(DO$5&lt;=$DH59,INDEX($BP59:$CA59,1,_xlfn.XMATCH(DO$5,$CP59:$DA59)),"na")</f>
        <v>na</v>
      </c>
      <c r="DP59" s="46" t="str" cm="1">
        <f t="array" ref="DP59">IF(DP$5&lt;=$DG59,INDEX($AC59:$AN59,1,_xlfn.XMATCH(DP$5,$CC59:$CN59)),"na")</f>
        <v>na</v>
      </c>
      <c r="DQ59" s="47" t="str" cm="1">
        <f t="array" ref="DQ59">IF(DQ$5&lt;=$DG59,INDEX($AP59:$BA59,1,_xlfn.XMATCH(DQ$5,$CC59:$CN59)),"na")</f>
        <v>na</v>
      </c>
      <c r="DR59" s="44" t="str" cm="1">
        <f t="array" ref="DR59">IF(DR$5&lt;=$DG59,INDEX($BC59:$BN59,1,_xlfn.XMATCH(DR$5,$CC59:$CN59)),"na")</f>
        <v>na</v>
      </c>
      <c r="DS59" s="45" t="str" cm="1">
        <f t="array" ref="DS59">IF(DS$5&lt;=$DH59,INDEX($BP59:$CA59,1,_xlfn.XMATCH(DS$5,$CP59:$DA59)),"na")</f>
        <v>na</v>
      </c>
      <c r="DT59" s="46" t="str" cm="1">
        <f t="array" ref="DT59">IF(DT$5&lt;=$DG59,INDEX($AC59:$AN59,1,_xlfn.XMATCH(DT$5,$CC59:$CN59)),"na")</f>
        <v>na</v>
      </c>
      <c r="DU59" s="47" t="str" cm="1">
        <f t="array" ref="DU59">IF(DU$5&lt;=$DG59,INDEX($AP59:$BA59,1,_xlfn.XMATCH(DU$5,$CC59:$CN59)),"na")</f>
        <v>na</v>
      </c>
      <c r="DV59" s="44" t="str" cm="1">
        <f t="array" ref="DV59">IF(DV$5&lt;=$DG59,INDEX($BC59:$BN59,1,_xlfn.XMATCH(DV$5,$CC59:$CN59)),"na")</f>
        <v>na</v>
      </c>
      <c r="DW59" s="45" t="str" cm="1">
        <f t="array" ref="DW59">IF(DW$5&lt;=$DH59,INDEX($BP59:$CA59,1,_xlfn.XMATCH(DW$5,$CP59:$DA59)),"na")</f>
        <v>na</v>
      </c>
      <c r="DX59" s="46" t="str" cm="1">
        <f t="array" ref="DX59">IF(DX$5&lt;=$DG59,INDEX($AC59:$AN59,1,_xlfn.XMATCH(DX$5,$CC59:$CN59)),"na")</f>
        <v>na</v>
      </c>
      <c r="DY59" s="47" t="str" cm="1">
        <f t="array" ref="DY59">IF(DY$5&lt;=$DG59,INDEX($AP59:$BA59,1,_xlfn.XMATCH(DY$5,$CC59:$CN59)),"na")</f>
        <v>na</v>
      </c>
      <c r="DZ59" s="44" t="str" cm="1">
        <f t="array" ref="DZ59">IF(DZ$5&lt;=$DG59,INDEX($BC59:$BN59,1,_xlfn.XMATCH(DZ$5,$CC59:$CN59)),"na")</f>
        <v>na</v>
      </c>
      <c r="EA59" s="45" t="str" cm="1">
        <f t="array" ref="EA59">IF(EA$5&lt;=$DH59,INDEX($BP59:$CA59,1,_xlfn.XMATCH(EA$5,$CP59:$DA59)),"na")</f>
        <v>na</v>
      </c>
      <c r="EB59" s="46" t="str" cm="1">
        <f t="array" ref="EB59">IF(EB$5&lt;=$DG59,INDEX($AC59:$AN59,1,_xlfn.XMATCH(EB$5,$CC59:$CN59)),"na")</f>
        <v>na</v>
      </c>
      <c r="EC59" s="47" t="str" cm="1">
        <f t="array" ref="EC59">IF(EC$5&lt;=$DG59,INDEX($AP59:$BA59,1,_xlfn.XMATCH(EC$5,$CC59:$CN59)),"na")</f>
        <v>na</v>
      </c>
      <c r="ED59" s="44" t="str" cm="1">
        <f t="array" ref="ED59">IF(ED$5&lt;=$DG59,INDEX($BC59:$BN59,1,_xlfn.XMATCH(ED$5,$CC59:$CN59)),"na")</f>
        <v>na</v>
      </c>
      <c r="EE59" s="45" t="str" cm="1">
        <f t="array" ref="EE59">IF(EE$5&lt;=$DH59,INDEX($BP59:$CA59,1,_xlfn.XMATCH(EE$5,$CP59:$DA59)),"na")</f>
        <v>na</v>
      </c>
      <c r="EF59" s="46" t="str" cm="1">
        <f t="array" ref="EF59">IF(EF$5&lt;=$DG59,INDEX($AC59:$AN59,1,_xlfn.XMATCH(EF$5,$CC59:$CN59)),"na")</f>
        <v>na</v>
      </c>
      <c r="EG59" s="47" t="str" cm="1">
        <f t="array" ref="EG59">IF(EG$5&lt;=$DG59,INDEX($AP59:$BA59,1,_xlfn.XMATCH(EG$5,$CC59:$CN59)),"na")</f>
        <v>na</v>
      </c>
      <c r="EH59" s="44" t="str" cm="1">
        <f t="array" ref="EH59">IF(EH$5&lt;=$DG59,INDEX($BC59:$BN59,1,_xlfn.XMATCH(EH$5,$CC59:$CN59)),"na")</f>
        <v>na</v>
      </c>
      <c r="EI59" s="45" t="str" cm="1">
        <f t="array" ref="EI59">IF(EI$5&lt;=$DH59,INDEX($BP59:$CA59,1,_xlfn.XMATCH(EI$5,$CP59:$DA59)),"na")</f>
        <v>na</v>
      </c>
      <c r="EJ59" s="46" t="str" cm="1">
        <f t="array" ref="EJ59">IF(EJ$5&lt;=$DG59,INDEX($AC59:$AN59,1,_xlfn.XMATCH(EJ$5,$CC59:$CN59)),"na")</f>
        <v>na</v>
      </c>
      <c r="EK59" s="47" t="str" cm="1">
        <f t="array" ref="EK59">IF(EK$5&lt;=$DG59,INDEX($AP59:$BA59,1,_xlfn.XMATCH(EK$5,$CC59:$CN59)),"na")</f>
        <v>na</v>
      </c>
      <c r="EL59" s="44" t="str" cm="1">
        <f t="array" ref="EL59">IF(EL$5&lt;=$DG59,INDEX($BC59:$BN59,1,_xlfn.XMATCH(EL$5,$CC59:$CN59)),"na")</f>
        <v>na</v>
      </c>
      <c r="EM59" s="45" t="str" cm="1">
        <f t="array" ref="EM59">IF(EM$5&lt;=$DH59,INDEX($BP59:$CA59,1,_xlfn.XMATCH(EM$5,$CP59:$DA59)),"na")</f>
        <v>na</v>
      </c>
      <c r="EN59" s="46" t="str" cm="1">
        <f t="array" ref="EN59">IF(EN$5&lt;=$DG59,INDEX($AC59:$AN59,1,_xlfn.XMATCH(EN$5,$CC59:$CN59)),"na")</f>
        <v>na</v>
      </c>
      <c r="EO59" s="47" t="str" cm="1">
        <f t="array" ref="EO59">IF(EO$5&lt;=$DG59,INDEX($AP59:$BA59,1,_xlfn.XMATCH(EO$5,$CC59:$CN59)),"na")</f>
        <v>na</v>
      </c>
      <c r="EP59" s="44" t="str" cm="1">
        <f t="array" ref="EP59">IF(EP$5&lt;=$DG59,INDEX($BC59:$BN59,1,_xlfn.XMATCH(EP$5,$CC59:$CN59)),"na")</f>
        <v>na</v>
      </c>
      <c r="EQ59" s="45" t="str" cm="1">
        <f t="array" ref="EQ59">IF(EQ$5&lt;=$DH59,INDEX($BP59:$CA59,1,_xlfn.XMATCH(EQ$5,$CP59:$DA59)),"na")</f>
        <v>na</v>
      </c>
      <c r="ER59" s="46" t="str" cm="1">
        <f t="array" ref="ER59">IF(ER$5&lt;=$DG59,INDEX($AC59:$AN59,1,_xlfn.XMATCH(ER$5,$CC59:$CN59)),"na")</f>
        <v>na</v>
      </c>
      <c r="ES59" s="47" t="str" cm="1">
        <f t="array" ref="ES59">IF(ES$5&lt;=$DG59,INDEX($AP59:$BA59,1,_xlfn.XMATCH(ES$5,$CC59:$CN59)),"na")</f>
        <v>na</v>
      </c>
      <c r="ET59" s="44" t="str" cm="1">
        <f t="array" ref="ET59">IF(ET$5&lt;=$DG59,INDEX($BC59:$BN59,1,_xlfn.XMATCH(ET$5,$CC59:$CN59)),"na")</f>
        <v>na</v>
      </c>
      <c r="EU59" s="45" t="str" cm="1">
        <f t="array" ref="EU59">IF(EU$5&lt;=$DH59,INDEX($BP59:$CA59,1,_xlfn.XMATCH(EU$5,$CP59:$DA59)),"na")</f>
        <v>na</v>
      </c>
      <c r="EV59" s="46" t="str" cm="1">
        <f t="array" ref="EV59">IF(EV$5&lt;=$DG59,INDEX($AC59:$AN59,1,_xlfn.XMATCH(EV$5,$CC59:$CN59)),"na")</f>
        <v>na</v>
      </c>
      <c r="EW59" s="47" t="str" cm="1">
        <f t="array" ref="EW59">IF(EW$5&lt;=$DG59,INDEX($AP59:$BA59,1,_xlfn.XMATCH(EW$5,$CC59:$CN59)),"na")</f>
        <v>na</v>
      </c>
      <c r="EX59" s="44" t="str" cm="1">
        <f t="array" ref="EX59">IF(EX$5&lt;=$DG59,INDEX($BC59:$BN59,1,_xlfn.XMATCH(EX$5,$CC59:$CN59)),"na")</f>
        <v>na</v>
      </c>
      <c r="EY59" s="45" t="str" cm="1">
        <f t="array" ref="EY59">IF(EY$5&lt;=$DH59,INDEX($BP59:$CA59,1,_xlfn.XMATCH(EY$5,$CP59:$DA59)),"na")</f>
        <v>na</v>
      </c>
      <c r="EZ59" s="46" t="str" cm="1">
        <f t="array" ref="EZ59">IF(EZ$5&lt;=$DG59,INDEX($AC59:$AN59,1,_xlfn.XMATCH(EZ$5,$CC59:$CN59)),"na")</f>
        <v>na</v>
      </c>
      <c r="FA59" s="47" t="str" cm="1">
        <f t="array" ref="FA59">IF(FA$5&lt;=$DG59,INDEX($AP59:$BA59,1,_xlfn.XMATCH(FA$5,$CC59:$CN59)),"na")</f>
        <v>na</v>
      </c>
      <c r="FB59" s="44" t="str" cm="1">
        <f t="array" ref="FB59">IF(FB$5&lt;=$DG59,INDEX($BC59:$BN59,1,_xlfn.XMATCH(FB$5,$CC59:$CN59)),"na")</f>
        <v>na</v>
      </c>
      <c r="FC59" s="45" t="str" cm="1">
        <f t="array" ref="FC59">IF(FC$5&lt;=$DH59,INDEX($BP59:$CA59,1,_xlfn.XMATCH(FC$5,$CP59:$DA59)),"na")</f>
        <v>na</v>
      </c>
      <c r="FD59" s="46" t="str" cm="1">
        <f t="array" ref="FD59">IF(FD$5&lt;=$DG59,INDEX($AC59:$AN59,1,_xlfn.XMATCH(FD$5,$CC59:$CN59)),"na")</f>
        <v>na</v>
      </c>
      <c r="FE59" s="47" t="str" cm="1">
        <f t="array" ref="FE59">IF(FE$5&lt;=$DG59,INDEX($AP59:$BA59,1,_xlfn.XMATCH(FE$5,$CC59:$CN59)),"na")</f>
        <v>na</v>
      </c>
    </row>
    <row r="60" spans="2:161" hidden="1" x14ac:dyDescent="0.25">
      <c r="B60" s="9" t="s">
        <v>116</v>
      </c>
      <c r="C60" s="8">
        <v>7533</v>
      </c>
      <c r="D60" s="8">
        <v>6804</v>
      </c>
      <c r="E60" s="8">
        <v>7533</v>
      </c>
      <c r="F60" s="8">
        <v>7290</v>
      </c>
      <c r="G60" s="8">
        <v>7533</v>
      </c>
      <c r="H60" s="8">
        <v>7290</v>
      </c>
      <c r="I60" s="8">
        <v>7533</v>
      </c>
      <c r="J60" s="8">
        <v>7533</v>
      </c>
      <c r="K60" s="8">
        <v>7290</v>
      </c>
      <c r="L60" s="8">
        <v>7533</v>
      </c>
      <c r="M60" s="8">
        <v>7290</v>
      </c>
      <c r="N60" s="8">
        <v>7533</v>
      </c>
      <c r="O60" s="8"/>
      <c r="P60" s="8">
        <v>7161</v>
      </c>
      <c r="Q60" s="8">
        <v>6468</v>
      </c>
      <c r="R60" s="8">
        <v>7161</v>
      </c>
      <c r="S60" s="8">
        <v>6930</v>
      </c>
      <c r="T60" s="8">
        <v>7161</v>
      </c>
      <c r="U60" s="8">
        <v>6930</v>
      </c>
      <c r="V60" s="8">
        <v>7161</v>
      </c>
      <c r="W60" s="8">
        <v>7161</v>
      </c>
      <c r="X60" s="8">
        <v>6930</v>
      </c>
      <c r="Y60" s="8">
        <v>7161</v>
      </c>
      <c r="Z60" s="8">
        <v>6930</v>
      </c>
      <c r="AA60" s="8">
        <v>7161</v>
      </c>
      <c r="AC60" s="14">
        <f>C60/_xlfn.XLOOKUP(AC$5,'OC-Days'!$G:$G,'OC-Days'!$B:$B)</f>
        <v>243</v>
      </c>
      <c r="AD60" s="14">
        <f>D60/_xlfn.XLOOKUP(AD$5,'OC-Days'!$G:$G,'OC-Days'!$B:$B)</f>
        <v>243</v>
      </c>
      <c r="AE60" s="14">
        <f>E60/_xlfn.XLOOKUP(AE$5,'OC-Days'!$G:$G,'OC-Days'!$B:$B)</f>
        <v>243</v>
      </c>
      <c r="AF60" s="14">
        <f>F60/_xlfn.XLOOKUP(AF$5,'OC-Days'!$G:$G,'OC-Days'!$B:$B)</f>
        <v>243</v>
      </c>
      <c r="AG60" s="14">
        <f>G60/_xlfn.XLOOKUP(AG$5,'OC-Days'!$G:$G,'OC-Days'!$B:$B)</f>
        <v>243</v>
      </c>
      <c r="AH60" s="14">
        <f>H60/_xlfn.XLOOKUP(AH$5,'OC-Days'!$G:$G,'OC-Days'!$B:$B)</f>
        <v>243</v>
      </c>
      <c r="AI60" s="14">
        <f>I60/_xlfn.XLOOKUP(AI$5,'OC-Days'!$G:$G,'OC-Days'!$B:$B)</f>
        <v>243</v>
      </c>
      <c r="AJ60" s="14">
        <f>J60/_xlfn.XLOOKUP(AJ$5,'OC-Days'!$G:$G,'OC-Days'!$B:$B)</f>
        <v>243</v>
      </c>
      <c r="AK60" s="14">
        <f>K60/_xlfn.XLOOKUP(AK$5,'OC-Days'!$G:$G,'OC-Days'!$B:$B)</f>
        <v>243</v>
      </c>
      <c r="AL60" s="14">
        <f>L60/_xlfn.XLOOKUP(AL$5,'OC-Days'!$G:$G,'OC-Days'!$B:$B)</f>
        <v>243</v>
      </c>
      <c r="AM60" s="14">
        <f>M60/_xlfn.XLOOKUP(AM$5,'OC-Days'!$G:$G,'OC-Days'!$B:$B)</f>
        <v>243</v>
      </c>
      <c r="AN60" s="14">
        <f>N60/_xlfn.XLOOKUP(AN$5,'OC-Days'!$G:$G,'OC-Days'!$B:$B)</f>
        <v>243</v>
      </c>
      <c r="AP60" s="14">
        <f>P60/_xlfn.XLOOKUP(AP$5,'OC-Days'!$G:$G,'OC-Days'!$B:$B)</f>
        <v>231</v>
      </c>
      <c r="AQ60" s="14">
        <f>Q60/_xlfn.XLOOKUP(AQ$5,'OC-Days'!$G:$G,'OC-Days'!$B:$B)</f>
        <v>231</v>
      </c>
      <c r="AR60" s="14">
        <f>R60/_xlfn.XLOOKUP(AR$5,'OC-Days'!$G:$G,'OC-Days'!$B:$B)</f>
        <v>231</v>
      </c>
      <c r="AS60" s="14">
        <f>S60/_xlfn.XLOOKUP(AS$5,'OC-Days'!$G:$G,'OC-Days'!$B:$B)</f>
        <v>231</v>
      </c>
      <c r="AT60" s="14">
        <f>T60/_xlfn.XLOOKUP(AT$5,'OC-Days'!$G:$G,'OC-Days'!$B:$B)</f>
        <v>231</v>
      </c>
      <c r="AU60" s="14">
        <f>U60/_xlfn.XLOOKUP(AU$5,'OC-Days'!$G:$G,'OC-Days'!$B:$B)</f>
        <v>231</v>
      </c>
      <c r="AV60" s="14">
        <f>V60/_xlfn.XLOOKUP(AV$5,'OC-Days'!$G:$G,'OC-Days'!$B:$B)</f>
        <v>231</v>
      </c>
      <c r="AW60" s="14">
        <f>W60/_xlfn.XLOOKUP(AW$5,'OC-Days'!$G:$G,'OC-Days'!$B:$B)</f>
        <v>231</v>
      </c>
      <c r="AX60" s="14">
        <f>X60/_xlfn.XLOOKUP(AX$5,'OC-Days'!$G:$G,'OC-Days'!$B:$B)</f>
        <v>231</v>
      </c>
      <c r="AY60" s="14">
        <f>Y60/_xlfn.XLOOKUP(AY$5,'OC-Days'!$G:$G,'OC-Days'!$B:$B)</f>
        <v>231</v>
      </c>
      <c r="AZ60" s="14">
        <f>Z60/_xlfn.XLOOKUP(AZ$5,'OC-Days'!$G:$G,'OC-Days'!$B:$B)</f>
        <v>231</v>
      </c>
      <c r="BA60" s="14">
        <f>AA60/_xlfn.XLOOKUP(BA$5,'OC-Days'!$G:$G,'OC-Days'!$B:$B)</f>
        <v>231</v>
      </c>
      <c r="BC60" s="33">
        <f>_xlfn.XLOOKUP(BC$5,'OC-Days'!$G:$G,'OC-Days'!$F:$F)</f>
        <v>45658</v>
      </c>
      <c r="BD60" s="34" t="str">
        <f>IF(AQ60=AP60,"na",_xlfn.XLOOKUP(BD$5,'OC-Days'!$G:$G,'OC-Days'!$F:$F))</f>
        <v>na</v>
      </c>
      <c r="BE60" s="34" t="str">
        <f>IF(AR60=AQ60,"na",_xlfn.XLOOKUP(BE$5,'OC-Days'!$G:$G,'OC-Days'!$F:$F))</f>
        <v>na</v>
      </c>
      <c r="BF60" s="34" t="str">
        <f>IF(AS60=AR60,"na",_xlfn.XLOOKUP(BF$5,'OC-Days'!$G:$G,'OC-Days'!$F:$F))</f>
        <v>na</v>
      </c>
      <c r="BG60" s="34" t="str">
        <f>IF(AT60=AS60,"na",_xlfn.XLOOKUP(BG$5,'OC-Days'!$G:$G,'OC-Days'!$F:$F))</f>
        <v>na</v>
      </c>
      <c r="BH60" s="34" t="str">
        <f>IF(AU60=AT60,"na",_xlfn.XLOOKUP(BH$5,'OC-Days'!$G:$G,'OC-Days'!$F:$F))</f>
        <v>na</v>
      </c>
      <c r="BI60" s="34" t="str">
        <f>IF(AV60=AU60,"na",_xlfn.XLOOKUP(BI$5,'OC-Days'!$G:$G,'OC-Days'!$F:$F))</f>
        <v>na</v>
      </c>
      <c r="BJ60" s="34" t="str">
        <f>IF(AW60=AV60,"na",_xlfn.XLOOKUP(BJ$5,'OC-Days'!$G:$G,'OC-Days'!$F:$F))</f>
        <v>na</v>
      </c>
      <c r="BK60" s="34" t="str">
        <f>IF(AX60=AW60,"na",_xlfn.XLOOKUP(BK$5,'OC-Days'!$G:$G,'OC-Days'!$F:$F))</f>
        <v>na</v>
      </c>
      <c r="BL60" s="34" t="str">
        <f>IF(AY60=AX60,"na",_xlfn.XLOOKUP(BL$5,'OC-Days'!$G:$G,'OC-Days'!$F:$F))</f>
        <v>na</v>
      </c>
      <c r="BM60" s="34" t="str">
        <f>IF(AZ60=AY60,"na",_xlfn.XLOOKUP(BM$5,'OC-Days'!$G:$G,'OC-Days'!$F:$F))</f>
        <v>na</v>
      </c>
      <c r="BN60" s="34" t="str">
        <f>IF(BA60=AZ60,"na",_xlfn.XLOOKUP(BN$5,'OC-Days'!$G:$G,'OC-Days'!$F:$F))</f>
        <v>na</v>
      </c>
      <c r="BP60" s="36" t="str">
        <f t="shared" si="52"/>
        <v>na</v>
      </c>
      <c r="BQ60" s="36" t="str">
        <f t="shared" si="53"/>
        <v>na</v>
      </c>
      <c r="BR60" s="36" t="str">
        <f t="shared" si="54"/>
        <v>na</v>
      </c>
      <c r="BS60" s="36" t="str">
        <f t="shared" si="55"/>
        <v>na</v>
      </c>
      <c r="BT60" s="36" t="str">
        <f t="shared" si="56"/>
        <v>na</v>
      </c>
      <c r="BU60" s="36" t="str">
        <f t="shared" si="57"/>
        <v>na</v>
      </c>
      <c r="BV60" s="36" t="str">
        <f t="shared" si="58"/>
        <v>na</v>
      </c>
      <c r="BW60" s="36" t="str">
        <f t="shared" si="59"/>
        <v>na</v>
      </c>
      <c r="BX60" s="36" t="str">
        <f t="shared" si="60"/>
        <v>na</v>
      </c>
      <c r="BY60" s="36" t="str">
        <f t="shared" si="61"/>
        <v>na</v>
      </c>
      <c r="BZ60" s="36" t="str">
        <f t="shared" si="62"/>
        <v>na</v>
      </c>
      <c r="CA60" s="43">
        <f t="shared" si="46"/>
        <v>46022</v>
      </c>
      <c r="CC60" s="8">
        <f>COUNT($BC60:BC60)</f>
        <v>1</v>
      </c>
      <c r="CD60" s="8">
        <f>COUNT($BC60:BD60)</f>
        <v>1</v>
      </c>
      <c r="CE60" s="8">
        <f>COUNT($BC60:BE60)</f>
        <v>1</v>
      </c>
      <c r="CF60" s="8">
        <f>COUNT($BC60:BF60)</f>
        <v>1</v>
      </c>
      <c r="CG60" s="8">
        <f>COUNT($BC60:BG60)</f>
        <v>1</v>
      </c>
      <c r="CH60" s="8">
        <f>COUNT($BC60:BH60)</f>
        <v>1</v>
      </c>
      <c r="CI60" s="8">
        <f>COUNT($BC60:BI60)</f>
        <v>1</v>
      </c>
      <c r="CJ60" s="8">
        <f>COUNT($BC60:BJ60)</f>
        <v>1</v>
      </c>
      <c r="CK60" s="8">
        <f>COUNT($BC60:BK60)</f>
        <v>1</v>
      </c>
      <c r="CL60" s="8">
        <f>COUNT($BC60:BL60)</f>
        <v>1</v>
      </c>
      <c r="CM60" s="8">
        <f>COUNT($BC60:BM60)</f>
        <v>1</v>
      </c>
      <c r="CN60" s="8">
        <f>COUNT($BC60:BN60)</f>
        <v>1</v>
      </c>
      <c r="CO60" s="8"/>
      <c r="CP60" s="8">
        <f>COUNT($BP60:BP60)</f>
        <v>0</v>
      </c>
      <c r="CQ60" s="8">
        <f>COUNT($BP60:BQ60)</f>
        <v>0</v>
      </c>
      <c r="CR60" s="8">
        <f>COUNT($BP60:BR60)</f>
        <v>0</v>
      </c>
      <c r="CS60" s="8">
        <f>COUNT($BP60:BS60)</f>
        <v>0</v>
      </c>
      <c r="CT60" s="8">
        <f>COUNT($BP60:BT60)</f>
        <v>0</v>
      </c>
      <c r="CU60" s="8">
        <f>COUNT($BP60:BU60)</f>
        <v>0</v>
      </c>
      <c r="CV60" s="8">
        <f>COUNT($BP60:BV60)</f>
        <v>0</v>
      </c>
      <c r="CW60" s="8">
        <f>COUNT($BP60:BW60)</f>
        <v>0</v>
      </c>
      <c r="CX60" s="8">
        <f>COUNT($BP60:BX60)</f>
        <v>0</v>
      </c>
      <c r="CY60" s="8">
        <f>COUNT($BP60:BY60)</f>
        <v>0</v>
      </c>
      <c r="CZ60" s="8">
        <f>COUNT($BP60:BZ60)</f>
        <v>0</v>
      </c>
      <c r="DA60" s="8">
        <f>COUNT($BP60:CA60)</f>
        <v>1</v>
      </c>
      <c r="DC60">
        <f t="shared" si="47"/>
        <v>840</v>
      </c>
      <c r="DD60" t="str">
        <f t="shared" si="48"/>
        <v>Rollup</v>
      </c>
      <c r="DE60" t="str">
        <f t="shared" si="49"/>
        <v>840-Rollup</v>
      </c>
      <c r="DG60">
        <f t="shared" si="50"/>
        <v>1</v>
      </c>
      <c r="DH60">
        <f t="shared" si="51"/>
        <v>1</v>
      </c>
    </row>
    <row r="61" spans="2:161" hidden="1" x14ac:dyDescent="0.25">
      <c r="B61" s="9" t="s">
        <v>117</v>
      </c>
      <c r="C61" s="8">
        <v>12710</v>
      </c>
      <c r="D61" s="8">
        <v>11480</v>
      </c>
      <c r="E61" s="8">
        <v>12710</v>
      </c>
      <c r="F61" s="8">
        <v>12300</v>
      </c>
      <c r="G61" s="8">
        <v>12710</v>
      </c>
      <c r="H61" s="8">
        <v>12300</v>
      </c>
      <c r="I61" s="8">
        <v>12710</v>
      </c>
      <c r="J61" s="8">
        <v>12710</v>
      </c>
      <c r="K61" s="8">
        <v>12300</v>
      </c>
      <c r="L61" s="8">
        <v>12710</v>
      </c>
      <c r="M61" s="8">
        <v>12300</v>
      </c>
      <c r="N61" s="8">
        <v>12710</v>
      </c>
      <c r="O61" s="8"/>
      <c r="P61" s="8">
        <v>11976.54</v>
      </c>
      <c r="Q61" s="8">
        <v>10817.52</v>
      </c>
      <c r="R61" s="8">
        <v>11976.54</v>
      </c>
      <c r="S61" s="8">
        <v>11590.2</v>
      </c>
      <c r="T61" s="8">
        <v>11976.54</v>
      </c>
      <c r="U61" s="8">
        <v>11590.2</v>
      </c>
      <c r="V61" s="8">
        <v>11976.54</v>
      </c>
      <c r="W61" s="8">
        <v>11976.54</v>
      </c>
      <c r="X61" s="8">
        <v>11590.2</v>
      </c>
      <c r="Y61" s="8">
        <v>11976.54</v>
      </c>
      <c r="Z61" s="8">
        <v>11590.2</v>
      </c>
      <c r="AA61" s="8">
        <v>11976.54</v>
      </c>
      <c r="AC61" s="14">
        <f>C61/_xlfn.XLOOKUP(AC$5,'OC-Days'!$G:$G,'OC-Days'!$B:$B)</f>
        <v>410</v>
      </c>
      <c r="AD61" s="14">
        <f>D61/_xlfn.XLOOKUP(AD$5,'OC-Days'!$G:$G,'OC-Days'!$B:$B)</f>
        <v>410</v>
      </c>
      <c r="AE61" s="14">
        <f>E61/_xlfn.XLOOKUP(AE$5,'OC-Days'!$G:$G,'OC-Days'!$B:$B)</f>
        <v>410</v>
      </c>
      <c r="AF61" s="14">
        <f>F61/_xlfn.XLOOKUP(AF$5,'OC-Days'!$G:$G,'OC-Days'!$B:$B)</f>
        <v>410</v>
      </c>
      <c r="AG61" s="14">
        <f>G61/_xlfn.XLOOKUP(AG$5,'OC-Days'!$G:$G,'OC-Days'!$B:$B)</f>
        <v>410</v>
      </c>
      <c r="AH61" s="14">
        <f>H61/_xlfn.XLOOKUP(AH$5,'OC-Days'!$G:$G,'OC-Days'!$B:$B)</f>
        <v>410</v>
      </c>
      <c r="AI61" s="14">
        <f>I61/_xlfn.XLOOKUP(AI$5,'OC-Days'!$G:$G,'OC-Days'!$B:$B)</f>
        <v>410</v>
      </c>
      <c r="AJ61" s="14">
        <f>J61/_xlfn.XLOOKUP(AJ$5,'OC-Days'!$G:$G,'OC-Days'!$B:$B)</f>
        <v>410</v>
      </c>
      <c r="AK61" s="14">
        <f>K61/_xlfn.XLOOKUP(AK$5,'OC-Days'!$G:$G,'OC-Days'!$B:$B)</f>
        <v>410</v>
      </c>
      <c r="AL61" s="14">
        <f>L61/_xlfn.XLOOKUP(AL$5,'OC-Days'!$G:$G,'OC-Days'!$B:$B)</f>
        <v>410</v>
      </c>
      <c r="AM61" s="14">
        <f>M61/_xlfn.XLOOKUP(AM$5,'OC-Days'!$G:$G,'OC-Days'!$B:$B)</f>
        <v>410</v>
      </c>
      <c r="AN61" s="14">
        <f>N61/_xlfn.XLOOKUP(AN$5,'OC-Days'!$G:$G,'OC-Days'!$B:$B)</f>
        <v>410</v>
      </c>
      <c r="AP61" s="14">
        <f>P61/_xlfn.XLOOKUP(AP$5,'OC-Days'!$G:$G,'OC-Days'!$B:$B)</f>
        <v>386.34000000000003</v>
      </c>
      <c r="AQ61" s="14">
        <f>Q61/_xlfn.XLOOKUP(AQ$5,'OC-Days'!$G:$G,'OC-Days'!$B:$B)</f>
        <v>386.34000000000003</v>
      </c>
      <c r="AR61" s="14">
        <f>R61/_xlfn.XLOOKUP(AR$5,'OC-Days'!$G:$G,'OC-Days'!$B:$B)</f>
        <v>386.34000000000003</v>
      </c>
      <c r="AS61" s="14">
        <f>S61/_xlfn.XLOOKUP(AS$5,'OC-Days'!$G:$G,'OC-Days'!$B:$B)</f>
        <v>386.34000000000003</v>
      </c>
      <c r="AT61" s="14">
        <f>T61/_xlfn.XLOOKUP(AT$5,'OC-Days'!$G:$G,'OC-Days'!$B:$B)</f>
        <v>386.34000000000003</v>
      </c>
      <c r="AU61" s="14">
        <f>U61/_xlfn.XLOOKUP(AU$5,'OC-Days'!$G:$G,'OC-Days'!$B:$B)</f>
        <v>386.34000000000003</v>
      </c>
      <c r="AV61" s="14">
        <f>V61/_xlfn.XLOOKUP(AV$5,'OC-Days'!$G:$G,'OC-Days'!$B:$B)</f>
        <v>386.34000000000003</v>
      </c>
      <c r="AW61" s="14">
        <f>W61/_xlfn.XLOOKUP(AW$5,'OC-Days'!$G:$G,'OC-Days'!$B:$B)</f>
        <v>386.34000000000003</v>
      </c>
      <c r="AX61" s="14">
        <f>X61/_xlfn.XLOOKUP(AX$5,'OC-Days'!$G:$G,'OC-Days'!$B:$B)</f>
        <v>386.34000000000003</v>
      </c>
      <c r="AY61" s="14">
        <f>Y61/_xlfn.XLOOKUP(AY$5,'OC-Days'!$G:$G,'OC-Days'!$B:$B)</f>
        <v>386.34000000000003</v>
      </c>
      <c r="AZ61" s="14">
        <f>Z61/_xlfn.XLOOKUP(AZ$5,'OC-Days'!$G:$G,'OC-Days'!$B:$B)</f>
        <v>386.34000000000003</v>
      </c>
      <c r="BA61" s="14">
        <f>AA61/_xlfn.XLOOKUP(BA$5,'OC-Days'!$G:$G,'OC-Days'!$B:$B)</f>
        <v>386.34000000000003</v>
      </c>
      <c r="BC61" s="33">
        <f>_xlfn.XLOOKUP(BC$5,'OC-Days'!$G:$G,'OC-Days'!$F:$F)</f>
        <v>45658</v>
      </c>
      <c r="BD61" s="34" t="str">
        <f>IF(AQ61=AP61,"na",_xlfn.XLOOKUP(BD$5,'OC-Days'!$G:$G,'OC-Days'!$F:$F))</f>
        <v>na</v>
      </c>
      <c r="BE61" s="34" t="str">
        <f>IF(AR61=AQ61,"na",_xlfn.XLOOKUP(BE$5,'OC-Days'!$G:$G,'OC-Days'!$F:$F))</f>
        <v>na</v>
      </c>
      <c r="BF61" s="34" t="str">
        <f>IF(AS61=AR61,"na",_xlfn.XLOOKUP(BF$5,'OC-Days'!$G:$G,'OC-Days'!$F:$F))</f>
        <v>na</v>
      </c>
      <c r="BG61" s="34" t="str">
        <f>IF(AT61=AS61,"na",_xlfn.XLOOKUP(BG$5,'OC-Days'!$G:$G,'OC-Days'!$F:$F))</f>
        <v>na</v>
      </c>
      <c r="BH61" s="34" t="str">
        <f>IF(AU61=AT61,"na",_xlfn.XLOOKUP(BH$5,'OC-Days'!$G:$G,'OC-Days'!$F:$F))</f>
        <v>na</v>
      </c>
      <c r="BI61" s="34" t="str">
        <f>IF(AV61=AU61,"na",_xlfn.XLOOKUP(BI$5,'OC-Days'!$G:$G,'OC-Days'!$F:$F))</f>
        <v>na</v>
      </c>
      <c r="BJ61" s="34" t="str">
        <f>IF(AW61=AV61,"na",_xlfn.XLOOKUP(BJ$5,'OC-Days'!$G:$G,'OC-Days'!$F:$F))</f>
        <v>na</v>
      </c>
      <c r="BK61" s="34" t="str">
        <f>IF(AX61=AW61,"na",_xlfn.XLOOKUP(BK$5,'OC-Days'!$G:$G,'OC-Days'!$F:$F))</f>
        <v>na</v>
      </c>
      <c r="BL61" s="34" t="str">
        <f>IF(AY61=AX61,"na",_xlfn.XLOOKUP(BL$5,'OC-Days'!$G:$G,'OC-Days'!$F:$F))</f>
        <v>na</v>
      </c>
      <c r="BM61" s="34" t="str">
        <f>IF(AZ61=AY61,"na",_xlfn.XLOOKUP(BM$5,'OC-Days'!$G:$G,'OC-Days'!$F:$F))</f>
        <v>na</v>
      </c>
      <c r="BN61" s="34" t="str">
        <f>IF(BA61=AZ61,"na",_xlfn.XLOOKUP(BN$5,'OC-Days'!$G:$G,'OC-Days'!$F:$F))</f>
        <v>na</v>
      </c>
      <c r="BP61" s="36" t="str">
        <f t="shared" si="52"/>
        <v>na</v>
      </c>
      <c r="BQ61" s="36" t="str">
        <f t="shared" si="53"/>
        <v>na</v>
      </c>
      <c r="BR61" s="36" t="str">
        <f t="shared" si="54"/>
        <v>na</v>
      </c>
      <c r="BS61" s="36" t="str">
        <f t="shared" si="55"/>
        <v>na</v>
      </c>
      <c r="BT61" s="36" t="str">
        <f t="shared" si="56"/>
        <v>na</v>
      </c>
      <c r="BU61" s="36" t="str">
        <f t="shared" si="57"/>
        <v>na</v>
      </c>
      <c r="BV61" s="36" t="str">
        <f t="shared" si="58"/>
        <v>na</v>
      </c>
      <c r="BW61" s="36" t="str">
        <f t="shared" si="59"/>
        <v>na</v>
      </c>
      <c r="BX61" s="36" t="str">
        <f t="shared" si="60"/>
        <v>na</v>
      </c>
      <c r="BY61" s="36" t="str">
        <f t="shared" si="61"/>
        <v>na</v>
      </c>
      <c r="BZ61" s="36" t="str">
        <f t="shared" si="62"/>
        <v>na</v>
      </c>
      <c r="CA61" s="43">
        <f t="shared" si="46"/>
        <v>46022</v>
      </c>
      <c r="CC61" s="8">
        <f>COUNT($BC61:BC61)</f>
        <v>1</v>
      </c>
      <c r="CD61" s="8">
        <f>COUNT($BC61:BD61)</f>
        <v>1</v>
      </c>
      <c r="CE61" s="8">
        <f>COUNT($BC61:BE61)</f>
        <v>1</v>
      </c>
      <c r="CF61" s="8">
        <f>COUNT($BC61:BF61)</f>
        <v>1</v>
      </c>
      <c r="CG61" s="8">
        <f>COUNT($BC61:BG61)</f>
        <v>1</v>
      </c>
      <c r="CH61" s="8">
        <f>COUNT($BC61:BH61)</f>
        <v>1</v>
      </c>
      <c r="CI61" s="8">
        <f>COUNT($BC61:BI61)</f>
        <v>1</v>
      </c>
      <c r="CJ61" s="8">
        <f>COUNT($BC61:BJ61)</f>
        <v>1</v>
      </c>
      <c r="CK61" s="8">
        <f>COUNT($BC61:BK61)</f>
        <v>1</v>
      </c>
      <c r="CL61" s="8">
        <f>COUNT($BC61:BL61)</f>
        <v>1</v>
      </c>
      <c r="CM61" s="8">
        <f>COUNT($BC61:BM61)</f>
        <v>1</v>
      </c>
      <c r="CN61" s="8">
        <f>COUNT($BC61:BN61)</f>
        <v>1</v>
      </c>
      <c r="CO61" s="8"/>
      <c r="CP61" s="8">
        <f>COUNT($BP61:BP61)</f>
        <v>0</v>
      </c>
      <c r="CQ61" s="8">
        <f>COUNT($BP61:BQ61)</f>
        <v>0</v>
      </c>
      <c r="CR61" s="8">
        <f>COUNT($BP61:BR61)</f>
        <v>0</v>
      </c>
      <c r="CS61" s="8">
        <f>COUNT($BP61:BS61)</f>
        <v>0</v>
      </c>
      <c r="CT61" s="8">
        <f>COUNT($BP61:BT61)</f>
        <v>0</v>
      </c>
      <c r="CU61" s="8">
        <f>COUNT($BP61:BU61)</f>
        <v>0</v>
      </c>
      <c r="CV61" s="8">
        <f>COUNT($BP61:BV61)</f>
        <v>0</v>
      </c>
      <c r="CW61" s="8">
        <f>COUNT($BP61:BW61)</f>
        <v>0</v>
      </c>
      <c r="CX61" s="8">
        <f>COUNT($BP61:BX61)</f>
        <v>0</v>
      </c>
      <c r="CY61" s="8">
        <f>COUNT($BP61:BY61)</f>
        <v>0</v>
      </c>
      <c r="CZ61" s="8">
        <f>COUNT($BP61:BZ61)</f>
        <v>0</v>
      </c>
      <c r="DA61" s="8">
        <f>COUNT($BP61:CA61)</f>
        <v>1</v>
      </c>
      <c r="DC61" t="str">
        <f t="shared" si="47"/>
        <v>Entity</v>
      </c>
      <c r="DD61" t="str">
        <f t="shared" si="48"/>
        <v>Rollup</v>
      </c>
      <c r="DE61" t="str">
        <f t="shared" si="49"/>
        <v>Entity-Rollup</v>
      </c>
      <c r="DG61">
        <f t="shared" si="50"/>
        <v>1</v>
      </c>
      <c r="DH61">
        <f t="shared" si="51"/>
        <v>1</v>
      </c>
    </row>
    <row r="62" spans="2:161" hidden="1" x14ac:dyDescent="0.25">
      <c r="B62" s="9" t="s">
        <v>118</v>
      </c>
      <c r="C62" s="8">
        <v>12710</v>
      </c>
      <c r="D62" s="8">
        <v>11480</v>
      </c>
      <c r="E62" s="8">
        <v>12710</v>
      </c>
      <c r="F62" s="8">
        <v>12300</v>
      </c>
      <c r="G62" s="8">
        <v>12710</v>
      </c>
      <c r="H62" s="8">
        <v>12300</v>
      </c>
      <c r="I62" s="8">
        <v>12710</v>
      </c>
      <c r="J62" s="8">
        <v>12710</v>
      </c>
      <c r="K62" s="8">
        <v>12300</v>
      </c>
      <c r="L62" s="8">
        <v>12710</v>
      </c>
      <c r="M62" s="8">
        <v>12300</v>
      </c>
      <c r="N62" s="8">
        <v>12710</v>
      </c>
      <c r="O62" s="8"/>
      <c r="P62" s="8">
        <v>11976.54</v>
      </c>
      <c r="Q62" s="8">
        <v>10817.52</v>
      </c>
      <c r="R62" s="8">
        <v>11976.54</v>
      </c>
      <c r="S62" s="8">
        <v>11590.2</v>
      </c>
      <c r="T62" s="8">
        <v>11976.54</v>
      </c>
      <c r="U62" s="8">
        <v>11590.2</v>
      </c>
      <c r="V62" s="8">
        <v>11976.54</v>
      </c>
      <c r="W62" s="8">
        <v>11976.54</v>
      </c>
      <c r="X62" s="8">
        <v>11590.2</v>
      </c>
      <c r="Y62" s="8">
        <v>11976.54</v>
      </c>
      <c r="Z62" s="8">
        <v>11590.2</v>
      </c>
      <c r="AA62" s="8">
        <v>11976.54</v>
      </c>
      <c r="AC62" s="14">
        <f>C62/_xlfn.XLOOKUP(AC$5,'OC-Days'!$G:$G,'OC-Days'!$B:$B)</f>
        <v>410</v>
      </c>
      <c r="AD62" s="14">
        <f>D62/_xlfn.XLOOKUP(AD$5,'OC-Days'!$G:$G,'OC-Days'!$B:$B)</f>
        <v>410</v>
      </c>
      <c r="AE62" s="14">
        <f>E62/_xlfn.XLOOKUP(AE$5,'OC-Days'!$G:$G,'OC-Days'!$B:$B)</f>
        <v>410</v>
      </c>
      <c r="AF62" s="14">
        <f>F62/_xlfn.XLOOKUP(AF$5,'OC-Days'!$G:$G,'OC-Days'!$B:$B)</f>
        <v>410</v>
      </c>
      <c r="AG62" s="14">
        <f>G62/_xlfn.XLOOKUP(AG$5,'OC-Days'!$G:$G,'OC-Days'!$B:$B)</f>
        <v>410</v>
      </c>
      <c r="AH62" s="14">
        <f>H62/_xlfn.XLOOKUP(AH$5,'OC-Days'!$G:$G,'OC-Days'!$B:$B)</f>
        <v>410</v>
      </c>
      <c r="AI62" s="14">
        <f>I62/_xlfn.XLOOKUP(AI$5,'OC-Days'!$G:$G,'OC-Days'!$B:$B)</f>
        <v>410</v>
      </c>
      <c r="AJ62" s="14">
        <f>J62/_xlfn.XLOOKUP(AJ$5,'OC-Days'!$G:$G,'OC-Days'!$B:$B)</f>
        <v>410</v>
      </c>
      <c r="AK62" s="14">
        <f>K62/_xlfn.XLOOKUP(AK$5,'OC-Days'!$G:$G,'OC-Days'!$B:$B)</f>
        <v>410</v>
      </c>
      <c r="AL62" s="14">
        <f>L62/_xlfn.XLOOKUP(AL$5,'OC-Days'!$G:$G,'OC-Days'!$B:$B)</f>
        <v>410</v>
      </c>
      <c r="AM62" s="14">
        <f>M62/_xlfn.XLOOKUP(AM$5,'OC-Days'!$G:$G,'OC-Days'!$B:$B)</f>
        <v>410</v>
      </c>
      <c r="AN62" s="14">
        <f>N62/_xlfn.XLOOKUP(AN$5,'OC-Days'!$G:$G,'OC-Days'!$B:$B)</f>
        <v>410</v>
      </c>
      <c r="AP62" s="14">
        <f>P62/_xlfn.XLOOKUP(AP$5,'OC-Days'!$G:$G,'OC-Days'!$B:$B)</f>
        <v>386.34000000000003</v>
      </c>
      <c r="AQ62" s="14">
        <f>Q62/_xlfn.XLOOKUP(AQ$5,'OC-Days'!$G:$G,'OC-Days'!$B:$B)</f>
        <v>386.34000000000003</v>
      </c>
      <c r="AR62" s="14">
        <f>R62/_xlfn.XLOOKUP(AR$5,'OC-Days'!$G:$G,'OC-Days'!$B:$B)</f>
        <v>386.34000000000003</v>
      </c>
      <c r="AS62" s="14">
        <f>S62/_xlfn.XLOOKUP(AS$5,'OC-Days'!$G:$G,'OC-Days'!$B:$B)</f>
        <v>386.34000000000003</v>
      </c>
      <c r="AT62" s="14">
        <f>T62/_xlfn.XLOOKUP(AT$5,'OC-Days'!$G:$G,'OC-Days'!$B:$B)</f>
        <v>386.34000000000003</v>
      </c>
      <c r="AU62" s="14">
        <f>U62/_xlfn.XLOOKUP(AU$5,'OC-Days'!$G:$G,'OC-Days'!$B:$B)</f>
        <v>386.34000000000003</v>
      </c>
      <c r="AV62" s="14">
        <f>V62/_xlfn.XLOOKUP(AV$5,'OC-Days'!$G:$G,'OC-Days'!$B:$B)</f>
        <v>386.34000000000003</v>
      </c>
      <c r="AW62" s="14">
        <f>W62/_xlfn.XLOOKUP(AW$5,'OC-Days'!$G:$G,'OC-Days'!$B:$B)</f>
        <v>386.34000000000003</v>
      </c>
      <c r="AX62" s="14">
        <f>X62/_xlfn.XLOOKUP(AX$5,'OC-Days'!$G:$G,'OC-Days'!$B:$B)</f>
        <v>386.34000000000003</v>
      </c>
      <c r="AY62" s="14">
        <f>Y62/_xlfn.XLOOKUP(AY$5,'OC-Days'!$G:$G,'OC-Days'!$B:$B)</f>
        <v>386.34000000000003</v>
      </c>
      <c r="AZ62" s="14">
        <f>Z62/_xlfn.XLOOKUP(AZ$5,'OC-Days'!$G:$G,'OC-Days'!$B:$B)</f>
        <v>386.34000000000003</v>
      </c>
      <c r="BA62" s="14">
        <f>AA62/_xlfn.XLOOKUP(BA$5,'OC-Days'!$G:$G,'OC-Days'!$B:$B)</f>
        <v>386.34000000000003</v>
      </c>
      <c r="BC62" s="33">
        <f>_xlfn.XLOOKUP(BC$5,'OC-Days'!$G:$G,'OC-Days'!$F:$F)</f>
        <v>45658</v>
      </c>
      <c r="BD62" s="34" t="str">
        <f>IF(AQ62=AP62,"na",_xlfn.XLOOKUP(BD$5,'OC-Days'!$G:$G,'OC-Days'!$F:$F))</f>
        <v>na</v>
      </c>
      <c r="BE62" s="34" t="str">
        <f>IF(AR62=AQ62,"na",_xlfn.XLOOKUP(BE$5,'OC-Days'!$G:$G,'OC-Days'!$F:$F))</f>
        <v>na</v>
      </c>
      <c r="BF62" s="34" t="str">
        <f>IF(AS62=AR62,"na",_xlfn.XLOOKUP(BF$5,'OC-Days'!$G:$G,'OC-Days'!$F:$F))</f>
        <v>na</v>
      </c>
      <c r="BG62" s="34" t="str">
        <f>IF(AT62=AS62,"na",_xlfn.XLOOKUP(BG$5,'OC-Days'!$G:$G,'OC-Days'!$F:$F))</f>
        <v>na</v>
      </c>
      <c r="BH62" s="34" t="str">
        <f>IF(AU62=AT62,"na",_xlfn.XLOOKUP(BH$5,'OC-Days'!$G:$G,'OC-Days'!$F:$F))</f>
        <v>na</v>
      </c>
      <c r="BI62" s="34" t="str">
        <f>IF(AV62=AU62,"na",_xlfn.XLOOKUP(BI$5,'OC-Days'!$G:$G,'OC-Days'!$F:$F))</f>
        <v>na</v>
      </c>
      <c r="BJ62" s="34" t="str">
        <f>IF(AW62=AV62,"na",_xlfn.XLOOKUP(BJ$5,'OC-Days'!$G:$G,'OC-Days'!$F:$F))</f>
        <v>na</v>
      </c>
      <c r="BK62" s="34" t="str">
        <f>IF(AX62=AW62,"na",_xlfn.XLOOKUP(BK$5,'OC-Days'!$G:$G,'OC-Days'!$F:$F))</f>
        <v>na</v>
      </c>
      <c r="BL62" s="34" t="str">
        <f>IF(AY62=AX62,"na",_xlfn.XLOOKUP(BL$5,'OC-Days'!$G:$G,'OC-Days'!$F:$F))</f>
        <v>na</v>
      </c>
      <c r="BM62" s="34" t="str">
        <f>IF(AZ62=AY62,"na",_xlfn.XLOOKUP(BM$5,'OC-Days'!$G:$G,'OC-Days'!$F:$F))</f>
        <v>na</v>
      </c>
      <c r="BN62" s="34" t="str">
        <f>IF(BA62=AZ62,"na",_xlfn.XLOOKUP(BN$5,'OC-Days'!$G:$G,'OC-Days'!$F:$F))</f>
        <v>na</v>
      </c>
      <c r="BP62" s="36" t="str">
        <f t="shared" si="52"/>
        <v>na</v>
      </c>
      <c r="BQ62" s="36" t="str">
        <f t="shared" si="53"/>
        <v>na</v>
      </c>
      <c r="BR62" s="36" t="str">
        <f t="shared" si="54"/>
        <v>na</v>
      </c>
      <c r="BS62" s="36" t="str">
        <f t="shared" si="55"/>
        <v>na</v>
      </c>
      <c r="BT62" s="36" t="str">
        <f t="shared" si="56"/>
        <v>na</v>
      </c>
      <c r="BU62" s="36" t="str">
        <f t="shared" si="57"/>
        <v>na</v>
      </c>
      <c r="BV62" s="36" t="str">
        <f t="shared" si="58"/>
        <v>na</v>
      </c>
      <c r="BW62" s="36" t="str">
        <f t="shared" si="59"/>
        <v>na</v>
      </c>
      <c r="BX62" s="36" t="str">
        <f t="shared" si="60"/>
        <v>na</v>
      </c>
      <c r="BY62" s="36" t="str">
        <f t="shared" si="61"/>
        <v>na</v>
      </c>
      <c r="BZ62" s="36" t="str">
        <f t="shared" si="62"/>
        <v>na</v>
      </c>
      <c r="CA62" s="43">
        <f t="shared" si="46"/>
        <v>46022</v>
      </c>
      <c r="CC62" s="8">
        <f>COUNT($BC62:BC62)</f>
        <v>1</v>
      </c>
      <c r="CD62" s="8">
        <f>COUNT($BC62:BD62)</f>
        <v>1</v>
      </c>
      <c r="CE62" s="8">
        <f>COUNT($BC62:BE62)</f>
        <v>1</v>
      </c>
      <c r="CF62" s="8">
        <f>COUNT($BC62:BF62)</f>
        <v>1</v>
      </c>
      <c r="CG62" s="8">
        <f>COUNT($BC62:BG62)</f>
        <v>1</v>
      </c>
      <c r="CH62" s="8">
        <f>COUNT($BC62:BH62)</f>
        <v>1</v>
      </c>
      <c r="CI62" s="8">
        <f>COUNT($BC62:BI62)</f>
        <v>1</v>
      </c>
      <c r="CJ62" s="8">
        <f>COUNT($BC62:BJ62)</f>
        <v>1</v>
      </c>
      <c r="CK62" s="8">
        <f>COUNT($BC62:BK62)</f>
        <v>1</v>
      </c>
      <c r="CL62" s="8">
        <f>COUNT($BC62:BL62)</f>
        <v>1</v>
      </c>
      <c r="CM62" s="8">
        <f>COUNT($BC62:BM62)</f>
        <v>1</v>
      </c>
      <c r="CN62" s="8">
        <f>COUNT($BC62:BN62)</f>
        <v>1</v>
      </c>
      <c r="CO62" s="8"/>
      <c r="CP62" s="8">
        <f>COUNT($BP62:BP62)</f>
        <v>0</v>
      </c>
      <c r="CQ62" s="8">
        <f>COUNT($BP62:BQ62)</f>
        <v>0</v>
      </c>
      <c r="CR62" s="8">
        <f>COUNT($BP62:BR62)</f>
        <v>0</v>
      </c>
      <c r="CS62" s="8">
        <f>COUNT($BP62:BS62)</f>
        <v>0</v>
      </c>
      <c r="CT62" s="8">
        <f>COUNT($BP62:BT62)</f>
        <v>0</v>
      </c>
      <c r="CU62" s="8">
        <f>COUNT($BP62:BU62)</f>
        <v>0</v>
      </c>
      <c r="CV62" s="8">
        <f>COUNT($BP62:BV62)</f>
        <v>0</v>
      </c>
      <c r="CW62" s="8">
        <f>COUNT($BP62:BW62)</f>
        <v>0</v>
      </c>
      <c r="CX62" s="8">
        <f>COUNT($BP62:BX62)</f>
        <v>0</v>
      </c>
      <c r="CY62" s="8">
        <f>COUNT($BP62:BY62)</f>
        <v>0</v>
      </c>
      <c r="CZ62" s="8">
        <f>COUNT($BP62:BZ62)</f>
        <v>0</v>
      </c>
      <c r="DA62" s="8">
        <f>COUNT($BP62:CA62)</f>
        <v>1</v>
      </c>
      <c r="DC62" t="str">
        <f t="shared" si="47"/>
        <v>Entity</v>
      </c>
      <c r="DD62" t="str">
        <f t="shared" si="48"/>
        <v>Rollup</v>
      </c>
      <c r="DE62" t="str">
        <f t="shared" si="49"/>
        <v>Entity-Rollup</v>
      </c>
      <c r="DG62">
        <f t="shared" si="50"/>
        <v>1</v>
      </c>
      <c r="DH62">
        <f t="shared" si="51"/>
        <v>1</v>
      </c>
    </row>
    <row r="64" spans="2:161" x14ac:dyDescent="0.25">
      <c r="B64" s="50" t="s">
        <v>197</v>
      </c>
      <c r="C64">
        <v>1147</v>
      </c>
      <c r="D64">
        <v>1073</v>
      </c>
      <c r="E64">
        <v>1147</v>
      </c>
      <c r="F64">
        <v>1110</v>
      </c>
      <c r="G64">
        <v>1147</v>
      </c>
      <c r="H64">
        <v>1110</v>
      </c>
      <c r="I64">
        <v>1147</v>
      </c>
      <c r="J64">
        <v>1147</v>
      </c>
      <c r="K64">
        <v>1110</v>
      </c>
      <c r="L64">
        <v>1147</v>
      </c>
      <c r="M64">
        <v>1110</v>
      </c>
      <c r="N64">
        <v>1147</v>
      </c>
      <c r="P64">
        <v>1112.5899999999999</v>
      </c>
      <c r="Q64">
        <v>1040.81</v>
      </c>
      <c r="R64">
        <v>1112.5899999999999</v>
      </c>
      <c r="S64">
        <v>1076.7</v>
      </c>
      <c r="T64">
        <v>1112.5899999999999</v>
      </c>
      <c r="U64">
        <v>1076.7</v>
      </c>
      <c r="V64">
        <v>1112.5899999999999</v>
      </c>
      <c r="W64">
        <v>1112.5899999999999</v>
      </c>
      <c r="X64">
        <v>1076.7</v>
      </c>
      <c r="Y64">
        <v>1112.5899999999999</v>
      </c>
      <c r="Z64">
        <v>1076.7</v>
      </c>
      <c r="AA64">
        <v>1112.5899999999999</v>
      </c>
      <c r="AC64" s="14" t="e">
        <f>C64/_xlfn.XLOOKUP(AC$5,'OC-Days'!$G$3:$G$38,'OC-Days'!$B$3:$B$38)</f>
        <v>#N/A</v>
      </c>
      <c r="AD64" s="14" t="e">
        <f>D64/_xlfn.XLOOKUP(AD$5,'OC-Days'!$G$3:$G$38,'OC-Days'!$B$3:$B$38)</f>
        <v>#N/A</v>
      </c>
      <c r="AE64" s="14" t="e">
        <f>E64/_xlfn.XLOOKUP(AE$5,'OC-Days'!$G$3:$G$38,'OC-Days'!$B$3:$B$38)</f>
        <v>#N/A</v>
      </c>
      <c r="AF64" s="14" t="e">
        <f>F64/_xlfn.XLOOKUP(AF$5,'OC-Days'!$G$3:$G$38,'OC-Days'!$B$3:$B$38)</f>
        <v>#N/A</v>
      </c>
      <c r="AG64" s="14" t="e">
        <f>G64/_xlfn.XLOOKUP(AG$5,'OC-Days'!$G$3:$G$38,'OC-Days'!$B$3:$B$38)</f>
        <v>#N/A</v>
      </c>
      <c r="AH64" s="14" t="e">
        <f>H64/_xlfn.XLOOKUP(AH$5,'OC-Days'!$G$3:$G$38,'OC-Days'!$B$3:$B$38)</f>
        <v>#N/A</v>
      </c>
      <c r="AI64" s="14" t="e">
        <f>I64/_xlfn.XLOOKUP(AI$5,'OC-Days'!$G$3:$G$38,'OC-Days'!$B$3:$B$38)</f>
        <v>#N/A</v>
      </c>
      <c r="AJ64" s="14" t="e">
        <f>J64/_xlfn.XLOOKUP(AJ$5,'OC-Days'!$G$3:$G$38,'OC-Days'!$B$3:$B$38)</f>
        <v>#N/A</v>
      </c>
      <c r="AK64" s="14" t="e">
        <f>K64/_xlfn.XLOOKUP(AK$5,'OC-Days'!$G$3:$G$38,'OC-Days'!$B$3:$B$38)</f>
        <v>#N/A</v>
      </c>
      <c r="AL64" s="14" t="e">
        <f>L64/_xlfn.XLOOKUP(AL$5,'OC-Days'!$G$3:$G$38,'OC-Days'!$B$3:$B$38)</f>
        <v>#N/A</v>
      </c>
      <c r="AM64" s="14" t="e">
        <f>M64/_xlfn.XLOOKUP(AM$5,'OC-Days'!$G$3:$G$38,'OC-Days'!$B$3:$B$38)</f>
        <v>#N/A</v>
      </c>
      <c r="AN64" s="14" t="e">
        <f>N64/_xlfn.XLOOKUP(AN$5,'OC-Days'!$G$3:$G$38,'OC-Days'!$B$3:$B$38)</f>
        <v>#N/A</v>
      </c>
      <c r="AP64" s="14" t="e">
        <f>P64/_xlfn.XLOOKUP(AP$5,'OC-Days'!$G$3:$G$38,'OC-Days'!$B$3:$B$38)</f>
        <v>#N/A</v>
      </c>
      <c r="AQ64" s="14" t="e">
        <f>Q64/_xlfn.XLOOKUP(AQ$5,'OC-Days'!$G$3:$G$38,'OC-Days'!$B$3:$B$38)</f>
        <v>#N/A</v>
      </c>
      <c r="AR64" s="14" t="e">
        <f>R64/_xlfn.XLOOKUP(AR$5,'OC-Days'!$G$3:$G$38,'OC-Days'!$B$3:$B$38)</f>
        <v>#N/A</v>
      </c>
      <c r="AS64" s="14" t="e">
        <f>S64/_xlfn.XLOOKUP(AS$5,'OC-Days'!$G$3:$G$38,'OC-Days'!$B$3:$B$38)</f>
        <v>#N/A</v>
      </c>
      <c r="AT64" s="14" t="e">
        <f>T64/_xlfn.XLOOKUP(AT$5,'OC-Days'!$G$3:$G$38,'OC-Days'!$B$3:$B$38)</f>
        <v>#N/A</v>
      </c>
      <c r="AU64" s="14" t="e">
        <f>U64/_xlfn.XLOOKUP(AU$5,'OC-Days'!$G$3:$G$38,'OC-Days'!$B$3:$B$38)</f>
        <v>#N/A</v>
      </c>
      <c r="AV64" s="14" t="e">
        <f>V64/_xlfn.XLOOKUP(AV$5,'OC-Days'!$G$3:$G$38,'OC-Days'!$B$3:$B$38)</f>
        <v>#N/A</v>
      </c>
      <c r="AW64" s="14" t="e">
        <f>W64/_xlfn.XLOOKUP(AW$5,'OC-Days'!$G$3:$G$38,'OC-Days'!$B$3:$B$38)</f>
        <v>#N/A</v>
      </c>
      <c r="AX64" s="14" t="e">
        <f>X64/_xlfn.XLOOKUP(AX$5,'OC-Days'!$G$3:$G$38,'OC-Days'!$B$3:$B$38)</f>
        <v>#N/A</v>
      </c>
      <c r="AY64" s="14" t="e">
        <f>Y64/_xlfn.XLOOKUP(AY$5,'OC-Days'!$G$3:$G$38,'OC-Days'!$B$3:$B$38)</f>
        <v>#N/A</v>
      </c>
      <c r="AZ64" s="14" t="e">
        <f>Z64/_xlfn.XLOOKUP(AZ$5,'OC-Days'!$G$3:$G$38,'OC-Days'!$B$3:$B$38)</f>
        <v>#N/A</v>
      </c>
      <c r="BA64" s="14" t="e">
        <f>AA64/_xlfn.XLOOKUP(BA$5,'OC-Days'!$G$3:$G$38,'OC-Days'!$B$3:$B$38)</f>
        <v>#N/A</v>
      </c>
      <c r="BC64" s="33" t="e">
        <f>_xlfn.XLOOKUP(BC$5,'OC-Days'!$G$3:$G$38,'OC-Days'!$F$3:$F$38)</f>
        <v>#N/A</v>
      </c>
      <c r="BD64" s="34" t="e">
        <f>IF(AQ64=AP64,"na",_xlfn.XLOOKUP(BD$5,'OC-Days'!$G$3:$G$38,'OC-Days'!$F$3:$F$38))</f>
        <v>#N/A</v>
      </c>
      <c r="BE64" s="34" t="e">
        <f>IF(AR64=AQ64,"na",_xlfn.XLOOKUP(BE$5,'OC-Days'!$G$3:$G$38,'OC-Days'!$F$3:$F$38))</f>
        <v>#N/A</v>
      </c>
      <c r="BF64" s="34" t="e">
        <f>IF(AS64=AR64,"na",_xlfn.XLOOKUP(BF$5,'OC-Days'!$G$3:$G$38,'OC-Days'!$F$3:$F$38))</f>
        <v>#N/A</v>
      </c>
      <c r="BG64" s="34" t="e">
        <f>IF(AT64=AS64,"na",_xlfn.XLOOKUP(BG$5,'OC-Days'!$G$3:$G$38,'OC-Days'!$F$3:$F$38))</f>
        <v>#N/A</v>
      </c>
      <c r="BH64" s="34" t="e">
        <f>IF(AU64=AT64,"na",_xlfn.XLOOKUP(BH$5,'OC-Days'!$G$3:$G$38,'OC-Days'!$F$3:$F$38))</f>
        <v>#N/A</v>
      </c>
      <c r="BI64" s="34" t="e">
        <f>IF(AV64=AU64,"na",_xlfn.XLOOKUP(BI$5,'OC-Days'!$G$3:$G$38,'OC-Days'!$F$3:$F$38))</f>
        <v>#N/A</v>
      </c>
      <c r="BJ64" s="34" t="e">
        <f>IF(AW64=AV64,"na",_xlfn.XLOOKUP(BJ$5,'OC-Days'!$G$3:$G$38,'OC-Days'!$F$3:$F$38))</f>
        <v>#N/A</v>
      </c>
      <c r="BK64" s="34" t="e">
        <f>IF(AX64=AW64,"na",_xlfn.XLOOKUP(BK$5,'OC-Days'!$G$3:$G$38,'OC-Days'!$F$3:$F$38))</f>
        <v>#N/A</v>
      </c>
      <c r="BL64" s="34" t="e">
        <f>IF(AY64=AX64,"na",_xlfn.XLOOKUP(BL$5,'OC-Days'!$G$3:$G$38,'OC-Days'!$F$3:$F$38))</f>
        <v>#N/A</v>
      </c>
      <c r="BM64" s="34" t="e">
        <f>IF(AZ64=AY64,"na",_xlfn.XLOOKUP(BM$5,'OC-Days'!$G$3:$G$38,'OC-Days'!$F$3:$F$38))</f>
        <v>#N/A</v>
      </c>
      <c r="BN64" s="34" t="e">
        <f>IF(BA64=AZ64,"na",_xlfn.XLOOKUP(BN$5,'OC-Days'!$G$3:$G$38,'OC-Days'!$F$3:$F$38))</f>
        <v>#N/A</v>
      </c>
      <c r="BP64" s="36" t="e">
        <f t="shared" ref="BP64:BP73" si="63">IF(BD64="na",BD64,BD64-1)</f>
        <v>#N/A</v>
      </c>
      <c r="BQ64" s="36" t="e">
        <f t="shared" ref="BQ64:BQ73" si="64">IF(BE64="na",BE64,BE64-1)</f>
        <v>#N/A</v>
      </c>
      <c r="BR64" s="36" t="e">
        <f t="shared" ref="BR64:BR73" si="65">IF(BF64="na",BF64,BF64-1)</f>
        <v>#N/A</v>
      </c>
      <c r="BS64" s="36" t="e">
        <f t="shared" ref="BS64:BS73" si="66">IF(BG64="na",BG64,BG64-1)</f>
        <v>#N/A</v>
      </c>
      <c r="BT64" s="36" t="e">
        <f t="shared" ref="BT64:BT73" si="67">IF(BH64="na",BH64,BH64-1)</f>
        <v>#N/A</v>
      </c>
      <c r="BU64" s="36" t="e">
        <f t="shared" ref="BU64:BU73" si="68">IF(BI64="na",BI64,BI64-1)</f>
        <v>#N/A</v>
      </c>
      <c r="BV64" s="36" t="e">
        <f t="shared" ref="BV64:BV73" si="69">IF(BJ64="na",BJ64,BJ64-1)</f>
        <v>#N/A</v>
      </c>
      <c r="BW64" s="36" t="e">
        <f t="shared" ref="BW64:BW73" si="70">IF(BK64="na",BK64,BK64-1)</f>
        <v>#N/A</v>
      </c>
      <c r="BX64" s="36" t="e">
        <f t="shared" ref="BX64:BX73" si="71">IF(BL64="na",BL64,BL64-1)</f>
        <v>#N/A</v>
      </c>
      <c r="BY64" s="36" t="e">
        <f t="shared" ref="BY64:BY73" si="72">IF(BM64="na",BM64,BM64-1)</f>
        <v>#N/A</v>
      </c>
      <c r="BZ64" s="36" t="e">
        <f t="shared" ref="BZ64:BZ73" si="73">IF(BN64="na",BN64,BN64-1)</f>
        <v>#N/A</v>
      </c>
      <c r="CA64" s="43">
        <f t="shared" si="46"/>
        <v>46022</v>
      </c>
      <c r="CC64" s="8">
        <f>COUNT($BC64:BC64)</f>
        <v>0</v>
      </c>
      <c r="CD64" s="8">
        <f>COUNT($BC64:BD64)</f>
        <v>0</v>
      </c>
      <c r="CE64" s="8">
        <f>COUNT($BC64:BE64)</f>
        <v>0</v>
      </c>
      <c r="CF64" s="8">
        <f>COUNT($BC64:BF64)</f>
        <v>0</v>
      </c>
      <c r="CG64" s="8">
        <f>COUNT($BC64:BG64)</f>
        <v>0</v>
      </c>
      <c r="CH64" s="8">
        <f>COUNT($BC64:BH64)</f>
        <v>0</v>
      </c>
      <c r="CI64" s="8">
        <f>COUNT($BC64:BI64)</f>
        <v>0</v>
      </c>
      <c r="CJ64" s="8">
        <f>COUNT($BC64:BJ64)</f>
        <v>0</v>
      </c>
      <c r="CK64" s="8">
        <f>COUNT($BC64:BK64)</f>
        <v>0</v>
      </c>
      <c r="CL64" s="8">
        <f>COUNT($BC64:BL64)</f>
        <v>0</v>
      </c>
      <c r="CM64" s="8">
        <f>COUNT($BC64:BM64)</f>
        <v>0</v>
      </c>
      <c r="CN64" s="8">
        <f>COUNT($BC64:BN64)</f>
        <v>0</v>
      </c>
      <c r="CO64" s="8"/>
      <c r="CP64" s="8">
        <f>COUNT($BP64:BP64)</f>
        <v>0</v>
      </c>
      <c r="CQ64" s="8">
        <f>COUNT($BP64:BQ64)</f>
        <v>0</v>
      </c>
      <c r="CR64" s="8">
        <f>COUNT($BP64:BR64)</f>
        <v>0</v>
      </c>
      <c r="CS64" s="8">
        <f>COUNT($BP64:BS64)</f>
        <v>0</v>
      </c>
      <c r="CT64" s="8">
        <f>COUNT($BP64:BT64)</f>
        <v>0</v>
      </c>
      <c r="CU64" s="8">
        <f>COUNT($BP64:BU64)</f>
        <v>0</v>
      </c>
      <c r="CV64" s="8">
        <f>COUNT($BP64:BV64)</f>
        <v>0</v>
      </c>
      <c r="CW64" s="8">
        <f>COUNT($BP64:BW64)</f>
        <v>0</v>
      </c>
      <c r="CX64" s="8">
        <f>COUNT($BP64:BX64)</f>
        <v>0</v>
      </c>
      <c r="CY64" s="8">
        <f>COUNT($BP64:BY64)</f>
        <v>0</v>
      </c>
      <c r="CZ64" s="8">
        <f>COUNT($BP64:BZ64)</f>
        <v>0</v>
      </c>
      <c r="DA64" s="8">
        <f>COUNT($BP64:CA64)</f>
        <v>1</v>
      </c>
      <c r="DC64">
        <f t="shared" ref="DC64:DC73" si="74">IF(ISNUMBER(VALUE(LEFT(B64,3))),VALUE(LEFT(B64,3)),"Entity")</f>
        <v>620</v>
      </c>
      <c r="DD64">
        <f t="shared" ref="DD64:DD73" si="75">IF(ISNUMBER(VALUE(MID(B64,5,2))),VALUE(MID(B64,5,2)),"Rollup")</f>
        <v>21</v>
      </c>
      <c r="DE64" t="str">
        <f t="shared" ref="DE64:DE73" si="76">DC64&amp;"-"&amp;DD64</f>
        <v>620-21</v>
      </c>
      <c r="DG64">
        <f t="shared" ref="DG64:DG73" si="77">COUNT(BC64:BN64)</f>
        <v>0</v>
      </c>
      <c r="DH64">
        <f t="shared" ref="DH64:DH73" si="78">COUNT(BP64:CA64)</f>
        <v>1</v>
      </c>
      <c r="DJ64" s="44" t="str" cm="1">
        <f t="array" ref="DJ64">IF(DJ$5&lt;=$DG64,INDEX($BC64:$BN64,1,_xlfn.XMATCH(DJ$5,$CC64:$CN64)),"na")</f>
        <v>na</v>
      </c>
      <c r="DK64" s="45" cm="1">
        <f t="array" ref="DK64">IF(DK$5&lt;=$DH64,INDEX($BP64:$CA64,1,_xlfn.XMATCH(DK$5,$CP64:$DA64)),"na")</f>
        <v>46022</v>
      </c>
      <c r="DL64" s="46" t="str" cm="1">
        <f t="array" ref="DL64">IF(DL$5&lt;=$DG64,INDEX($AC64:$AN64,1,_xlfn.XMATCH(DL$5,$CC64:$CN64)),"na")</f>
        <v>na</v>
      </c>
      <c r="DM64" s="47" t="str" cm="1">
        <f t="array" ref="DM64">IF(DM$5&lt;=$DG64,INDEX($AP64:$BA64,1,_xlfn.XMATCH(DM$5,$CC64:$CN64)),"na")</f>
        <v>na</v>
      </c>
      <c r="DN64" s="44" t="str" cm="1">
        <f t="array" ref="DN64">IF(DN$5&lt;=$DG64,INDEX($BC64:$BN64,1,_xlfn.XMATCH(DN$5,$CC64:$CN64)),"na")</f>
        <v>na</v>
      </c>
      <c r="DO64" s="45" t="str" cm="1">
        <f t="array" ref="DO64">IF(DO$5&lt;=$DH64,INDEX($BP64:$CA64,1,_xlfn.XMATCH(DO$5,$CP64:$DA64)),"na")</f>
        <v>na</v>
      </c>
      <c r="DP64" s="46" t="str" cm="1">
        <f t="array" ref="DP64">IF(DP$5&lt;=$DG64,INDEX($AC64:$AN64,1,_xlfn.XMATCH(DP$5,$CC64:$CN64)),"na")</f>
        <v>na</v>
      </c>
      <c r="DQ64" s="47" t="str" cm="1">
        <f t="array" ref="DQ64">IF(DQ$5&lt;=$DG64,INDEX($AP64:$BA64,1,_xlfn.XMATCH(DQ$5,$CC64:$CN64)),"na")</f>
        <v>na</v>
      </c>
      <c r="DR64" s="44" t="str" cm="1">
        <f t="array" ref="DR64">IF(DR$5&lt;=$DG64,INDEX($BC64:$BN64,1,_xlfn.XMATCH(DR$5,$CC64:$CN64)),"na")</f>
        <v>na</v>
      </c>
      <c r="DS64" s="45" t="str" cm="1">
        <f t="array" ref="DS64">IF(DS$5&lt;=$DH64,INDEX($BP64:$CA64,1,_xlfn.XMATCH(DS$5,$CP64:$DA64)),"na")</f>
        <v>na</v>
      </c>
      <c r="DT64" s="46" t="str" cm="1">
        <f t="array" ref="DT64">IF(DT$5&lt;=$DG64,INDEX($AC64:$AN64,1,_xlfn.XMATCH(DT$5,$CC64:$CN64)),"na")</f>
        <v>na</v>
      </c>
      <c r="DU64" s="47" t="str" cm="1">
        <f t="array" ref="DU64">IF(DU$5&lt;=$DG64,INDEX($AP64:$BA64,1,_xlfn.XMATCH(DU$5,$CC64:$CN64)),"na")</f>
        <v>na</v>
      </c>
      <c r="DV64" s="44" t="str" cm="1">
        <f t="array" ref="DV64">IF(DV$5&lt;=$DG64,INDEX($BC64:$BN64,1,_xlfn.XMATCH(DV$5,$CC64:$CN64)),"na")</f>
        <v>na</v>
      </c>
      <c r="DW64" s="45" t="str" cm="1">
        <f t="array" ref="DW64">IF(DW$5&lt;=$DH64,INDEX($BP64:$CA64,1,_xlfn.XMATCH(DW$5,$CP64:$DA64)),"na")</f>
        <v>na</v>
      </c>
      <c r="DX64" s="46" t="str" cm="1">
        <f t="array" ref="DX64">IF(DX$5&lt;=$DG64,INDEX($AC64:$AN64,1,_xlfn.XMATCH(DX$5,$CC64:$CN64)),"na")</f>
        <v>na</v>
      </c>
      <c r="DY64" s="47" t="str" cm="1">
        <f t="array" ref="DY64">IF(DY$5&lt;=$DG64,INDEX($AP64:$BA64,1,_xlfn.XMATCH(DY$5,$CC64:$CN64)),"na")</f>
        <v>na</v>
      </c>
      <c r="DZ64" s="44" t="str" cm="1">
        <f t="array" ref="DZ64">IF(DZ$5&lt;=$DG64,INDEX($BC64:$BN64,1,_xlfn.XMATCH(DZ$5,$CC64:$CN64)),"na")</f>
        <v>na</v>
      </c>
      <c r="EA64" s="45" t="str" cm="1">
        <f t="array" ref="EA64">IF(EA$5&lt;=$DH64,INDEX($BP64:$CA64,1,_xlfn.XMATCH(EA$5,$CP64:$DA64)),"na")</f>
        <v>na</v>
      </c>
      <c r="EB64" s="46" t="str" cm="1">
        <f t="array" ref="EB64">IF(EB$5&lt;=$DG64,INDEX($AC64:$AN64,1,_xlfn.XMATCH(EB$5,$CC64:$CN64)),"na")</f>
        <v>na</v>
      </c>
      <c r="EC64" s="47" t="str" cm="1">
        <f t="array" ref="EC64">IF(EC$5&lt;=$DG64,INDEX($AP64:$BA64,1,_xlfn.XMATCH(EC$5,$CC64:$CN64)),"na")</f>
        <v>na</v>
      </c>
      <c r="ED64" s="44" t="str" cm="1">
        <f t="array" ref="ED64">IF(ED$5&lt;=$DG64,INDEX($BC64:$BN64,1,_xlfn.XMATCH(ED$5,$CC64:$CN64)),"na")</f>
        <v>na</v>
      </c>
      <c r="EE64" s="45" t="str" cm="1">
        <f t="array" ref="EE64">IF(EE$5&lt;=$DH64,INDEX($BP64:$CA64,1,_xlfn.XMATCH(EE$5,$CP64:$DA64)),"na")</f>
        <v>na</v>
      </c>
      <c r="EF64" s="46" t="str" cm="1">
        <f t="array" ref="EF64">IF(EF$5&lt;=$DG64,INDEX($AC64:$AN64,1,_xlfn.XMATCH(EF$5,$CC64:$CN64)),"na")</f>
        <v>na</v>
      </c>
      <c r="EG64" s="47" t="str" cm="1">
        <f t="array" ref="EG64">IF(EG$5&lt;=$DG64,INDEX($AP64:$BA64,1,_xlfn.XMATCH(EG$5,$CC64:$CN64)),"na")</f>
        <v>na</v>
      </c>
      <c r="EH64" s="44" t="str" cm="1">
        <f t="array" ref="EH64">IF(EH$5&lt;=$DG64,INDEX($BC64:$BN64,1,_xlfn.XMATCH(EH$5,$CC64:$CN64)),"na")</f>
        <v>na</v>
      </c>
      <c r="EI64" s="45" t="str" cm="1">
        <f t="array" ref="EI64">IF(EI$5&lt;=$DH64,INDEX($BP64:$CA64,1,_xlfn.XMATCH(EI$5,$CP64:$DA64)),"na")</f>
        <v>na</v>
      </c>
      <c r="EJ64" s="46" t="str" cm="1">
        <f t="array" ref="EJ64">IF(EJ$5&lt;=$DG64,INDEX($AC64:$AN64,1,_xlfn.XMATCH(EJ$5,$CC64:$CN64)),"na")</f>
        <v>na</v>
      </c>
      <c r="EK64" s="47" t="str" cm="1">
        <f t="array" ref="EK64">IF(EK$5&lt;=$DG64,INDEX($AP64:$BA64,1,_xlfn.XMATCH(EK$5,$CC64:$CN64)),"na")</f>
        <v>na</v>
      </c>
      <c r="EL64" s="44" t="str" cm="1">
        <f t="array" ref="EL64">IF(EL$5&lt;=$DG64,INDEX($BC64:$BN64,1,_xlfn.XMATCH(EL$5,$CC64:$CN64)),"na")</f>
        <v>na</v>
      </c>
      <c r="EM64" s="45" t="str" cm="1">
        <f t="array" ref="EM64">IF(EM$5&lt;=$DH64,INDEX($BP64:$CA64,1,_xlfn.XMATCH(EM$5,$CP64:$DA64)),"na")</f>
        <v>na</v>
      </c>
      <c r="EN64" s="46" t="str" cm="1">
        <f t="array" ref="EN64">IF(EN$5&lt;=$DG64,INDEX($AC64:$AN64,1,_xlfn.XMATCH(EN$5,$CC64:$CN64)),"na")</f>
        <v>na</v>
      </c>
      <c r="EO64" s="47" t="str" cm="1">
        <f t="array" ref="EO64">IF(EO$5&lt;=$DG64,INDEX($AP64:$BA64,1,_xlfn.XMATCH(EO$5,$CC64:$CN64)),"na")</f>
        <v>na</v>
      </c>
      <c r="EP64" s="44" t="str" cm="1">
        <f t="array" ref="EP64">IF(EP$5&lt;=$DG64,INDEX($BC64:$BN64,1,_xlfn.XMATCH(EP$5,$CC64:$CN64)),"na")</f>
        <v>na</v>
      </c>
      <c r="EQ64" s="45" t="str" cm="1">
        <f t="array" ref="EQ64">IF(EQ$5&lt;=$DH64,INDEX($BP64:$CA64,1,_xlfn.XMATCH(EQ$5,$CP64:$DA64)),"na")</f>
        <v>na</v>
      </c>
      <c r="ER64" s="46" t="str" cm="1">
        <f t="array" ref="ER64">IF(ER$5&lt;=$DG64,INDEX($AC64:$AN64,1,_xlfn.XMATCH(ER$5,$CC64:$CN64)),"na")</f>
        <v>na</v>
      </c>
      <c r="ES64" s="47" t="str" cm="1">
        <f t="array" ref="ES64">IF(ES$5&lt;=$DG64,INDEX($AP64:$BA64,1,_xlfn.XMATCH(ES$5,$CC64:$CN64)),"na")</f>
        <v>na</v>
      </c>
      <c r="ET64" s="44" t="str" cm="1">
        <f t="array" ref="ET64">IF(ET$5&lt;=$DG64,INDEX($BC64:$BN64,1,_xlfn.XMATCH(ET$5,$CC64:$CN64)),"na")</f>
        <v>na</v>
      </c>
      <c r="EU64" s="45" t="str" cm="1">
        <f t="array" ref="EU64">IF(EU$5&lt;=$DH64,INDEX($BP64:$CA64,1,_xlfn.XMATCH(EU$5,$CP64:$DA64)),"na")</f>
        <v>na</v>
      </c>
      <c r="EV64" s="46" t="str" cm="1">
        <f t="array" ref="EV64">IF(EV$5&lt;=$DG64,INDEX($AC64:$AN64,1,_xlfn.XMATCH(EV$5,$CC64:$CN64)),"na")</f>
        <v>na</v>
      </c>
      <c r="EW64" s="47" t="str" cm="1">
        <f t="array" ref="EW64">IF(EW$5&lt;=$DG64,INDEX($AP64:$BA64,1,_xlfn.XMATCH(EW$5,$CC64:$CN64)),"na")</f>
        <v>na</v>
      </c>
      <c r="EX64" s="44" t="str" cm="1">
        <f t="array" ref="EX64">IF(EX$5&lt;=$DG64,INDEX($BC64:$BN64,1,_xlfn.XMATCH(EX$5,$CC64:$CN64)),"na")</f>
        <v>na</v>
      </c>
      <c r="EY64" s="45" t="str" cm="1">
        <f t="array" ref="EY64">IF(EY$5&lt;=$DH64,INDEX($BP64:$CA64,1,_xlfn.XMATCH(EY$5,$CP64:$DA64)),"na")</f>
        <v>na</v>
      </c>
      <c r="EZ64" s="46" t="str" cm="1">
        <f t="array" ref="EZ64">IF(EZ$5&lt;=$DG64,INDEX($AC64:$AN64,1,_xlfn.XMATCH(EZ$5,$CC64:$CN64)),"na")</f>
        <v>na</v>
      </c>
      <c r="FA64" s="47" t="str" cm="1">
        <f t="array" ref="FA64">IF(FA$5&lt;=$DG64,INDEX($AP64:$BA64,1,_xlfn.XMATCH(FA$5,$CC64:$CN64)),"na")</f>
        <v>na</v>
      </c>
      <c r="FB64" s="44" t="str" cm="1">
        <f t="array" ref="FB64">IF(FB$5&lt;=$DG64,INDEX($BC64:$BN64,1,_xlfn.XMATCH(FB$5,$CC64:$CN64)),"na")</f>
        <v>na</v>
      </c>
      <c r="FC64" s="45" t="str" cm="1">
        <f t="array" ref="FC64">IF(FC$5&lt;=$DH64,INDEX($BP64:$CA64,1,_xlfn.XMATCH(FC$5,$CP64:$DA64)),"na")</f>
        <v>na</v>
      </c>
      <c r="FD64" s="46" t="str" cm="1">
        <f t="array" ref="FD64">IF(FD$5&lt;=$DG64,INDEX($AC64:$AN64,1,_xlfn.XMATCH(FD$5,$CC64:$CN64)),"na")</f>
        <v>na</v>
      </c>
      <c r="FE64" s="47" t="str" cm="1">
        <f t="array" ref="FE64">IF(FE$5&lt;=$DG64,INDEX($AP64:$BA64,1,_xlfn.XMATCH(FE$5,$CC64:$CN64)),"na")</f>
        <v>na</v>
      </c>
    </row>
    <row r="65" spans="2:161" x14ac:dyDescent="0.25">
      <c r="B65" s="50" t="s">
        <v>198</v>
      </c>
      <c r="C65">
        <v>1116</v>
      </c>
      <c r="D65">
        <v>1044</v>
      </c>
      <c r="E65">
        <v>1116</v>
      </c>
      <c r="F65">
        <v>1080</v>
      </c>
      <c r="G65">
        <v>1116</v>
      </c>
      <c r="H65">
        <v>1080</v>
      </c>
      <c r="I65">
        <v>1116</v>
      </c>
      <c r="J65">
        <v>1116</v>
      </c>
      <c r="K65">
        <v>1080</v>
      </c>
      <c r="L65">
        <v>1116</v>
      </c>
      <c r="M65">
        <v>1080</v>
      </c>
      <c r="N65">
        <v>1116</v>
      </c>
      <c r="P65">
        <v>1082.52</v>
      </c>
      <c r="Q65">
        <v>1012.68</v>
      </c>
      <c r="R65">
        <v>1082.52</v>
      </c>
      <c r="S65">
        <v>1047.5999999999999</v>
      </c>
      <c r="T65">
        <v>1082.52</v>
      </c>
      <c r="U65">
        <v>1047.5999999999999</v>
      </c>
      <c r="V65">
        <v>1082.52</v>
      </c>
      <c r="W65">
        <v>1082.52</v>
      </c>
      <c r="X65">
        <v>1047.5999999999999</v>
      </c>
      <c r="Y65">
        <v>1082.52</v>
      </c>
      <c r="Z65">
        <v>1047.5999999999999</v>
      </c>
      <c r="AA65">
        <v>1082.52</v>
      </c>
      <c r="AC65" s="14" t="e">
        <f>C65/_xlfn.XLOOKUP(AC$5,'OC-Days'!$G$3:$G$38,'OC-Days'!$B$3:$B$38)</f>
        <v>#N/A</v>
      </c>
      <c r="AD65" s="14" t="e">
        <f>D65/_xlfn.XLOOKUP(AD$5,'OC-Days'!$G$3:$G$38,'OC-Days'!$B$3:$B$38)</f>
        <v>#N/A</v>
      </c>
      <c r="AE65" s="14" t="e">
        <f>E65/_xlfn.XLOOKUP(AE$5,'OC-Days'!$G$3:$G$38,'OC-Days'!$B$3:$B$38)</f>
        <v>#N/A</v>
      </c>
      <c r="AF65" s="14" t="e">
        <f>F65/_xlfn.XLOOKUP(AF$5,'OC-Days'!$G$3:$G$38,'OC-Days'!$B$3:$B$38)</f>
        <v>#N/A</v>
      </c>
      <c r="AG65" s="14" t="e">
        <f>G65/_xlfn.XLOOKUP(AG$5,'OC-Days'!$G$3:$G$38,'OC-Days'!$B$3:$B$38)</f>
        <v>#N/A</v>
      </c>
      <c r="AH65" s="14" t="e">
        <f>H65/_xlfn.XLOOKUP(AH$5,'OC-Days'!$G$3:$G$38,'OC-Days'!$B$3:$B$38)</f>
        <v>#N/A</v>
      </c>
      <c r="AI65" s="14" t="e">
        <f>I65/_xlfn.XLOOKUP(AI$5,'OC-Days'!$G$3:$G$38,'OC-Days'!$B$3:$B$38)</f>
        <v>#N/A</v>
      </c>
      <c r="AJ65" s="14" t="e">
        <f>J65/_xlfn.XLOOKUP(AJ$5,'OC-Days'!$G$3:$G$38,'OC-Days'!$B$3:$B$38)</f>
        <v>#N/A</v>
      </c>
      <c r="AK65" s="14" t="e">
        <f>K65/_xlfn.XLOOKUP(AK$5,'OC-Days'!$G$3:$G$38,'OC-Days'!$B$3:$B$38)</f>
        <v>#N/A</v>
      </c>
      <c r="AL65" s="14" t="e">
        <f>L65/_xlfn.XLOOKUP(AL$5,'OC-Days'!$G$3:$G$38,'OC-Days'!$B$3:$B$38)</f>
        <v>#N/A</v>
      </c>
      <c r="AM65" s="14" t="e">
        <f>M65/_xlfn.XLOOKUP(AM$5,'OC-Days'!$G$3:$G$38,'OC-Days'!$B$3:$B$38)</f>
        <v>#N/A</v>
      </c>
      <c r="AN65" s="14" t="e">
        <f>N65/_xlfn.XLOOKUP(AN$5,'OC-Days'!$G$3:$G$38,'OC-Days'!$B$3:$B$38)</f>
        <v>#N/A</v>
      </c>
      <c r="AP65" s="14" t="e">
        <f>P65/_xlfn.XLOOKUP(AP$5,'OC-Days'!$G$3:$G$38,'OC-Days'!$B$3:$B$38)</f>
        <v>#N/A</v>
      </c>
      <c r="AQ65" s="14" t="e">
        <f>Q65/_xlfn.XLOOKUP(AQ$5,'OC-Days'!$G$3:$G$38,'OC-Days'!$B$3:$B$38)</f>
        <v>#N/A</v>
      </c>
      <c r="AR65" s="14" t="e">
        <f>R65/_xlfn.XLOOKUP(AR$5,'OC-Days'!$G$3:$G$38,'OC-Days'!$B$3:$B$38)</f>
        <v>#N/A</v>
      </c>
      <c r="AS65" s="14" t="e">
        <f>S65/_xlfn.XLOOKUP(AS$5,'OC-Days'!$G$3:$G$38,'OC-Days'!$B$3:$B$38)</f>
        <v>#N/A</v>
      </c>
      <c r="AT65" s="14" t="e">
        <f>T65/_xlfn.XLOOKUP(AT$5,'OC-Days'!$G$3:$G$38,'OC-Days'!$B$3:$B$38)</f>
        <v>#N/A</v>
      </c>
      <c r="AU65" s="14" t="e">
        <f>U65/_xlfn.XLOOKUP(AU$5,'OC-Days'!$G$3:$G$38,'OC-Days'!$B$3:$B$38)</f>
        <v>#N/A</v>
      </c>
      <c r="AV65" s="14" t="e">
        <f>V65/_xlfn.XLOOKUP(AV$5,'OC-Days'!$G$3:$G$38,'OC-Days'!$B$3:$B$38)</f>
        <v>#N/A</v>
      </c>
      <c r="AW65" s="14" t="e">
        <f>W65/_xlfn.XLOOKUP(AW$5,'OC-Days'!$G$3:$G$38,'OC-Days'!$B$3:$B$38)</f>
        <v>#N/A</v>
      </c>
      <c r="AX65" s="14" t="e">
        <f>X65/_xlfn.XLOOKUP(AX$5,'OC-Days'!$G$3:$G$38,'OC-Days'!$B$3:$B$38)</f>
        <v>#N/A</v>
      </c>
      <c r="AY65" s="14" t="e">
        <f>Y65/_xlfn.XLOOKUP(AY$5,'OC-Days'!$G$3:$G$38,'OC-Days'!$B$3:$B$38)</f>
        <v>#N/A</v>
      </c>
      <c r="AZ65" s="14" t="e">
        <f>Z65/_xlfn.XLOOKUP(AZ$5,'OC-Days'!$G$3:$G$38,'OC-Days'!$B$3:$B$38)</f>
        <v>#N/A</v>
      </c>
      <c r="BA65" s="14" t="e">
        <f>AA65/_xlfn.XLOOKUP(BA$5,'OC-Days'!$G$3:$G$38,'OC-Days'!$B$3:$B$38)</f>
        <v>#N/A</v>
      </c>
      <c r="BC65" s="33" t="e">
        <f>_xlfn.XLOOKUP(BC$5,'OC-Days'!$G$3:$G$38,'OC-Days'!$F$3:$F$38)</f>
        <v>#N/A</v>
      </c>
      <c r="BD65" s="34" t="e">
        <f>IF(AQ65=AP65,"na",_xlfn.XLOOKUP(BD$5,'OC-Days'!$G$3:$G$38,'OC-Days'!$F$3:$F$38))</f>
        <v>#N/A</v>
      </c>
      <c r="BE65" s="34" t="e">
        <f>IF(AR65=AQ65,"na",_xlfn.XLOOKUP(BE$5,'OC-Days'!$G$3:$G$38,'OC-Days'!$F$3:$F$38))</f>
        <v>#N/A</v>
      </c>
      <c r="BF65" s="34" t="e">
        <f>IF(AS65=AR65,"na",_xlfn.XLOOKUP(BF$5,'OC-Days'!$G$3:$G$38,'OC-Days'!$F$3:$F$38))</f>
        <v>#N/A</v>
      </c>
      <c r="BG65" s="34" t="e">
        <f>IF(AT65=AS65,"na",_xlfn.XLOOKUP(BG$5,'OC-Days'!$G$3:$G$38,'OC-Days'!$F$3:$F$38))</f>
        <v>#N/A</v>
      </c>
      <c r="BH65" s="34" t="e">
        <f>IF(AU65=AT65,"na",_xlfn.XLOOKUP(BH$5,'OC-Days'!$G$3:$G$38,'OC-Days'!$F$3:$F$38))</f>
        <v>#N/A</v>
      </c>
      <c r="BI65" s="34" t="e">
        <f>IF(AV65=AU65,"na",_xlfn.XLOOKUP(BI$5,'OC-Days'!$G$3:$G$38,'OC-Days'!$F$3:$F$38))</f>
        <v>#N/A</v>
      </c>
      <c r="BJ65" s="34" t="e">
        <f>IF(AW65=AV65,"na",_xlfn.XLOOKUP(BJ$5,'OC-Days'!$G$3:$G$38,'OC-Days'!$F$3:$F$38))</f>
        <v>#N/A</v>
      </c>
      <c r="BK65" s="34" t="e">
        <f>IF(AX65=AW65,"na",_xlfn.XLOOKUP(BK$5,'OC-Days'!$G$3:$G$38,'OC-Days'!$F$3:$F$38))</f>
        <v>#N/A</v>
      </c>
      <c r="BL65" s="34" t="e">
        <f>IF(AY65=AX65,"na",_xlfn.XLOOKUP(BL$5,'OC-Days'!$G$3:$G$38,'OC-Days'!$F$3:$F$38))</f>
        <v>#N/A</v>
      </c>
      <c r="BM65" s="34" t="e">
        <f>IF(AZ65=AY65,"na",_xlfn.XLOOKUP(BM$5,'OC-Days'!$G$3:$G$38,'OC-Days'!$F$3:$F$38))</f>
        <v>#N/A</v>
      </c>
      <c r="BN65" s="34" t="e">
        <f>IF(BA65=AZ65,"na",_xlfn.XLOOKUP(BN$5,'OC-Days'!$G$3:$G$38,'OC-Days'!$F$3:$F$38))</f>
        <v>#N/A</v>
      </c>
      <c r="BP65" s="36" t="e">
        <f t="shared" si="63"/>
        <v>#N/A</v>
      </c>
      <c r="BQ65" s="36" t="e">
        <f t="shared" si="64"/>
        <v>#N/A</v>
      </c>
      <c r="BR65" s="36" t="e">
        <f t="shared" si="65"/>
        <v>#N/A</v>
      </c>
      <c r="BS65" s="36" t="e">
        <f t="shared" si="66"/>
        <v>#N/A</v>
      </c>
      <c r="BT65" s="36" t="e">
        <f t="shared" si="67"/>
        <v>#N/A</v>
      </c>
      <c r="BU65" s="36" t="e">
        <f t="shared" si="68"/>
        <v>#N/A</v>
      </c>
      <c r="BV65" s="36" t="e">
        <f t="shared" si="69"/>
        <v>#N/A</v>
      </c>
      <c r="BW65" s="36" t="e">
        <f t="shared" si="70"/>
        <v>#N/A</v>
      </c>
      <c r="BX65" s="36" t="e">
        <f t="shared" si="71"/>
        <v>#N/A</v>
      </c>
      <c r="BY65" s="36" t="e">
        <f t="shared" si="72"/>
        <v>#N/A</v>
      </c>
      <c r="BZ65" s="36" t="e">
        <f t="shared" si="73"/>
        <v>#N/A</v>
      </c>
      <c r="CA65" s="43">
        <f t="shared" si="46"/>
        <v>46022</v>
      </c>
      <c r="CC65" s="8">
        <f>COUNT($BC65:BC65)</f>
        <v>0</v>
      </c>
      <c r="CD65" s="8">
        <f>COUNT($BC65:BD65)</f>
        <v>0</v>
      </c>
      <c r="CE65" s="8">
        <f>COUNT($BC65:BE65)</f>
        <v>0</v>
      </c>
      <c r="CF65" s="8">
        <f>COUNT($BC65:BF65)</f>
        <v>0</v>
      </c>
      <c r="CG65" s="8">
        <f>COUNT($BC65:BG65)</f>
        <v>0</v>
      </c>
      <c r="CH65" s="8">
        <f>COUNT($BC65:BH65)</f>
        <v>0</v>
      </c>
      <c r="CI65" s="8">
        <f>COUNT($BC65:BI65)</f>
        <v>0</v>
      </c>
      <c r="CJ65" s="8">
        <f>COUNT($BC65:BJ65)</f>
        <v>0</v>
      </c>
      <c r="CK65" s="8">
        <f>COUNT($BC65:BK65)</f>
        <v>0</v>
      </c>
      <c r="CL65" s="8">
        <f>COUNT($BC65:BL65)</f>
        <v>0</v>
      </c>
      <c r="CM65" s="8">
        <f>COUNT($BC65:BM65)</f>
        <v>0</v>
      </c>
      <c r="CN65" s="8">
        <f>COUNT($BC65:BN65)</f>
        <v>0</v>
      </c>
      <c r="CO65" s="8"/>
      <c r="CP65" s="8">
        <f>COUNT($BP65:BP65)</f>
        <v>0</v>
      </c>
      <c r="CQ65" s="8">
        <f>COUNT($BP65:BQ65)</f>
        <v>0</v>
      </c>
      <c r="CR65" s="8">
        <f>COUNT($BP65:BR65)</f>
        <v>0</v>
      </c>
      <c r="CS65" s="8">
        <f>COUNT($BP65:BS65)</f>
        <v>0</v>
      </c>
      <c r="CT65" s="8">
        <f>COUNT($BP65:BT65)</f>
        <v>0</v>
      </c>
      <c r="CU65" s="8">
        <f>COUNT($BP65:BU65)</f>
        <v>0</v>
      </c>
      <c r="CV65" s="8">
        <f>COUNT($BP65:BV65)</f>
        <v>0</v>
      </c>
      <c r="CW65" s="8">
        <f>COUNT($BP65:BW65)</f>
        <v>0</v>
      </c>
      <c r="CX65" s="8">
        <f>COUNT($BP65:BX65)</f>
        <v>0</v>
      </c>
      <c r="CY65" s="8">
        <f>COUNT($BP65:BY65)</f>
        <v>0</v>
      </c>
      <c r="CZ65" s="8">
        <f>COUNT($BP65:BZ65)</f>
        <v>0</v>
      </c>
      <c r="DA65" s="8">
        <f>COUNT($BP65:CA65)</f>
        <v>1</v>
      </c>
      <c r="DC65">
        <f t="shared" si="74"/>
        <v>620</v>
      </c>
      <c r="DD65">
        <f t="shared" si="75"/>
        <v>31</v>
      </c>
      <c r="DE65" t="str">
        <f t="shared" si="76"/>
        <v>620-31</v>
      </c>
      <c r="DG65">
        <f t="shared" si="77"/>
        <v>0</v>
      </c>
      <c r="DH65">
        <f t="shared" si="78"/>
        <v>1</v>
      </c>
      <c r="DJ65" s="44" t="str" cm="1">
        <f t="array" ref="DJ65">IF(DJ$5&lt;=$DG65,INDEX($BC65:$BN65,1,_xlfn.XMATCH(DJ$5,$CC65:$CN65)),"na")</f>
        <v>na</v>
      </c>
      <c r="DK65" s="45" cm="1">
        <f t="array" ref="DK65">IF(DK$5&lt;=$DH65,INDEX($BP65:$CA65,1,_xlfn.XMATCH(DK$5,$CP65:$DA65)),"na")</f>
        <v>46022</v>
      </c>
      <c r="DL65" s="46" t="str" cm="1">
        <f t="array" ref="DL65">IF(DL$5&lt;=$DG65,INDEX($AC65:$AN65,1,_xlfn.XMATCH(DL$5,$CC65:$CN65)),"na")</f>
        <v>na</v>
      </c>
      <c r="DM65" s="47" t="str" cm="1">
        <f t="array" ref="DM65">IF(DM$5&lt;=$DG65,INDEX($AP65:$BA65,1,_xlfn.XMATCH(DM$5,$CC65:$CN65)),"na")</f>
        <v>na</v>
      </c>
      <c r="DN65" s="44" t="str" cm="1">
        <f t="array" ref="DN65">IF(DN$5&lt;=$DG65,INDEX($BC65:$BN65,1,_xlfn.XMATCH(DN$5,$CC65:$CN65)),"na")</f>
        <v>na</v>
      </c>
      <c r="DO65" s="45" t="str" cm="1">
        <f t="array" ref="DO65">IF(DO$5&lt;=$DH65,INDEX($BP65:$CA65,1,_xlfn.XMATCH(DO$5,$CP65:$DA65)),"na")</f>
        <v>na</v>
      </c>
      <c r="DP65" s="46" t="str" cm="1">
        <f t="array" ref="DP65">IF(DP$5&lt;=$DG65,INDEX($AC65:$AN65,1,_xlfn.XMATCH(DP$5,$CC65:$CN65)),"na")</f>
        <v>na</v>
      </c>
      <c r="DQ65" s="47" t="str" cm="1">
        <f t="array" ref="DQ65">IF(DQ$5&lt;=$DG65,INDEX($AP65:$BA65,1,_xlfn.XMATCH(DQ$5,$CC65:$CN65)),"na")</f>
        <v>na</v>
      </c>
      <c r="DR65" s="44" t="str" cm="1">
        <f t="array" ref="DR65">IF(DR$5&lt;=$DG65,INDEX($BC65:$BN65,1,_xlfn.XMATCH(DR$5,$CC65:$CN65)),"na")</f>
        <v>na</v>
      </c>
      <c r="DS65" s="45" t="str" cm="1">
        <f t="array" ref="DS65">IF(DS$5&lt;=$DH65,INDEX($BP65:$CA65,1,_xlfn.XMATCH(DS$5,$CP65:$DA65)),"na")</f>
        <v>na</v>
      </c>
      <c r="DT65" s="46" t="str" cm="1">
        <f t="array" ref="DT65">IF(DT$5&lt;=$DG65,INDEX($AC65:$AN65,1,_xlfn.XMATCH(DT$5,$CC65:$CN65)),"na")</f>
        <v>na</v>
      </c>
      <c r="DU65" s="47" t="str" cm="1">
        <f t="array" ref="DU65">IF(DU$5&lt;=$DG65,INDEX($AP65:$BA65,1,_xlfn.XMATCH(DU$5,$CC65:$CN65)),"na")</f>
        <v>na</v>
      </c>
      <c r="DV65" s="44" t="str" cm="1">
        <f t="array" ref="DV65">IF(DV$5&lt;=$DG65,INDEX($BC65:$BN65,1,_xlfn.XMATCH(DV$5,$CC65:$CN65)),"na")</f>
        <v>na</v>
      </c>
      <c r="DW65" s="45" t="str" cm="1">
        <f t="array" ref="DW65">IF(DW$5&lt;=$DH65,INDEX($BP65:$CA65,1,_xlfn.XMATCH(DW$5,$CP65:$DA65)),"na")</f>
        <v>na</v>
      </c>
      <c r="DX65" s="46" t="str" cm="1">
        <f t="array" ref="DX65">IF(DX$5&lt;=$DG65,INDEX($AC65:$AN65,1,_xlfn.XMATCH(DX$5,$CC65:$CN65)),"na")</f>
        <v>na</v>
      </c>
      <c r="DY65" s="47" t="str" cm="1">
        <f t="array" ref="DY65">IF(DY$5&lt;=$DG65,INDEX($AP65:$BA65,1,_xlfn.XMATCH(DY$5,$CC65:$CN65)),"na")</f>
        <v>na</v>
      </c>
      <c r="DZ65" s="44" t="str" cm="1">
        <f t="array" ref="DZ65">IF(DZ$5&lt;=$DG65,INDEX($BC65:$BN65,1,_xlfn.XMATCH(DZ$5,$CC65:$CN65)),"na")</f>
        <v>na</v>
      </c>
      <c r="EA65" s="45" t="str" cm="1">
        <f t="array" ref="EA65">IF(EA$5&lt;=$DH65,INDEX($BP65:$CA65,1,_xlfn.XMATCH(EA$5,$CP65:$DA65)),"na")</f>
        <v>na</v>
      </c>
      <c r="EB65" s="46" t="str" cm="1">
        <f t="array" ref="EB65">IF(EB$5&lt;=$DG65,INDEX($AC65:$AN65,1,_xlfn.XMATCH(EB$5,$CC65:$CN65)),"na")</f>
        <v>na</v>
      </c>
      <c r="EC65" s="47" t="str" cm="1">
        <f t="array" ref="EC65">IF(EC$5&lt;=$DG65,INDEX($AP65:$BA65,1,_xlfn.XMATCH(EC$5,$CC65:$CN65)),"na")</f>
        <v>na</v>
      </c>
      <c r="ED65" s="44" t="str" cm="1">
        <f t="array" ref="ED65">IF(ED$5&lt;=$DG65,INDEX($BC65:$BN65,1,_xlfn.XMATCH(ED$5,$CC65:$CN65)),"na")</f>
        <v>na</v>
      </c>
      <c r="EE65" s="45" t="str" cm="1">
        <f t="array" ref="EE65">IF(EE$5&lt;=$DH65,INDEX($BP65:$CA65,1,_xlfn.XMATCH(EE$5,$CP65:$DA65)),"na")</f>
        <v>na</v>
      </c>
      <c r="EF65" s="46" t="str" cm="1">
        <f t="array" ref="EF65">IF(EF$5&lt;=$DG65,INDEX($AC65:$AN65,1,_xlfn.XMATCH(EF$5,$CC65:$CN65)),"na")</f>
        <v>na</v>
      </c>
      <c r="EG65" s="47" t="str" cm="1">
        <f t="array" ref="EG65">IF(EG$5&lt;=$DG65,INDEX($AP65:$BA65,1,_xlfn.XMATCH(EG$5,$CC65:$CN65)),"na")</f>
        <v>na</v>
      </c>
      <c r="EH65" s="44" t="str" cm="1">
        <f t="array" ref="EH65">IF(EH$5&lt;=$DG65,INDEX($BC65:$BN65,1,_xlfn.XMATCH(EH$5,$CC65:$CN65)),"na")</f>
        <v>na</v>
      </c>
      <c r="EI65" s="45" t="str" cm="1">
        <f t="array" ref="EI65">IF(EI$5&lt;=$DH65,INDEX($BP65:$CA65,1,_xlfn.XMATCH(EI$5,$CP65:$DA65)),"na")</f>
        <v>na</v>
      </c>
      <c r="EJ65" s="46" t="str" cm="1">
        <f t="array" ref="EJ65">IF(EJ$5&lt;=$DG65,INDEX($AC65:$AN65,1,_xlfn.XMATCH(EJ$5,$CC65:$CN65)),"na")</f>
        <v>na</v>
      </c>
      <c r="EK65" s="47" t="str" cm="1">
        <f t="array" ref="EK65">IF(EK$5&lt;=$DG65,INDEX($AP65:$BA65,1,_xlfn.XMATCH(EK$5,$CC65:$CN65)),"na")</f>
        <v>na</v>
      </c>
      <c r="EL65" s="44" t="str" cm="1">
        <f t="array" ref="EL65">IF(EL$5&lt;=$DG65,INDEX($BC65:$BN65,1,_xlfn.XMATCH(EL$5,$CC65:$CN65)),"na")</f>
        <v>na</v>
      </c>
      <c r="EM65" s="45" t="str" cm="1">
        <f t="array" ref="EM65">IF(EM$5&lt;=$DH65,INDEX($BP65:$CA65,1,_xlfn.XMATCH(EM$5,$CP65:$DA65)),"na")</f>
        <v>na</v>
      </c>
      <c r="EN65" s="46" t="str" cm="1">
        <f t="array" ref="EN65">IF(EN$5&lt;=$DG65,INDEX($AC65:$AN65,1,_xlfn.XMATCH(EN$5,$CC65:$CN65)),"na")</f>
        <v>na</v>
      </c>
      <c r="EO65" s="47" t="str" cm="1">
        <f t="array" ref="EO65">IF(EO$5&lt;=$DG65,INDEX($AP65:$BA65,1,_xlfn.XMATCH(EO$5,$CC65:$CN65)),"na")</f>
        <v>na</v>
      </c>
      <c r="EP65" s="44" t="str" cm="1">
        <f t="array" ref="EP65">IF(EP$5&lt;=$DG65,INDEX($BC65:$BN65,1,_xlfn.XMATCH(EP$5,$CC65:$CN65)),"na")</f>
        <v>na</v>
      </c>
      <c r="EQ65" s="45" t="str" cm="1">
        <f t="array" ref="EQ65">IF(EQ$5&lt;=$DH65,INDEX($BP65:$CA65,1,_xlfn.XMATCH(EQ$5,$CP65:$DA65)),"na")</f>
        <v>na</v>
      </c>
      <c r="ER65" s="46" t="str" cm="1">
        <f t="array" ref="ER65">IF(ER$5&lt;=$DG65,INDEX($AC65:$AN65,1,_xlfn.XMATCH(ER$5,$CC65:$CN65)),"na")</f>
        <v>na</v>
      </c>
      <c r="ES65" s="47" t="str" cm="1">
        <f t="array" ref="ES65">IF(ES$5&lt;=$DG65,INDEX($AP65:$BA65,1,_xlfn.XMATCH(ES$5,$CC65:$CN65)),"na")</f>
        <v>na</v>
      </c>
      <c r="ET65" s="44" t="str" cm="1">
        <f t="array" ref="ET65">IF(ET$5&lt;=$DG65,INDEX($BC65:$BN65,1,_xlfn.XMATCH(ET$5,$CC65:$CN65)),"na")</f>
        <v>na</v>
      </c>
      <c r="EU65" s="45" t="str" cm="1">
        <f t="array" ref="EU65">IF(EU$5&lt;=$DH65,INDEX($BP65:$CA65,1,_xlfn.XMATCH(EU$5,$CP65:$DA65)),"na")</f>
        <v>na</v>
      </c>
      <c r="EV65" s="46" t="str" cm="1">
        <f t="array" ref="EV65">IF(EV$5&lt;=$DG65,INDEX($AC65:$AN65,1,_xlfn.XMATCH(EV$5,$CC65:$CN65)),"na")</f>
        <v>na</v>
      </c>
      <c r="EW65" s="47" t="str" cm="1">
        <f t="array" ref="EW65">IF(EW$5&lt;=$DG65,INDEX($AP65:$BA65,1,_xlfn.XMATCH(EW$5,$CC65:$CN65)),"na")</f>
        <v>na</v>
      </c>
      <c r="EX65" s="44" t="str" cm="1">
        <f t="array" ref="EX65">IF(EX$5&lt;=$DG65,INDEX($BC65:$BN65,1,_xlfn.XMATCH(EX$5,$CC65:$CN65)),"na")</f>
        <v>na</v>
      </c>
      <c r="EY65" s="45" t="str" cm="1">
        <f t="array" ref="EY65">IF(EY$5&lt;=$DH65,INDEX($BP65:$CA65,1,_xlfn.XMATCH(EY$5,$CP65:$DA65)),"na")</f>
        <v>na</v>
      </c>
      <c r="EZ65" s="46" t="str" cm="1">
        <f t="array" ref="EZ65">IF(EZ$5&lt;=$DG65,INDEX($AC65:$AN65,1,_xlfn.XMATCH(EZ$5,$CC65:$CN65)),"na")</f>
        <v>na</v>
      </c>
      <c r="FA65" s="47" t="str" cm="1">
        <f t="array" ref="FA65">IF(FA$5&lt;=$DG65,INDEX($AP65:$BA65,1,_xlfn.XMATCH(FA$5,$CC65:$CN65)),"na")</f>
        <v>na</v>
      </c>
      <c r="FB65" s="44" t="str" cm="1">
        <f t="array" ref="FB65">IF(FB$5&lt;=$DG65,INDEX($BC65:$BN65,1,_xlfn.XMATCH(FB$5,$CC65:$CN65)),"na")</f>
        <v>na</v>
      </c>
      <c r="FC65" s="45" t="str" cm="1">
        <f t="array" ref="FC65">IF(FC$5&lt;=$DH65,INDEX($BP65:$CA65,1,_xlfn.XMATCH(FC$5,$CP65:$DA65)),"na")</f>
        <v>na</v>
      </c>
      <c r="FD65" s="46" t="str" cm="1">
        <f t="array" ref="FD65">IF(FD$5&lt;=$DG65,INDEX($AC65:$AN65,1,_xlfn.XMATCH(FD$5,$CC65:$CN65)),"na")</f>
        <v>na</v>
      </c>
      <c r="FE65" s="47" t="str" cm="1">
        <f t="array" ref="FE65">IF(FE$5&lt;=$DG65,INDEX($AP65:$BA65,1,_xlfn.XMATCH(FE$5,$CC65:$CN65)),"na")</f>
        <v>na</v>
      </c>
    </row>
    <row r="66" spans="2:161" x14ac:dyDescent="0.25">
      <c r="B66" s="50" t="s">
        <v>199</v>
      </c>
      <c r="C66">
        <v>1364</v>
      </c>
      <c r="D66">
        <v>1276</v>
      </c>
      <c r="E66">
        <v>1364</v>
      </c>
      <c r="F66">
        <v>1320</v>
      </c>
      <c r="G66">
        <v>1364</v>
      </c>
      <c r="H66">
        <v>1320</v>
      </c>
      <c r="I66">
        <v>1364</v>
      </c>
      <c r="J66">
        <v>1364</v>
      </c>
      <c r="K66">
        <v>1320</v>
      </c>
      <c r="L66">
        <v>1364</v>
      </c>
      <c r="M66">
        <v>1320</v>
      </c>
      <c r="N66">
        <v>1364</v>
      </c>
      <c r="P66">
        <v>1116</v>
      </c>
      <c r="Q66">
        <v>1068.6500000000001</v>
      </c>
      <c r="R66">
        <v>1194.74</v>
      </c>
      <c r="S66">
        <v>1191.5999999999999</v>
      </c>
      <c r="T66">
        <v>1252.0899999999999</v>
      </c>
      <c r="U66">
        <v>1224.5999999999999</v>
      </c>
      <c r="V66">
        <v>1268.52</v>
      </c>
      <c r="W66">
        <v>1268.52</v>
      </c>
      <c r="X66">
        <v>1227.5999999999999</v>
      </c>
      <c r="Y66">
        <v>1268.52</v>
      </c>
      <c r="Z66">
        <v>1227.5999999999999</v>
      </c>
      <c r="AA66">
        <v>1268.52</v>
      </c>
      <c r="AC66" s="14" t="e">
        <f>C66/_xlfn.XLOOKUP(AC$5,'OC-Days'!$G$3:$G$38,'OC-Days'!$B$3:$B$38)</f>
        <v>#N/A</v>
      </c>
      <c r="AD66" s="14" t="e">
        <f>D66/_xlfn.XLOOKUP(AD$5,'OC-Days'!$G$3:$G$38,'OC-Days'!$B$3:$B$38)</f>
        <v>#N/A</v>
      </c>
      <c r="AE66" s="14" t="e">
        <f>E66/_xlfn.XLOOKUP(AE$5,'OC-Days'!$G$3:$G$38,'OC-Days'!$B$3:$B$38)</f>
        <v>#N/A</v>
      </c>
      <c r="AF66" s="14" t="e">
        <f>F66/_xlfn.XLOOKUP(AF$5,'OC-Days'!$G$3:$G$38,'OC-Days'!$B$3:$B$38)</f>
        <v>#N/A</v>
      </c>
      <c r="AG66" s="14" t="e">
        <f>G66/_xlfn.XLOOKUP(AG$5,'OC-Days'!$G$3:$G$38,'OC-Days'!$B$3:$B$38)</f>
        <v>#N/A</v>
      </c>
      <c r="AH66" s="14" t="e">
        <f>H66/_xlfn.XLOOKUP(AH$5,'OC-Days'!$G$3:$G$38,'OC-Days'!$B$3:$B$38)</f>
        <v>#N/A</v>
      </c>
      <c r="AI66" s="14" t="e">
        <f>I66/_xlfn.XLOOKUP(AI$5,'OC-Days'!$G$3:$G$38,'OC-Days'!$B$3:$B$38)</f>
        <v>#N/A</v>
      </c>
      <c r="AJ66" s="14" t="e">
        <f>J66/_xlfn.XLOOKUP(AJ$5,'OC-Days'!$G$3:$G$38,'OC-Days'!$B$3:$B$38)</f>
        <v>#N/A</v>
      </c>
      <c r="AK66" s="14" t="e">
        <f>K66/_xlfn.XLOOKUP(AK$5,'OC-Days'!$G$3:$G$38,'OC-Days'!$B$3:$B$38)</f>
        <v>#N/A</v>
      </c>
      <c r="AL66" s="14" t="e">
        <f>L66/_xlfn.XLOOKUP(AL$5,'OC-Days'!$G$3:$G$38,'OC-Days'!$B$3:$B$38)</f>
        <v>#N/A</v>
      </c>
      <c r="AM66" s="14" t="e">
        <f>M66/_xlfn.XLOOKUP(AM$5,'OC-Days'!$G$3:$G$38,'OC-Days'!$B$3:$B$38)</f>
        <v>#N/A</v>
      </c>
      <c r="AN66" s="14" t="e">
        <f>N66/_xlfn.XLOOKUP(AN$5,'OC-Days'!$G$3:$G$38,'OC-Days'!$B$3:$B$38)</f>
        <v>#N/A</v>
      </c>
      <c r="AP66" s="14" t="e">
        <f>P66/_xlfn.XLOOKUP(AP$5,'OC-Days'!$G$3:$G$38,'OC-Days'!$B$3:$B$38)</f>
        <v>#N/A</v>
      </c>
      <c r="AQ66" s="14" t="e">
        <f>Q66/_xlfn.XLOOKUP(AQ$5,'OC-Days'!$G$3:$G$38,'OC-Days'!$B$3:$B$38)</f>
        <v>#N/A</v>
      </c>
      <c r="AR66" s="14" t="e">
        <f>R66/_xlfn.XLOOKUP(AR$5,'OC-Days'!$G$3:$G$38,'OC-Days'!$B$3:$B$38)</f>
        <v>#N/A</v>
      </c>
      <c r="AS66" s="14" t="e">
        <f>S66/_xlfn.XLOOKUP(AS$5,'OC-Days'!$G$3:$G$38,'OC-Days'!$B$3:$B$38)</f>
        <v>#N/A</v>
      </c>
      <c r="AT66" s="14" t="e">
        <f>T66/_xlfn.XLOOKUP(AT$5,'OC-Days'!$G$3:$G$38,'OC-Days'!$B$3:$B$38)</f>
        <v>#N/A</v>
      </c>
      <c r="AU66" s="14" t="e">
        <f>U66/_xlfn.XLOOKUP(AU$5,'OC-Days'!$G$3:$G$38,'OC-Days'!$B$3:$B$38)</f>
        <v>#N/A</v>
      </c>
      <c r="AV66" s="14" t="e">
        <f>V66/_xlfn.XLOOKUP(AV$5,'OC-Days'!$G$3:$G$38,'OC-Days'!$B$3:$B$38)</f>
        <v>#N/A</v>
      </c>
      <c r="AW66" s="14" t="e">
        <f>W66/_xlfn.XLOOKUP(AW$5,'OC-Days'!$G$3:$G$38,'OC-Days'!$B$3:$B$38)</f>
        <v>#N/A</v>
      </c>
      <c r="AX66" s="14" t="e">
        <f>X66/_xlfn.XLOOKUP(AX$5,'OC-Days'!$G$3:$G$38,'OC-Days'!$B$3:$B$38)</f>
        <v>#N/A</v>
      </c>
      <c r="AY66" s="14" t="e">
        <f>Y66/_xlfn.XLOOKUP(AY$5,'OC-Days'!$G$3:$G$38,'OC-Days'!$B$3:$B$38)</f>
        <v>#N/A</v>
      </c>
      <c r="AZ66" s="14" t="e">
        <f>Z66/_xlfn.XLOOKUP(AZ$5,'OC-Days'!$G$3:$G$38,'OC-Days'!$B$3:$B$38)</f>
        <v>#N/A</v>
      </c>
      <c r="BA66" s="14" t="e">
        <f>AA66/_xlfn.XLOOKUP(BA$5,'OC-Days'!$G$3:$G$38,'OC-Days'!$B$3:$B$38)</f>
        <v>#N/A</v>
      </c>
      <c r="BC66" s="33" t="e">
        <f>_xlfn.XLOOKUP(BC$5,'OC-Days'!$G$3:$G$38,'OC-Days'!$F$3:$F$38)</f>
        <v>#N/A</v>
      </c>
      <c r="BD66" s="34" t="e">
        <f>IF(AQ66=AP66,"na",_xlfn.XLOOKUP(BD$5,'OC-Days'!$G$3:$G$38,'OC-Days'!$F$3:$F$38))</f>
        <v>#N/A</v>
      </c>
      <c r="BE66" s="34" t="e">
        <f>IF(AR66=AQ66,"na",_xlfn.XLOOKUP(BE$5,'OC-Days'!$G$3:$G$38,'OC-Days'!$F$3:$F$38))</f>
        <v>#N/A</v>
      </c>
      <c r="BF66" s="34" t="e">
        <f>IF(AS66=AR66,"na",_xlfn.XLOOKUP(BF$5,'OC-Days'!$G$3:$G$38,'OC-Days'!$F$3:$F$38))</f>
        <v>#N/A</v>
      </c>
      <c r="BG66" s="34" t="e">
        <f>IF(AT66=AS66,"na",_xlfn.XLOOKUP(BG$5,'OC-Days'!$G$3:$G$38,'OC-Days'!$F$3:$F$38))</f>
        <v>#N/A</v>
      </c>
      <c r="BH66" s="34" t="e">
        <f>IF(AU66=AT66,"na",_xlfn.XLOOKUP(BH$5,'OC-Days'!$G$3:$G$38,'OC-Days'!$F$3:$F$38))</f>
        <v>#N/A</v>
      </c>
      <c r="BI66" s="34" t="e">
        <f>IF(AV66=AU66,"na",_xlfn.XLOOKUP(BI$5,'OC-Days'!$G$3:$G$38,'OC-Days'!$F$3:$F$38))</f>
        <v>#N/A</v>
      </c>
      <c r="BJ66" s="34" t="e">
        <f>IF(AW66=AV66,"na",_xlfn.XLOOKUP(BJ$5,'OC-Days'!$G$3:$G$38,'OC-Days'!$F$3:$F$38))</f>
        <v>#N/A</v>
      </c>
      <c r="BK66" s="34" t="e">
        <f>IF(AX66=AW66,"na",_xlfn.XLOOKUP(BK$5,'OC-Days'!$G$3:$G$38,'OC-Days'!$F$3:$F$38))</f>
        <v>#N/A</v>
      </c>
      <c r="BL66" s="34" t="e">
        <f>IF(AY66=AX66,"na",_xlfn.XLOOKUP(BL$5,'OC-Days'!$G$3:$G$38,'OC-Days'!$F$3:$F$38))</f>
        <v>#N/A</v>
      </c>
      <c r="BM66" s="34" t="e">
        <f>IF(AZ66=AY66,"na",_xlfn.XLOOKUP(BM$5,'OC-Days'!$G$3:$G$38,'OC-Days'!$F$3:$F$38))</f>
        <v>#N/A</v>
      </c>
      <c r="BN66" s="34" t="e">
        <f>IF(BA66=AZ66,"na",_xlfn.XLOOKUP(BN$5,'OC-Days'!$G$3:$G$38,'OC-Days'!$F$3:$F$38))</f>
        <v>#N/A</v>
      </c>
      <c r="BP66" s="36" t="e">
        <f t="shared" si="63"/>
        <v>#N/A</v>
      </c>
      <c r="BQ66" s="36" t="e">
        <f t="shared" si="64"/>
        <v>#N/A</v>
      </c>
      <c r="BR66" s="36" t="e">
        <f t="shared" si="65"/>
        <v>#N/A</v>
      </c>
      <c r="BS66" s="36" t="e">
        <f t="shared" si="66"/>
        <v>#N/A</v>
      </c>
      <c r="BT66" s="36" t="e">
        <f t="shared" si="67"/>
        <v>#N/A</v>
      </c>
      <c r="BU66" s="36" t="e">
        <f t="shared" si="68"/>
        <v>#N/A</v>
      </c>
      <c r="BV66" s="36" t="e">
        <f t="shared" si="69"/>
        <v>#N/A</v>
      </c>
      <c r="BW66" s="36" t="e">
        <f t="shared" si="70"/>
        <v>#N/A</v>
      </c>
      <c r="BX66" s="36" t="e">
        <f t="shared" si="71"/>
        <v>#N/A</v>
      </c>
      <c r="BY66" s="36" t="e">
        <f t="shared" si="72"/>
        <v>#N/A</v>
      </c>
      <c r="BZ66" s="36" t="e">
        <f t="shared" si="73"/>
        <v>#N/A</v>
      </c>
      <c r="CA66" s="43">
        <f t="shared" ref="CA66:CA73" si="79">DATE(VALUE(RIGHT($CA$5,4)),12,31)</f>
        <v>46022</v>
      </c>
      <c r="CC66" s="8">
        <f>COUNT($BC66:BC66)</f>
        <v>0</v>
      </c>
      <c r="CD66" s="8">
        <f>COUNT($BC66:BD66)</f>
        <v>0</v>
      </c>
      <c r="CE66" s="8">
        <f>COUNT($BC66:BE66)</f>
        <v>0</v>
      </c>
      <c r="CF66" s="8">
        <f>COUNT($BC66:BF66)</f>
        <v>0</v>
      </c>
      <c r="CG66" s="8">
        <f>COUNT($BC66:BG66)</f>
        <v>0</v>
      </c>
      <c r="CH66" s="8">
        <f>COUNT($BC66:BH66)</f>
        <v>0</v>
      </c>
      <c r="CI66" s="8">
        <f>COUNT($BC66:BI66)</f>
        <v>0</v>
      </c>
      <c r="CJ66" s="8">
        <f>COUNT($BC66:BJ66)</f>
        <v>0</v>
      </c>
      <c r="CK66" s="8">
        <f>COUNT($BC66:BK66)</f>
        <v>0</v>
      </c>
      <c r="CL66" s="8">
        <f>COUNT($BC66:BL66)</f>
        <v>0</v>
      </c>
      <c r="CM66" s="8">
        <f>COUNT($BC66:BM66)</f>
        <v>0</v>
      </c>
      <c r="CN66" s="8">
        <f>COUNT($BC66:BN66)</f>
        <v>0</v>
      </c>
      <c r="CO66" s="8"/>
      <c r="CP66" s="8">
        <f>COUNT($BP66:BP66)</f>
        <v>0</v>
      </c>
      <c r="CQ66" s="8">
        <f>COUNT($BP66:BQ66)</f>
        <v>0</v>
      </c>
      <c r="CR66" s="8">
        <f>COUNT($BP66:BR66)</f>
        <v>0</v>
      </c>
      <c r="CS66" s="8">
        <f>COUNT($BP66:BS66)</f>
        <v>0</v>
      </c>
      <c r="CT66" s="8">
        <f>COUNT($BP66:BT66)</f>
        <v>0</v>
      </c>
      <c r="CU66" s="8">
        <f>COUNT($BP66:BU66)</f>
        <v>0</v>
      </c>
      <c r="CV66" s="8">
        <f>COUNT($BP66:BV66)</f>
        <v>0</v>
      </c>
      <c r="CW66" s="8">
        <f>COUNT($BP66:BW66)</f>
        <v>0</v>
      </c>
      <c r="CX66" s="8">
        <f>COUNT($BP66:BX66)</f>
        <v>0</v>
      </c>
      <c r="CY66" s="8">
        <f>COUNT($BP66:BY66)</f>
        <v>0</v>
      </c>
      <c r="CZ66" s="8">
        <f>COUNT($BP66:BZ66)</f>
        <v>0</v>
      </c>
      <c r="DA66" s="8">
        <f>COUNT($BP66:CA66)</f>
        <v>1</v>
      </c>
      <c r="DC66">
        <f t="shared" si="74"/>
        <v>620</v>
      </c>
      <c r="DD66">
        <f t="shared" si="75"/>
        <v>52</v>
      </c>
      <c r="DE66" t="str">
        <f t="shared" si="76"/>
        <v>620-52</v>
      </c>
      <c r="DG66">
        <f t="shared" si="77"/>
        <v>0</v>
      </c>
      <c r="DH66">
        <f t="shared" si="78"/>
        <v>1</v>
      </c>
      <c r="DJ66" s="44" t="str" cm="1">
        <f t="array" ref="DJ66">IF(DJ$5&lt;=$DG66,INDEX($BC66:$BN66,1,_xlfn.XMATCH(DJ$5,$CC66:$CN66)),"na")</f>
        <v>na</v>
      </c>
      <c r="DK66" s="45" cm="1">
        <f t="array" ref="DK66">IF(DK$5&lt;=$DH66,INDEX($BP66:$CA66,1,_xlfn.XMATCH(DK$5,$CP66:$DA66)),"na")</f>
        <v>46022</v>
      </c>
      <c r="DL66" s="46" t="str" cm="1">
        <f t="array" ref="DL66">IF(DL$5&lt;=$DG66,INDEX($AC66:$AN66,1,_xlfn.XMATCH(DL$5,$CC66:$CN66)),"na")</f>
        <v>na</v>
      </c>
      <c r="DM66" s="47" t="str" cm="1">
        <f t="array" ref="DM66">IF(DM$5&lt;=$DG66,INDEX($AP66:$BA66,1,_xlfn.XMATCH(DM$5,$CC66:$CN66)),"na")</f>
        <v>na</v>
      </c>
      <c r="DN66" s="44" t="str" cm="1">
        <f t="array" ref="DN66">IF(DN$5&lt;=$DG66,INDEX($BC66:$BN66,1,_xlfn.XMATCH(DN$5,$CC66:$CN66)),"na")</f>
        <v>na</v>
      </c>
      <c r="DO66" s="45" t="str" cm="1">
        <f t="array" ref="DO66">IF(DO$5&lt;=$DH66,INDEX($BP66:$CA66,1,_xlfn.XMATCH(DO$5,$CP66:$DA66)),"na")</f>
        <v>na</v>
      </c>
      <c r="DP66" s="46" t="str" cm="1">
        <f t="array" ref="DP66">IF(DP$5&lt;=$DG66,INDEX($AC66:$AN66,1,_xlfn.XMATCH(DP$5,$CC66:$CN66)),"na")</f>
        <v>na</v>
      </c>
      <c r="DQ66" s="47" t="str" cm="1">
        <f t="array" ref="DQ66">IF(DQ$5&lt;=$DG66,INDEX($AP66:$BA66,1,_xlfn.XMATCH(DQ$5,$CC66:$CN66)),"na")</f>
        <v>na</v>
      </c>
      <c r="DR66" s="44" t="str" cm="1">
        <f t="array" ref="DR66">IF(DR$5&lt;=$DG66,INDEX($BC66:$BN66,1,_xlfn.XMATCH(DR$5,$CC66:$CN66)),"na")</f>
        <v>na</v>
      </c>
      <c r="DS66" s="45" t="str" cm="1">
        <f t="array" ref="DS66">IF(DS$5&lt;=$DH66,INDEX($BP66:$CA66,1,_xlfn.XMATCH(DS$5,$CP66:$DA66)),"na")</f>
        <v>na</v>
      </c>
      <c r="DT66" s="46" t="str" cm="1">
        <f t="array" ref="DT66">IF(DT$5&lt;=$DG66,INDEX($AC66:$AN66,1,_xlfn.XMATCH(DT$5,$CC66:$CN66)),"na")</f>
        <v>na</v>
      </c>
      <c r="DU66" s="47" t="str" cm="1">
        <f t="array" ref="DU66">IF(DU$5&lt;=$DG66,INDEX($AP66:$BA66,1,_xlfn.XMATCH(DU$5,$CC66:$CN66)),"na")</f>
        <v>na</v>
      </c>
      <c r="DV66" s="44" t="str" cm="1">
        <f t="array" ref="DV66">IF(DV$5&lt;=$DG66,INDEX($BC66:$BN66,1,_xlfn.XMATCH(DV$5,$CC66:$CN66)),"na")</f>
        <v>na</v>
      </c>
      <c r="DW66" s="45" t="str" cm="1">
        <f t="array" ref="DW66">IF(DW$5&lt;=$DH66,INDEX($BP66:$CA66,1,_xlfn.XMATCH(DW$5,$CP66:$DA66)),"na")</f>
        <v>na</v>
      </c>
      <c r="DX66" s="46" t="str" cm="1">
        <f t="array" ref="DX66">IF(DX$5&lt;=$DG66,INDEX($AC66:$AN66,1,_xlfn.XMATCH(DX$5,$CC66:$CN66)),"na")</f>
        <v>na</v>
      </c>
      <c r="DY66" s="47" t="str" cm="1">
        <f t="array" ref="DY66">IF(DY$5&lt;=$DG66,INDEX($AP66:$BA66,1,_xlfn.XMATCH(DY$5,$CC66:$CN66)),"na")</f>
        <v>na</v>
      </c>
      <c r="DZ66" s="44" t="str" cm="1">
        <f t="array" ref="DZ66">IF(DZ$5&lt;=$DG66,INDEX($BC66:$BN66,1,_xlfn.XMATCH(DZ$5,$CC66:$CN66)),"na")</f>
        <v>na</v>
      </c>
      <c r="EA66" s="45" t="str" cm="1">
        <f t="array" ref="EA66">IF(EA$5&lt;=$DH66,INDEX($BP66:$CA66,1,_xlfn.XMATCH(EA$5,$CP66:$DA66)),"na")</f>
        <v>na</v>
      </c>
      <c r="EB66" s="46" t="str" cm="1">
        <f t="array" ref="EB66">IF(EB$5&lt;=$DG66,INDEX($AC66:$AN66,1,_xlfn.XMATCH(EB$5,$CC66:$CN66)),"na")</f>
        <v>na</v>
      </c>
      <c r="EC66" s="47" t="str" cm="1">
        <f t="array" ref="EC66">IF(EC$5&lt;=$DG66,INDEX($AP66:$BA66,1,_xlfn.XMATCH(EC$5,$CC66:$CN66)),"na")</f>
        <v>na</v>
      </c>
      <c r="ED66" s="44" t="str" cm="1">
        <f t="array" ref="ED66">IF(ED$5&lt;=$DG66,INDEX($BC66:$BN66,1,_xlfn.XMATCH(ED$5,$CC66:$CN66)),"na")</f>
        <v>na</v>
      </c>
      <c r="EE66" s="45" t="str" cm="1">
        <f t="array" ref="EE66">IF(EE$5&lt;=$DH66,INDEX($BP66:$CA66,1,_xlfn.XMATCH(EE$5,$CP66:$DA66)),"na")</f>
        <v>na</v>
      </c>
      <c r="EF66" s="46" t="str" cm="1">
        <f t="array" ref="EF66">IF(EF$5&lt;=$DG66,INDEX($AC66:$AN66,1,_xlfn.XMATCH(EF$5,$CC66:$CN66)),"na")</f>
        <v>na</v>
      </c>
      <c r="EG66" s="47" t="str" cm="1">
        <f t="array" ref="EG66">IF(EG$5&lt;=$DG66,INDEX($AP66:$BA66,1,_xlfn.XMATCH(EG$5,$CC66:$CN66)),"na")</f>
        <v>na</v>
      </c>
      <c r="EH66" s="44" t="str" cm="1">
        <f t="array" ref="EH66">IF(EH$5&lt;=$DG66,INDEX($BC66:$BN66,1,_xlfn.XMATCH(EH$5,$CC66:$CN66)),"na")</f>
        <v>na</v>
      </c>
      <c r="EI66" s="45" t="str" cm="1">
        <f t="array" ref="EI66">IF(EI$5&lt;=$DH66,INDEX($BP66:$CA66,1,_xlfn.XMATCH(EI$5,$CP66:$DA66)),"na")</f>
        <v>na</v>
      </c>
      <c r="EJ66" s="46" t="str" cm="1">
        <f t="array" ref="EJ66">IF(EJ$5&lt;=$DG66,INDEX($AC66:$AN66,1,_xlfn.XMATCH(EJ$5,$CC66:$CN66)),"na")</f>
        <v>na</v>
      </c>
      <c r="EK66" s="47" t="str" cm="1">
        <f t="array" ref="EK66">IF(EK$5&lt;=$DG66,INDEX($AP66:$BA66,1,_xlfn.XMATCH(EK$5,$CC66:$CN66)),"na")</f>
        <v>na</v>
      </c>
      <c r="EL66" s="44" t="str" cm="1">
        <f t="array" ref="EL66">IF(EL$5&lt;=$DG66,INDEX($BC66:$BN66,1,_xlfn.XMATCH(EL$5,$CC66:$CN66)),"na")</f>
        <v>na</v>
      </c>
      <c r="EM66" s="45" t="str" cm="1">
        <f t="array" ref="EM66">IF(EM$5&lt;=$DH66,INDEX($BP66:$CA66,1,_xlfn.XMATCH(EM$5,$CP66:$DA66)),"na")</f>
        <v>na</v>
      </c>
      <c r="EN66" s="46" t="str" cm="1">
        <f t="array" ref="EN66">IF(EN$5&lt;=$DG66,INDEX($AC66:$AN66,1,_xlfn.XMATCH(EN$5,$CC66:$CN66)),"na")</f>
        <v>na</v>
      </c>
      <c r="EO66" s="47" t="str" cm="1">
        <f t="array" ref="EO66">IF(EO$5&lt;=$DG66,INDEX($AP66:$BA66,1,_xlfn.XMATCH(EO$5,$CC66:$CN66)),"na")</f>
        <v>na</v>
      </c>
      <c r="EP66" s="44" t="str" cm="1">
        <f t="array" ref="EP66">IF(EP$5&lt;=$DG66,INDEX($BC66:$BN66,1,_xlfn.XMATCH(EP$5,$CC66:$CN66)),"na")</f>
        <v>na</v>
      </c>
      <c r="EQ66" s="45" t="str" cm="1">
        <f t="array" ref="EQ66">IF(EQ$5&lt;=$DH66,INDEX($BP66:$CA66,1,_xlfn.XMATCH(EQ$5,$CP66:$DA66)),"na")</f>
        <v>na</v>
      </c>
      <c r="ER66" s="46" t="str" cm="1">
        <f t="array" ref="ER66">IF(ER$5&lt;=$DG66,INDEX($AC66:$AN66,1,_xlfn.XMATCH(ER$5,$CC66:$CN66)),"na")</f>
        <v>na</v>
      </c>
      <c r="ES66" s="47" t="str" cm="1">
        <f t="array" ref="ES66">IF(ES$5&lt;=$DG66,INDEX($AP66:$BA66,1,_xlfn.XMATCH(ES$5,$CC66:$CN66)),"na")</f>
        <v>na</v>
      </c>
      <c r="ET66" s="44" t="str" cm="1">
        <f t="array" ref="ET66">IF(ET$5&lt;=$DG66,INDEX($BC66:$BN66,1,_xlfn.XMATCH(ET$5,$CC66:$CN66)),"na")</f>
        <v>na</v>
      </c>
      <c r="EU66" s="45" t="str" cm="1">
        <f t="array" ref="EU66">IF(EU$5&lt;=$DH66,INDEX($BP66:$CA66,1,_xlfn.XMATCH(EU$5,$CP66:$DA66)),"na")</f>
        <v>na</v>
      </c>
      <c r="EV66" s="46" t="str" cm="1">
        <f t="array" ref="EV66">IF(EV$5&lt;=$DG66,INDEX($AC66:$AN66,1,_xlfn.XMATCH(EV$5,$CC66:$CN66)),"na")</f>
        <v>na</v>
      </c>
      <c r="EW66" s="47" t="str" cm="1">
        <f t="array" ref="EW66">IF(EW$5&lt;=$DG66,INDEX($AP66:$BA66,1,_xlfn.XMATCH(EW$5,$CC66:$CN66)),"na")</f>
        <v>na</v>
      </c>
      <c r="EX66" s="44" t="str" cm="1">
        <f t="array" ref="EX66">IF(EX$5&lt;=$DG66,INDEX($BC66:$BN66,1,_xlfn.XMATCH(EX$5,$CC66:$CN66)),"na")</f>
        <v>na</v>
      </c>
      <c r="EY66" s="45" t="str" cm="1">
        <f t="array" ref="EY66">IF(EY$5&lt;=$DH66,INDEX($BP66:$CA66,1,_xlfn.XMATCH(EY$5,$CP66:$DA66)),"na")</f>
        <v>na</v>
      </c>
      <c r="EZ66" s="46" t="str" cm="1">
        <f t="array" ref="EZ66">IF(EZ$5&lt;=$DG66,INDEX($AC66:$AN66,1,_xlfn.XMATCH(EZ$5,$CC66:$CN66)),"na")</f>
        <v>na</v>
      </c>
      <c r="FA66" s="47" t="str" cm="1">
        <f t="array" ref="FA66">IF(FA$5&lt;=$DG66,INDEX($AP66:$BA66,1,_xlfn.XMATCH(FA$5,$CC66:$CN66)),"na")</f>
        <v>na</v>
      </c>
      <c r="FB66" s="44" t="str" cm="1">
        <f t="array" ref="FB66">IF(FB$5&lt;=$DG66,INDEX($BC66:$BN66,1,_xlfn.XMATCH(FB$5,$CC66:$CN66)),"na")</f>
        <v>na</v>
      </c>
      <c r="FC66" s="45" t="str" cm="1">
        <f t="array" ref="FC66">IF(FC$5&lt;=$DH66,INDEX($BP66:$CA66,1,_xlfn.XMATCH(FC$5,$CP66:$DA66)),"na")</f>
        <v>na</v>
      </c>
      <c r="FD66" s="46" t="str" cm="1">
        <f t="array" ref="FD66">IF(FD$5&lt;=$DG66,INDEX($AC66:$AN66,1,_xlfn.XMATCH(FD$5,$CC66:$CN66)),"na")</f>
        <v>na</v>
      </c>
      <c r="FE66" s="47" t="str" cm="1">
        <f t="array" ref="FE66">IF(FE$5&lt;=$DG66,INDEX($AP66:$BA66,1,_xlfn.XMATCH(FE$5,$CC66:$CN66)),"na")</f>
        <v>na</v>
      </c>
    </row>
    <row r="67" spans="2:161" x14ac:dyDescent="0.25">
      <c r="B67" t="s">
        <v>200</v>
      </c>
      <c r="C67">
        <v>3627</v>
      </c>
      <c r="D67">
        <v>3393</v>
      </c>
      <c r="E67">
        <v>3627</v>
      </c>
      <c r="F67">
        <v>3510</v>
      </c>
      <c r="G67">
        <v>3627</v>
      </c>
      <c r="H67">
        <v>3510</v>
      </c>
      <c r="I67">
        <v>3627</v>
      </c>
      <c r="J67">
        <v>3627</v>
      </c>
      <c r="K67">
        <v>3510</v>
      </c>
      <c r="L67">
        <v>3627</v>
      </c>
      <c r="M67">
        <v>3510</v>
      </c>
      <c r="N67">
        <v>3627</v>
      </c>
      <c r="P67">
        <v>3311.1099999999997</v>
      </c>
      <c r="Q67">
        <v>3122.14</v>
      </c>
      <c r="R67">
        <v>3389.8500000000004</v>
      </c>
      <c r="S67">
        <v>3315.8999999999996</v>
      </c>
      <c r="T67">
        <v>3447.2</v>
      </c>
      <c r="U67">
        <v>3348.8999999999996</v>
      </c>
      <c r="V67">
        <v>3463.63</v>
      </c>
      <c r="W67">
        <v>3463.63</v>
      </c>
      <c r="X67">
        <v>3351.9000000000005</v>
      </c>
      <c r="Y67">
        <v>3463.63</v>
      </c>
      <c r="Z67">
        <v>3351.9000000000005</v>
      </c>
      <c r="AA67">
        <v>3463.63</v>
      </c>
      <c r="AC67" s="14" t="e">
        <f>C67/_xlfn.XLOOKUP(AC$5,'OC-Days'!$G$3:$G$38,'OC-Days'!$B$3:$B$38)</f>
        <v>#N/A</v>
      </c>
      <c r="AD67" s="14" t="e">
        <f>D67/_xlfn.XLOOKUP(AD$5,'OC-Days'!$G$3:$G$38,'OC-Days'!$B$3:$B$38)</f>
        <v>#N/A</v>
      </c>
      <c r="AE67" s="14" t="e">
        <f>E67/_xlfn.XLOOKUP(AE$5,'OC-Days'!$G$3:$G$38,'OC-Days'!$B$3:$B$38)</f>
        <v>#N/A</v>
      </c>
      <c r="AF67" s="14" t="e">
        <f>F67/_xlfn.XLOOKUP(AF$5,'OC-Days'!$G$3:$G$38,'OC-Days'!$B$3:$B$38)</f>
        <v>#N/A</v>
      </c>
      <c r="AG67" s="14" t="e">
        <f>G67/_xlfn.XLOOKUP(AG$5,'OC-Days'!$G$3:$G$38,'OC-Days'!$B$3:$B$38)</f>
        <v>#N/A</v>
      </c>
      <c r="AH67" s="14" t="e">
        <f>H67/_xlfn.XLOOKUP(AH$5,'OC-Days'!$G$3:$G$38,'OC-Days'!$B$3:$B$38)</f>
        <v>#N/A</v>
      </c>
      <c r="AI67" s="14" t="e">
        <f>I67/_xlfn.XLOOKUP(AI$5,'OC-Days'!$G$3:$G$38,'OC-Days'!$B$3:$B$38)</f>
        <v>#N/A</v>
      </c>
      <c r="AJ67" s="14" t="e">
        <f>J67/_xlfn.XLOOKUP(AJ$5,'OC-Days'!$G$3:$G$38,'OC-Days'!$B$3:$B$38)</f>
        <v>#N/A</v>
      </c>
      <c r="AK67" s="14" t="e">
        <f>K67/_xlfn.XLOOKUP(AK$5,'OC-Days'!$G$3:$G$38,'OC-Days'!$B$3:$B$38)</f>
        <v>#N/A</v>
      </c>
      <c r="AL67" s="14" t="e">
        <f>L67/_xlfn.XLOOKUP(AL$5,'OC-Days'!$G$3:$G$38,'OC-Days'!$B$3:$B$38)</f>
        <v>#N/A</v>
      </c>
      <c r="AM67" s="14" t="e">
        <f>M67/_xlfn.XLOOKUP(AM$5,'OC-Days'!$G$3:$G$38,'OC-Days'!$B$3:$B$38)</f>
        <v>#N/A</v>
      </c>
      <c r="AN67" s="14" t="e">
        <f>N67/_xlfn.XLOOKUP(AN$5,'OC-Days'!$G$3:$G$38,'OC-Days'!$B$3:$B$38)</f>
        <v>#N/A</v>
      </c>
      <c r="AP67" s="14" t="e">
        <f>P67/_xlfn.XLOOKUP(AP$5,'OC-Days'!$G$3:$G$38,'OC-Days'!$B$3:$B$38)</f>
        <v>#N/A</v>
      </c>
      <c r="AQ67" s="14" t="e">
        <f>Q67/_xlfn.XLOOKUP(AQ$5,'OC-Days'!$G$3:$G$38,'OC-Days'!$B$3:$B$38)</f>
        <v>#N/A</v>
      </c>
      <c r="AR67" s="14" t="e">
        <f>R67/_xlfn.XLOOKUP(AR$5,'OC-Days'!$G$3:$G$38,'OC-Days'!$B$3:$B$38)</f>
        <v>#N/A</v>
      </c>
      <c r="AS67" s="14" t="e">
        <f>S67/_xlfn.XLOOKUP(AS$5,'OC-Days'!$G$3:$G$38,'OC-Days'!$B$3:$B$38)</f>
        <v>#N/A</v>
      </c>
      <c r="AT67" s="14" t="e">
        <f>T67/_xlfn.XLOOKUP(AT$5,'OC-Days'!$G$3:$G$38,'OC-Days'!$B$3:$B$38)</f>
        <v>#N/A</v>
      </c>
      <c r="AU67" s="14" t="e">
        <f>U67/_xlfn.XLOOKUP(AU$5,'OC-Days'!$G$3:$G$38,'OC-Days'!$B$3:$B$38)</f>
        <v>#N/A</v>
      </c>
      <c r="AV67" s="14" t="e">
        <f>V67/_xlfn.XLOOKUP(AV$5,'OC-Days'!$G$3:$G$38,'OC-Days'!$B$3:$B$38)</f>
        <v>#N/A</v>
      </c>
      <c r="AW67" s="14" t="e">
        <f>W67/_xlfn.XLOOKUP(AW$5,'OC-Days'!$G$3:$G$38,'OC-Days'!$B$3:$B$38)</f>
        <v>#N/A</v>
      </c>
      <c r="AX67" s="14" t="e">
        <f>X67/_xlfn.XLOOKUP(AX$5,'OC-Days'!$G$3:$G$38,'OC-Days'!$B$3:$B$38)</f>
        <v>#N/A</v>
      </c>
      <c r="AY67" s="14" t="e">
        <f>Y67/_xlfn.XLOOKUP(AY$5,'OC-Days'!$G$3:$G$38,'OC-Days'!$B$3:$B$38)</f>
        <v>#N/A</v>
      </c>
      <c r="AZ67" s="14" t="e">
        <f>Z67/_xlfn.XLOOKUP(AZ$5,'OC-Days'!$G$3:$G$38,'OC-Days'!$B$3:$B$38)</f>
        <v>#N/A</v>
      </c>
      <c r="BA67" s="14" t="e">
        <f>AA67/_xlfn.XLOOKUP(BA$5,'OC-Days'!$G$3:$G$38,'OC-Days'!$B$3:$B$38)</f>
        <v>#N/A</v>
      </c>
      <c r="BC67" s="33" t="e">
        <f>_xlfn.XLOOKUP(BC$5,'OC-Days'!$G$3:$G$38,'OC-Days'!$F$3:$F$38)</f>
        <v>#N/A</v>
      </c>
      <c r="BD67" s="34" t="e">
        <f>IF(AQ67=AP67,"na",_xlfn.XLOOKUP(BD$5,'OC-Days'!$G$3:$G$38,'OC-Days'!$F$3:$F$38))</f>
        <v>#N/A</v>
      </c>
      <c r="BE67" s="34" t="e">
        <f>IF(AR67=AQ67,"na",_xlfn.XLOOKUP(BE$5,'OC-Days'!$G$3:$G$38,'OC-Days'!$F$3:$F$38))</f>
        <v>#N/A</v>
      </c>
      <c r="BF67" s="34" t="e">
        <f>IF(AS67=AR67,"na",_xlfn.XLOOKUP(BF$5,'OC-Days'!$G$3:$G$38,'OC-Days'!$F$3:$F$38))</f>
        <v>#N/A</v>
      </c>
      <c r="BG67" s="34" t="e">
        <f>IF(AT67=AS67,"na",_xlfn.XLOOKUP(BG$5,'OC-Days'!$G$3:$G$38,'OC-Days'!$F$3:$F$38))</f>
        <v>#N/A</v>
      </c>
      <c r="BH67" s="34" t="e">
        <f>IF(AU67=AT67,"na",_xlfn.XLOOKUP(BH$5,'OC-Days'!$G$3:$G$38,'OC-Days'!$F$3:$F$38))</f>
        <v>#N/A</v>
      </c>
      <c r="BI67" s="34" t="e">
        <f>IF(AV67=AU67,"na",_xlfn.XLOOKUP(BI$5,'OC-Days'!$G$3:$G$38,'OC-Days'!$F$3:$F$38))</f>
        <v>#N/A</v>
      </c>
      <c r="BJ67" s="34" t="e">
        <f>IF(AW67=AV67,"na",_xlfn.XLOOKUP(BJ$5,'OC-Days'!$G$3:$G$38,'OC-Days'!$F$3:$F$38))</f>
        <v>#N/A</v>
      </c>
      <c r="BK67" s="34" t="e">
        <f>IF(AX67=AW67,"na",_xlfn.XLOOKUP(BK$5,'OC-Days'!$G$3:$G$38,'OC-Days'!$F$3:$F$38))</f>
        <v>#N/A</v>
      </c>
      <c r="BL67" s="34" t="e">
        <f>IF(AY67=AX67,"na",_xlfn.XLOOKUP(BL$5,'OC-Days'!$G$3:$G$38,'OC-Days'!$F$3:$F$38))</f>
        <v>#N/A</v>
      </c>
      <c r="BM67" s="34" t="e">
        <f>IF(AZ67=AY67,"na",_xlfn.XLOOKUP(BM$5,'OC-Days'!$G$3:$G$38,'OC-Days'!$F$3:$F$38))</f>
        <v>#N/A</v>
      </c>
      <c r="BN67" s="34" t="e">
        <f>IF(BA67=AZ67,"na",_xlfn.XLOOKUP(BN$5,'OC-Days'!$G$3:$G$38,'OC-Days'!$F$3:$F$38))</f>
        <v>#N/A</v>
      </c>
      <c r="BP67" s="36" t="e">
        <f t="shared" si="63"/>
        <v>#N/A</v>
      </c>
      <c r="BQ67" s="36" t="e">
        <f t="shared" si="64"/>
        <v>#N/A</v>
      </c>
      <c r="BR67" s="36" t="e">
        <f t="shared" si="65"/>
        <v>#N/A</v>
      </c>
      <c r="BS67" s="36" t="e">
        <f t="shared" si="66"/>
        <v>#N/A</v>
      </c>
      <c r="BT67" s="36" t="e">
        <f t="shared" si="67"/>
        <v>#N/A</v>
      </c>
      <c r="BU67" s="36" t="e">
        <f t="shared" si="68"/>
        <v>#N/A</v>
      </c>
      <c r="BV67" s="36" t="e">
        <f t="shared" si="69"/>
        <v>#N/A</v>
      </c>
      <c r="BW67" s="36" t="e">
        <f t="shared" si="70"/>
        <v>#N/A</v>
      </c>
      <c r="BX67" s="36" t="e">
        <f t="shared" si="71"/>
        <v>#N/A</v>
      </c>
      <c r="BY67" s="36" t="e">
        <f t="shared" si="72"/>
        <v>#N/A</v>
      </c>
      <c r="BZ67" s="36" t="e">
        <f t="shared" si="73"/>
        <v>#N/A</v>
      </c>
      <c r="CA67" s="43">
        <f t="shared" si="79"/>
        <v>46022</v>
      </c>
      <c r="CC67" s="8">
        <f>COUNT($BC67:BC67)</f>
        <v>0</v>
      </c>
      <c r="CD67" s="8">
        <f>COUNT($BC67:BD67)</f>
        <v>0</v>
      </c>
      <c r="CE67" s="8">
        <f>COUNT($BC67:BE67)</f>
        <v>0</v>
      </c>
      <c r="CF67" s="8">
        <f>COUNT($BC67:BF67)</f>
        <v>0</v>
      </c>
      <c r="CG67" s="8">
        <f>COUNT($BC67:BG67)</f>
        <v>0</v>
      </c>
      <c r="CH67" s="8">
        <f>COUNT($BC67:BH67)</f>
        <v>0</v>
      </c>
      <c r="CI67" s="8">
        <f>COUNT($BC67:BI67)</f>
        <v>0</v>
      </c>
      <c r="CJ67" s="8">
        <f>COUNT($BC67:BJ67)</f>
        <v>0</v>
      </c>
      <c r="CK67" s="8">
        <f>COUNT($BC67:BK67)</f>
        <v>0</v>
      </c>
      <c r="CL67" s="8">
        <f>COUNT($BC67:BL67)</f>
        <v>0</v>
      </c>
      <c r="CM67" s="8">
        <f>COUNT($BC67:BM67)</f>
        <v>0</v>
      </c>
      <c r="CN67" s="8">
        <f>COUNT($BC67:BN67)</f>
        <v>0</v>
      </c>
      <c r="CO67" s="8"/>
      <c r="CP67" s="8">
        <f>COUNT($BP67:BP67)</f>
        <v>0</v>
      </c>
      <c r="CQ67" s="8">
        <f>COUNT($BP67:BQ67)</f>
        <v>0</v>
      </c>
      <c r="CR67" s="8">
        <f>COUNT($BP67:BR67)</f>
        <v>0</v>
      </c>
      <c r="CS67" s="8">
        <f>COUNT($BP67:BS67)</f>
        <v>0</v>
      </c>
      <c r="CT67" s="8">
        <f>COUNT($BP67:BT67)</f>
        <v>0</v>
      </c>
      <c r="CU67" s="8">
        <f>COUNT($BP67:BU67)</f>
        <v>0</v>
      </c>
      <c r="CV67" s="8">
        <f>COUNT($BP67:BV67)</f>
        <v>0</v>
      </c>
      <c r="CW67" s="8">
        <f>COUNT($BP67:BW67)</f>
        <v>0</v>
      </c>
      <c r="CX67" s="8">
        <f>COUNT($BP67:BX67)</f>
        <v>0</v>
      </c>
      <c r="CY67" s="8">
        <f>COUNT($BP67:BY67)</f>
        <v>0</v>
      </c>
      <c r="CZ67" s="8">
        <f>COUNT($BP67:BZ67)</f>
        <v>0</v>
      </c>
      <c r="DA67" s="8">
        <f>COUNT($BP67:CA67)</f>
        <v>1</v>
      </c>
      <c r="DC67">
        <f t="shared" si="74"/>
        <v>620</v>
      </c>
      <c r="DD67" t="str">
        <f t="shared" si="75"/>
        <v>Rollup</v>
      </c>
      <c r="DE67" t="str">
        <f t="shared" si="76"/>
        <v>620-Rollup</v>
      </c>
      <c r="DG67">
        <f t="shared" si="77"/>
        <v>0</v>
      </c>
      <c r="DH67">
        <f t="shared" si="78"/>
        <v>1</v>
      </c>
    </row>
    <row r="68" spans="2:161" x14ac:dyDescent="0.25">
      <c r="B68" s="50" t="s">
        <v>201</v>
      </c>
      <c r="C68">
        <v>775</v>
      </c>
      <c r="D68">
        <v>725</v>
      </c>
      <c r="E68">
        <v>775</v>
      </c>
      <c r="F68">
        <v>750</v>
      </c>
      <c r="G68">
        <v>775</v>
      </c>
      <c r="H68">
        <v>750</v>
      </c>
      <c r="I68">
        <v>775</v>
      </c>
      <c r="J68">
        <v>775</v>
      </c>
      <c r="K68">
        <v>750</v>
      </c>
      <c r="L68">
        <v>775</v>
      </c>
      <c r="M68">
        <v>750</v>
      </c>
      <c r="N68">
        <v>775</v>
      </c>
      <c r="P68">
        <v>751.75</v>
      </c>
      <c r="Q68">
        <v>703.25</v>
      </c>
      <c r="R68">
        <v>751.75</v>
      </c>
      <c r="S68">
        <v>727.5</v>
      </c>
      <c r="T68">
        <v>751.75</v>
      </c>
      <c r="U68">
        <v>727.5</v>
      </c>
      <c r="V68">
        <v>751.75</v>
      </c>
      <c r="W68">
        <v>751.75</v>
      </c>
      <c r="X68">
        <v>727.5</v>
      </c>
      <c r="Y68">
        <v>751.75</v>
      </c>
      <c r="Z68">
        <v>727.5</v>
      </c>
      <c r="AA68">
        <v>751.75</v>
      </c>
      <c r="AC68" s="14" t="e">
        <f>C68/_xlfn.XLOOKUP(AC$5,'OC-Days'!$G$3:$G$38,'OC-Days'!$B$3:$B$38)</f>
        <v>#N/A</v>
      </c>
      <c r="AD68" s="14" t="e">
        <f>D68/_xlfn.XLOOKUP(AD$5,'OC-Days'!$G$3:$G$38,'OC-Days'!$B$3:$B$38)</f>
        <v>#N/A</v>
      </c>
      <c r="AE68" s="14" t="e">
        <f>E68/_xlfn.XLOOKUP(AE$5,'OC-Days'!$G$3:$G$38,'OC-Days'!$B$3:$B$38)</f>
        <v>#N/A</v>
      </c>
      <c r="AF68" s="14" t="e">
        <f>F68/_xlfn.XLOOKUP(AF$5,'OC-Days'!$G$3:$G$38,'OC-Days'!$B$3:$B$38)</f>
        <v>#N/A</v>
      </c>
      <c r="AG68" s="14" t="e">
        <f>G68/_xlfn.XLOOKUP(AG$5,'OC-Days'!$G$3:$G$38,'OC-Days'!$B$3:$B$38)</f>
        <v>#N/A</v>
      </c>
      <c r="AH68" s="14" t="e">
        <f>H68/_xlfn.XLOOKUP(AH$5,'OC-Days'!$G$3:$G$38,'OC-Days'!$B$3:$B$38)</f>
        <v>#N/A</v>
      </c>
      <c r="AI68" s="14" t="e">
        <f>I68/_xlfn.XLOOKUP(AI$5,'OC-Days'!$G$3:$G$38,'OC-Days'!$B$3:$B$38)</f>
        <v>#N/A</v>
      </c>
      <c r="AJ68" s="14" t="e">
        <f>J68/_xlfn.XLOOKUP(AJ$5,'OC-Days'!$G$3:$G$38,'OC-Days'!$B$3:$B$38)</f>
        <v>#N/A</v>
      </c>
      <c r="AK68" s="14" t="e">
        <f>K68/_xlfn.XLOOKUP(AK$5,'OC-Days'!$G$3:$G$38,'OC-Days'!$B$3:$B$38)</f>
        <v>#N/A</v>
      </c>
      <c r="AL68" s="14" t="e">
        <f>L68/_xlfn.XLOOKUP(AL$5,'OC-Days'!$G$3:$G$38,'OC-Days'!$B$3:$B$38)</f>
        <v>#N/A</v>
      </c>
      <c r="AM68" s="14" t="e">
        <f>M68/_xlfn.XLOOKUP(AM$5,'OC-Days'!$G$3:$G$38,'OC-Days'!$B$3:$B$38)</f>
        <v>#N/A</v>
      </c>
      <c r="AN68" s="14" t="e">
        <f>N68/_xlfn.XLOOKUP(AN$5,'OC-Days'!$G$3:$G$38,'OC-Days'!$B$3:$B$38)</f>
        <v>#N/A</v>
      </c>
      <c r="AP68" s="14" t="e">
        <f>P68/_xlfn.XLOOKUP(AP$5,'OC-Days'!$G$3:$G$38,'OC-Days'!$B$3:$B$38)</f>
        <v>#N/A</v>
      </c>
      <c r="AQ68" s="14" t="e">
        <f>Q68/_xlfn.XLOOKUP(AQ$5,'OC-Days'!$G$3:$G$38,'OC-Days'!$B$3:$B$38)</f>
        <v>#N/A</v>
      </c>
      <c r="AR68" s="14" t="e">
        <f>R68/_xlfn.XLOOKUP(AR$5,'OC-Days'!$G$3:$G$38,'OC-Days'!$B$3:$B$38)</f>
        <v>#N/A</v>
      </c>
      <c r="AS68" s="14" t="e">
        <f>S68/_xlfn.XLOOKUP(AS$5,'OC-Days'!$G$3:$G$38,'OC-Days'!$B$3:$B$38)</f>
        <v>#N/A</v>
      </c>
      <c r="AT68" s="14" t="e">
        <f>T68/_xlfn.XLOOKUP(AT$5,'OC-Days'!$G$3:$G$38,'OC-Days'!$B$3:$B$38)</f>
        <v>#N/A</v>
      </c>
      <c r="AU68" s="14" t="e">
        <f>U68/_xlfn.XLOOKUP(AU$5,'OC-Days'!$G$3:$G$38,'OC-Days'!$B$3:$B$38)</f>
        <v>#N/A</v>
      </c>
      <c r="AV68" s="14" t="e">
        <f>V68/_xlfn.XLOOKUP(AV$5,'OC-Days'!$G$3:$G$38,'OC-Days'!$B$3:$B$38)</f>
        <v>#N/A</v>
      </c>
      <c r="AW68" s="14" t="e">
        <f>W68/_xlfn.XLOOKUP(AW$5,'OC-Days'!$G$3:$G$38,'OC-Days'!$B$3:$B$38)</f>
        <v>#N/A</v>
      </c>
      <c r="AX68" s="14" t="e">
        <f>X68/_xlfn.XLOOKUP(AX$5,'OC-Days'!$G$3:$G$38,'OC-Days'!$B$3:$B$38)</f>
        <v>#N/A</v>
      </c>
      <c r="AY68" s="14" t="e">
        <f>Y68/_xlfn.XLOOKUP(AY$5,'OC-Days'!$G$3:$G$38,'OC-Days'!$B$3:$B$38)</f>
        <v>#N/A</v>
      </c>
      <c r="AZ68" s="14" t="e">
        <f>Z68/_xlfn.XLOOKUP(AZ$5,'OC-Days'!$G$3:$G$38,'OC-Days'!$B$3:$B$38)</f>
        <v>#N/A</v>
      </c>
      <c r="BA68" s="14" t="e">
        <f>AA68/_xlfn.XLOOKUP(BA$5,'OC-Days'!$G$3:$G$38,'OC-Days'!$B$3:$B$38)</f>
        <v>#N/A</v>
      </c>
      <c r="BC68" s="33" t="e">
        <f>_xlfn.XLOOKUP(BC$5,'OC-Days'!$G$3:$G$38,'OC-Days'!$F$3:$F$38)</f>
        <v>#N/A</v>
      </c>
      <c r="BD68" s="34" t="e">
        <f>IF(AQ68=AP68,"na",_xlfn.XLOOKUP(BD$5,'OC-Days'!$G$3:$G$38,'OC-Days'!$F$3:$F$38))</f>
        <v>#N/A</v>
      </c>
      <c r="BE68" s="34" t="e">
        <f>IF(AR68=AQ68,"na",_xlfn.XLOOKUP(BE$5,'OC-Days'!$G$3:$G$38,'OC-Days'!$F$3:$F$38))</f>
        <v>#N/A</v>
      </c>
      <c r="BF68" s="34" t="e">
        <f>IF(AS68=AR68,"na",_xlfn.XLOOKUP(BF$5,'OC-Days'!$G$3:$G$38,'OC-Days'!$F$3:$F$38))</f>
        <v>#N/A</v>
      </c>
      <c r="BG68" s="34" t="e">
        <f>IF(AT68=AS68,"na",_xlfn.XLOOKUP(BG$5,'OC-Days'!$G$3:$G$38,'OC-Days'!$F$3:$F$38))</f>
        <v>#N/A</v>
      </c>
      <c r="BH68" s="34" t="e">
        <f>IF(AU68=AT68,"na",_xlfn.XLOOKUP(BH$5,'OC-Days'!$G$3:$G$38,'OC-Days'!$F$3:$F$38))</f>
        <v>#N/A</v>
      </c>
      <c r="BI68" s="34" t="e">
        <f>IF(AV68=AU68,"na",_xlfn.XLOOKUP(BI$5,'OC-Days'!$G$3:$G$38,'OC-Days'!$F$3:$F$38))</f>
        <v>#N/A</v>
      </c>
      <c r="BJ68" s="34" t="e">
        <f>IF(AW68=AV68,"na",_xlfn.XLOOKUP(BJ$5,'OC-Days'!$G$3:$G$38,'OC-Days'!$F$3:$F$38))</f>
        <v>#N/A</v>
      </c>
      <c r="BK68" s="34" t="e">
        <f>IF(AX68=AW68,"na",_xlfn.XLOOKUP(BK$5,'OC-Days'!$G$3:$G$38,'OC-Days'!$F$3:$F$38))</f>
        <v>#N/A</v>
      </c>
      <c r="BL68" s="34" t="e">
        <f>IF(AY68=AX68,"na",_xlfn.XLOOKUP(BL$5,'OC-Days'!$G$3:$G$38,'OC-Days'!$F$3:$F$38))</f>
        <v>#N/A</v>
      </c>
      <c r="BM68" s="34" t="e">
        <f>IF(AZ68=AY68,"na",_xlfn.XLOOKUP(BM$5,'OC-Days'!$G$3:$G$38,'OC-Days'!$F$3:$F$38))</f>
        <v>#N/A</v>
      </c>
      <c r="BN68" s="34" t="e">
        <f>IF(BA68=AZ68,"na",_xlfn.XLOOKUP(BN$5,'OC-Days'!$G$3:$G$38,'OC-Days'!$F$3:$F$38))</f>
        <v>#N/A</v>
      </c>
      <c r="BP68" s="36" t="e">
        <f t="shared" si="63"/>
        <v>#N/A</v>
      </c>
      <c r="BQ68" s="36" t="e">
        <f t="shared" si="64"/>
        <v>#N/A</v>
      </c>
      <c r="BR68" s="36" t="e">
        <f t="shared" si="65"/>
        <v>#N/A</v>
      </c>
      <c r="BS68" s="36" t="e">
        <f t="shared" si="66"/>
        <v>#N/A</v>
      </c>
      <c r="BT68" s="36" t="e">
        <f t="shared" si="67"/>
        <v>#N/A</v>
      </c>
      <c r="BU68" s="36" t="e">
        <f t="shared" si="68"/>
        <v>#N/A</v>
      </c>
      <c r="BV68" s="36" t="e">
        <f t="shared" si="69"/>
        <v>#N/A</v>
      </c>
      <c r="BW68" s="36" t="e">
        <f t="shared" si="70"/>
        <v>#N/A</v>
      </c>
      <c r="BX68" s="36" t="e">
        <f t="shared" si="71"/>
        <v>#N/A</v>
      </c>
      <c r="BY68" s="36" t="e">
        <f t="shared" si="72"/>
        <v>#N/A</v>
      </c>
      <c r="BZ68" s="36" t="e">
        <f t="shared" si="73"/>
        <v>#N/A</v>
      </c>
      <c r="CA68" s="43">
        <f t="shared" si="79"/>
        <v>46022</v>
      </c>
      <c r="CC68" s="8">
        <f>COUNT($BC68:BC68)</f>
        <v>0</v>
      </c>
      <c r="CD68" s="8">
        <f>COUNT($BC68:BD68)</f>
        <v>0</v>
      </c>
      <c r="CE68" s="8">
        <f>COUNT($BC68:BE68)</f>
        <v>0</v>
      </c>
      <c r="CF68" s="8">
        <f>COUNT($BC68:BF68)</f>
        <v>0</v>
      </c>
      <c r="CG68" s="8">
        <f>COUNT($BC68:BG68)</f>
        <v>0</v>
      </c>
      <c r="CH68" s="8">
        <f>COUNT($BC68:BH68)</f>
        <v>0</v>
      </c>
      <c r="CI68" s="8">
        <f>COUNT($BC68:BI68)</f>
        <v>0</v>
      </c>
      <c r="CJ68" s="8">
        <f>COUNT($BC68:BJ68)</f>
        <v>0</v>
      </c>
      <c r="CK68" s="8">
        <f>COUNT($BC68:BK68)</f>
        <v>0</v>
      </c>
      <c r="CL68" s="8">
        <f>COUNT($BC68:BL68)</f>
        <v>0</v>
      </c>
      <c r="CM68" s="8">
        <f>COUNT($BC68:BM68)</f>
        <v>0</v>
      </c>
      <c r="CN68" s="8">
        <f>COUNT($BC68:BN68)</f>
        <v>0</v>
      </c>
      <c r="CO68" s="8"/>
      <c r="CP68" s="8">
        <f>COUNT($BP68:BP68)</f>
        <v>0</v>
      </c>
      <c r="CQ68" s="8">
        <f>COUNT($BP68:BQ68)</f>
        <v>0</v>
      </c>
      <c r="CR68" s="8">
        <f>COUNT($BP68:BR68)</f>
        <v>0</v>
      </c>
      <c r="CS68" s="8">
        <f>COUNT($BP68:BS68)</f>
        <v>0</v>
      </c>
      <c r="CT68" s="8">
        <f>COUNT($BP68:BT68)</f>
        <v>0</v>
      </c>
      <c r="CU68" s="8">
        <f>COUNT($BP68:BU68)</f>
        <v>0</v>
      </c>
      <c r="CV68" s="8">
        <f>COUNT($BP68:BV68)</f>
        <v>0</v>
      </c>
      <c r="CW68" s="8">
        <f>COUNT($BP68:BW68)</f>
        <v>0</v>
      </c>
      <c r="CX68" s="8">
        <f>COUNT($BP68:BX68)</f>
        <v>0</v>
      </c>
      <c r="CY68" s="8">
        <f>COUNT($BP68:BY68)</f>
        <v>0</v>
      </c>
      <c r="CZ68" s="8">
        <f>COUNT($BP68:BZ68)</f>
        <v>0</v>
      </c>
      <c r="DA68" s="8">
        <f>COUNT($BP68:CA68)</f>
        <v>1</v>
      </c>
      <c r="DC68">
        <f t="shared" si="74"/>
        <v>630</v>
      </c>
      <c r="DD68">
        <f t="shared" si="75"/>
        <v>21</v>
      </c>
      <c r="DE68" t="str">
        <f t="shared" si="76"/>
        <v>630-21</v>
      </c>
      <c r="DG68">
        <f t="shared" si="77"/>
        <v>0</v>
      </c>
      <c r="DH68">
        <f t="shared" si="78"/>
        <v>1</v>
      </c>
      <c r="DJ68" s="44" t="str" cm="1">
        <f t="array" ref="DJ68">IF(DJ$5&lt;=$DG68,INDEX($BC68:$BN68,1,_xlfn.XMATCH(DJ$5,$CC68:$CN68)),"na")</f>
        <v>na</v>
      </c>
      <c r="DK68" s="45" cm="1">
        <f t="array" ref="DK68">IF(DK$5&lt;=$DH68,INDEX($BP68:$CA68,1,_xlfn.XMATCH(DK$5,$CP68:$DA68)),"na")</f>
        <v>46022</v>
      </c>
      <c r="DL68" s="46" t="str" cm="1">
        <f t="array" ref="DL68">IF(DL$5&lt;=$DG68,INDEX($AC68:$AN68,1,_xlfn.XMATCH(DL$5,$CC68:$CN68)),"na")</f>
        <v>na</v>
      </c>
      <c r="DM68" s="47" t="str" cm="1">
        <f t="array" ref="DM68">IF(DM$5&lt;=$DG68,INDEX($AP68:$BA68,1,_xlfn.XMATCH(DM$5,$CC68:$CN68)),"na")</f>
        <v>na</v>
      </c>
      <c r="DN68" s="44" t="str" cm="1">
        <f t="array" ref="DN68">IF(DN$5&lt;=$DG68,INDEX($BC68:$BN68,1,_xlfn.XMATCH(DN$5,$CC68:$CN68)),"na")</f>
        <v>na</v>
      </c>
      <c r="DO68" s="45" t="str" cm="1">
        <f t="array" ref="DO68">IF(DO$5&lt;=$DH68,INDEX($BP68:$CA68,1,_xlfn.XMATCH(DO$5,$CP68:$DA68)),"na")</f>
        <v>na</v>
      </c>
      <c r="DP68" s="46" t="str" cm="1">
        <f t="array" ref="DP68">IF(DP$5&lt;=$DG68,INDEX($AC68:$AN68,1,_xlfn.XMATCH(DP$5,$CC68:$CN68)),"na")</f>
        <v>na</v>
      </c>
      <c r="DQ68" s="47" t="str" cm="1">
        <f t="array" ref="DQ68">IF(DQ$5&lt;=$DG68,INDEX($AP68:$BA68,1,_xlfn.XMATCH(DQ$5,$CC68:$CN68)),"na")</f>
        <v>na</v>
      </c>
      <c r="DR68" s="44" t="str" cm="1">
        <f t="array" ref="DR68">IF(DR$5&lt;=$DG68,INDEX($BC68:$BN68,1,_xlfn.XMATCH(DR$5,$CC68:$CN68)),"na")</f>
        <v>na</v>
      </c>
      <c r="DS68" s="45" t="str" cm="1">
        <f t="array" ref="DS68">IF(DS$5&lt;=$DH68,INDEX($BP68:$CA68,1,_xlfn.XMATCH(DS$5,$CP68:$DA68)),"na")</f>
        <v>na</v>
      </c>
      <c r="DT68" s="46" t="str" cm="1">
        <f t="array" ref="DT68">IF(DT$5&lt;=$DG68,INDEX($AC68:$AN68,1,_xlfn.XMATCH(DT$5,$CC68:$CN68)),"na")</f>
        <v>na</v>
      </c>
      <c r="DU68" s="47" t="str" cm="1">
        <f t="array" ref="DU68">IF(DU$5&lt;=$DG68,INDEX($AP68:$BA68,1,_xlfn.XMATCH(DU$5,$CC68:$CN68)),"na")</f>
        <v>na</v>
      </c>
      <c r="DV68" s="44" t="str" cm="1">
        <f t="array" ref="DV68">IF(DV$5&lt;=$DG68,INDEX($BC68:$BN68,1,_xlfn.XMATCH(DV$5,$CC68:$CN68)),"na")</f>
        <v>na</v>
      </c>
      <c r="DW68" s="45" t="str" cm="1">
        <f t="array" ref="DW68">IF(DW$5&lt;=$DH68,INDEX($BP68:$CA68,1,_xlfn.XMATCH(DW$5,$CP68:$DA68)),"na")</f>
        <v>na</v>
      </c>
      <c r="DX68" s="46" t="str" cm="1">
        <f t="array" ref="DX68">IF(DX$5&lt;=$DG68,INDEX($AC68:$AN68,1,_xlfn.XMATCH(DX$5,$CC68:$CN68)),"na")</f>
        <v>na</v>
      </c>
      <c r="DY68" s="47" t="str" cm="1">
        <f t="array" ref="DY68">IF(DY$5&lt;=$DG68,INDEX($AP68:$BA68,1,_xlfn.XMATCH(DY$5,$CC68:$CN68)),"na")</f>
        <v>na</v>
      </c>
      <c r="DZ68" s="44" t="str" cm="1">
        <f t="array" ref="DZ68">IF(DZ$5&lt;=$DG68,INDEX($BC68:$BN68,1,_xlfn.XMATCH(DZ$5,$CC68:$CN68)),"na")</f>
        <v>na</v>
      </c>
      <c r="EA68" s="45" t="str" cm="1">
        <f t="array" ref="EA68">IF(EA$5&lt;=$DH68,INDEX($BP68:$CA68,1,_xlfn.XMATCH(EA$5,$CP68:$DA68)),"na")</f>
        <v>na</v>
      </c>
      <c r="EB68" s="46" t="str" cm="1">
        <f t="array" ref="EB68">IF(EB$5&lt;=$DG68,INDEX($AC68:$AN68,1,_xlfn.XMATCH(EB$5,$CC68:$CN68)),"na")</f>
        <v>na</v>
      </c>
      <c r="EC68" s="47" t="str" cm="1">
        <f t="array" ref="EC68">IF(EC$5&lt;=$DG68,INDEX($AP68:$BA68,1,_xlfn.XMATCH(EC$5,$CC68:$CN68)),"na")</f>
        <v>na</v>
      </c>
      <c r="ED68" s="44" t="str" cm="1">
        <f t="array" ref="ED68">IF(ED$5&lt;=$DG68,INDEX($BC68:$BN68,1,_xlfn.XMATCH(ED$5,$CC68:$CN68)),"na")</f>
        <v>na</v>
      </c>
      <c r="EE68" s="45" t="str" cm="1">
        <f t="array" ref="EE68">IF(EE$5&lt;=$DH68,INDEX($BP68:$CA68,1,_xlfn.XMATCH(EE$5,$CP68:$DA68)),"na")</f>
        <v>na</v>
      </c>
      <c r="EF68" s="46" t="str" cm="1">
        <f t="array" ref="EF68">IF(EF$5&lt;=$DG68,INDEX($AC68:$AN68,1,_xlfn.XMATCH(EF$5,$CC68:$CN68)),"na")</f>
        <v>na</v>
      </c>
      <c r="EG68" s="47" t="str" cm="1">
        <f t="array" ref="EG68">IF(EG$5&lt;=$DG68,INDEX($AP68:$BA68,1,_xlfn.XMATCH(EG$5,$CC68:$CN68)),"na")</f>
        <v>na</v>
      </c>
      <c r="EH68" s="44" t="str" cm="1">
        <f t="array" ref="EH68">IF(EH$5&lt;=$DG68,INDEX($BC68:$BN68,1,_xlfn.XMATCH(EH$5,$CC68:$CN68)),"na")</f>
        <v>na</v>
      </c>
      <c r="EI68" s="45" t="str" cm="1">
        <f t="array" ref="EI68">IF(EI$5&lt;=$DH68,INDEX($BP68:$CA68,1,_xlfn.XMATCH(EI$5,$CP68:$DA68)),"na")</f>
        <v>na</v>
      </c>
      <c r="EJ68" s="46" t="str" cm="1">
        <f t="array" ref="EJ68">IF(EJ$5&lt;=$DG68,INDEX($AC68:$AN68,1,_xlfn.XMATCH(EJ$5,$CC68:$CN68)),"na")</f>
        <v>na</v>
      </c>
      <c r="EK68" s="47" t="str" cm="1">
        <f t="array" ref="EK68">IF(EK$5&lt;=$DG68,INDEX($AP68:$BA68,1,_xlfn.XMATCH(EK$5,$CC68:$CN68)),"na")</f>
        <v>na</v>
      </c>
      <c r="EL68" s="44" t="str" cm="1">
        <f t="array" ref="EL68">IF(EL$5&lt;=$DG68,INDEX($BC68:$BN68,1,_xlfn.XMATCH(EL$5,$CC68:$CN68)),"na")</f>
        <v>na</v>
      </c>
      <c r="EM68" s="45" t="str" cm="1">
        <f t="array" ref="EM68">IF(EM$5&lt;=$DH68,INDEX($BP68:$CA68,1,_xlfn.XMATCH(EM$5,$CP68:$DA68)),"na")</f>
        <v>na</v>
      </c>
      <c r="EN68" s="46" t="str" cm="1">
        <f t="array" ref="EN68">IF(EN$5&lt;=$DG68,INDEX($AC68:$AN68,1,_xlfn.XMATCH(EN$5,$CC68:$CN68)),"na")</f>
        <v>na</v>
      </c>
      <c r="EO68" s="47" t="str" cm="1">
        <f t="array" ref="EO68">IF(EO$5&lt;=$DG68,INDEX($AP68:$BA68,1,_xlfn.XMATCH(EO$5,$CC68:$CN68)),"na")</f>
        <v>na</v>
      </c>
      <c r="EP68" s="44" t="str" cm="1">
        <f t="array" ref="EP68">IF(EP$5&lt;=$DG68,INDEX($BC68:$BN68,1,_xlfn.XMATCH(EP$5,$CC68:$CN68)),"na")</f>
        <v>na</v>
      </c>
      <c r="EQ68" s="45" t="str" cm="1">
        <f t="array" ref="EQ68">IF(EQ$5&lt;=$DH68,INDEX($BP68:$CA68,1,_xlfn.XMATCH(EQ$5,$CP68:$DA68)),"na")</f>
        <v>na</v>
      </c>
      <c r="ER68" s="46" t="str" cm="1">
        <f t="array" ref="ER68">IF(ER$5&lt;=$DG68,INDEX($AC68:$AN68,1,_xlfn.XMATCH(ER$5,$CC68:$CN68)),"na")</f>
        <v>na</v>
      </c>
      <c r="ES68" s="47" t="str" cm="1">
        <f t="array" ref="ES68">IF(ES$5&lt;=$DG68,INDEX($AP68:$BA68,1,_xlfn.XMATCH(ES$5,$CC68:$CN68)),"na")</f>
        <v>na</v>
      </c>
      <c r="ET68" s="44" t="str" cm="1">
        <f t="array" ref="ET68">IF(ET$5&lt;=$DG68,INDEX($BC68:$BN68,1,_xlfn.XMATCH(ET$5,$CC68:$CN68)),"na")</f>
        <v>na</v>
      </c>
      <c r="EU68" s="45" t="str" cm="1">
        <f t="array" ref="EU68">IF(EU$5&lt;=$DH68,INDEX($BP68:$CA68,1,_xlfn.XMATCH(EU$5,$CP68:$DA68)),"na")</f>
        <v>na</v>
      </c>
      <c r="EV68" s="46" t="str" cm="1">
        <f t="array" ref="EV68">IF(EV$5&lt;=$DG68,INDEX($AC68:$AN68,1,_xlfn.XMATCH(EV$5,$CC68:$CN68)),"na")</f>
        <v>na</v>
      </c>
      <c r="EW68" s="47" t="str" cm="1">
        <f t="array" ref="EW68">IF(EW$5&lt;=$DG68,INDEX($AP68:$BA68,1,_xlfn.XMATCH(EW$5,$CC68:$CN68)),"na")</f>
        <v>na</v>
      </c>
      <c r="EX68" s="44" t="str" cm="1">
        <f t="array" ref="EX68">IF(EX$5&lt;=$DG68,INDEX($BC68:$BN68,1,_xlfn.XMATCH(EX$5,$CC68:$CN68)),"na")</f>
        <v>na</v>
      </c>
      <c r="EY68" s="45" t="str" cm="1">
        <f t="array" ref="EY68">IF(EY$5&lt;=$DH68,INDEX($BP68:$CA68,1,_xlfn.XMATCH(EY$5,$CP68:$DA68)),"na")</f>
        <v>na</v>
      </c>
      <c r="EZ68" s="46" t="str" cm="1">
        <f t="array" ref="EZ68">IF(EZ$5&lt;=$DG68,INDEX($AC68:$AN68,1,_xlfn.XMATCH(EZ$5,$CC68:$CN68)),"na")</f>
        <v>na</v>
      </c>
      <c r="FA68" s="47" t="str" cm="1">
        <f t="array" ref="FA68">IF(FA$5&lt;=$DG68,INDEX($AP68:$BA68,1,_xlfn.XMATCH(FA$5,$CC68:$CN68)),"na")</f>
        <v>na</v>
      </c>
      <c r="FB68" s="44" t="str" cm="1">
        <f t="array" ref="FB68">IF(FB$5&lt;=$DG68,INDEX($BC68:$BN68,1,_xlfn.XMATCH(FB$5,$CC68:$CN68)),"na")</f>
        <v>na</v>
      </c>
      <c r="FC68" s="45" t="str" cm="1">
        <f t="array" ref="FC68">IF(FC$5&lt;=$DH68,INDEX($BP68:$CA68,1,_xlfn.XMATCH(FC$5,$CP68:$DA68)),"na")</f>
        <v>na</v>
      </c>
      <c r="FD68" s="46" t="str" cm="1">
        <f t="array" ref="FD68">IF(FD$5&lt;=$DG68,INDEX($AC68:$AN68,1,_xlfn.XMATCH(FD$5,$CC68:$CN68)),"na")</f>
        <v>na</v>
      </c>
      <c r="FE68" s="47" t="str" cm="1">
        <f t="array" ref="FE68">IF(FE$5&lt;=$DG68,INDEX($AP68:$BA68,1,_xlfn.XMATCH(FE$5,$CC68:$CN68)),"na")</f>
        <v>na</v>
      </c>
    </row>
    <row r="69" spans="2:161" x14ac:dyDescent="0.25">
      <c r="B69" s="50" t="s">
        <v>202</v>
      </c>
      <c r="C69">
        <v>2697</v>
      </c>
      <c r="D69">
        <v>2523</v>
      </c>
      <c r="E69">
        <v>2697</v>
      </c>
      <c r="F69">
        <v>2610</v>
      </c>
      <c r="G69">
        <v>2697</v>
      </c>
      <c r="H69">
        <v>2610</v>
      </c>
      <c r="I69">
        <v>2697</v>
      </c>
      <c r="J69">
        <v>2697</v>
      </c>
      <c r="K69">
        <v>2610</v>
      </c>
      <c r="L69">
        <v>2697</v>
      </c>
      <c r="M69">
        <v>2610</v>
      </c>
      <c r="N69">
        <v>2697</v>
      </c>
      <c r="P69">
        <v>2049.1</v>
      </c>
      <c r="Q69">
        <v>1931.4</v>
      </c>
      <c r="R69">
        <v>2083.2000000000003</v>
      </c>
      <c r="S69">
        <v>2031</v>
      </c>
      <c r="T69">
        <v>2117.2999999999997</v>
      </c>
      <c r="U69">
        <v>2064</v>
      </c>
      <c r="V69">
        <v>2148.2999999999997</v>
      </c>
      <c r="W69">
        <v>2166.9</v>
      </c>
      <c r="X69">
        <v>2112</v>
      </c>
      <c r="Y69">
        <v>2197.9</v>
      </c>
      <c r="Z69">
        <v>2142</v>
      </c>
      <c r="AA69">
        <v>2232</v>
      </c>
      <c r="AC69" s="14" t="e">
        <f>C69/_xlfn.XLOOKUP(AC$5,'OC-Days'!$G$3:$G$38,'OC-Days'!$B$3:$B$38)</f>
        <v>#N/A</v>
      </c>
      <c r="AD69" s="14" t="e">
        <f>D69/_xlfn.XLOOKUP(AD$5,'OC-Days'!$G$3:$G$38,'OC-Days'!$B$3:$B$38)</f>
        <v>#N/A</v>
      </c>
      <c r="AE69" s="14" t="e">
        <f>E69/_xlfn.XLOOKUP(AE$5,'OC-Days'!$G$3:$G$38,'OC-Days'!$B$3:$B$38)</f>
        <v>#N/A</v>
      </c>
      <c r="AF69" s="14" t="e">
        <f>F69/_xlfn.XLOOKUP(AF$5,'OC-Days'!$G$3:$G$38,'OC-Days'!$B$3:$B$38)</f>
        <v>#N/A</v>
      </c>
      <c r="AG69" s="14" t="e">
        <f>G69/_xlfn.XLOOKUP(AG$5,'OC-Days'!$G$3:$G$38,'OC-Days'!$B$3:$B$38)</f>
        <v>#N/A</v>
      </c>
      <c r="AH69" s="14" t="e">
        <f>H69/_xlfn.XLOOKUP(AH$5,'OC-Days'!$G$3:$G$38,'OC-Days'!$B$3:$B$38)</f>
        <v>#N/A</v>
      </c>
      <c r="AI69" s="14" t="e">
        <f>I69/_xlfn.XLOOKUP(AI$5,'OC-Days'!$G$3:$G$38,'OC-Days'!$B$3:$B$38)</f>
        <v>#N/A</v>
      </c>
      <c r="AJ69" s="14" t="e">
        <f>J69/_xlfn.XLOOKUP(AJ$5,'OC-Days'!$G$3:$G$38,'OC-Days'!$B$3:$B$38)</f>
        <v>#N/A</v>
      </c>
      <c r="AK69" s="14" t="e">
        <f>K69/_xlfn.XLOOKUP(AK$5,'OC-Days'!$G$3:$G$38,'OC-Days'!$B$3:$B$38)</f>
        <v>#N/A</v>
      </c>
      <c r="AL69" s="14" t="e">
        <f>L69/_xlfn.XLOOKUP(AL$5,'OC-Days'!$G$3:$G$38,'OC-Days'!$B$3:$B$38)</f>
        <v>#N/A</v>
      </c>
      <c r="AM69" s="14" t="e">
        <f>M69/_xlfn.XLOOKUP(AM$5,'OC-Days'!$G$3:$G$38,'OC-Days'!$B$3:$B$38)</f>
        <v>#N/A</v>
      </c>
      <c r="AN69" s="14" t="e">
        <f>N69/_xlfn.XLOOKUP(AN$5,'OC-Days'!$G$3:$G$38,'OC-Days'!$B$3:$B$38)</f>
        <v>#N/A</v>
      </c>
      <c r="AP69" s="14" t="e">
        <f>P69/_xlfn.XLOOKUP(AP$5,'OC-Days'!$G$3:$G$38,'OC-Days'!$B$3:$B$38)</f>
        <v>#N/A</v>
      </c>
      <c r="AQ69" s="14" t="e">
        <f>Q69/_xlfn.XLOOKUP(AQ$5,'OC-Days'!$G$3:$G$38,'OC-Days'!$B$3:$B$38)</f>
        <v>#N/A</v>
      </c>
      <c r="AR69" s="14" t="e">
        <f>R69/_xlfn.XLOOKUP(AR$5,'OC-Days'!$G$3:$G$38,'OC-Days'!$B$3:$B$38)</f>
        <v>#N/A</v>
      </c>
      <c r="AS69" s="14" t="e">
        <f>S69/_xlfn.XLOOKUP(AS$5,'OC-Days'!$G$3:$G$38,'OC-Days'!$B$3:$B$38)</f>
        <v>#N/A</v>
      </c>
      <c r="AT69" s="14" t="e">
        <f>T69/_xlfn.XLOOKUP(AT$5,'OC-Days'!$G$3:$G$38,'OC-Days'!$B$3:$B$38)</f>
        <v>#N/A</v>
      </c>
      <c r="AU69" s="14" t="e">
        <f>U69/_xlfn.XLOOKUP(AU$5,'OC-Days'!$G$3:$G$38,'OC-Days'!$B$3:$B$38)</f>
        <v>#N/A</v>
      </c>
      <c r="AV69" s="14" t="e">
        <f>V69/_xlfn.XLOOKUP(AV$5,'OC-Days'!$G$3:$G$38,'OC-Days'!$B$3:$B$38)</f>
        <v>#N/A</v>
      </c>
      <c r="AW69" s="14" t="e">
        <f>W69/_xlfn.XLOOKUP(AW$5,'OC-Days'!$G$3:$G$38,'OC-Days'!$B$3:$B$38)</f>
        <v>#N/A</v>
      </c>
      <c r="AX69" s="14" t="e">
        <f>X69/_xlfn.XLOOKUP(AX$5,'OC-Days'!$G$3:$G$38,'OC-Days'!$B$3:$B$38)</f>
        <v>#N/A</v>
      </c>
      <c r="AY69" s="14" t="e">
        <f>Y69/_xlfn.XLOOKUP(AY$5,'OC-Days'!$G$3:$G$38,'OC-Days'!$B$3:$B$38)</f>
        <v>#N/A</v>
      </c>
      <c r="AZ69" s="14" t="e">
        <f>Z69/_xlfn.XLOOKUP(AZ$5,'OC-Days'!$G$3:$G$38,'OC-Days'!$B$3:$B$38)</f>
        <v>#N/A</v>
      </c>
      <c r="BA69" s="14" t="e">
        <f>AA69/_xlfn.XLOOKUP(BA$5,'OC-Days'!$G$3:$G$38,'OC-Days'!$B$3:$B$38)</f>
        <v>#N/A</v>
      </c>
      <c r="BC69" s="33" t="e">
        <f>_xlfn.XLOOKUP(BC$5,'OC-Days'!$G$3:$G$38,'OC-Days'!$F$3:$F$38)</f>
        <v>#N/A</v>
      </c>
      <c r="BD69" s="34" t="e">
        <f>IF(AQ69=AP69,"na",_xlfn.XLOOKUP(BD$5,'OC-Days'!$G$3:$G$38,'OC-Days'!$F$3:$F$38))</f>
        <v>#N/A</v>
      </c>
      <c r="BE69" s="34" t="e">
        <f>IF(AR69=AQ69,"na",_xlfn.XLOOKUP(BE$5,'OC-Days'!$G$3:$G$38,'OC-Days'!$F$3:$F$38))</f>
        <v>#N/A</v>
      </c>
      <c r="BF69" s="34" t="e">
        <f>IF(AS69=AR69,"na",_xlfn.XLOOKUP(BF$5,'OC-Days'!$G$3:$G$38,'OC-Days'!$F$3:$F$38))</f>
        <v>#N/A</v>
      </c>
      <c r="BG69" s="34" t="e">
        <f>IF(AT69=AS69,"na",_xlfn.XLOOKUP(BG$5,'OC-Days'!$G$3:$G$38,'OC-Days'!$F$3:$F$38))</f>
        <v>#N/A</v>
      </c>
      <c r="BH69" s="34" t="e">
        <f>IF(AU69=AT69,"na",_xlfn.XLOOKUP(BH$5,'OC-Days'!$G$3:$G$38,'OC-Days'!$F$3:$F$38))</f>
        <v>#N/A</v>
      </c>
      <c r="BI69" s="34" t="e">
        <f>IF(AV69=AU69,"na",_xlfn.XLOOKUP(BI$5,'OC-Days'!$G$3:$G$38,'OC-Days'!$F$3:$F$38))</f>
        <v>#N/A</v>
      </c>
      <c r="BJ69" s="34" t="e">
        <f>IF(AW69=AV69,"na",_xlfn.XLOOKUP(BJ$5,'OC-Days'!$G$3:$G$38,'OC-Days'!$F$3:$F$38))</f>
        <v>#N/A</v>
      </c>
      <c r="BK69" s="34" t="e">
        <f>IF(AX69=AW69,"na",_xlfn.XLOOKUP(BK$5,'OC-Days'!$G$3:$G$38,'OC-Days'!$F$3:$F$38))</f>
        <v>#N/A</v>
      </c>
      <c r="BL69" s="34" t="e">
        <f>IF(AY69=AX69,"na",_xlfn.XLOOKUP(BL$5,'OC-Days'!$G$3:$G$38,'OC-Days'!$F$3:$F$38))</f>
        <v>#N/A</v>
      </c>
      <c r="BM69" s="34" t="e">
        <f>IF(AZ69=AY69,"na",_xlfn.XLOOKUP(BM$5,'OC-Days'!$G$3:$G$38,'OC-Days'!$F$3:$F$38))</f>
        <v>#N/A</v>
      </c>
      <c r="BN69" s="34" t="e">
        <f>IF(BA69=AZ69,"na",_xlfn.XLOOKUP(BN$5,'OC-Days'!$G$3:$G$38,'OC-Days'!$F$3:$F$38))</f>
        <v>#N/A</v>
      </c>
      <c r="BP69" s="36" t="e">
        <f t="shared" si="63"/>
        <v>#N/A</v>
      </c>
      <c r="BQ69" s="36" t="e">
        <f t="shared" si="64"/>
        <v>#N/A</v>
      </c>
      <c r="BR69" s="36" t="e">
        <f t="shared" si="65"/>
        <v>#N/A</v>
      </c>
      <c r="BS69" s="36" t="e">
        <f t="shared" si="66"/>
        <v>#N/A</v>
      </c>
      <c r="BT69" s="36" t="e">
        <f t="shared" si="67"/>
        <v>#N/A</v>
      </c>
      <c r="BU69" s="36" t="e">
        <f t="shared" si="68"/>
        <v>#N/A</v>
      </c>
      <c r="BV69" s="36" t="e">
        <f t="shared" si="69"/>
        <v>#N/A</v>
      </c>
      <c r="BW69" s="36" t="e">
        <f t="shared" si="70"/>
        <v>#N/A</v>
      </c>
      <c r="BX69" s="36" t="e">
        <f t="shared" si="71"/>
        <v>#N/A</v>
      </c>
      <c r="BY69" s="36" t="e">
        <f t="shared" si="72"/>
        <v>#N/A</v>
      </c>
      <c r="BZ69" s="36" t="e">
        <f t="shared" si="73"/>
        <v>#N/A</v>
      </c>
      <c r="CA69" s="43">
        <f t="shared" si="79"/>
        <v>46022</v>
      </c>
      <c r="CC69" s="8">
        <f>COUNT($BC69:BC69)</f>
        <v>0</v>
      </c>
      <c r="CD69" s="8">
        <f>COUNT($BC69:BD69)</f>
        <v>0</v>
      </c>
      <c r="CE69" s="8">
        <f>COUNT($BC69:BE69)</f>
        <v>0</v>
      </c>
      <c r="CF69" s="8">
        <f>COUNT($BC69:BF69)</f>
        <v>0</v>
      </c>
      <c r="CG69" s="8">
        <f>COUNT($BC69:BG69)</f>
        <v>0</v>
      </c>
      <c r="CH69" s="8">
        <f>COUNT($BC69:BH69)</f>
        <v>0</v>
      </c>
      <c r="CI69" s="8">
        <f>COUNT($BC69:BI69)</f>
        <v>0</v>
      </c>
      <c r="CJ69" s="8">
        <f>COUNT($BC69:BJ69)</f>
        <v>0</v>
      </c>
      <c r="CK69" s="8">
        <f>COUNT($BC69:BK69)</f>
        <v>0</v>
      </c>
      <c r="CL69" s="8">
        <f>COUNT($BC69:BL69)</f>
        <v>0</v>
      </c>
      <c r="CM69" s="8">
        <f>COUNT($BC69:BM69)</f>
        <v>0</v>
      </c>
      <c r="CN69" s="8">
        <f>COUNT($BC69:BN69)</f>
        <v>0</v>
      </c>
      <c r="CO69" s="8"/>
      <c r="CP69" s="8">
        <f>COUNT($BP69:BP69)</f>
        <v>0</v>
      </c>
      <c r="CQ69" s="8">
        <f>COUNT($BP69:BQ69)</f>
        <v>0</v>
      </c>
      <c r="CR69" s="8">
        <f>COUNT($BP69:BR69)</f>
        <v>0</v>
      </c>
      <c r="CS69" s="8">
        <f>COUNT($BP69:BS69)</f>
        <v>0</v>
      </c>
      <c r="CT69" s="8">
        <f>COUNT($BP69:BT69)</f>
        <v>0</v>
      </c>
      <c r="CU69" s="8">
        <f>COUNT($BP69:BU69)</f>
        <v>0</v>
      </c>
      <c r="CV69" s="8">
        <f>COUNT($BP69:BV69)</f>
        <v>0</v>
      </c>
      <c r="CW69" s="8">
        <f>COUNT($BP69:BW69)</f>
        <v>0</v>
      </c>
      <c r="CX69" s="8">
        <f>COUNT($BP69:BX69)</f>
        <v>0</v>
      </c>
      <c r="CY69" s="8">
        <f>COUNT($BP69:BY69)</f>
        <v>0</v>
      </c>
      <c r="CZ69" s="8">
        <f>COUNT($BP69:BZ69)</f>
        <v>0</v>
      </c>
      <c r="DA69" s="8">
        <f>COUNT($BP69:CA69)</f>
        <v>1</v>
      </c>
      <c r="DC69">
        <f t="shared" si="74"/>
        <v>630</v>
      </c>
      <c r="DD69">
        <f t="shared" si="75"/>
        <v>31</v>
      </c>
      <c r="DE69" t="str">
        <f t="shared" si="76"/>
        <v>630-31</v>
      </c>
      <c r="DG69">
        <f t="shared" si="77"/>
        <v>0</v>
      </c>
      <c r="DH69">
        <f t="shared" si="78"/>
        <v>1</v>
      </c>
      <c r="DJ69" s="44" t="str" cm="1">
        <f t="array" ref="DJ69">IF(DJ$5&lt;=$DG69,INDEX($BC69:$BN69,1,_xlfn.XMATCH(DJ$5,$CC69:$CN69)),"na")</f>
        <v>na</v>
      </c>
      <c r="DK69" s="45" cm="1">
        <f t="array" ref="DK69">IF(DK$5&lt;=$DH69,INDEX($BP69:$CA69,1,_xlfn.XMATCH(DK$5,$CP69:$DA69)),"na")</f>
        <v>46022</v>
      </c>
      <c r="DL69" s="46" t="str" cm="1">
        <f t="array" ref="DL69">IF(DL$5&lt;=$DG69,INDEX($AC69:$AN69,1,_xlfn.XMATCH(DL$5,$CC69:$CN69)),"na")</f>
        <v>na</v>
      </c>
      <c r="DM69" s="47" t="str" cm="1">
        <f t="array" ref="DM69">IF(DM$5&lt;=$DG69,INDEX($AP69:$BA69,1,_xlfn.XMATCH(DM$5,$CC69:$CN69)),"na")</f>
        <v>na</v>
      </c>
      <c r="DN69" s="44" t="str" cm="1">
        <f t="array" ref="DN69">IF(DN$5&lt;=$DG69,INDEX($BC69:$BN69,1,_xlfn.XMATCH(DN$5,$CC69:$CN69)),"na")</f>
        <v>na</v>
      </c>
      <c r="DO69" s="45" t="str" cm="1">
        <f t="array" ref="DO69">IF(DO$5&lt;=$DH69,INDEX($BP69:$CA69,1,_xlfn.XMATCH(DO$5,$CP69:$DA69)),"na")</f>
        <v>na</v>
      </c>
      <c r="DP69" s="46" t="str" cm="1">
        <f t="array" ref="DP69">IF(DP$5&lt;=$DG69,INDEX($AC69:$AN69,1,_xlfn.XMATCH(DP$5,$CC69:$CN69)),"na")</f>
        <v>na</v>
      </c>
      <c r="DQ69" s="47" t="str" cm="1">
        <f t="array" ref="DQ69">IF(DQ$5&lt;=$DG69,INDEX($AP69:$BA69,1,_xlfn.XMATCH(DQ$5,$CC69:$CN69)),"na")</f>
        <v>na</v>
      </c>
      <c r="DR69" s="44" t="str" cm="1">
        <f t="array" ref="DR69">IF(DR$5&lt;=$DG69,INDEX($BC69:$BN69,1,_xlfn.XMATCH(DR$5,$CC69:$CN69)),"na")</f>
        <v>na</v>
      </c>
      <c r="DS69" s="45" t="str" cm="1">
        <f t="array" ref="DS69">IF(DS$5&lt;=$DH69,INDEX($BP69:$CA69,1,_xlfn.XMATCH(DS$5,$CP69:$DA69)),"na")</f>
        <v>na</v>
      </c>
      <c r="DT69" s="46" t="str" cm="1">
        <f t="array" ref="DT69">IF(DT$5&lt;=$DG69,INDEX($AC69:$AN69,1,_xlfn.XMATCH(DT$5,$CC69:$CN69)),"na")</f>
        <v>na</v>
      </c>
      <c r="DU69" s="47" t="str" cm="1">
        <f t="array" ref="DU69">IF(DU$5&lt;=$DG69,INDEX($AP69:$BA69,1,_xlfn.XMATCH(DU$5,$CC69:$CN69)),"na")</f>
        <v>na</v>
      </c>
      <c r="DV69" s="44" t="str" cm="1">
        <f t="array" ref="DV69">IF(DV$5&lt;=$DG69,INDEX($BC69:$BN69,1,_xlfn.XMATCH(DV$5,$CC69:$CN69)),"na")</f>
        <v>na</v>
      </c>
      <c r="DW69" s="45" t="str" cm="1">
        <f t="array" ref="DW69">IF(DW$5&lt;=$DH69,INDEX($BP69:$CA69,1,_xlfn.XMATCH(DW$5,$CP69:$DA69)),"na")</f>
        <v>na</v>
      </c>
      <c r="DX69" s="46" t="str" cm="1">
        <f t="array" ref="DX69">IF(DX$5&lt;=$DG69,INDEX($AC69:$AN69,1,_xlfn.XMATCH(DX$5,$CC69:$CN69)),"na")</f>
        <v>na</v>
      </c>
      <c r="DY69" s="47" t="str" cm="1">
        <f t="array" ref="DY69">IF(DY$5&lt;=$DG69,INDEX($AP69:$BA69,1,_xlfn.XMATCH(DY$5,$CC69:$CN69)),"na")</f>
        <v>na</v>
      </c>
      <c r="DZ69" s="44" t="str" cm="1">
        <f t="array" ref="DZ69">IF(DZ$5&lt;=$DG69,INDEX($BC69:$BN69,1,_xlfn.XMATCH(DZ$5,$CC69:$CN69)),"na")</f>
        <v>na</v>
      </c>
      <c r="EA69" s="45" t="str" cm="1">
        <f t="array" ref="EA69">IF(EA$5&lt;=$DH69,INDEX($BP69:$CA69,1,_xlfn.XMATCH(EA$5,$CP69:$DA69)),"na")</f>
        <v>na</v>
      </c>
      <c r="EB69" s="46" t="str" cm="1">
        <f t="array" ref="EB69">IF(EB$5&lt;=$DG69,INDEX($AC69:$AN69,1,_xlfn.XMATCH(EB$5,$CC69:$CN69)),"na")</f>
        <v>na</v>
      </c>
      <c r="EC69" s="47" t="str" cm="1">
        <f t="array" ref="EC69">IF(EC$5&lt;=$DG69,INDEX($AP69:$BA69,1,_xlfn.XMATCH(EC$5,$CC69:$CN69)),"na")</f>
        <v>na</v>
      </c>
      <c r="ED69" s="44" t="str" cm="1">
        <f t="array" ref="ED69">IF(ED$5&lt;=$DG69,INDEX($BC69:$BN69,1,_xlfn.XMATCH(ED$5,$CC69:$CN69)),"na")</f>
        <v>na</v>
      </c>
      <c r="EE69" s="45" t="str" cm="1">
        <f t="array" ref="EE69">IF(EE$5&lt;=$DH69,INDEX($BP69:$CA69,1,_xlfn.XMATCH(EE$5,$CP69:$DA69)),"na")</f>
        <v>na</v>
      </c>
      <c r="EF69" s="46" t="str" cm="1">
        <f t="array" ref="EF69">IF(EF$5&lt;=$DG69,INDEX($AC69:$AN69,1,_xlfn.XMATCH(EF$5,$CC69:$CN69)),"na")</f>
        <v>na</v>
      </c>
      <c r="EG69" s="47" t="str" cm="1">
        <f t="array" ref="EG69">IF(EG$5&lt;=$DG69,INDEX($AP69:$BA69,1,_xlfn.XMATCH(EG$5,$CC69:$CN69)),"na")</f>
        <v>na</v>
      </c>
      <c r="EH69" s="44" t="str" cm="1">
        <f t="array" ref="EH69">IF(EH$5&lt;=$DG69,INDEX($BC69:$BN69,1,_xlfn.XMATCH(EH$5,$CC69:$CN69)),"na")</f>
        <v>na</v>
      </c>
      <c r="EI69" s="45" t="str" cm="1">
        <f t="array" ref="EI69">IF(EI$5&lt;=$DH69,INDEX($BP69:$CA69,1,_xlfn.XMATCH(EI$5,$CP69:$DA69)),"na")</f>
        <v>na</v>
      </c>
      <c r="EJ69" s="46" t="str" cm="1">
        <f t="array" ref="EJ69">IF(EJ$5&lt;=$DG69,INDEX($AC69:$AN69,1,_xlfn.XMATCH(EJ$5,$CC69:$CN69)),"na")</f>
        <v>na</v>
      </c>
      <c r="EK69" s="47" t="str" cm="1">
        <f t="array" ref="EK69">IF(EK$5&lt;=$DG69,INDEX($AP69:$BA69,1,_xlfn.XMATCH(EK$5,$CC69:$CN69)),"na")</f>
        <v>na</v>
      </c>
      <c r="EL69" s="44" t="str" cm="1">
        <f t="array" ref="EL69">IF(EL$5&lt;=$DG69,INDEX($BC69:$BN69,1,_xlfn.XMATCH(EL$5,$CC69:$CN69)),"na")</f>
        <v>na</v>
      </c>
      <c r="EM69" s="45" t="str" cm="1">
        <f t="array" ref="EM69">IF(EM$5&lt;=$DH69,INDEX($BP69:$CA69,1,_xlfn.XMATCH(EM$5,$CP69:$DA69)),"na")</f>
        <v>na</v>
      </c>
      <c r="EN69" s="46" t="str" cm="1">
        <f t="array" ref="EN69">IF(EN$5&lt;=$DG69,INDEX($AC69:$AN69,1,_xlfn.XMATCH(EN$5,$CC69:$CN69)),"na")</f>
        <v>na</v>
      </c>
      <c r="EO69" s="47" t="str" cm="1">
        <f t="array" ref="EO69">IF(EO$5&lt;=$DG69,INDEX($AP69:$BA69,1,_xlfn.XMATCH(EO$5,$CC69:$CN69)),"na")</f>
        <v>na</v>
      </c>
      <c r="EP69" s="44" t="str" cm="1">
        <f t="array" ref="EP69">IF(EP$5&lt;=$DG69,INDEX($BC69:$BN69,1,_xlfn.XMATCH(EP$5,$CC69:$CN69)),"na")</f>
        <v>na</v>
      </c>
      <c r="EQ69" s="45" t="str" cm="1">
        <f t="array" ref="EQ69">IF(EQ$5&lt;=$DH69,INDEX($BP69:$CA69,1,_xlfn.XMATCH(EQ$5,$CP69:$DA69)),"na")</f>
        <v>na</v>
      </c>
      <c r="ER69" s="46" t="str" cm="1">
        <f t="array" ref="ER69">IF(ER$5&lt;=$DG69,INDEX($AC69:$AN69,1,_xlfn.XMATCH(ER$5,$CC69:$CN69)),"na")</f>
        <v>na</v>
      </c>
      <c r="ES69" s="47" t="str" cm="1">
        <f t="array" ref="ES69">IF(ES$5&lt;=$DG69,INDEX($AP69:$BA69,1,_xlfn.XMATCH(ES$5,$CC69:$CN69)),"na")</f>
        <v>na</v>
      </c>
      <c r="ET69" s="44" t="str" cm="1">
        <f t="array" ref="ET69">IF(ET$5&lt;=$DG69,INDEX($BC69:$BN69,1,_xlfn.XMATCH(ET$5,$CC69:$CN69)),"na")</f>
        <v>na</v>
      </c>
      <c r="EU69" s="45" t="str" cm="1">
        <f t="array" ref="EU69">IF(EU$5&lt;=$DH69,INDEX($BP69:$CA69,1,_xlfn.XMATCH(EU$5,$CP69:$DA69)),"na")</f>
        <v>na</v>
      </c>
      <c r="EV69" s="46" t="str" cm="1">
        <f t="array" ref="EV69">IF(EV$5&lt;=$DG69,INDEX($AC69:$AN69,1,_xlfn.XMATCH(EV$5,$CC69:$CN69)),"na")</f>
        <v>na</v>
      </c>
      <c r="EW69" s="47" t="str" cm="1">
        <f t="array" ref="EW69">IF(EW$5&lt;=$DG69,INDEX($AP69:$BA69,1,_xlfn.XMATCH(EW$5,$CC69:$CN69)),"na")</f>
        <v>na</v>
      </c>
      <c r="EX69" s="44" t="str" cm="1">
        <f t="array" ref="EX69">IF(EX$5&lt;=$DG69,INDEX($BC69:$BN69,1,_xlfn.XMATCH(EX$5,$CC69:$CN69)),"na")</f>
        <v>na</v>
      </c>
      <c r="EY69" s="45" t="str" cm="1">
        <f t="array" ref="EY69">IF(EY$5&lt;=$DH69,INDEX($BP69:$CA69,1,_xlfn.XMATCH(EY$5,$CP69:$DA69)),"na")</f>
        <v>na</v>
      </c>
      <c r="EZ69" s="46" t="str" cm="1">
        <f t="array" ref="EZ69">IF(EZ$5&lt;=$DG69,INDEX($AC69:$AN69,1,_xlfn.XMATCH(EZ$5,$CC69:$CN69)),"na")</f>
        <v>na</v>
      </c>
      <c r="FA69" s="47" t="str" cm="1">
        <f t="array" ref="FA69">IF(FA$5&lt;=$DG69,INDEX($AP69:$BA69,1,_xlfn.XMATCH(FA$5,$CC69:$CN69)),"na")</f>
        <v>na</v>
      </c>
      <c r="FB69" s="44" t="str" cm="1">
        <f t="array" ref="FB69">IF(FB$5&lt;=$DG69,INDEX($BC69:$BN69,1,_xlfn.XMATCH(FB$5,$CC69:$CN69)),"na")</f>
        <v>na</v>
      </c>
      <c r="FC69" s="45" t="str" cm="1">
        <f t="array" ref="FC69">IF(FC$5&lt;=$DH69,INDEX($BP69:$CA69,1,_xlfn.XMATCH(FC$5,$CP69:$DA69)),"na")</f>
        <v>na</v>
      </c>
      <c r="FD69" s="46" t="str" cm="1">
        <f t="array" ref="FD69">IF(FD$5&lt;=$DG69,INDEX($AC69:$AN69,1,_xlfn.XMATCH(FD$5,$CC69:$CN69)),"na")</f>
        <v>na</v>
      </c>
      <c r="FE69" s="47" t="str" cm="1">
        <f t="array" ref="FE69">IF(FE$5&lt;=$DG69,INDEX($AP69:$BA69,1,_xlfn.XMATCH(FE$5,$CC69:$CN69)),"na")</f>
        <v>na</v>
      </c>
    </row>
    <row r="70" spans="2:161" x14ac:dyDescent="0.25">
      <c r="B70" s="50" t="s">
        <v>203</v>
      </c>
      <c r="C70">
        <v>682</v>
      </c>
      <c r="D70">
        <v>638</v>
      </c>
      <c r="E70">
        <v>682</v>
      </c>
      <c r="F70">
        <v>660</v>
      </c>
      <c r="G70">
        <v>682</v>
      </c>
      <c r="H70">
        <v>660</v>
      </c>
      <c r="I70">
        <v>682</v>
      </c>
      <c r="J70">
        <v>682</v>
      </c>
      <c r="K70">
        <v>660</v>
      </c>
      <c r="L70">
        <v>682</v>
      </c>
      <c r="M70">
        <v>660</v>
      </c>
      <c r="N70">
        <v>682</v>
      </c>
      <c r="P70">
        <v>0</v>
      </c>
      <c r="Q70">
        <v>0</v>
      </c>
      <c r="R70">
        <v>0</v>
      </c>
      <c r="S70">
        <v>0</v>
      </c>
      <c r="T70">
        <v>0</v>
      </c>
      <c r="U70">
        <v>150</v>
      </c>
      <c r="V70">
        <v>325.5</v>
      </c>
      <c r="W70">
        <v>356.5</v>
      </c>
      <c r="X70">
        <v>375</v>
      </c>
      <c r="Y70">
        <v>418.5</v>
      </c>
      <c r="Z70">
        <v>435</v>
      </c>
      <c r="AA70">
        <v>480.5</v>
      </c>
      <c r="AC70" s="14" t="e">
        <f>C70/_xlfn.XLOOKUP(AC$5,'OC-Days'!$G$3:$G$38,'OC-Days'!$B$3:$B$38)</f>
        <v>#N/A</v>
      </c>
      <c r="AD70" s="14" t="e">
        <f>D70/_xlfn.XLOOKUP(AD$5,'OC-Days'!$G$3:$G$38,'OC-Days'!$B$3:$B$38)</f>
        <v>#N/A</v>
      </c>
      <c r="AE70" s="14" t="e">
        <f>E70/_xlfn.XLOOKUP(AE$5,'OC-Days'!$G$3:$G$38,'OC-Days'!$B$3:$B$38)</f>
        <v>#N/A</v>
      </c>
      <c r="AF70" s="14" t="e">
        <f>F70/_xlfn.XLOOKUP(AF$5,'OC-Days'!$G$3:$G$38,'OC-Days'!$B$3:$B$38)</f>
        <v>#N/A</v>
      </c>
      <c r="AG70" s="14" t="e">
        <f>G70/_xlfn.XLOOKUP(AG$5,'OC-Days'!$G$3:$G$38,'OC-Days'!$B$3:$B$38)</f>
        <v>#N/A</v>
      </c>
      <c r="AH70" s="14" t="e">
        <f>H70/_xlfn.XLOOKUP(AH$5,'OC-Days'!$G$3:$G$38,'OC-Days'!$B$3:$B$38)</f>
        <v>#N/A</v>
      </c>
      <c r="AI70" s="14" t="e">
        <f>I70/_xlfn.XLOOKUP(AI$5,'OC-Days'!$G$3:$G$38,'OC-Days'!$B$3:$B$38)</f>
        <v>#N/A</v>
      </c>
      <c r="AJ70" s="14" t="e">
        <f>J70/_xlfn.XLOOKUP(AJ$5,'OC-Days'!$G$3:$G$38,'OC-Days'!$B$3:$B$38)</f>
        <v>#N/A</v>
      </c>
      <c r="AK70" s="14" t="e">
        <f>K70/_xlfn.XLOOKUP(AK$5,'OC-Days'!$G$3:$G$38,'OC-Days'!$B$3:$B$38)</f>
        <v>#N/A</v>
      </c>
      <c r="AL70" s="14" t="e">
        <f>L70/_xlfn.XLOOKUP(AL$5,'OC-Days'!$G$3:$G$38,'OC-Days'!$B$3:$B$38)</f>
        <v>#N/A</v>
      </c>
      <c r="AM70" s="14" t="e">
        <f>M70/_xlfn.XLOOKUP(AM$5,'OC-Days'!$G$3:$G$38,'OC-Days'!$B$3:$B$38)</f>
        <v>#N/A</v>
      </c>
      <c r="AN70" s="14" t="e">
        <f>N70/_xlfn.XLOOKUP(AN$5,'OC-Days'!$G$3:$G$38,'OC-Days'!$B$3:$B$38)</f>
        <v>#N/A</v>
      </c>
      <c r="AP70" s="14" t="e">
        <f>P70/_xlfn.XLOOKUP(AP$5,'OC-Days'!$G$3:$G$38,'OC-Days'!$B$3:$B$38)</f>
        <v>#N/A</v>
      </c>
      <c r="AQ70" s="14" t="e">
        <f>Q70/_xlfn.XLOOKUP(AQ$5,'OC-Days'!$G$3:$G$38,'OC-Days'!$B$3:$B$38)</f>
        <v>#N/A</v>
      </c>
      <c r="AR70" s="14" t="e">
        <f>R70/_xlfn.XLOOKUP(AR$5,'OC-Days'!$G$3:$G$38,'OC-Days'!$B$3:$B$38)</f>
        <v>#N/A</v>
      </c>
      <c r="AS70" s="14" t="e">
        <f>S70/_xlfn.XLOOKUP(AS$5,'OC-Days'!$G$3:$G$38,'OC-Days'!$B$3:$B$38)</f>
        <v>#N/A</v>
      </c>
      <c r="AT70" s="14" t="e">
        <f>T70/_xlfn.XLOOKUP(AT$5,'OC-Days'!$G$3:$G$38,'OC-Days'!$B$3:$B$38)</f>
        <v>#N/A</v>
      </c>
      <c r="AU70" s="14" t="e">
        <f>U70/_xlfn.XLOOKUP(AU$5,'OC-Days'!$G$3:$G$38,'OC-Days'!$B$3:$B$38)</f>
        <v>#N/A</v>
      </c>
      <c r="AV70" s="14" t="e">
        <f>V70/_xlfn.XLOOKUP(AV$5,'OC-Days'!$G$3:$G$38,'OC-Days'!$B$3:$B$38)</f>
        <v>#N/A</v>
      </c>
      <c r="AW70" s="14" t="e">
        <f>W70/_xlfn.XLOOKUP(AW$5,'OC-Days'!$G$3:$G$38,'OC-Days'!$B$3:$B$38)</f>
        <v>#N/A</v>
      </c>
      <c r="AX70" s="14" t="e">
        <f>X70/_xlfn.XLOOKUP(AX$5,'OC-Days'!$G$3:$G$38,'OC-Days'!$B$3:$B$38)</f>
        <v>#N/A</v>
      </c>
      <c r="AY70" s="14" t="e">
        <f>Y70/_xlfn.XLOOKUP(AY$5,'OC-Days'!$G$3:$G$38,'OC-Days'!$B$3:$B$38)</f>
        <v>#N/A</v>
      </c>
      <c r="AZ70" s="14" t="e">
        <f>Z70/_xlfn.XLOOKUP(AZ$5,'OC-Days'!$G$3:$G$38,'OC-Days'!$B$3:$B$38)</f>
        <v>#N/A</v>
      </c>
      <c r="BA70" s="14" t="e">
        <f>AA70/_xlfn.XLOOKUP(BA$5,'OC-Days'!$G$3:$G$38,'OC-Days'!$B$3:$B$38)</f>
        <v>#N/A</v>
      </c>
      <c r="BC70" s="33" t="e">
        <f>_xlfn.XLOOKUP(BC$5,'OC-Days'!$G$3:$G$38,'OC-Days'!$F$3:$F$38)</f>
        <v>#N/A</v>
      </c>
      <c r="BD70" s="34" t="e">
        <f>IF(AQ70=AP70,"na",_xlfn.XLOOKUP(BD$5,'OC-Days'!$G$3:$G$38,'OC-Days'!$F$3:$F$38))</f>
        <v>#N/A</v>
      </c>
      <c r="BE70" s="34" t="e">
        <f>IF(AR70=AQ70,"na",_xlfn.XLOOKUP(BE$5,'OC-Days'!$G$3:$G$38,'OC-Days'!$F$3:$F$38))</f>
        <v>#N/A</v>
      </c>
      <c r="BF70" s="34" t="e">
        <f>IF(AS70=AR70,"na",_xlfn.XLOOKUP(BF$5,'OC-Days'!$G$3:$G$38,'OC-Days'!$F$3:$F$38))</f>
        <v>#N/A</v>
      </c>
      <c r="BG70" s="34" t="e">
        <f>IF(AT70=AS70,"na",_xlfn.XLOOKUP(BG$5,'OC-Days'!$G$3:$G$38,'OC-Days'!$F$3:$F$38))</f>
        <v>#N/A</v>
      </c>
      <c r="BH70" s="34" t="e">
        <f>IF(AU70=AT70,"na",_xlfn.XLOOKUP(BH$5,'OC-Days'!$G$3:$G$38,'OC-Days'!$F$3:$F$38))</f>
        <v>#N/A</v>
      </c>
      <c r="BI70" s="34" t="e">
        <f>IF(AV70=AU70,"na",_xlfn.XLOOKUP(BI$5,'OC-Days'!$G$3:$G$38,'OC-Days'!$F$3:$F$38))</f>
        <v>#N/A</v>
      </c>
      <c r="BJ70" s="34" t="e">
        <f>IF(AW70=AV70,"na",_xlfn.XLOOKUP(BJ$5,'OC-Days'!$G$3:$G$38,'OC-Days'!$F$3:$F$38))</f>
        <v>#N/A</v>
      </c>
      <c r="BK70" s="34" t="e">
        <f>IF(AX70=AW70,"na",_xlfn.XLOOKUP(BK$5,'OC-Days'!$G$3:$G$38,'OC-Days'!$F$3:$F$38))</f>
        <v>#N/A</v>
      </c>
      <c r="BL70" s="34" t="e">
        <f>IF(AY70=AX70,"na",_xlfn.XLOOKUP(BL$5,'OC-Days'!$G$3:$G$38,'OC-Days'!$F$3:$F$38))</f>
        <v>#N/A</v>
      </c>
      <c r="BM70" s="34" t="e">
        <f>IF(AZ70=AY70,"na",_xlfn.XLOOKUP(BM$5,'OC-Days'!$G$3:$G$38,'OC-Days'!$F$3:$F$38))</f>
        <v>#N/A</v>
      </c>
      <c r="BN70" s="34" t="e">
        <f>IF(BA70=AZ70,"na",_xlfn.XLOOKUP(BN$5,'OC-Days'!$G$3:$G$38,'OC-Days'!$F$3:$F$38))</f>
        <v>#N/A</v>
      </c>
      <c r="BP70" s="36" t="e">
        <f t="shared" si="63"/>
        <v>#N/A</v>
      </c>
      <c r="BQ70" s="36" t="e">
        <f t="shared" si="64"/>
        <v>#N/A</v>
      </c>
      <c r="BR70" s="36" t="e">
        <f t="shared" si="65"/>
        <v>#N/A</v>
      </c>
      <c r="BS70" s="36" t="e">
        <f t="shared" si="66"/>
        <v>#N/A</v>
      </c>
      <c r="BT70" s="36" t="e">
        <f t="shared" si="67"/>
        <v>#N/A</v>
      </c>
      <c r="BU70" s="36" t="e">
        <f t="shared" si="68"/>
        <v>#N/A</v>
      </c>
      <c r="BV70" s="36" t="e">
        <f t="shared" si="69"/>
        <v>#N/A</v>
      </c>
      <c r="BW70" s="36" t="e">
        <f t="shared" si="70"/>
        <v>#N/A</v>
      </c>
      <c r="BX70" s="36" t="e">
        <f t="shared" si="71"/>
        <v>#N/A</v>
      </c>
      <c r="BY70" s="36" t="e">
        <f t="shared" si="72"/>
        <v>#N/A</v>
      </c>
      <c r="BZ70" s="36" t="e">
        <f t="shared" si="73"/>
        <v>#N/A</v>
      </c>
      <c r="CA70" s="43">
        <f t="shared" si="79"/>
        <v>46022</v>
      </c>
      <c r="CC70" s="8">
        <f>COUNT($BC70:BC70)</f>
        <v>0</v>
      </c>
      <c r="CD70" s="8">
        <f>COUNT($BC70:BD70)</f>
        <v>0</v>
      </c>
      <c r="CE70" s="8">
        <f>COUNT($BC70:BE70)</f>
        <v>0</v>
      </c>
      <c r="CF70" s="8">
        <f>COUNT($BC70:BF70)</f>
        <v>0</v>
      </c>
      <c r="CG70" s="8">
        <f>COUNT($BC70:BG70)</f>
        <v>0</v>
      </c>
      <c r="CH70" s="8">
        <f>COUNT($BC70:BH70)</f>
        <v>0</v>
      </c>
      <c r="CI70" s="8">
        <f>COUNT($BC70:BI70)</f>
        <v>0</v>
      </c>
      <c r="CJ70" s="8">
        <f>COUNT($BC70:BJ70)</f>
        <v>0</v>
      </c>
      <c r="CK70" s="8">
        <f>COUNT($BC70:BK70)</f>
        <v>0</v>
      </c>
      <c r="CL70" s="8">
        <f>COUNT($BC70:BL70)</f>
        <v>0</v>
      </c>
      <c r="CM70" s="8">
        <f>COUNT($BC70:BM70)</f>
        <v>0</v>
      </c>
      <c r="CN70" s="8">
        <f>COUNT($BC70:BN70)</f>
        <v>0</v>
      </c>
      <c r="CO70" s="8"/>
      <c r="CP70" s="8">
        <f>COUNT($BP70:BP70)</f>
        <v>0</v>
      </c>
      <c r="CQ70" s="8">
        <f>COUNT($BP70:BQ70)</f>
        <v>0</v>
      </c>
      <c r="CR70" s="8">
        <f>COUNT($BP70:BR70)</f>
        <v>0</v>
      </c>
      <c r="CS70" s="8">
        <f>COUNT($BP70:BS70)</f>
        <v>0</v>
      </c>
      <c r="CT70" s="8">
        <f>COUNT($BP70:BT70)</f>
        <v>0</v>
      </c>
      <c r="CU70" s="8">
        <f>COUNT($BP70:BU70)</f>
        <v>0</v>
      </c>
      <c r="CV70" s="8">
        <f>COUNT($BP70:BV70)</f>
        <v>0</v>
      </c>
      <c r="CW70" s="8">
        <f>COUNT($BP70:BW70)</f>
        <v>0</v>
      </c>
      <c r="CX70" s="8">
        <f>COUNT($BP70:BX70)</f>
        <v>0</v>
      </c>
      <c r="CY70" s="8">
        <f>COUNT($BP70:BY70)</f>
        <v>0</v>
      </c>
      <c r="CZ70" s="8">
        <f>COUNT($BP70:BZ70)</f>
        <v>0</v>
      </c>
      <c r="DA70" s="8">
        <f>COUNT($BP70:CA70)</f>
        <v>1</v>
      </c>
      <c r="DC70">
        <f t="shared" si="74"/>
        <v>630</v>
      </c>
      <c r="DD70">
        <f t="shared" si="75"/>
        <v>51</v>
      </c>
      <c r="DE70" t="str">
        <f t="shared" si="76"/>
        <v>630-51</v>
      </c>
      <c r="DG70">
        <f t="shared" si="77"/>
        <v>0</v>
      </c>
      <c r="DH70">
        <f t="shared" si="78"/>
        <v>1</v>
      </c>
      <c r="DJ70" s="44" t="str" cm="1">
        <f t="array" ref="DJ70">IF(DJ$5&lt;=$DG70,INDEX($BC70:$BN70,1,_xlfn.XMATCH(DJ$5,$CC70:$CN70)),"na")</f>
        <v>na</v>
      </c>
      <c r="DK70" s="45" cm="1">
        <f t="array" ref="DK70">IF(DK$5&lt;=$DH70,INDEX($BP70:$CA70,1,_xlfn.XMATCH(DK$5,$CP70:$DA70)),"na")</f>
        <v>46022</v>
      </c>
      <c r="DL70" s="46" t="str" cm="1">
        <f t="array" ref="DL70">IF(DL$5&lt;=$DG70,INDEX($AC70:$AN70,1,_xlfn.XMATCH(DL$5,$CC70:$CN70)),"na")</f>
        <v>na</v>
      </c>
      <c r="DM70" s="47" t="str" cm="1">
        <f t="array" ref="DM70">IF(DM$5&lt;=$DG70,INDEX($AP70:$BA70,1,_xlfn.XMATCH(DM$5,$CC70:$CN70)),"na")</f>
        <v>na</v>
      </c>
      <c r="DN70" s="44" t="str" cm="1">
        <f t="array" ref="DN70">IF(DN$5&lt;=$DG70,INDEX($BC70:$BN70,1,_xlfn.XMATCH(DN$5,$CC70:$CN70)),"na")</f>
        <v>na</v>
      </c>
      <c r="DO70" s="45" t="str" cm="1">
        <f t="array" ref="DO70">IF(DO$5&lt;=$DH70,INDEX($BP70:$CA70,1,_xlfn.XMATCH(DO$5,$CP70:$DA70)),"na")</f>
        <v>na</v>
      </c>
      <c r="DP70" s="46" t="str" cm="1">
        <f t="array" ref="DP70">IF(DP$5&lt;=$DG70,INDEX($AC70:$AN70,1,_xlfn.XMATCH(DP$5,$CC70:$CN70)),"na")</f>
        <v>na</v>
      </c>
      <c r="DQ70" s="47" t="str" cm="1">
        <f t="array" ref="DQ70">IF(DQ$5&lt;=$DG70,INDEX($AP70:$BA70,1,_xlfn.XMATCH(DQ$5,$CC70:$CN70)),"na")</f>
        <v>na</v>
      </c>
      <c r="DR70" s="44" t="str" cm="1">
        <f t="array" ref="DR70">IF(DR$5&lt;=$DG70,INDEX($BC70:$BN70,1,_xlfn.XMATCH(DR$5,$CC70:$CN70)),"na")</f>
        <v>na</v>
      </c>
      <c r="DS70" s="45" t="str" cm="1">
        <f t="array" ref="DS70">IF(DS$5&lt;=$DH70,INDEX($BP70:$CA70,1,_xlfn.XMATCH(DS$5,$CP70:$DA70)),"na")</f>
        <v>na</v>
      </c>
      <c r="DT70" s="46" t="str" cm="1">
        <f t="array" ref="DT70">IF(DT$5&lt;=$DG70,INDEX($AC70:$AN70,1,_xlfn.XMATCH(DT$5,$CC70:$CN70)),"na")</f>
        <v>na</v>
      </c>
      <c r="DU70" s="47" t="str" cm="1">
        <f t="array" ref="DU70">IF(DU$5&lt;=$DG70,INDEX($AP70:$BA70,1,_xlfn.XMATCH(DU$5,$CC70:$CN70)),"na")</f>
        <v>na</v>
      </c>
      <c r="DV70" s="44" t="str" cm="1">
        <f t="array" ref="DV70">IF(DV$5&lt;=$DG70,INDEX($BC70:$BN70,1,_xlfn.XMATCH(DV$5,$CC70:$CN70)),"na")</f>
        <v>na</v>
      </c>
      <c r="DW70" s="45" t="str" cm="1">
        <f t="array" ref="DW70">IF(DW$5&lt;=$DH70,INDEX($BP70:$CA70,1,_xlfn.XMATCH(DW$5,$CP70:$DA70)),"na")</f>
        <v>na</v>
      </c>
      <c r="DX70" s="46" t="str" cm="1">
        <f t="array" ref="DX70">IF(DX$5&lt;=$DG70,INDEX($AC70:$AN70,1,_xlfn.XMATCH(DX$5,$CC70:$CN70)),"na")</f>
        <v>na</v>
      </c>
      <c r="DY70" s="47" t="str" cm="1">
        <f t="array" ref="DY70">IF(DY$5&lt;=$DG70,INDEX($AP70:$BA70,1,_xlfn.XMATCH(DY$5,$CC70:$CN70)),"na")</f>
        <v>na</v>
      </c>
      <c r="DZ70" s="44" t="str" cm="1">
        <f t="array" ref="DZ70">IF(DZ$5&lt;=$DG70,INDEX($BC70:$BN70,1,_xlfn.XMATCH(DZ$5,$CC70:$CN70)),"na")</f>
        <v>na</v>
      </c>
      <c r="EA70" s="45" t="str" cm="1">
        <f t="array" ref="EA70">IF(EA$5&lt;=$DH70,INDEX($BP70:$CA70,1,_xlfn.XMATCH(EA$5,$CP70:$DA70)),"na")</f>
        <v>na</v>
      </c>
      <c r="EB70" s="46" t="str" cm="1">
        <f t="array" ref="EB70">IF(EB$5&lt;=$DG70,INDEX($AC70:$AN70,1,_xlfn.XMATCH(EB$5,$CC70:$CN70)),"na")</f>
        <v>na</v>
      </c>
      <c r="EC70" s="47" t="str" cm="1">
        <f t="array" ref="EC70">IF(EC$5&lt;=$DG70,INDEX($AP70:$BA70,1,_xlfn.XMATCH(EC$5,$CC70:$CN70)),"na")</f>
        <v>na</v>
      </c>
      <c r="ED70" s="44" t="str" cm="1">
        <f t="array" ref="ED70">IF(ED$5&lt;=$DG70,INDEX($BC70:$BN70,1,_xlfn.XMATCH(ED$5,$CC70:$CN70)),"na")</f>
        <v>na</v>
      </c>
      <c r="EE70" s="45" t="str" cm="1">
        <f t="array" ref="EE70">IF(EE$5&lt;=$DH70,INDEX($BP70:$CA70,1,_xlfn.XMATCH(EE$5,$CP70:$DA70)),"na")</f>
        <v>na</v>
      </c>
      <c r="EF70" s="46" t="str" cm="1">
        <f t="array" ref="EF70">IF(EF$5&lt;=$DG70,INDEX($AC70:$AN70,1,_xlfn.XMATCH(EF$5,$CC70:$CN70)),"na")</f>
        <v>na</v>
      </c>
      <c r="EG70" s="47" t="str" cm="1">
        <f t="array" ref="EG70">IF(EG$5&lt;=$DG70,INDEX($AP70:$BA70,1,_xlfn.XMATCH(EG$5,$CC70:$CN70)),"na")</f>
        <v>na</v>
      </c>
      <c r="EH70" s="44" t="str" cm="1">
        <f t="array" ref="EH70">IF(EH$5&lt;=$DG70,INDEX($BC70:$BN70,1,_xlfn.XMATCH(EH$5,$CC70:$CN70)),"na")</f>
        <v>na</v>
      </c>
      <c r="EI70" s="45" t="str" cm="1">
        <f t="array" ref="EI70">IF(EI$5&lt;=$DH70,INDEX($BP70:$CA70,1,_xlfn.XMATCH(EI$5,$CP70:$DA70)),"na")</f>
        <v>na</v>
      </c>
      <c r="EJ70" s="46" t="str" cm="1">
        <f t="array" ref="EJ70">IF(EJ$5&lt;=$DG70,INDEX($AC70:$AN70,1,_xlfn.XMATCH(EJ$5,$CC70:$CN70)),"na")</f>
        <v>na</v>
      </c>
      <c r="EK70" s="47" t="str" cm="1">
        <f t="array" ref="EK70">IF(EK$5&lt;=$DG70,INDEX($AP70:$BA70,1,_xlfn.XMATCH(EK$5,$CC70:$CN70)),"na")</f>
        <v>na</v>
      </c>
      <c r="EL70" s="44" t="str" cm="1">
        <f t="array" ref="EL70">IF(EL$5&lt;=$DG70,INDEX($BC70:$BN70,1,_xlfn.XMATCH(EL$5,$CC70:$CN70)),"na")</f>
        <v>na</v>
      </c>
      <c r="EM70" s="45" t="str" cm="1">
        <f t="array" ref="EM70">IF(EM$5&lt;=$DH70,INDEX($BP70:$CA70,1,_xlfn.XMATCH(EM$5,$CP70:$DA70)),"na")</f>
        <v>na</v>
      </c>
      <c r="EN70" s="46" t="str" cm="1">
        <f t="array" ref="EN70">IF(EN$5&lt;=$DG70,INDEX($AC70:$AN70,1,_xlfn.XMATCH(EN$5,$CC70:$CN70)),"na")</f>
        <v>na</v>
      </c>
      <c r="EO70" s="47" t="str" cm="1">
        <f t="array" ref="EO70">IF(EO$5&lt;=$DG70,INDEX($AP70:$BA70,1,_xlfn.XMATCH(EO$5,$CC70:$CN70)),"na")</f>
        <v>na</v>
      </c>
      <c r="EP70" s="44" t="str" cm="1">
        <f t="array" ref="EP70">IF(EP$5&lt;=$DG70,INDEX($BC70:$BN70,1,_xlfn.XMATCH(EP$5,$CC70:$CN70)),"na")</f>
        <v>na</v>
      </c>
      <c r="EQ70" s="45" t="str" cm="1">
        <f t="array" ref="EQ70">IF(EQ$5&lt;=$DH70,INDEX($BP70:$CA70,1,_xlfn.XMATCH(EQ$5,$CP70:$DA70)),"na")</f>
        <v>na</v>
      </c>
      <c r="ER70" s="46" t="str" cm="1">
        <f t="array" ref="ER70">IF(ER$5&lt;=$DG70,INDEX($AC70:$AN70,1,_xlfn.XMATCH(ER$5,$CC70:$CN70)),"na")</f>
        <v>na</v>
      </c>
      <c r="ES70" s="47" t="str" cm="1">
        <f t="array" ref="ES70">IF(ES$5&lt;=$DG70,INDEX($AP70:$BA70,1,_xlfn.XMATCH(ES$5,$CC70:$CN70)),"na")</f>
        <v>na</v>
      </c>
      <c r="ET70" s="44" t="str" cm="1">
        <f t="array" ref="ET70">IF(ET$5&lt;=$DG70,INDEX($BC70:$BN70,1,_xlfn.XMATCH(ET$5,$CC70:$CN70)),"na")</f>
        <v>na</v>
      </c>
      <c r="EU70" s="45" t="str" cm="1">
        <f t="array" ref="EU70">IF(EU$5&lt;=$DH70,INDEX($BP70:$CA70,1,_xlfn.XMATCH(EU$5,$CP70:$DA70)),"na")</f>
        <v>na</v>
      </c>
      <c r="EV70" s="46" t="str" cm="1">
        <f t="array" ref="EV70">IF(EV$5&lt;=$DG70,INDEX($AC70:$AN70,1,_xlfn.XMATCH(EV$5,$CC70:$CN70)),"na")</f>
        <v>na</v>
      </c>
      <c r="EW70" s="47" t="str" cm="1">
        <f t="array" ref="EW70">IF(EW$5&lt;=$DG70,INDEX($AP70:$BA70,1,_xlfn.XMATCH(EW$5,$CC70:$CN70)),"na")</f>
        <v>na</v>
      </c>
      <c r="EX70" s="44" t="str" cm="1">
        <f t="array" ref="EX70">IF(EX$5&lt;=$DG70,INDEX($BC70:$BN70,1,_xlfn.XMATCH(EX$5,$CC70:$CN70)),"na")</f>
        <v>na</v>
      </c>
      <c r="EY70" s="45" t="str" cm="1">
        <f t="array" ref="EY70">IF(EY$5&lt;=$DH70,INDEX($BP70:$CA70,1,_xlfn.XMATCH(EY$5,$CP70:$DA70)),"na")</f>
        <v>na</v>
      </c>
      <c r="EZ70" s="46" t="str" cm="1">
        <f t="array" ref="EZ70">IF(EZ$5&lt;=$DG70,INDEX($AC70:$AN70,1,_xlfn.XMATCH(EZ$5,$CC70:$CN70)),"na")</f>
        <v>na</v>
      </c>
      <c r="FA70" s="47" t="str" cm="1">
        <f t="array" ref="FA70">IF(FA$5&lt;=$DG70,INDEX($AP70:$BA70,1,_xlfn.XMATCH(FA$5,$CC70:$CN70)),"na")</f>
        <v>na</v>
      </c>
      <c r="FB70" s="44" t="str" cm="1">
        <f t="array" ref="FB70">IF(FB$5&lt;=$DG70,INDEX($BC70:$BN70,1,_xlfn.XMATCH(FB$5,$CC70:$CN70)),"na")</f>
        <v>na</v>
      </c>
      <c r="FC70" s="45" t="str" cm="1">
        <f t="array" ref="FC70">IF(FC$5&lt;=$DH70,INDEX($BP70:$CA70,1,_xlfn.XMATCH(FC$5,$CP70:$DA70)),"na")</f>
        <v>na</v>
      </c>
      <c r="FD70" s="46" t="str" cm="1">
        <f t="array" ref="FD70">IF(FD$5&lt;=$DG70,INDEX($AC70:$AN70,1,_xlfn.XMATCH(FD$5,$CC70:$CN70)),"na")</f>
        <v>na</v>
      </c>
      <c r="FE70" s="47" t="str" cm="1">
        <f t="array" ref="FE70">IF(FE$5&lt;=$DG70,INDEX($AP70:$BA70,1,_xlfn.XMATCH(FE$5,$CC70:$CN70)),"na")</f>
        <v>na</v>
      </c>
    </row>
    <row r="71" spans="2:161" x14ac:dyDescent="0.25">
      <c r="B71" t="s">
        <v>204</v>
      </c>
      <c r="C71">
        <v>4154</v>
      </c>
      <c r="D71">
        <v>3886</v>
      </c>
      <c r="E71">
        <v>4154</v>
      </c>
      <c r="F71">
        <v>4020</v>
      </c>
      <c r="G71">
        <v>4154</v>
      </c>
      <c r="H71">
        <v>4020</v>
      </c>
      <c r="I71">
        <v>4154</v>
      </c>
      <c r="J71">
        <v>4154</v>
      </c>
      <c r="K71">
        <v>4020</v>
      </c>
      <c r="L71">
        <v>4154</v>
      </c>
      <c r="M71">
        <v>4020</v>
      </c>
      <c r="N71">
        <v>4154</v>
      </c>
      <c r="P71">
        <v>2800.85</v>
      </c>
      <c r="Q71">
        <v>2634.6499999999996</v>
      </c>
      <c r="R71">
        <v>2834.9500000000003</v>
      </c>
      <c r="S71">
        <v>2758.5</v>
      </c>
      <c r="T71">
        <v>2869.0499999999997</v>
      </c>
      <c r="U71">
        <v>2941.5</v>
      </c>
      <c r="V71">
        <v>3225.5499999999997</v>
      </c>
      <c r="W71">
        <v>3275.15</v>
      </c>
      <c r="X71">
        <v>3214.5</v>
      </c>
      <c r="Y71">
        <v>3368.15</v>
      </c>
      <c r="Z71">
        <v>3304.5</v>
      </c>
      <c r="AA71">
        <v>3464.25</v>
      </c>
      <c r="AC71" s="14" t="e">
        <f>C71/_xlfn.XLOOKUP(AC$5,'OC-Days'!$G$3:$G$38,'OC-Days'!$B$3:$B$38)</f>
        <v>#N/A</v>
      </c>
      <c r="AD71" s="14" t="e">
        <f>D71/_xlfn.XLOOKUP(AD$5,'OC-Days'!$G$3:$G$38,'OC-Days'!$B$3:$B$38)</f>
        <v>#N/A</v>
      </c>
      <c r="AE71" s="14" t="e">
        <f>E71/_xlfn.XLOOKUP(AE$5,'OC-Days'!$G$3:$G$38,'OC-Days'!$B$3:$B$38)</f>
        <v>#N/A</v>
      </c>
      <c r="AF71" s="14" t="e">
        <f>F71/_xlfn.XLOOKUP(AF$5,'OC-Days'!$G$3:$G$38,'OC-Days'!$B$3:$B$38)</f>
        <v>#N/A</v>
      </c>
      <c r="AG71" s="14" t="e">
        <f>G71/_xlfn.XLOOKUP(AG$5,'OC-Days'!$G$3:$G$38,'OC-Days'!$B$3:$B$38)</f>
        <v>#N/A</v>
      </c>
      <c r="AH71" s="14" t="e">
        <f>H71/_xlfn.XLOOKUP(AH$5,'OC-Days'!$G$3:$G$38,'OC-Days'!$B$3:$B$38)</f>
        <v>#N/A</v>
      </c>
      <c r="AI71" s="14" t="e">
        <f>I71/_xlfn.XLOOKUP(AI$5,'OC-Days'!$G$3:$G$38,'OC-Days'!$B$3:$B$38)</f>
        <v>#N/A</v>
      </c>
      <c r="AJ71" s="14" t="e">
        <f>J71/_xlfn.XLOOKUP(AJ$5,'OC-Days'!$G$3:$G$38,'OC-Days'!$B$3:$B$38)</f>
        <v>#N/A</v>
      </c>
      <c r="AK71" s="14" t="e">
        <f>K71/_xlfn.XLOOKUP(AK$5,'OC-Days'!$G$3:$G$38,'OC-Days'!$B$3:$B$38)</f>
        <v>#N/A</v>
      </c>
      <c r="AL71" s="14" t="e">
        <f>L71/_xlfn.XLOOKUP(AL$5,'OC-Days'!$G$3:$G$38,'OC-Days'!$B$3:$B$38)</f>
        <v>#N/A</v>
      </c>
      <c r="AM71" s="14" t="e">
        <f>M71/_xlfn.XLOOKUP(AM$5,'OC-Days'!$G$3:$G$38,'OC-Days'!$B$3:$B$38)</f>
        <v>#N/A</v>
      </c>
      <c r="AN71" s="14" t="e">
        <f>N71/_xlfn.XLOOKUP(AN$5,'OC-Days'!$G$3:$G$38,'OC-Days'!$B$3:$B$38)</f>
        <v>#N/A</v>
      </c>
      <c r="AP71" s="14" t="e">
        <f>P71/_xlfn.XLOOKUP(AP$5,'OC-Days'!$G$3:$G$38,'OC-Days'!$B$3:$B$38)</f>
        <v>#N/A</v>
      </c>
      <c r="AQ71" s="14" t="e">
        <f>Q71/_xlfn.XLOOKUP(AQ$5,'OC-Days'!$G$3:$G$38,'OC-Days'!$B$3:$B$38)</f>
        <v>#N/A</v>
      </c>
      <c r="AR71" s="14" t="e">
        <f>R71/_xlfn.XLOOKUP(AR$5,'OC-Days'!$G$3:$G$38,'OC-Days'!$B$3:$B$38)</f>
        <v>#N/A</v>
      </c>
      <c r="AS71" s="14" t="e">
        <f>S71/_xlfn.XLOOKUP(AS$5,'OC-Days'!$G$3:$G$38,'OC-Days'!$B$3:$B$38)</f>
        <v>#N/A</v>
      </c>
      <c r="AT71" s="14" t="e">
        <f>T71/_xlfn.XLOOKUP(AT$5,'OC-Days'!$G$3:$G$38,'OC-Days'!$B$3:$B$38)</f>
        <v>#N/A</v>
      </c>
      <c r="AU71" s="14" t="e">
        <f>U71/_xlfn.XLOOKUP(AU$5,'OC-Days'!$G$3:$G$38,'OC-Days'!$B$3:$B$38)</f>
        <v>#N/A</v>
      </c>
      <c r="AV71" s="14" t="e">
        <f>V71/_xlfn.XLOOKUP(AV$5,'OC-Days'!$G$3:$G$38,'OC-Days'!$B$3:$B$38)</f>
        <v>#N/A</v>
      </c>
      <c r="AW71" s="14" t="e">
        <f>W71/_xlfn.XLOOKUP(AW$5,'OC-Days'!$G$3:$G$38,'OC-Days'!$B$3:$B$38)</f>
        <v>#N/A</v>
      </c>
      <c r="AX71" s="14" t="e">
        <f>X71/_xlfn.XLOOKUP(AX$5,'OC-Days'!$G$3:$G$38,'OC-Days'!$B$3:$B$38)</f>
        <v>#N/A</v>
      </c>
      <c r="AY71" s="14" t="e">
        <f>Y71/_xlfn.XLOOKUP(AY$5,'OC-Days'!$G$3:$G$38,'OC-Days'!$B$3:$B$38)</f>
        <v>#N/A</v>
      </c>
      <c r="AZ71" s="14" t="e">
        <f>Z71/_xlfn.XLOOKUP(AZ$5,'OC-Days'!$G$3:$G$38,'OC-Days'!$B$3:$B$38)</f>
        <v>#N/A</v>
      </c>
      <c r="BA71" s="14" t="e">
        <f>AA71/_xlfn.XLOOKUP(BA$5,'OC-Days'!$G$3:$G$38,'OC-Days'!$B$3:$B$38)</f>
        <v>#N/A</v>
      </c>
      <c r="BC71" s="33" t="e">
        <f>_xlfn.XLOOKUP(BC$5,'OC-Days'!$G$3:$G$38,'OC-Days'!$F$3:$F$38)</f>
        <v>#N/A</v>
      </c>
      <c r="BD71" s="34" t="e">
        <f>IF(AQ71=AP71,"na",_xlfn.XLOOKUP(BD$5,'OC-Days'!$G$3:$G$38,'OC-Days'!$F$3:$F$38))</f>
        <v>#N/A</v>
      </c>
      <c r="BE71" s="34" t="e">
        <f>IF(AR71=AQ71,"na",_xlfn.XLOOKUP(BE$5,'OC-Days'!$G$3:$G$38,'OC-Days'!$F$3:$F$38))</f>
        <v>#N/A</v>
      </c>
      <c r="BF71" s="34" t="e">
        <f>IF(AS71=AR71,"na",_xlfn.XLOOKUP(BF$5,'OC-Days'!$G$3:$G$38,'OC-Days'!$F$3:$F$38))</f>
        <v>#N/A</v>
      </c>
      <c r="BG71" s="34" t="e">
        <f>IF(AT71=AS71,"na",_xlfn.XLOOKUP(BG$5,'OC-Days'!$G$3:$G$38,'OC-Days'!$F$3:$F$38))</f>
        <v>#N/A</v>
      </c>
      <c r="BH71" s="34" t="e">
        <f>IF(AU71=AT71,"na",_xlfn.XLOOKUP(BH$5,'OC-Days'!$G$3:$G$38,'OC-Days'!$F$3:$F$38))</f>
        <v>#N/A</v>
      </c>
      <c r="BI71" s="34" t="e">
        <f>IF(AV71=AU71,"na",_xlfn.XLOOKUP(BI$5,'OC-Days'!$G$3:$G$38,'OC-Days'!$F$3:$F$38))</f>
        <v>#N/A</v>
      </c>
      <c r="BJ71" s="34" t="e">
        <f>IF(AW71=AV71,"na",_xlfn.XLOOKUP(BJ$5,'OC-Days'!$G$3:$G$38,'OC-Days'!$F$3:$F$38))</f>
        <v>#N/A</v>
      </c>
      <c r="BK71" s="34" t="e">
        <f>IF(AX71=AW71,"na",_xlfn.XLOOKUP(BK$5,'OC-Days'!$G$3:$G$38,'OC-Days'!$F$3:$F$38))</f>
        <v>#N/A</v>
      </c>
      <c r="BL71" s="34" t="e">
        <f>IF(AY71=AX71,"na",_xlfn.XLOOKUP(BL$5,'OC-Days'!$G$3:$G$38,'OC-Days'!$F$3:$F$38))</f>
        <v>#N/A</v>
      </c>
      <c r="BM71" s="34" t="e">
        <f>IF(AZ71=AY71,"na",_xlfn.XLOOKUP(BM$5,'OC-Days'!$G$3:$G$38,'OC-Days'!$F$3:$F$38))</f>
        <v>#N/A</v>
      </c>
      <c r="BN71" s="34" t="e">
        <f>IF(BA71=AZ71,"na",_xlfn.XLOOKUP(BN$5,'OC-Days'!$G$3:$G$38,'OC-Days'!$F$3:$F$38))</f>
        <v>#N/A</v>
      </c>
      <c r="BP71" s="36" t="e">
        <f t="shared" si="63"/>
        <v>#N/A</v>
      </c>
      <c r="BQ71" s="36" t="e">
        <f t="shared" si="64"/>
        <v>#N/A</v>
      </c>
      <c r="BR71" s="36" t="e">
        <f t="shared" si="65"/>
        <v>#N/A</v>
      </c>
      <c r="BS71" s="36" t="e">
        <f t="shared" si="66"/>
        <v>#N/A</v>
      </c>
      <c r="BT71" s="36" t="e">
        <f t="shared" si="67"/>
        <v>#N/A</v>
      </c>
      <c r="BU71" s="36" t="e">
        <f t="shared" si="68"/>
        <v>#N/A</v>
      </c>
      <c r="BV71" s="36" t="e">
        <f t="shared" si="69"/>
        <v>#N/A</v>
      </c>
      <c r="BW71" s="36" t="e">
        <f t="shared" si="70"/>
        <v>#N/A</v>
      </c>
      <c r="BX71" s="36" t="e">
        <f t="shared" si="71"/>
        <v>#N/A</v>
      </c>
      <c r="BY71" s="36" t="e">
        <f t="shared" si="72"/>
        <v>#N/A</v>
      </c>
      <c r="BZ71" s="36" t="e">
        <f t="shared" si="73"/>
        <v>#N/A</v>
      </c>
      <c r="CA71" s="43">
        <f t="shared" si="79"/>
        <v>46022</v>
      </c>
      <c r="CC71" s="8">
        <f>COUNT($BC71:BC71)</f>
        <v>0</v>
      </c>
      <c r="CD71" s="8">
        <f>COUNT($BC71:BD71)</f>
        <v>0</v>
      </c>
      <c r="CE71" s="8">
        <f>COUNT($BC71:BE71)</f>
        <v>0</v>
      </c>
      <c r="CF71" s="8">
        <f>COUNT($BC71:BF71)</f>
        <v>0</v>
      </c>
      <c r="CG71" s="8">
        <f>COUNT($BC71:BG71)</f>
        <v>0</v>
      </c>
      <c r="CH71" s="8">
        <f>COUNT($BC71:BH71)</f>
        <v>0</v>
      </c>
      <c r="CI71" s="8">
        <f>COUNT($BC71:BI71)</f>
        <v>0</v>
      </c>
      <c r="CJ71" s="8">
        <f>COUNT($BC71:BJ71)</f>
        <v>0</v>
      </c>
      <c r="CK71" s="8">
        <f>COUNT($BC71:BK71)</f>
        <v>0</v>
      </c>
      <c r="CL71" s="8">
        <f>COUNT($BC71:BL71)</f>
        <v>0</v>
      </c>
      <c r="CM71" s="8">
        <f>COUNT($BC71:BM71)</f>
        <v>0</v>
      </c>
      <c r="CN71" s="8">
        <f>COUNT($BC71:BN71)</f>
        <v>0</v>
      </c>
      <c r="CO71" s="8"/>
      <c r="CP71" s="8">
        <f>COUNT($BP71:BP71)</f>
        <v>0</v>
      </c>
      <c r="CQ71" s="8">
        <f>COUNT($BP71:BQ71)</f>
        <v>0</v>
      </c>
      <c r="CR71" s="8">
        <f>COUNT($BP71:BR71)</f>
        <v>0</v>
      </c>
      <c r="CS71" s="8">
        <f>COUNT($BP71:BS71)</f>
        <v>0</v>
      </c>
      <c r="CT71" s="8">
        <f>COUNT($BP71:BT71)</f>
        <v>0</v>
      </c>
      <c r="CU71" s="8">
        <f>COUNT($BP71:BU71)</f>
        <v>0</v>
      </c>
      <c r="CV71" s="8">
        <f>COUNT($BP71:BV71)</f>
        <v>0</v>
      </c>
      <c r="CW71" s="8">
        <f>COUNT($BP71:BW71)</f>
        <v>0</v>
      </c>
      <c r="CX71" s="8">
        <f>COUNT($BP71:BX71)</f>
        <v>0</v>
      </c>
      <c r="CY71" s="8">
        <f>COUNT($BP71:BY71)</f>
        <v>0</v>
      </c>
      <c r="CZ71" s="8">
        <f>COUNT($BP71:BZ71)</f>
        <v>0</v>
      </c>
      <c r="DA71" s="8">
        <f>COUNT($BP71:CA71)</f>
        <v>1</v>
      </c>
      <c r="DC71">
        <f t="shared" si="74"/>
        <v>630</v>
      </c>
      <c r="DD71" t="str">
        <f t="shared" si="75"/>
        <v>Rollup</v>
      </c>
      <c r="DE71" t="str">
        <f t="shared" si="76"/>
        <v>630-Rollup</v>
      </c>
      <c r="DG71">
        <f t="shared" si="77"/>
        <v>0</v>
      </c>
      <c r="DH71">
        <f t="shared" si="78"/>
        <v>1</v>
      </c>
    </row>
    <row r="72" spans="2:161" x14ac:dyDescent="0.25">
      <c r="B72" s="50" t="s">
        <v>205</v>
      </c>
      <c r="C72">
        <v>1519</v>
      </c>
      <c r="D72">
        <v>1421</v>
      </c>
      <c r="E72">
        <v>1519</v>
      </c>
      <c r="F72">
        <v>1470</v>
      </c>
      <c r="G72">
        <v>1519</v>
      </c>
      <c r="H72">
        <v>1470</v>
      </c>
      <c r="I72">
        <v>1519</v>
      </c>
      <c r="J72">
        <v>1519</v>
      </c>
      <c r="K72">
        <v>1470</v>
      </c>
      <c r="L72">
        <v>1519</v>
      </c>
      <c r="M72">
        <v>1470</v>
      </c>
      <c r="N72">
        <v>1519</v>
      </c>
      <c r="P72">
        <v>1302</v>
      </c>
      <c r="Q72">
        <v>1213.07</v>
      </c>
      <c r="R72">
        <v>1285.8800000000001</v>
      </c>
      <c r="S72">
        <v>1233.9000000000001</v>
      </c>
      <c r="T72">
        <v>1264.49</v>
      </c>
      <c r="U72">
        <v>1213.5</v>
      </c>
      <c r="V72">
        <v>1243.4100000000001</v>
      </c>
      <c r="W72">
        <v>1236.5899999999999</v>
      </c>
      <c r="X72">
        <v>1205.0999999999999</v>
      </c>
      <c r="Y72">
        <v>1266.0400000000002</v>
      </c>
      <c r="Z72">
        <v>1245</v>
      </c>
      <c r="AA72">
        <v>1306.6500000000001</v>
      </c>
      <c r="AC72" s="14" t="e">
        <f>C72/_xlfn.XLOOKUP(AC$5,'OC-Days'!$G$3:$G$38,'OC-Days'!$B$3:$B$38)</f>
        <v>#N/A</v>
      </c>
      <c r="AD72" s="14" t="e">
        <f>D72/_xlfn.XLOOKUP(AD$5,'OC-Days'!$G$3:$G$38,'OC-Days'!$B$3:$B$38)</f>
        <v>#N/A</v>
      </c>
      <c r="AE72" s="14" t="e">
        <f>E72/_xlfn.XLOOKUP(AE$5,'OC-Days'!$G$3:$G$38,'OC-Days'!$B$3:$B$38)</f>
        <v>#N/A</v>
      </c>
      <c r="AF72" s="14" t="e">
        <f>F72/_xlfn.XLOOKUP(AF$5,'OC-Days'!$G$3:$G$38,'OC-Days'!$B$3:$B$38)</f>
        <v>#N/A</v>
      </c>
      <c r="AG72" s="14" t="e">
        <f>G72/_xlfn.XLOOKUP(AG$5,'OC-Days'!$G$3:$G$38,'OC-Days'!$B$3:$B$38)</f>
        <v>#N/A</v>
      </c>
      <c r="AH72" s="14" t="e">
        <f>H72/_xlfn.XLOOKUP(AH$5,'OC-Days'!$G$3:$G$38,'OC-Days'!$B$3:$B$38)</f>
        <v>#N/A</v>
      </c>
      <c r="AI72" s="14" t="e">
        <f>I72/_xlfn.XLOOKUP(AI$5,'OC-Days'!$G$3:$G$38,'OC-Days'!$B$3:$B$38)</f>
        <v>#N/A</v>
      </c>
      <c r="AJ72" s="14" t="e">
        <f>J72/_xlfn.XLOOKUP(AJ$5,'OC-Days'!$G$3:$G$38,'OC-Days'!$B$3:$B$38)</f>
        <v>#N/A</v>
      </c>
      <c r="AK72" s="14" t="e">
        <f>K72/_xlfn.XLOOKUP(AK$5,'OC-Days'!$G$3:$G$38,'OC-Days'!$B$3:$B$38)</f>
        <v>#N/A</v>
      </c>
      <c r="AL72" s="14" t="e">
        <f>L72/_xlfn.XLOOKUP(AL$5,'OC-Days'!$G$3:$G$38,'OC-Days'!$B$3:$B$38)</f>
        <v>#N/A</v>
      </c>
      <c r="AM72" s="14" t="e">
        <f>M72/_xlfn.XLOOKUP(AM$5,'OC-Days'!$G$3:$G$38,'OC-Days'!$B$3:$B$38)</f>
        <v>#N/A</v>
      </c>
      <c r="AN72" s="14" t="e">
        <f>N72/_xlfn.XLOOKUP(AN$5,'OC-Days'!$G$3:$G$38,'OC-Days'!$B$3:$B$38)</f>
        <v>#N/A</v>
      </c>
      <c r="AP72" s="14" t="e">
        <f>P72/_xlfn.XLOOKUP(AP$5,'OC-Days'!$G$3:$G$38,'OC-Days'!$B$3:$B$38)</f>
        <v>#N/A</v>
      </c>
      <c r="AQ72" s="14" t="e">
        <f>Q72/_xlfn.XLOOKUP(AQ$5,'OC-Days'!$G$3:$G$38,'OC-Days'!$B$3:$B$38)</f>
        <v>#N/A</v>
      </c>
      <c r="AR72" s="14" t="e">
        <f>R72/_xlfn.XLOOKUP(AR$5,'OC-Days'!$G$3:$G$38,'OC-Days'!$B$3:$B$38)</f>
        <v>#N/A</v>
      </c>
      <c r="AS72" s="14" t="e">
        <f>S72/_xlfn.XLOOKUP(AS$5,'OC-Days'!$G$3:$G$38,'OC-Days'!$B$3:$B$38)</f>
        <v>#N/A</v>
      </c>
      <c r="AT72" s="14" t="e">
        <f>T72/_xlfn.XLOOKUP(AT$5,'OC-Days'!$G$3:$G$38,'OC-Days'!$B$3:$B$38)</f>
        <v>#N/A</v>
      </c>
      <c r="AU72" s="14" t="e">
        <f>U72/_xlfn.XLOOKUP(AU$5,'OC-Days'!$G$3:$G$38,'OC-Days'!$B$3:$B$38)</f>
        <v>#N/A</v>
      </c>
      <c r="AV72" s="14" t="e">
        <f>V72/_xlfn.XLOOKUP(AV$5,'OC-Days'!$G$3:$G$38,'OC-Days'!$B$3:$B$38)</f>
        <v>#N/A</v>
      </c>
      <c r="AW72" s="14" t="e">
        <f>W72/_xlfn.XLOOKUP(AW$5,'OC-Days'!$G$3:$G$38,'OC-Days'!$B$3:$B$38)</f>
        <v>#N/A</v>
      </c>
      <c r="AX72" s="14" t="e">
        <f>X72/_xlfn.XLOOKUP(AX$5,'OC-Days'!$G$3:$G$38,'OC-Days'!$B$3:$B$38)</f>
        <v>#N/A</v>
      </c>
      <c r="AY72" s="14" t="e">
        <f>Y72/_xlfn.XLOOKUP(AY$5,'OC-Days'!$G$3:$G$38,'OC-Days'!$B$3:$B$38)</f>
        <v>#N/A</v>
      </c>
      <c r="AZ72" s="14" t="e">
        <f>Z72/_xlfn.XLOOKUP(AZ$5,'OC-Days'!$G$3:$G$38,'OC-Days'!$B$3:$B$38)</f>
        <v>#N/A</v>
      </c>
      <c r="BA72" s="14" t="e">
        <f>AA72/_xlfn.XLOOKUP(BA$5,'OC-Days'!$G$3:$G$38,'OC-Days'!$B$3:$B$38)</f>
        <v>#N/A</v>
      </c>
      <c r="BC72" s="33" t="e">
        <f>_xlfn.XLOOKUP(BC$5,'OC-Days'!$G$3:$G$38,'OC-Days'!$F$3:$F$38)</f>
        <v>#N/A</v>
      </c>
      <c r="BD72" s="34" t="e">
        <f>IF(AQ72=AP72,"na",_xlfn.XLOOKUP(BD$5,'OC-Days'!$G$3:$G$38,'OC-Days'!$F$3:$F$38))</f>
        <v>#N/A</v>
      </c>
      <c r="BE72" s="34" t="e">
        <f>IF(AR72=AQ72,"na",_xlfn.XLOOKUP(BE$5,'OC-Days'!$G$3:$G$38,'OC-Days'!$F$3:$F$38))</f>
        <v>#N/A</v>
      </c>
      <c r="BF72" s="34" t="e">
        <f>IF(AS72=AR72,"na",_xlfn.XLOOKUP(BF$5,'OC-Days'!$G$3:$G$38,'OC-Days'!$F$3:$F$38))</f>
        <v>#N/A</v>
      </c>
      <c r="BG72" s="34" t="e">
        <f>IF(AT72=AS72,"na",_xlfn.XLOOKUP(BG$5,'OC-Days'!$G$3:$G$38,'OC-Days'!$F$3:$F$38))</f>
        <v>#N/A</v>
      </c>
      <c r="BH72" s="34" t="e">
        <f>IF(AU72=AT72,"na",_xlfn.XLOOKUP(BH$5,'OC-Days'!$G$3:$G$38,'OC-Days'!$F$3:$F$38))</f>
        <v>#N/A</v>
      </c>
      <c r="BI72" s="34" t="e">
        <f>IF(AV72=AU72,"na",_xlfn.XLOOKUP(BI$5,'OC-Days'!$G$3:$G$38,'OC-Days'!$F$3:$F$38))</f>
        <v>#N/A</v>
      </c>
      <c r="BJ72" s="34" t="e">
        <f>IF(AW72=AV72,"na",_xlfn.XLOOKUP(BJ$5,'OC-Days'!$G$3:$G$38,'OC-Days'!$F$3:$F$38))</f>
        <v>#N/A</v>
      </c>
      <c r="BK72" s="34" t="e">
        <f>IF(AX72=AW72,"na",_xlfn.XLOOKUP(BK$5,'OC-Days'!$G$3:$G$38,'OC-Days'!$F$3:$F$38))</f>
        <v>#N/A</v>
      </c>
      <c r="BL72" s="34" t="e">
        <f>IF(AY72=AX72,"na",_xlfn.XLOOKUP(BL$5,'OC-Days'!$G$3:$G$38,'OC-Days'!$F$3:$F$38))</f>
        <v>#N/A</v>
      </c>
      <c r="BM72" s="34" t="e">
        <f>IF(AZ72=AY72,"na",_xlfn.XLOOKUP(BM$5,'OC-Days'!$G$3:$G$38,'OC-Days'!$F$3:$F$38))</f>
        <v>#N/A</v>
      </c>
      <c r="BN72" s="34" t="e">
        <f>IF(BA72=AZ72,"na",_xlfn.XLOOKUP(BN$5,'OC-Days'!$G$3:$G$38,'OC-Days'!$F$3:$F$38))</f>
        <v>#N/A</v>
      </c>
      <c r="BP72" s="36" t="e">
        <f t="shared" si="63"/>
        <v>#N/A</v>
      </c>
      <c r="BQ72" s="36" t="e">
        <f t="shared" si="64"/>
        <v>#N/A</v>
      </c>
      <c r="BR72" s="36" t="e">
        <f t="shared" si="65"/>
        <v>#N/A</v>
      </c>
      <c r="BS72" s="36" t="e">
        <f t="shared" si="66"/>
        <v>#N/A</v>
      </c>
      <c r="BT72" s="36" t="e">
        <f t="shared" si="67"/>
        <v>#N/A</v>
      </c>
      <c r="BU72" s="36" t="e">
        <f t="shared" si="68"/>
        <v>#N/A</v>
      </c>
      <c r="BV72" s="36" t="e">
        <f t="shared" si="69"/>
        <v>#N/A</v>
      </c>
      <c r="BW72" s="36" t="e">
        <f t="shared" si="70"/>
        <v>#N/A</v>
      </c>
      <c r="BX72" s="36" t="e">
        <f t="shared" si="71"/>
        <v>#N/A</v>
      </c>
      <c r="BY72" s="36" t="e">
        <f t="shared" si="72"/>
        <v>#N/A</v>
      </c>
      <c r="BZ72" s="36" t="e">
        <f t="shared" si="73"/>
        <v>#N/A</v>
      </c>
      <c r="CA72" s="43">
        <f t="shared" si="79"/>
        <v>46022</v>
      </c>
      <c r="CC72" s="8">
        <f>COUNT($BC72:BC72)</f>
        <v>0</v>
      </c>
      <c r="CD72" s="8">
        <f>COUNT($BC72:BD72)</f>
        <v>0</v>
      </c>
      <c r="CE72" s="8">
        <f>COUNT($BC72:BE72)</f>
        <v>0</v>
      </c>
      <c r="CF72" s="8">
        <f>COUNT($BC72:BF72)</f>
        <v>0</v>
      </c>
      <c r="CG72" s="8">
        <f>COUNT($BC72:BG72)</f>
        <v>0</v>
      </c>
      <c r="CH72" s="8">
        <f>COUNT($BC72:BH72)</f>
        <v>0</v>
      </c>
      <c r="CI72" s="8">
        <f>COUNT($BC72:BI72)</f>
        <v>0</v>
      </c>
      <c r="CJ72" s="8">
        <f>COUNT($BC72:BJ72)</f>
        <v>0</v>
      </c>
      <c r="CK72" s="8">
        <f>COUNT($BC72:BK72)</f>
        <v>0</v>
      </c>
      <c r="CL72" s="8">
        <f>COUNT($BC72:BL72)</f>
        <v>0</v>
      </c>
      <c r="CM72" s="8">
        <f>COUNT($BC72:BM72)</f>
        <v>0</v>
      </c>
      <c r="CN72" s="8">
        <f>COUNT($BC72:BN72)</f>
        <v>0</v>
      </c>
      <c r="CO72" s="8"/>
      <c r="CP72" s="8">
        <f>COUNT($BP72:BP72)</f>
        <v>0</v>
      </c>
      <c r="CQ72" s="8">
        <f>COUNT($BP72:BQ72)</f>
        <v>0</v>
      </c>
      <c r="CR72" s="8">
        <f>COUNT($BP72:BR72)</f>
        <v>0</v>
      </c>
      <c r="CS72" s="8">
        <f>COUNT($BP72:BS72)</f>
        <v>0</v>
      </c>
      <c r="CT72" s="8">
        <f>COUNT($BP72:BT72)</f>
        <v>0</v>
      </c>
      <c r="CU72" s="8">
        <f>COUNT($BP72:BU72)</f>
        <v>0</v>
      </c>
      <c r="CV72" s="8">
        <f>COUNT($BP72:BV72)</f>
        <v>0</v>
      </c>
      <c r="CW72" s="8">
        <f>COUNT($BP72:BW72)</f>
        <v>0</v>
      </c>
      <c r="CX72" s="8">
        <f>COUNT($BP72:BX72)</f>
        <v>0</v>
      </c>
      <c r="CY72" s="8">
        <f>COUNT($BP72:BY72)</f>
        <v>0</v>
      </c>
      <c r="CZ72" s="8">
        <f>COUNT($BP72:BZ72)</f>
        <v>0</v>
      </c>
      <c r="DA72" s="8">
        <f>COUNT($BP72:CA72)</f>
        <v>1</v>
      </c>
      <c r="DC72">
        <f t="shared" si="74"/>
        <v>635</v>
      </c>
      <c r="DD72">
        <f t="shared" si="75"/>
        <v>52</v>
      </c>
      <c r="DE72" t="str">
        <f t="shared" si="76"/>
        <v>635-52</v>
      </c>
      <c r="DG72">
        <f t="shared" si="77"/>
        <v>0</v>
      </c>
      <c r="DH72">
        <f t="shared" si="78"/>
        <v>1</v>
      </c>
      <c r="DJ72" s="44" t="str" cm="1">
        <f t="array" ref="DJ72">IF(DJ$5&lt;=$DG72,INDEX($BC72:$BN72,1,_xlfn.XMATCH(DJ$5,$CC72:$CN72)),"na")</f>
        <v>na</v>
      </c>
      <c r="DK72" s="45" cm="1">
        <f t="array" ref="DK72">IF(DK$5&lt;=$DH72,INDEX($BP72:$CA72,1,_xlfn.XMATCH(DK$5,$CP72:$DA72)),"na")</f>
        <v>46022</v>
      </c>
      <c r="DL72" s="46" t="str" cm="1">
        <f t="array" ref="DL72">IF(DL$5&lt;=$DG72,INDEX($AC72:$AN72,1,_xlfn.XMATCH(DL$5,$CC72:$CN72)),"na")</f>
        <v>na</v>
      </c>
      <c r="DM72" s="47" t="str" cm="1">
        <f t="array" ref="DM72">IF(DM$5&lt;=$DG72,INDEX($AP72:$BA72,1,_xlfn.XMATCH(DM$5,$CC72:$CN72)),"na")</f>
        <v>na</v>
      </c>
      <c r="DN72" s="44" t="str" cm="1">
        <f t="array" ref="DN72">IF(DN$5&lt;=$DG72,INDEX($BC72:$BN72,1,_xlfn.XMATCH(DN$5,$CC72:$CN72)),"na")</f>
        <v>na</v>
      </c>
      <c r="DO72" s="45" t="str" cm="1">
        <f t="array" ref="DO72">IF(DO$5&lt;=$DH72,INDEX($BP72:$CA72,1,_xlfn.XMATCH(DO$5,$CP72:$DA72)),"na")</f>
        <v>na</v>
      </c>
      <c r="DP72" s="46" t="str" cm="1">
        <f t="array" ref="DP72">IF(DP$5&lt;=$DG72,INDEX($AC72:$AN72,1,_xlfn.XMATCH(DP$5,$CC72:$CN72)),"na")</f>
        <v>na</v>
      </c>
      <c r="DQ72" s="47" t="str" cm="1">
        <f t="array" ref="DQ72">IF(DQ$5&lt;=$DG72,INDEX($AP72:$BA72,1,_xlfn.XMATCH(DQ$5,$CC72:$CN72)),"na")</f>
        <v>na</v>
      </c>
      <c r="DR72" s="44" t="str" cm="1">
        <f t="array" ref="DR72">IF(DR$5&lt;=$DG72,INDEX($BC72:$BN72,1,_xlfn.XMATCH(DR$5,$CC72:$CN72)),"na")</f>
        <v>na</v>
      </c>
      <c r="DS72" s="45" t="str" cm="1">
        <f t="array" ref="DS72">IF(DS$5&lt;=$DH72,INDEX($BP72:$CA72,1,_xlfn.XMATCH(DS$5,$CP72:$DA72)),"na")</f>
        <v>na</v>
      </c>
      <c r="DT72" s="46" t="str" cm="1">
        <f t="array" ref="DT72">IF(DT$5&lt;=$DG72,INDEX($AC72:$AN72,1,_xlfn.XMATCH(DT$5,$CC72:$CN72)),"na")</f>
        <v>na</v>
      </c>
      <c r="DU72" s="47" t="str" cm="1">
        <f t="array" ref="DU72">IF(DU$5&lt;=$DG72,INDEX($AP72:$BA72,1,_xlfn.XMATCH(DU$5,$CC72:$CN72)),"na")</f>
        <v>na</v>
      </c>
      <c r="DV72" s="44" t="str" cm="1">
        <f t="array" ref="DV72">IF(DV$5&lt;=$DG72,INDEX($BC72:$BN72,1,_xlfn.XMATCH(DV$5,$CC72:$CN72)),"na")</f>
        <v>na</v>
      </c>
      <c r="DW72" s="45" t="str" cm="1">
        <f t="array" ref="DW72">IF(DW$5&lt;=$DH72,INDEX($BP72:$CA72,1,_xlfn.XMATCH(DW$5,$CP72:$DA72)),"na")</f>
        <v>na</v>
      </c>
      <c r="DX72" s="46" t="str" cm="1">
        <f t="array" ref="DX72">IF(DX$5&lt;=$DG72,INDEX($AC72:$AN72,1,_xlfn.XMATCH(DX$5,$CC72:$CN72)),"na")</f>
        <v>na</v>
      </c>
      <c r="DY72" s="47" t="str" cm="1">
        <f t="array" ref="DY72">IF(DY$5&lt;=$DG72,INDEX($AP72:$BA72,1,_xlfn.XMATCH(DY$5,$CC72:$CN72)),"na")</f>
        <v>na</v>
      </c>
      <c r="DZ72" s="44" t="str" cm="1">
        <f t="array" ref="DZ72">IF(DZ$5&lt;=$DG72,INDEX($BC72:$BN72,1,_xlfn.XMATCH(DZ$5,$CC72:$CN72)),"na")</f>
        <v>na</v>
      </c>
      <c r="EA72" s="45" t="str" cm="1">
        <f t="array" ref="EA72">IF(EA$5&lt;=$DH72,INDEX($BP72:$CA72,1,_xlfn.XMATCH(EA$5,$CP72:$DA72)),"na")</f>
        <v>na</v>
      </c>
      <c r="EB72" s="46" t="str" cm="1">
        <f t="array" ref="EB72">IF(EB$5&lt;=$DG72,INDEX($AC72:$AN72,1,_xlfn.XMATCH(EB$5,$CC72:$CN72)),"na")</f>
        <v>na</v>
      </c>
      <c r="EC72" s="47" t="str" cm="1">
        <f t="array" ref="EC72">IF(EC$5&lt;=$DG72,INDEX($AP72:$BA72,1,_xlfn.XMATCH(EC$5,$CC72:$CN72)),"na")</f>
        <v>na</v>
      </c>
      <c r="ED72" s="44" t="str" cm="1">
        <f t="array" ref="ED72">IF(ED$5&lt;=$DG72,INDEX($BC72:$BN72,1,_xlfn.XMATCH(ED$5,$CC72:$CN72)),"na")</f>
        <v>na</v>
      </c>
      <c r="EE72" s="45" t="str" cm="1">
        <f t="array" ref="EE72">IF(EE$5&lt;=$DH72,INDEX($BP72:$CA72,1,_xlfn.XMATCH(EE$5,$CP72:$DA72)),"na")</f>
        <v>na</v>
      </c>
      <c r="EF72" s="46" t="str" cm="1">
        <f t="array" ref="EF72">IF(EF$5&lt;=$DG72,INDEX($AC72:$AN72,1,_xlfn.XMATCH(EF$5,$CC72:$CN72)),"na")</f>
        <v>na</v>
      </c>
      <c r="EG72" s="47" t="str" cm="1">
        <f t="array" ref="EG72">IF(EG$5&lt;=$DG72,INDEX($AP72:$BA72,1,_xlfn.XMATCH(EG$5,$CC72:$CN72)),"na")</f>
        <v>na</v>
      </c>
      <c r="EH72" s="44" t="str" cm="1">
        <f t="array" ref="EH72">IF(EH$5&lt;=$DG72,INDEX($BC72:$BN72,1,_xlfn.XMATCH(EH$5,$CC72:$CN72)),"na")</f>
        <v>na</v>
      </c>
      <c r="EI72" s="45" t="str" cm="1">
        <f t="array" ref="EI72">IF(EI$5&lt;=$DH72,INDEX($BP72:$CA72,1,_xlfn.XMATCH(EI$5,$CP72:$DA72)),"na")</f>
        <v>na</v>
      </c>
      <c r="EJ72" s="46" t="str" cm="1">
        <f t="array" ref="EJ72">IF(EJ$5&lt;=$DG72,INDEX($AC72:$AN72,1,_xlfn.XMATCH(EJ$5,$CC72:$CN72)),"na")</f>
        <v>na</v>
      </c>
      <c r="EK72" s="47" t="str" cm="1">
        <f t="array" ref="EK72">IF(EK$5&lt;=$DG72,INDEX($AP72:$BA72,1,_xlfn.XMATCH(EK$5,$CC72:$CN72)),"na")</f>
        <v>na</v>
      </c>
      <c r="EL72" s="44" t="str" cm="1">
        <f t="array" ref="EL72">IF(EL$5&lt;=$DG72,INDEX($BC72:$BN72,1,_xlfn.XMATCH(EL$5,$CC72:$CN72)),"na")</f>
        <v>na</v>
      </c>
      <c r="EM72" s="45" t="str" cm="1">
        <f t="array" ref="EM72">IF(EM$5&lt;=$DH72,INDEX($BP72:$CA72,1,_xlfn.XMATCH(EM$5,$CP72:$DA72)),"na")</f>
        <v>na</v>
      </c>
      <c r="EN72" s="46" t="str" cm="1">
        <f t="array" ref="EN72">IF(EN$5&lt;=$DG72,INDEX($AC72:$AN72,1,_xlfn.XMATCH(EN$5,$CC72:$CN72)),"na")</f>
        <v>na</v>
      </c>
      <c r="EO72" s="47" t="str" cm="1">
        <f t="array" ref="EO72">IF(EO$5&lt;=$DG72,INDEX($AP72:$BA72,1,_xlfn.XMATCH(EO$5,$CC72:$CN72)),"na")</f>
        <v>na</v>
      </c>
      <c r="EP72" s="44" t="str" cm="1">
        <f t="array" ref="EP72">IF(EP$5&lt;=$DG72,INDEX($BC72:$BN72,1,_xlfn.XMATCH(EP$5,$CC72:$CN72)),"na")</f>
        <v>na</v>
      </c>
      <c r="EQ72" s="45" t="str" cm="1">
        <f t="array" ref="EQ72">IF(EQ$5&lt;=$DH72,INDEX($BP72:$CA72,1,_xlfn.XMATCH(EQ$5,$CP72:$DA72)),"na")</f>
        <v>na</v>
      </c>
      <c r="ER72" s="46" t="str" cm="1">
        <f t="array" ref="ER72">IF(ER$5&lt;=$DG72,INDEX($AC72:$AN72,1,_xlfn.XMATCH(ER$5,$CC72:$CN72)),"na")</f>
        <v>na</v>
      </c>
      <c r="ES72" s="47" t="str" cm="1">
        <f t="array" ref="ES72">IF(ES$5&lt;=$DG72,INDEX($AP72:$BA72,1,_xlfn.XMATCH(ES$5,$CC72:$CN72)),"na")</f>
        <v>na</v>
      </c>
      <c r="ET72" s="44" t="str" cm="1">
        <f t="array" ref="ET72">IF(ET$5&lt;=$DG72,INDEX($BC72:$BN72,1,_xlfn.XMATCH(ET$5,$CC72:$CN72)),"na")</f>
        <v>na</v>
      </c>
      <c r="EU72" s="45" t="str" cm="1">
        <f t="array" ref="EU72">IF(EU$5&lt;=$DH72,INDEX($BP72:$CA72,1,_xlfn.XMATCH(EU$5,$CP72:$DA72)),"na")</f>
        <v>na</v>
      </c>
      <c r="EV72" s="46" t="str" cm="1">
        <f t="array" ref="EV72">IF(EV$5&lt;=$DG72,INDEX($AC72:$AN72,1,_xlfn.XMATCH(EV$5,$CC72:$CN72)),"na")</f>
        <v>na</v>
      </c>
      <c r="EW72" s="47" t="str" cm="1">
        <f t="array" ref="EW72">IF(EW$5&lt;=$DG72,INDEX($AP72:$BA72,1,_xlfn.XMATCH(EW$5,$CC72:$CN72)),"na")</f>
        <v>na</v>
      </c>
      <c r="EX72" s="44" t="str" cm="1">
        <f t="array" ref="EX72">IF(EX$5&lt;=$DG72,INDEX($BC72:$BN72,1,_xlfn.XMATCH(EX$5,$CC72:$CN72)),"na")</f>
        <v>na</v>
      </c>
      <c r="EY72" s="45" t="str" cm="1">
        <f t="array" ref="EY72">IF(EY$5&lt;=$DH72,INDEX($BP72:$CA72,1,_xlfn.XMATCH(EY$5,$CP72:$DA72)),"na")</f>
        <v>na</v>
      </c>
      <c r="EZ72" s="46" t="str" cm="1">
        <f t="array" ref="EZ72">IF(EZ$5&lt;=$DG72,INDEX($AC72:$AN72,1,_xlfn.XMATCH(EZ$5,$CC72:$CN72)),"na")</f>
        <v>na</v>
      </c>
      <c r="FA72" s="47" t="str" cm="1">
        <f t="array" ref="FA72">IF(FA$5&lt;=$DG72,INDEX($AP72:$BA72,1,_xlfn.XMATCH(FA$5,$CC72:$CN72)),"na")</f>
        <v>na</v>
      </c>
      <c r="FB72" s="44" t="str" cm="1">
        <f t="array" ref="FB72">IF(FB$5&lt;=$DG72,INDEX($BC72:$BN72,1,_xlfn.XMATCH(FB$5,$CC72:$CN72)),"na")</f>
        <v>na</v>
      </c>
      <c r="FC72" s="45" t="str" cm="1">
        <f t="array" ref="FC72">IF(FC$5&lt;=$DH72,INDEX($BP72:$CA72,1,_xlfn.XMATCH(FC$5,$CP72:$DA72)),"na")</f>
        <v>na</v>
      </c>
      <c r="FD72" s="46" t="str" cm="1">
        <f t="array" ref="FD72">IF(FD$5&lt;=$DG72,INDEX($AC72:$AN72,1,_xlfn.XMATCH(FD$5,$CC72:$CN72)),"na")</f>
        <v>na</v>
      </c>
      <c r="FE72" s="47" t="str" cm="1">
        <f t="array" ref="FE72">IF(FE$5&lt;=$DG72,INDEX($AP72:$BA72,1,_xlfn.XMATCH(FE$5,$CC72:$CN72)),"na")</f>
        <v>na</v>
      </c>
    </row>
    <row r="73" spans="2:161" x14ac:dyDescent="0.25">
      <c r="B73" t="s">
        <v>206</v>
      </c>
      <c r="C73">
        <v>1519</v>
      </c>
      <c r="D73">
        <v>1421</v>
      </c>
      <c r="E73">
        <v>1519</v>
      </c>
      <c r="F73">
        <v>1470</v>
      </c>
      <c r="G73">
        <v>1519</v>
      </c>
      <c r="H73">
        <v>1470</v>
      </c>
      <c r="I73">
        <v>1519</v>
      </c>
      <c r="J73">
        <v>1519</v>
      </c>
      <c r="K73">
        <v>1470</v>
      </c>
      <c r="L73">
        <v>1519</v>
      </c>
      <c r="M73">
        <v>1470</v>
      </c>
      <c r="N73">
        <v>1519</v>
      </c>
      <c r="P73">
        <v>1302</v>
      </c>
      <c r="Q73">
        <v>1213.07</v>
      </c>
      <c r="R73">
        <v>1285.8800000000001</v>
      </c>
      <c r="S73">
        <v>1233.9000000000001</v>
      </c>
      <c r="T73">
        <v>1264.49</v>
      </c>
      <c r="U73">
        <v>1213.5</v>
      </c>
      <c r="V73">
        <v>1243.4100000000001</v>
      </c>
      <c r="W73">
        <v>1236.5899999999999</v>
      </c>
      <c r="X73">
        <v>1205.0999999999999</v>
      </c>
      <c r="Y73">
        <v>1266.0400000000002</v>
      </c>
      <c r="Z73">
        <v>1245</v>
      </c>
      <c r="AA73">
        <v>1306.6500000000001</v>
      </c>
      <c r="AC73" s="14" t="e">
        <f>C73/_xlfn.XLOOKUP(AC$5,'OC-Days'!$G$3:$G$38,'OC-Days'!$B$3:$B$38)</f>
        <v>#N/A</v>
      </c>
      <c r="AD73" s="14" t="e">
        <f>D73/_xlfn.XLOOKUP(AD$5,'OC-Days'!$G$3:$G$38,'OC-Days'!$B$3:$B$38)</f>
        <v>#N/A</v>
      </c>
      <c r="AE73" s="14" t="e">
        <f>E73/_xlfn.XLOOKUP(AE$5,'OC-Days'!$G$3:$G$38,'OC-Days'!$B$3:$B$38)</f>
        <v>#N/A</v>
      </c>
      <c r="AF73" s="14" t="e">
        <f>F73/_xlfn.XLOOKUP(AF$5,'OC-Days'!$G$3:$G$38,'OC-Days'!$B$3:$B$38)</f>
        <v>#N/A</v>
      </c>
      <c r="AG73" s="14" t="e">
        <f>G73/_xlfn.XLOOKUP(AG$5,'OC-Days'!$G$3:$G$38,'OC-Days'!$B$3:$B$38)</f>
        <v>#N/A</v>
      </c>
      <c r="AH73" s="14" t="e">
        <f>H73/_xlfn.XLOOKUP(AH$5,'OC-Days'!$G$3:$G$38,'OC-Days'!$B$3:$B$38)</f>
        <v>#N/A</v>
      </c>
      <c r="AI73" s="14" t="e">
        <f>I73/_xlfn.XLOOKUP(AI$5,'OC-Days'!$G$3:$G$38,'OC-Days'!$B$3:$B$38)</f>
        <v>#N/A</v>
      </c>
      <c r="AJ73" s="14" t="e">
        <f>J73/_xlfn.XLOOKUP(AJ$5,'OC-Days'!$G$3:$G$38,'OC-Days'!$B$3:$B$38)</f>
        <v>#N/A</v>
      </c>
      <c r="AK73" s="14" t="e">
        <f>K73/_xlfn.XLOOKUP(AK$5,'OC-Days'!$G$3:$G$38,'OC-Days'!$B$3:$B$38)</f>
        <v>#N/A</v>
      </c>
      <c r="AL73" s="14" t="e">
        <f>L73/_xlfn.XLOOKUP(AL$5,'OC-Days'!$G$3:$G$38,'OC-Days'!$B$3:$B$38)</f>
        <v>#N/A</v>
      </c>
      <c r="AM73" s="14" t="e">
        <f>M73/_xlfn.XLOOKUP(AM$5,'OC-Days'!$G$3:$G$38,'OC-Days'!$B$3:$B$38)</f>
        <v>#N/A</v>
      </c>
      <c r="AN73" s="14" t="e">
        <f>N73/_xlfn.XLOOKUP(AN$5,'OC-Days'!$G$3:$G$38,'OC-Days'!$B$3:$B$38)</f>
        <v>#N/A</v>
      </c>
      <c r="AP73" s="14" t="e">
        <f>P73/_xlfn.XLOOKUP(AP$5,'OC-Days'!$G$3:$G$38,'OC-Days'!$B$3:$B$38)</f>
        <v>#N/A</v>
      </c>
      <c r="AQ73" s="14" t="e">
        <f>Q73/_xlfn.XLOOKUP(AQ$5,'OC-Days'!$G$3:$G$38,'OC-Days'!$B$3:$B$38)</f>
        <v>#N/A</v>
      </c>
      <c r="AR73" s="14" t="e">
        <f>R73/_xlfn.XLOOKUP(AR$5,'OC-Days'!$G$3:$G$38,'OC-Days'!$B$3:$B$38)</f>
        <v>#N/A</v>
      </c>
      <c r="AS73" s="14" t="e">
        <f>S73/_xlfn.XLOOKUP(AS$5,'OC-Days'!$G$3:$G$38,'OC-Days'!$B$3:$B$38)</f>
        <v>#N/A</v>
      </c>
      <c r="AT73" s="14" t="e">
        <f>T73/_xlfn.XLOOKUP(AT$5,'OC-Days'!$G$3:$G$38,'OC-Days'!$B$3:$B$38)</f>
        <v>#N/A</v>
      </c>
      <c r="AU73" s="14" t="e">
        <f>U73/_xlfn.XLOOKUP(AU$5,'OC-Days'!$G$3:$G$38,'OC-Days'!$B$3:$B$38)</f>
        <v>#N/A</v>
      </c>
      <c r="AV73" s="14" t="e">
        <f>V73/_xlfn.XLOOKUP(AV$5,'OC-Days'!$G$3:$G$38,'OC-Days'!$B$3:$B$38)</f>
        <v>#N/A</v>
      </c>
      <c r="AW73" s="14" t="e">
        <f>W73/_xlfn.XLOOKUP(AW$5,'OC-Days'!$G$3:$G$38,'OC-Days'!$B$3:$B$38)</f>
        <v>#N/A</v>
      </c>
      <c r="AX73" s="14" t="e">
        <f>X73/_xlfn.XLOOKUP(AX$5,'OC-Days'!$G$3:$G$38,'OC-Days'!$B$3:$B$38)</f>
        <v>#N/A</v>
      </c>
      <c r="AY73" s="14" t="e">
        <f>Y73/_xlfn.XLOOKUP(AY$5,'OC-Days'!$G$3:$G$38,'OC-Days'!$B$3:$B$38)</f>
        <v>#N/A</v>
      </c>
      <c r="AZ73" s="14" t="e">
        <f>Z73/_xlfn.XLOOKUP(AZ$5,'OC-Days'!$G$3:$G$38,'OC-Days'!$B$3:$B$38)</f>
        <v>#N/A</v>
      </c>
      <c r="BA73" s="14" t="e">
        <f>AA73/_xlfn.XLOOKUP(BA$5,'OC-Days'!$G$3:$G$38,'OC-Days'!$B$3:$B$38)</f>
        <v>#N/A</v>
      </c>
      <c r="BC73" s="33" t="e">
        <f>_xlfn.XLOOKUP(BC$5,'OC-Days'!$G$3:$G$38,'OC-Days'!$F$3:$F$38)</f>
        <v>#N/A</v>
      </c>
      <c r="BD73" s="34" t="e">
        <f>IF(AQ73=AP73,"na",_xlfn.XLOOKUP(BD$5,'OC-Days'!$G$3:$G$38,'OC-Days'!$F$3:$F$38))</f>
        <v>#N/A</v>
      </c>
      <c r="BE73" s="34" t="e">
        <f>IF(AR73=AQ73,"na",_xlfn.XLOOKUP(BE$5,'OC-Days'!$G$3:$G$38,'OC-Days'!$F$3:$F$38))</f>
        <v>#N/A</v>
      </c>
      <c r="BF73" s="34" t="e">
        <f>IF(AS73=AR73,"na",_xlfn.XLOOKUP(BF$5,'OC-Days'!$G$3:$G$38,'OC-Days'!$F$3:$F$38))</f>
        <v>#N/A</v>
      </c>
      <c r="BG73" s="34" t="e">
        <f>IF(AT73=AS73,"na",_xlfn.XLOOKUP(BG$5,'OC-Days'!$G$3:$G$38,'OC-Days'!$F$3:$F$38))</f>
        <v>#N/A</v>
      </c>
      <c r="BH73" s="34" t="e">
        <f>IF(AU73=AT73,"na",_xlfn.XLOOKUP(BH$5,'OC-Days'!$G$3:$G$38,'OC-Days'!$F$3:$F$38))</f>
        <v>#N/A</v>
      </c>
      <c r="BI73" s="34" t="e">
        <f>IF(AV73=AU73,"na",_xlfn.XLOOKUP(BI$5,'OC-Days'!$G$3:$G$38,'OC-Days'!$F$3:$F$38))</f>
        <v>#N/A</v>
      </c>
      <c r="BJ73" s="34" t="e">
        <f>IF(AW73=AV73,"na",_xlfn.XLOOKUP(BJ$5,'OC-Days'!$G$3:$G$38,'OC-Days'!$F$3:$F$38))</f>
        <v>#N/A</v>
      </c>
      <c r="BK73" s="34" t="e">
        <f>IF(AX73=AW73,"na",_xlfn.XLOOKUP(BK$5,'OC-Days'!$G$3:$G$38,'OC-Days'!$F$3:$F$38))</f>
        <v>#N/A</v>
      </c>
      <c r="BL73" s="34" t="e">
        <f>IF(AY73=AX73,"na",_xlfn.XLOOKUP(BL$5,'OC-Days'!$G$3:$G$38,'OC-Days'!$F$3:$F$38))</f>
        <v>#N/A</v>
      </c>
      <c r="BM73" s="34" t="e">
        <f>IF(AZ73=AY73,"na",_xlfn.XLOOKUP(BM$5,'OC-Days'!$G$3:$G$38,'OC-Days'!$F$3:$F$38))</f>
        <v>#N/A</v>
      </c>
      <c r="BN73" s="34" t="e">
        <f>IF(BA73=AZ73,"na",_xlfn.XLOOKUP(BN$5,'OC-Days'!$G$3:$G$38,'OC-Days'!$F$3:$F$38))</f>
        <v>#N/A</v>
      </c>
      <c r="BP73" s="36" t="e">
        <f t="shared" si="63"/>
        <v>#N/A</v>
      </c>
      <c r="BQ73" s="36" t="e">
        <f t="shared" si="64"/>
        <v>#N/A</v>
      </c>
      <c r="BR73" s="36" t="e">
        <f t="shared" si="65"/>
        <v>#N/A</v>
      </c>
      <c r="BS73" s="36" t="e">
        <f t="shared" si="66"/>
        <v>#N/A</v>
      </c>
      <c r="BT73" s="36" t="e">
        <f t="shared" si="67"/>
        <v>#N/A</v>
      </c>
      <c r="BU73" s="36" t="e">
        <f t="shared" si="68"/>
        <v>#N/A</v>
      </c>
      <c r="BV73" s="36" t="e">
        <f t="shared" si="69"/>
        <v>#N/A</v>
      </c>
      <c r="BW73" s="36" t="e">
        <f t="shared" si="70"/>
        <v>#N/A</v>
      </c>
      <c r="BX73" s="36" t="e">
        <f t="shared" si="71"/>
        <v>#N/A</v>
      </c>
      <c r="BY73" s="36" t="e">
        <f t="shared" si="72"/>
        <v>#N/A</v>
      </c>
      <c r="BZ73" s="36" t="e">
        <f t="shared" si="73"/>
        <v>#N/A</v>
      </c>
      <c r="CA73" s="43">
        <f t="shared" si="79"/>
        <v>46022</v>
      </c>
      <c r="CC73" s="8">
        <f>COUNT($BC73:BC73)</f>
        <v>0</v>
      </c>
      <c r="CD73" s="8">
        <f>COUNT($BC73:BD73)</f>
        <v>0</v>
      </c>
      <c r="CE73" s="8">
        <f>COUNT($BC73:BE73)</f>
        <v>0</v>
      </c>
      <c r="CF73" s="8">
        <f>COUNT($BC73:BF73)</f>
        <v>0</v>
      </c>
      <c r="CG73" s="8">
        <f>COUNT($BC73:BG73)</f>
        <v>0</v>
      </c>
      <c r="CH73" s="8">
        <f>COUNT($BC73:BH73)</f>
        <v>0</v>
      </c>
      <c r="CI73" s="8">
        <f>COUNT($BC73:BI73)</f>
        <v>0</v>
      </c>
      <c r="CJ73" s="8">
        <f>COUNT($BC73:BJ73)</f>
        <v>0</v>
      </c>
      <c r="CK73" s="8">
        <f>COUNT($BC73:BK73)</f>
        <v>0</v>
      </c>
      <c r="CL73" s="8">
        <f>COUNT($BC73:BL73)</f>
        <v>0</v>
      </c>
      <c r="CM73" s="8">
        <f>COUNT($BC73:BM73)</f>
        <v>0</v>
      </c>
      <c r="CN73" s="8">
        <f>COUNT($BC73:BN73)</f>
        <v>0</v>
      </c>
      <c r="CO73" s="8"/>
      <c r="CP73" s="8">
        <f>COUNT($BP73:BP73)</f>
        <v>0</v>
      </c>
      <c r="CQ73" s="8">
        <f>COUNT($BP73:BQ73)</f>
        <v>0</v>
      </c>
      <c r="CR73" s="8">
        <f>COUNT($BP73:BR73)</f>
        <v>0</v>
      </c>
      <c r="CS73" s="8">
        <f>COUNT($BP73:BS73)</f>
        <v>0</v>
      </c>
      <c r="CT73" s="8">
        <f>COUNT($BP73:BT73)</f>
        <v>0</v>
      </c>
      <c r="CU73" s="8">
        <f>COUNT($BP73:BU73)</f>
        <v>0</v>
      </c>
      <c r="CV73" s="8">
        <f>COUNT($BP73:BV73)</f>
        <v>0</v>
      </c>
      <c r="CW73" s="8">
        <f>COUNT($BP73:BW73)</f>
        <v>0</v>
      </c>
      <c r="CX73" s="8">
        <f>COUNT($BP73:BX73)</f>
        <v>0</v>
      </c>
      <c r="CY73" s="8">
        <f>COUNT($BP73:BY73)</f>
        <v>0</v>
      </c>
      <c r="CZ73" s="8">
        <f>COUNT($BP73:BZ73)</f>
        <v>0</v>
      </c>
      <c r="DA73" s="8">
        <f>COUNT($BP73:CA73)</f>
        <v>1</v>
      </c>
      <c r="DC73">
        <f t="shared" si="74"/>
        <v>635</v>
      </c>
      <c r="DD73" t="str">
        <f t="shared" si="75"/>
        <v>Rollup</v>
      </c>
      <c r="DE73" t="str">
        <f t="shared" si="76"/>
        <v>635-Rollup</v>
      </c>
      <c r="DG73">
        <f t="shared" si="77"/>
        <v>0</v>
      </c>
      <c r="DH73">
        <f t="shared" si="78"/>
        <v>1</v>
      </c>
    </row>
  </sheetData>
  <autoFilter ref="DC5:DH62" xr:uid="{6E8ADF5C-9234-44E1-9551-F62152B3F9D3}">
    <filterColumn colId="1">
      <filters>
        <filter val="21"/>
        <filter val="22"/>
        <filter val="31"/>
        <filter val="32"/>
        <filter val="33"/>
        <filter val="34"/>
        <filter val="35"/>
        <filter val="36"/>
        <filter val="51"/>
        <filter val="52"/>
        <filter val="61"/>
        <filter val="62"/>
      </filters>
    </filterColumn>
  </autoFilter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319-155E-4006-A557-F130A3E508A7}">
  <dimension ref="A1:J50"/>
  <sheetViews>
    <sheetView workbookViewId="0">
      <pane ySplit="2" topLeftCell="A3" activePane="bottomLeft" state="frozen"/>
      <selection pane="bottomLeft" activeCell="C4" sqref="C4"/>
    </sheetView>
  </sheetViews>
  <sheetFormatPr defaultRowHeight="12.75" x14ac:dyDescent="0.2"/>
  <cols>
    <col min="1" max="1" width="22" style="19" bestFit="1" customWidth="1"/>
    <col min="2" max="2" width="13.7109375" style="19" customWidth="1"/>
    <col min="3" max="7" width="9.140625" style="19"/>
    <col min="8" max="8" width="1.7109375" style="19" customWidth="1"/>
    <col min="9" max="16384" width="9.140625" style="19"/>
  </cols>
  <sheetData>
    <row r="1" spans="1:10" x14ac:dyDescent="0.2">
      <c r="A1" s="15" t="s">
        <v>60</v>
      </c>
      <c r="B1" s="16"/>
      <c r="C1" s="17" t="s">
        <v>125</v>
      </c>
      <c r="D1" s="18"/>
      <c r="E1" s="18"/>
      <c r="F1" s="18"/>
      <c r="G1" s="18"/>
      <c r="I1" s="20" t="s">
        <v>126</v>
      </c>
      <c r="J1" s="21"/>
    </row>
    <row r="2" spans="1:10" ht="43.9" customHeight="1" x14ac:dyDescent="0.2">
      <c r="A2" s="22"/>
      <c r="B2" s="23" t="s">
        <v>127</v>
      </c>
      <c r="C2" s="24" t="s">
        <v>128</v>
      </c>
      <c r="D2" s="24" t="s">
        <v>129</v>
      </c>
      <c r="E2" s="24" t="s">
        <v>130</v>
      </c>
      <c r="F2" s="24" t="s">
        <v>131</v>
      </c>
      <c r="G2" s="24" t="s">
        <v>132</v>
      </c>
      <c r="I2" s="24" t="s">
        <v>129</v>
      </c>
      <c r="J2" s="24" t="s">
        <v>130</v>
      </c>
    </row>
    <row r="3" spans="1:10" x14ac:dyDescent="0.2">
      <c r="A3" s="25" t="s">
        <v>133</v>
      </c>
      <c r="B3" s="26">
        <v>31</v>
      </c>
      <c r="C3" s="19">
        <f t="shared" ref="C3:C38" si="0">VALUE(RIGHT(A3,4))</f>
        <v>2022</v>
      </c>
      <c r="D3" s="19" t="str">
        <f t="shared" ref="D3:D38" si="1">LEFT(A3,3)</f>
        <v>Jan</v>
      </c>
      <c r="E3" s="19">
        <f>VLOOKUP(D3,$I$3:$J$14,2,0)</f>
        <v>1</v>
      </c>
      <c r="F3" s="27">
        <f>DATE(C3,E3,1)</f>
        <v>44562</v>
      </c>
      <c r="G3" s="27" t="str">
        <f>D3&amp;"-"&amp;C3</f>
        <v>Jan-2022</v>
      </c>
      <c r="I3" s="19" t="s">
        <v>53</v>
      </c>
      <c r="J3" s="19">
        <v>1</v>
      </c>
    </row>
    <row r="4" spans="1:10" x14ac:dyDescent="0.2">
      <c r="A4" s="25" t="s">
        <v>134</v>
      </c>
      <c r="B4" s="26">
        <v>28</v>
      </c>
      <c r="C4" s="19">
        <f t="shared" si="0"/>
        <v>2022</v>
      </c>
      <c r="D4" s="19" t="str">
        <f t="shared" si="1"/>
        <v>Feb</v>
      </c>
      <c r="E4" s="19">
        <f t="shared" ref="E4:E38" si="2">VLOOKUP(D4,$I$3:$J$14,2,0)</f>
        <v>2</v>
      </c>
      <c r="F4" s="27">
        <f t="shared" ref="F4:F38" si="3">DATE(C4,E4,1)</f>
        <v>44593</v>
      </c>
      <c r="G4" s="27" t="str">
        <f t="shared" ref="G4:G38" si="4">D4&amp;"-"&amp;C4</f>
        <v>Feb-2022</v>
      </c>
      <c r="I4" s="19" t="s">
        <v>54</v>
      </c>
      <c r="J4" s="19">
        <f>J3+1</f>
        <v>2</v>
      </c>
    </row>
    <row r="5" spans="1:10" x14ac:dyDescent="0.2">
      <c r="A5" s="25" t="s">
        <v>135</v>
      </c>
      <c r="B5" s="26">
        <v>31</v>
      </c>
      <c r="C5" s="19">
        <f t="shared" si="0"/>
        <v>2022</v>
      </c>
      <c r="D5" s="19" t="str">
        <f t="shared" si="1"/>
        <v>Mar</v>
      </c>
      <c r="E5" s="19">
        <f t="shared" si="2"/>
        <v>3</v>
      </c>
      <c r="F5" s="27">
        <f t="shared" si="3"/>
        <v>44621</v>
      </c>
      <c r="G5" s="27" t="str">
        <f t="shared" si="4"/>
        <v>Mar-2022</v>
      </c>
      <c r="I5" s="19" t="s">
        <v>136</v>
      </c>
      <c r="J5" s="19">
        <f t="shared" ref="J5:J14" si="5">J4+1</f>
        <v>3</v>
      </c>
    </row>
    <row r="6" spans="1:10" x14ac:dyDescent="0.2">
      <c r="A6" s="25" t="s">
        <v>137</v>
      </c>
      <c r="B6" s="26">
        <v>30</v>
      </c>
      <c r="C6" s="19">
        <f t="shared" si="0"/>
        <v>2022</v>
      </c>
      <c r="D6" s="19" t="str">
        <f t="shared" si="1"/>
        <v>Apr</v>
      </c>
      <c r="E6" s="19">
        <f t="shared" si="2"/>
        <v>4</v>
      </c>
      <c r="F6" s="27">
        <f t="shared" si="3"/>
        <v>44652</v>
      </c>
      <c r="G6" s="27" t="str">
        <f t="shared" si="4"/>
        <v>Apr-2022</v>
      </c>
      <c r="I6" s="19" t="s">
        <v>138</v>
      </c>
      <c r="J6" s="19">
        <f t="shared" si="5"/>
        <v>4</v>
      </c>
    </row>
    <row r="7" spans="1:10" x14ac:dyDescent="0.2">
      <c r="A7" s="25" t="s">
        <v>139</v>
      </c>
      <c r="B7" s="26">
        <v>31</v>
      </c>
      <c r="C7" s="19">
        <f t="shared" si="0"/>
        <v>2022</v>
      </c>
      <c r="D7" s="19" t="str">
        <f t="shared" si="1"/>
        <v>May</v>
      </c>
      <c r="E7" s="19">
        <f t="shared" si="2"/>
        <v>5</v>
      </c>
      <c r="F7" s="27">
        <f t="shared" si="3"/>
        <v>44682</v>
      </c>
      <c r="G7" s="27" t="str">
        <f t="shared" si="4"/>
        <v>May-2022</v>
      </c>
      <c r="I7" s="19" t="s">
        <v>55</v>
      </c>
      <c r="J7" s="19">
        <f t="shared" si="5"/>
        <v>5</v>
      </c>
    </row>
    <row r="8" spans="1:10" x14ac:dyDescent="0.2">
      <c r="A8" s="25" t="s">
        <v>140</v>
      </c>
      <c r="B8" s="26">
        <v>30</v>
      </c>
      <c r="C8" s="19">
        <f t="shared" si="0"/>
        <v>2022</v>
      </c>
      <c r="D8" s="19" t="str">
        <f t="shared" si="1"/>
        <v>Jun</v>
      </c>
      <c r="E8" s="19">
        <f t="shared" si="2"/>
        <v>6</v>
      </c>
      <c r="F8" s="27">
        <f t="shared" si="3"/>
        <v>44713</v>
      </c>
      <c r="G8" s="27" t="str">
        <f t="shared" si="4"/>
        <v>Jun-2022</v>
      </c>
      <c r="I8" s="19" t="s">
        <v>141</v>
      </c>
      <c r="J8" s="19">
        <f t="shared" si="5"/>
        <v>6</v>
      </c>
    </row>
    <row r="9" spans="1:10" x14ac:dyDescent="0.2">
      <c r="A9" s="25" t="s">
        <v>142</v>
      </c>
      <c r="B9" s="26">
        <v>31</v>
      </c>
      <c r="C9" s="19">
        <f t="shared" si="0"/>
        <v>2022</v>
      </c>
      <c r="D9" s="19" t="str">
        <f t="shared" si="1"/>
        <v>Jul</v>
      </c>
      <c r="E9" s="19">
        <f t="shared" si="2"/>
        <v>7</v>
      </c>
      <c r="F9" s="27">
        <f t="shared" si="3"/>
        <v>44743</v>
      </c>
      <c r="G9" s="27" t="str">
        <f t="shared" si="4"/>
        <v>Jul-2022</v>
      </c>
      <c r="I9" s="19" t="s">
        <v>143</v>
      </c>
      <c r="J9" s="19">
        <f t="shared" si="5"/>
        <v>7</v>
      </c>
    </row>
    <row r="10" spans="1:10" x14ac:dyDescent="0.2">
      <c r="A10" s="25" t="s">
        <v>144</v>
      </c>
      <c r="B10" s="26">
        <v>31</v>
      </c>
      <c r="C10" s="19">
        <f t="shared" si="0"/>
        <v>2022</v>
      </c>
      <c r="D10" s="19" t="str">
        <f t="shared" si="1"/>
        <v>Aug</v>
      </c>
      <c r="E10" s="19">
        <f t="shared" si="2"/>
        <v>8</v>
      </c>
      <c r="F10" s="27">
        <f t="shared" si="3"/>
        <v>44774</v>
      </c>
      <c r="G10" s="27" t="str">
        <f t="shared" si="4"/>
        <v>Aug-2022</v>
      </c>
      <c r="I10" s="19" t="s">
        <v>145</v>
      </c>
      <c r="J10" s="19">
        <f t="shared" si="5"/>
        <v>8</v>
      </c>
    </row>
    <row r="11" spans="1:10" x14ac:dyDescent="0.2">
      <c r="A11" s="25" t="s">
        <v>146</v>
      </c>
      <c r="B11" s="26">
        <v>30</v>
      </c>
      <c r="C11" s="19">
        <f t="shared" si="0"/>
        <v>2022</v>
      </c>
      <c r="D11" s="19" t="str">
        <f t="shared" si="1"/>
        <v>Sep</v>
      </c>
      <c r="E11" s="19">
        <f t="shared" si="2"/>
        <v>9</v>
      </c>
      <c r="F11" s="27">
        <f t="shared" si="3"/>
        <v>44805</v>
      </c>
      <c r="G11" s="27" t="str">
        <f t="shared" si="4"/>
        <v>Sep-2022</v>
      </c>
      <c r="I11" s="19" t="s">
        <v>147</v>
      </c>
      <c r="J11" s="19">
        <f t="shared" si="5"/>
        <v>9</v>
      </c>
    </row>
    <row r="12" spans="1:10" x14ac:dyDescent="0.2">
      <c r="A12" s="25" t="s">
        <v>148</v>
      </c>
      <c r="B12" s="26">
        <v>31</v>
      </c>
      <c r="C12" s="19">
        <f t="shared" si="0"/>
        <v>2022</v>
      </c>
      <c r="D12" s="19" t="str">
        <f t="shared" si="1"/>
        <v>Oct</v>
      </c>
      <c r="E12" s="19">
        <f t="shared" si="2"/>
        <v>10</v>
      </c>
      <c r="F12" s="27">
        <f t="shared" si="3"/>
        <v>44835</v>
      </c>
      <c r="G12" s="27" t="str">
        <f t="shared" si="4"/>
        <v>Oct-2022</v>
      </c>
      <c r="I12" s="19" t="s">
        <v>56</v>
      </c>
      <c r="J12" s="19">
        <f t="shared" si="5"/>
        <v>10</v>
      </c>
    </row>
    <row r="13" spans="1:10" x14ac:dyDescent="0.2">
      <c r="A13" s="25" t="s">
        <v>149</v>
      </c>
      <c r="B13" s="26">
        <v>30</v>
      </c>
      <c r="C13" s="19">
        <f t="shared" si="0"/>
        <v>2022</v>
      </c>
      <c r="D13" s="19" t="str">
        <f t="shared" si="1"/>
        <v>Nov</v>
      </c>
      <c r="E13" s="19">
        <f t="shared" si="2"/>
        <v>11</v>
      </c>
      <c r="F13" s="27">
        <f t="shared" si="3"/>
        <v>44866</v>
      </c>
      <c r="G13" s="27" t="str">
        <f t="shared" si="4"/>
        <v>Nov-2022</v>
      </c>
      <c r="I13" s="19" t="s">
        <v>57</v>
      </c>
      <c r="J13" s="19">
        <f t="shared" si="5"/>
        <v>11</v>
      </c>
    </row>
    <row r="14" spans="1:10" x14ac:dyDescent="0.2">
      <c r="A14" s="25" t="s">
        <v>150</v>
      </c>
      <c r="B14" s="26">
        <v>31</v>
      </c>
      <c r="C14" s="19">
        <f t="shared" si="0"/>
        <v>2022</v>
      </c>
      <c r="D14" s="19" t="str">
        <f t="shared" si="1"/>
        <v>Dec</v>
      </c>
      <c r="E14" s="19">
        <f t="shared" si="2"/>
        <v>12</v>
      </c>
      <c r="F14" s="27">
        <f t="shared" si="3"/>
        <v>44896</v>
      </c>
      <c r="G14" s="27" t="str">
        <f t="shared" si="4"/>
        <v>Dec-2022</v>
      </c>
      <c r="I14" s="19" t="s">
        <v>58</v>
      </c>
      <c r="J14" s="19">
        <f t="shared" si="5"/>
        <v>12</v>
      </c>
    </row>
    <row r="15" spans="1:10" x14ac:dyDescent="0.2">
      <c r="A15" s="25" t="s">
        <v>151</v>
      </c>
      <c r="B15" s="26">
        <v>31</v>
      </c>
      <c r="C15" s="19">
        <f t="shared" si="0"/>
        <v>2023</v>
      </c>
      <c r="D15" s="19" t="str">
        <f t="shared" si="1"/>
        <v>Jan</v>
      </c>
      <c r="E15" s="19">
        <f t="shared" si="2"/>
        <v>1</v>
      </c>
      <c r="F15" s="27">
        <f t="shared" si="3"/>
        <v>44927</v>
      </c>
      <c r="G15" s="27" t="str">
        <f t="shared" si="4"/>
        <v>Jan-2023</v>
      </c>
    </row>
    <row r="16" spans="1:10" x14ac:dyDescent="0.2">
      <c r="A16" s="25" t="s">
        <v>152</v>
      </c>
      <c r="B16" s="26">
        <v>28</v>
      </c>
      <c r="C16" s="19">
        <f t="shared" si="0"/>
        <v>2023</v>
      </c>
      <c r="D16" s="19" t="str">
        <f t="shared" si="1"/>
        <v>Feb</v>
      </c>
      <c r="E16" s="19">
        <f t="shared" si="2"/>
        <v>2</v>
      </c>
      <c r="F16" s="27">
        <f t="shared" si="3"/>
        <v>44958</v>
      </c>
      <c r="G16" s="27" t="str">
        <f t="shared" si="4"/>
        <v>Feb-2023</v>
      </c>
    </row>
    <row r="17" spans="1:7" x14ac:dyDescent="0.2">
      <c r="A17" s="25" t="s">
        <v>153</v>
      </c>
      <c r="B17" s="26">
        <v>31</v>
      </c>
      <c r="C17" s="19">
        <f t="shared" si="0"/>
        <v>2023</v>
      </c>
      <c r="D17" s="19" t="str">
        <f t="shared" si="1"/>
        <v>Mar</v>
      </c>
      <c r="E17" s="19">
        <f t="shared" si="2"/>
        <v>3</v>
      </c>
      <c r="F17" s="27">
        <f t="shared" si="3"/>
        <v>44986</v>
      </c>
      <c r="G17" s="27" t="str">
        <f t="shared" si="4"/>
        <v>Mar-2023</v>
      </c>
    </row>
    <row r="18" spans="1:7" x14ac:dyDescent="0.2">
      <c r="A18" s="25" t="s">
        <v>154</v>
      </c>
      <c r="B18" s="26">
        <v>30</v>
      </c>
      <c r="C18" s="19">
        <f t="shared" si="0"/>
        <v>2023</v>
      </c>
      <c r="D18" s="19" t="str">
        <f t="shared" si="1"/>
        <v>Apr</v>
      </c>
      <c r="E18" s="19">
        <f t="shared" si="2"/>
        <v>4</v>
      </c>
      <c r="F18" s="27">
        <f t="shared" si="3"/>
        <v>45017</v>
      </c>
      <c r="G18" s="27" t="str">
        <f t="shared" si="4"/>
        <v>Apr-2023</v>
      </c>
    </row>
    <row r="19" spans="1:7" x14ac:dyDescent="0.2">
      <c r="A19" s="25" t="s">
        <v>155</v>
      </c>
      <c r="B19" s="26">
        <v>31</v>
      </c>
      <c r="C19" s="19">
        <f t="shared" si="0"/>
        <v>2023</v>
      </c>
      <c r="D19" s="19" t="str">
        <f t="shared" si="1"/>
        <v>May</v>
      </c>
      <c r="E19" s="19">
        <f t="shared" si="2"/>
        <v>5</v>
      </c>
      <c r="F19" s="27">
        <f t="shared" si="3"/>
        <v>45047</v>
      </c>
      <c r="G19" s="27" t="str">
        <f t="shared" si="4"/>
        <v>May-2023</v>
      </c>
    </row>
    <row r="20" spans="1:7" x14ac:dyDescent="0.2">
      <c r="A20" s="25" t="s">
        <v>156</v>
      </c>
      <c r="B20" s="26">
        <v>30</v>
      </c>
      <c r="C20" s="19">
        <f t="shared" si="0"/>
        <v>2023</v>
      </c>
      <c r="D20" s="19" t="str">
        <f t="shared" si="1"/>
        <v>Jun</v>
      </c>
      <c r="E20" s="19">
        <f t="shared" si="2"/>
        <v>6</v>
      </c>
      <c r="F20" s="27">
        <f t="shared" si="3"/>
        <v>45078</v>
      </c>
      <c r="G20" s="27" t="str">
        <f t="shared" si="4"/>
        <v>Jun-2023</v>
      </c>
    </row>
    <row r="21" spans="1:7" x14ac:dyDescent="0.2">
      <c r="A21" s="25" t="s">
        <v>157</v>
      </c>
      <c r="B21" s="26">
        <v>31</v>
      </c>
      <c r="C21" s="19">
        <f t="shared" si="0"/>
        <v>2023</v>
      </c>
      <c r="D21" s="19" t="str">
        <f t="shared" si="1"/>
        <v>Jul</v>
      </c>
      <c r="E21" s="19">
        <f t="shared" si="2"/>
        <v>7</v>
      </c>
      <c r="F21" s="27">
        <f t="shared" si="3"/>
        <v>45108</v>
      </c>
      <c r="G21" s="27" t="str">
        <f t="shared" si="4"/>
        <v>Jul-2023</v>
      </c>
    </row>
    <row r="22" spans="1:7" x14ac:dyDescent="0.2">
      <c r="A22" s="25" t="s">
        <v>158</v>
      </c>
      <c r="B22" s="26">
        <v>31</v>
      </c>
      <c r="C22" s="19">
        <f t="shared" si="0"/>
        <v>2023</v>
      </c>
      <c r="D22" s="19" t="str">
        <f t="shared" si="1"/>
        <v>Aug</v>
      </c>
      <c r="E22" s="19">
        <f t="shared" si="2"/>
        <v>8</v>
      </c>
      <c r="F22" s="27">
        <f t="shared" si="3"/>
        <v>45139</v>
      </c>
      <c r="G22" s="27" t="str">
        <f t="shared" si="4"/>
        <v>Aug-2023</v>
      </c>
    </row>
    <row r="23" spans="1:7" x14ac:dyDescent="0.2">
      <c r="A23" s="25" t="s">
        <v>159</v>
      </c>
      <c r="B23" s="26">
        <v>30</v>
      </c>
      <c r="C23" s="19">
        <f t="shared" si="0"/>
        <v>2023</v>
      </c>
      <c r="D23" s="19" t="str">
        <f t="shared" si="1"/>
        <v>Sep</v>
      </c>
      <c r="E23" s="19">
        <f t="shared" si="2"/>
        <v>9</v>
      </c>
      <c r="F23" s="27">
        <f t="shared" si="3"/>
        <v>45170</v>
      </c>
      <c r="G23" s="27" t="str">
        <f t="shared" si="4"/>
        <v>Sep-2023</v>
      </c>
    </row>
    <row r="24" spans="1:7" x14ac:dyDescent="0.2">
      <c r="A24" s="25" t="s">
        <v>160</v>
      </c>
      <c r="B24" s="26">
        <v>31</v>
      </c>
      <c r="C24" s="19">
        <f t="shared" si="0"/>
        <v>2023</v>
      </c>
      <c r="D24" s="19" t="str">
        <f t="shared" si="1"/>
        <v>Oct</v>
      </c>
      <c r="E24" s="19">
        <f t="shared" si="2"/>
        <v>10</v>
      </c>
      <c r="F24" s="27">
        <f t="shared" si="3"/>
        <v>45200</v>
      </c>
      <c r="G24" s="27" t="str">
        <f t="shared" si="4"/>
        <v>Oct-2023</v>
      </c>
    </row>
    <row r="25" spans="1:7" x14ac:dyDescent="0.2">
      <c r="A25" s="25" t="s">
        <v>161</v>
      </c>
      <c r="B25" s="26">
        <v>30</v>
      </c>
      <c r="C25" s="19">
        <f t="shared" si="0"/>
        <v>2023</v>
      </c>
      <c r="D25" s="19" t="str">
        <f t="shared" si="1"/>
        <v>Nov</v>
      </c>
      <c r="E25" s="19">
        <f t="shared" si="2"/>
        <v>11</v>
      </c>
      <c r="F25" s="27">
        <f t="shared" si="3"/>
        <v>45231</v>
      </c>
      <c r="G25" s="27" t="str">
        <f t="shared" si="4"/>
        <v>Nov-2023</v>
      </c>
    </row>
    <row r="26" spans="1:7" x14ac:dyDescent="0.2">
      <c r="A26" s="25" t="s">
        <v>162</v>
      </c>
      <c r="B26" s="26">
        <v>31</v>
      </c>
      <c r="C26" s="19">
        <f t="shared" si="0"/>
        <v>2023</v>
      </c>
      <c r="D26" s="19" t="str">
        <f t="shared" si="1"/>
        <v>Dec</v>
      </c>
      <c r="E26" s="19">
        <f t="shared" si="2"/>
        <v>12</v>
      </c>
      <c r="F26" s="27">
        <f t="shared" si="3"/>
        <v>45261</v>
      </c>
      <c r="G26" s="27" t="str">
        <f t="shared" si="4"/>
        <v>Dec-2023</v>
      </c>
    </row>
    <row r="27" spans="1:7" x14ac:dyDescent="0.2">
      <c r="A27" s="25" t="s">
        <v>163</v>
      </c>
      <c r="B27" s="26">
        <v>31</v>
      </c>
      <c r="C27" s="19">
        <f t="shared" si="0"/>
        <v>2024</v>
      </c>
      <c r="D27" s="19" t="str">
        <f t="shared" si="1"/>
        <v>Jan</v>
      </c>
      <c r="E27" s="19">
        <f t="shared" si="2"/>
        <v>1</v>
      </c>
      <c r="F27" s="27">
        <f t="shared" si="3"/>
        <v>45292</v>
      </c>
      <c r="G27" s="27" t="str">
        <f t="shared" si="4"/>
        <v>Jan-2024</v>
      </c>
    </row>
    <row r="28" spans="1:7" x14ac:dyDescent="0.2">
      <c r="A28" s="25" t="s">
        <v>164</v>
      </c>
      <c r="B28" s="26">
        <v>29</v>
      </c>
      <c r="C28" s="19">
        <f t="shared" si="0"/>
        <v>2024</v>
      </c>
      <c r="D28" s="19" t="str">
        <f t="shared" si="1"/>
        <v>Feb</v>
      </c>
      <c r="E28" s="19">
        <f t="shared" si="2"/>
        <v>2</v>
      </c>
      <c r="F28" s="27">
        <f t="shared" si="3"/>
        <v>45323</v>
      </c>
      <c r="G28" s="27" t="str">
        <f t="shared" si="4"/>
        <v>Feb-2024</v>
      </c>
    </row>
    <row r="29" spans="1:7" x14ac:dyDescent="0.2">
      <c r="A29" s="25" t="s">
        <v>165</v>
      </c>
      <c r="B29" s="26">
        <v>31</v>
      </c>
      <c r="C29" s="19">
        <f t="shared" si="0"/>
        <v>2024</v>
      </c>
      <c r="D29" s="19" t="str">
        <f t="shared" si="1"/>
        <v>Mar</v>
      </c>
      <c r="E29" s="19">
        <f t="shared" si="2"/>
        <v>3</v>
      </c>
      <c r="F29" s="27">
        <f t="shared" si="3"/>
        <v>45352</v>
      </c>
      <c r="G29" s="27" t="str">
        <f t="shared" si="4"/>
        <v>Mar-2024</v>
      </c>
    </row>
    <row r="30" spans="1:7" x14ac:dyDescent="0.2">
      <c r="A30" s="25" t="s">
        <v>166</v>
      </c>
      <c r="B30" s="26">
        <v>30</v>
      </c>
      <c r="C30" s="19">
        <f t="shared" si="0"/>
        <v>2024</v>
      </c>
      <c r="D30" s="19" t="str">
        <f t="shared" si="1"/>
        <v>Apr</v>
      </c>
      <c r="E30" s="19">
        <f t="shared" si="2"/>
        <v>4</v>
      </c>
      <c r="F30" s="27">
        <f t="shared" si="3"/>
        <v>45383</v>
      </c>
      <c r="G30" s="27" t="str">
        <f t="shared" si="4"/>
        <v>Apr-2024</v>
      </c>
    </row>
    <row r="31" spans="1:7" x14ac:dyDescent="0.2">
      <c r="A31" s="25" t="s">
        <v>167</v>
      </c>
      <c r="B31" s="26">
        <v>31</v>
      </c>
      <c r="C31" s="19">
        <f t="shared" si="0"/>
        <v>2024</v>
      </c>
      <c r="D31" s="19" t="str">
        <f t="shared" si="1"/>
        <v>May</v>
      </c>
      <c r="E31" s="19">
        <f t="shared" si="2"/>
        <v>5</v>
      </c>
      <c r="F31" s="27">
        <f t="shared" si="3"/>
        <v>45413</v>
      </c>
      <c r="G31" s="27" t="str">
        <f t="shared" si="4"/>
        <v>May-2024</v>
      </c>
    </row>
    <row r="32" spans="1:7" x14ac:dyDescent="0.2">
      <c r="A32" s="25" t="s">
        <v>168</v>
      </c>
      <c r="B32" s="26">
        <v>30</v>
      </c>
      <c r="C32" s="19">
        <f t="shared" si="0"/>
        <v>2024</v>
      </c>
      <c r="D32" s="19" t="str">
        <f t="shared" si="1"/>
        <v>Jun</v>
      </c>
      <c r="E32" s="19">
        <f t="shared" si="2"/>
        <v>6</v>
      </c>
      <c r="F32" s="27">
        <f t="shared" si="3"/>
        <v>45444</v>
      </c>
      <c r="G32" s="27" t="str">
        <f t="shared" si="4"/>
        <v>Jun-2024</v>
      </c>
    </row>
    <row r="33" spans="1:7" x14ac:dyDescent="0.2">
      <c r="A33" s="25" t="s">
        <v>169</v>
      </c>
      <c r="B33" s="26">
        <v>31</v>
      </c>
      <c r="C33" s="19">
        <f t="shared" si="0"/>
        <v>2024</v>
      </c>
      <c r="D33" s="19" t="str">
        <f t="shared" si="1"/>
        <v>Jul</v>
      </c>
      <c r="E33" s="19">
        <f t="shared" si="2"/>
        <v>7</v>
      </c>
      <c r="F33" s="27">
        <f t="shared" si="3"/>
        <v>45474</v>
      </c>
      <c r="G33" s="27" t="str">
        <f t="shared" si="4"/>
        <v>Jul-2024</v>
      </c>
    </row>
    <row r="34" spans="1:7" x14ac:dyDescent="0.2">
      <c r="A34" s="25" t="s">
        <v>170</v>
      </c>
      <c r="B34" s="26">
        <v>31</v>
      </c>
      <c r="C34" s="19">
        <f t="shared" si="0"/>
        <v>2024</v>
      </c>
      <c r="D34" s="19" t="str">
        <f t="shared" si="1"/>
        <v>Aug</v>
      </c>
      <c r="E34" s="19">
        <f t="shared" si="2"/>
        <v>8</v>
      </c>
      <c r="F34" s="27">
        <f t="shared" si="3"/>
        <v>45505</v>
      </c>
      <c r="G34" s="27" t="str">
        <f t="shared" si="4"/>
        <v>Aug-2024</v>
      </c>
    </row>
    <row r="35" spans="1:7" x14ac:dyDescent="0.2">
      <c r="A35" s="25" t="s">
        <v>171</v>
      </c>
      <c r="B35" s="26">
        <v>30</v>
      </c>
      <c r="C35" s="19">
        <f t="shared" si="0"/>
        <v>2024</v>
      </c>
      <c r="D35" s="19" t="str">
        <f t="shared" si="1"/>
        <v>Sep</v>
      </c>
      <c r="E35" s="19">
        <f t="shared" si="2"/>
        <v>9</v>
      </c>
      <c r="F35" s="27">
        <f t="shared" si="3"/>
        <v>45536</v>
      </c>
      <c r="G35" s="27" t="str">
        <f t="shared" si="4"/>
        <v>Sep-2024</v>
      </c>
    </row>
    <row r="36" spans="1:7" x14ac:dyDescent="0.2">
      <c r="A36" s="25" t="s">
        <v>172</v>
      </c>
      <c r="B36" s="26">
        <v>31</v>
      </c>
      <c r="C36" s="19">
        <f t="shared" si="0"/>
        <v>2024</v>
      </c>
      <c r="D36" s="19" t="str">
        <f t="shared" si="1"/>
        <v>Oct</v>
      </c>
      <c r="E36" s="19">
        <f t="shared" si="2"/>
        <v>10</v>
      </c>
      <c r="F36" s="27">
        <f t="shared" si="3"/>
        <v>45566</v>
      </c>
      <c r="G36" s="27" t="str">
        <f t="shared" si="4"/>
        <v>Oct-2024</v>
      </c>
    </row>
    <row r="37" spans="1:7" x14ac:dyDescent="0.2">
      <c r="A37" s="25" t="s">
        <v>173</v>
      </c>
      <c r="B37" s="26">
        <v>30</v>
      </c>
      <c r="C37" s="19">
        <f t="shared" si="0"/>
        <v>2024</v>
      </c>
      <c r="D37" s="19" t="str">
        <f t="shared" si="1"/>
        <v>Nov</v>
      </c>
      <c r="E37" s="19">
        <f t="shared" si="2"/>
        <v>11</v>
      </c>
      <c r="F37" s="27">
        <f t="shared" si="3"/>
        <v>45597</v>
      </c>
      <c r="G37" s="27" t="str">
        <f t="shared" si="4"/>
        <v>Nov-2024</v>
      </c>
    </row>
    <row r="38" spans="1:7" x14ac:dyDescent="0.2">
      <c r="A38" s="25" t="s">
        <v>174</v>
      </c>
      <c r="B38" s="26">
        <v>31</v>
      </c>
      <c r="C38" s="19">
        <f t="shared" si="0"/>
        <v>2024</v>
      </c>
      <c r="D38" s="19" t="str">
        <f t="shared" si="1"/>
        <v>Dec</v>
      </c>
      <c r="E38" s="19">
        <f t="shared" si="2"/>
        <v>12</v>
      </c>
      <c r="F38" s="27">
        <f t="shared" si="3"/>
        <v>45627</v>
      </c>
      <c r="G38" s="27" t="str">
        <f t="shared" si="4"/>
        <v>Dec-2024</v>
      </c>
    </row>
    <row r="39" spans="1:7" x14ac:dyDescent="0.2">
      <c r="A39" s="25" t="s">
        <v>207</v>
      </c>
      <c r="B39" s="26">
        <v>31</v>
      </c>
      <c r="C39" s="19">
        <f t="shared" ref="C39:C50" si="6">VALUE(RIGHT(A39,4))</f>
        <v>2025</v>
      </c>
      <c r="D39" s="19" t="str">
        <f t="shared" ref="D39:D50" si="7">LEFT(A39,3)</f>
        <v>Jan</v>
      </c>
      <c r="E39" s="19">
        <f t="shared" ref="E39:E50" si="8">VLOOKUP(D39,$I$3:$J$14,2,0)</f>
        <v>1</v>
      </c>
      <c r="F39" s="27">
        <f t="shared" ref="F39:F50" si="9">DATE(C39,E39,1)</f>
        <v>45658</v>
      </c>
      <c r="G39" s="27" t="str">
        <f t="shared" ref="G39:G50" si="10">D39&amp;"-"&amp;C39</f>
        <v>Jan-2025</v>
      </c>
    </row>
    <row r="40" spans="1:7" x14ac:dyDescent="0.2">
      <c r="A40" s="25" t="s">
        <v>208</v>
      </c>
      <c r="B40" s="26">
        <v>28</v>
      </c>
      <c r="C40" s="19">
        <f t="shared" si="6"/>
        <v>2025</v>
      </c>
      <c r="D40" s="19" t="str">
        <f t="shared" si="7"/>
        <v>Feb</v>
      </c>
      <c r="E40" s="19">
        <f t="shared" si="8"/>
        <v>2</v>
      </c>
      <c r="F40" s="27">
        <f t="shared" si="9"/>
        <v>45689</v>
      </c>
      <c r="G40" s="27" t="str">
        <f t="shared" si="10"/>
        <v>Feb-2025</v>
      </c>
    </row>
    <row r="41" spans="1:7" x14ac:dyDescent="0.2">
      <c r="A41" s="25" t="s">
        <v>209</v>
      </c>
      <c r="B41" s="26">
        <v>31</v>
      </c>
      <c r="C41" s="19">
        <f t="shared" si="6"/>
        <v>2025</v>
      </c>
      <c r="D41" s="19" t="str">
        <f t="shared" si="7"/>
        <v>Mar</v>
      </c>
      <c r="E41" s="19">
        <f t="shared" si="8"/>
        <v>3</v>
      </c>
      <c r="F41" s="27">
        <f t="shared" si="9"/>
        <v>45717</v>
      </c>
      <c r="G41" s="27" t="str">
        <f t="shared" si="10"/>
        <v>Mar-2025</v>
      </c>
    </row>
    <row r="42" spans="1:7" x14ac:dyDescent="0.2">
      <c r="A42" s="25" t="s">
        <v>210</v>
      </c>
      <c r="B42" s="26">
        <v>30</v>
      </c>
      <c r="C42" s="19">
        <f t="shared" si="6"/>
        <v>2025</v>
      </c>
      <c r="D42" s="19" t="str">
        <f t="shared" si="7"/>
        <v>Apr</v>
      </c>
      <c r="E42" s="19">
        <f t="shared" si="8"/>
        <v>4</v>
      </c>
      <c r="F42" s="27">
        <f t="shared" si="9"/>
        <v>45748</v>
      </c>
      <c r="G42" s="27" t="str">
        <f t="shared" si="10"/>
        <v>Apr-2025</v>
      </c>
    </row>
    <row r="43" spans="1:7" x14ac:dyDescent="0.2">
      <c r="A43" s="25" t="s">
        <v>211</v>
      </c>
      <c r="B43" s="26">
        <v>31</v>
      </c>
      <c r="C43" s="19">
        <f t="shared" si="6"/>
        <v>2025</v>
      </c>
      <c r="D43" s="19" t="str">
        <f t="shared" si="7"/>
        <v>May</v>
      </c>
      <c r="E43" s="19">
        <f t="shared" si="8"/>
        <v>5</v>
      </c>
      <c r="F43" s="27">
        <f t="shared" si="9"/>
        <v>45778</v>
      </c>
      <c r="G43" s="27" t="str">
        <f t="shared" si="10"/>
        <v>May-2025</v>
      </c>
    </row>
    <row r="44" spans="1:7" x14ac:dyDescent="0.2">
      <c r="A44" s="25" t="s">
        <v>212</v>
      </c>
      <c r="B44" s="26">
        <v>30</v>
      </c>
      <c r="C44" s="19">
        <f t="shared" si="6"/>
        <v>2025</v>
      </c>
      <c r="D44" s="19" t="str">
        <f t="shared" si="7"/>
        <v>Jun</v>
      </c>
      <c r="E44" s="19">
        <f t="shared" si="8"/>
        <v>6</v>
      </c>
      <c r="F44" s="27">
        <f t="shared" si="9"/>
        <v>45809</v>
      </c>
      <c r="G44" s="27" t="str">
        <f t="shared" si="10"/>
        <v>Jun-2025</v>
      </c>
    </row>
    <row r="45" spans="1:7" x14ac:dyDescent="0.2">
      <c r="A45" s="25" t="s">
        <v>213</v>
      </c>
      <c r="B45" s="26">
        <v>31</v>
      </c>
      <c r="C45" s="19">
        <f t="shared" si="6"/>
        <v>2025</v>
      </c>
      <c r="D45" s="19" t="str">
        <f t="shared" si="7"/>
        <v>Jul</v>
      </c>
      <c r="E45" s="19">
        <f t="shared" si="8"/>
        <v>7</v>
      </c>
      <c r="F45" s="27">
        <f t="shared" si="9"/>
        <v>45839</v>
      </c>
      <c r="G45" s="27" t="str">
        <f t="shared" si="10"/>
        <v>Jul-2025</v>
      </c>
    </row>
    <row r="46" spans="1:7" x14ac:dyDescent="0.2">
      <c r="A46" s="25" t="s">
        <v>214</v>
      </c>
      <c r="B46" s="26">
        <v>31</v>
      </c>
      <c r="C46" s="19">
        <f t="shared" si="6"/>
        <v>2025</v>
      </c>
      <c r="D46" s="19" t="str">
        <f t="shared" si="7"/>
        <v>Aug</v>
      </c>
      <c r="E46" s="19">
        <f t="shared" si="8"/>
        <v>8</v>
      </c>
      <c r="F46" s="27">
        <f t="shared" si="9"/>
        <v>45870</v>
      </c>
      <c r="G46" s="27" t="str">
        <f t="shared" si="10"/>
        <v>Aug-2025</v>
      </c>
    </row>
    <row r="47" spans="1:7" x14ac:dyDescent="0.2">
      <c r="A47" s="25" t="s">
        <v>215</v>
      </c>
      <c r="B47" s="26">
        <v>30</v>
      </c>
      <c r="C47" s="19">
        <f t="shared" si="6"/>
        <v>2025</v>
      </c>
      <c r="D47" s="19" t="str">
        <f t="shared" si="7"/>
        <v>Sep</v>
      </c>
      <c r="E47" s="19">
        <f t="shared" si="8"/>
        <v>9</v>
      </c>
      <c r="F47" s="27">
        <f t="shared" si="9"/>
        <v>45901</v>
      </c>
      <c r="G47" s="27" t="str">
        <f t="shared" si="10"/>
        <v>Sep-2025</v>
      </c>
    </row>
    <row r="48" spans="1:7" x14ac:dyDescent="0.2">
      <c r="A48" s="25" t="s">
        <v>216</v>
      </c>
      <c r="B48" s="26">
        <v>31</v>
      </c>
      <c r="C48" s="19">
        <f t="shared" si="6"/>
        <v>2025</v>
      </c>
      <c r="D48" s="19" t="str">
        <f t="shared" si="7"/>
        <v>Oct</v>
      </c>
      <c r="E48" s="19">
        <f t="shared" si="8"/>
        <v>10</v>
      </c>
      <c r="F48" s="27">
        <f t="shared" si="9"/>
        <v>45931</v>
      </c>
      <c r="G48" s="27" t="str">
        <f t="shared" si="10"/>
        <v>Oct-2025</v>
      </c>
    </row>
    <row r="49" spans="1:7" x14ac:dyDescent="0.2">
      <c r="A49" s="25" t="s">
        <v>217</v>
      </c>
      <c r="B49" s="26">
        <v>30</v>
      </c>
      <c r="C49" s="19">
        <f t="shared" si="6"/>
        <v>2025</v>
      </c>
      <c r="D49" s="19" t="str">
        <f t="shared" si="7"/>
        <v>Nov</v>
      </c>
      <c r="E49" s="19">
        <f t="shared" si="8"/>
        <v>11</v>
      </c>
      <c r="F49" s="27">
        <f t="shared" si="9"/>
        <v>45962</v>
      </c>
      <c r="G49" s="27" t="str">
        <f t="shared" si="10"/>
        <v>Nov-2025</v>
      </c>
    </row>
    <row r="50" spans="1:7" x14ac:dyDescent="0.2">
      <c r="A50" s="28" t="s">
        <v>218</v>
      </c>
      <c r="B50" s="29">
        <v>31</v>
      </c>
      <c r="C50" s="19">
        <f t="shared" si="6"/>
        <v>2025</v>
      </c>
      <c r="D50" s="19" t="str">
        <f t="shared" si="7"/>
        <v>Dec</v>
      </c>
      <c r="E50" s="19">
        <f t="shared" si="8"/>
        <v>12</v>
      </c>
      <c r="F50" s="27">
        <f t="shared" si="9"/>
        <v>45992</v>
      </c>
      <c r="G50" s="27" t="str">
        <f t="shared" si="10"/>
        <v>Dec-2025</v>
      </c>
    </row>
  </sheetData>
  <pageMargins left="0.7" right="0.7" top="0.75" bottom="0.75" header="0.3" footer="0.3"/>
  <pageSetup orientation="portrait" verticalDpi="0" r:id="rId1"/>
  <customProperties>
    <customPr name="AdaptiveCustomXmlPartId" r:id="rId2"/>
    <customPr name="AdaptiveReportingSheetKey" r:id="rId3"/>
    <customPr name="CurrentId" r:id="rId4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D0D6-8BDB-47C3-A2F5-96C218AF183C}">
  <dimension ref="A1:E50"/>
  <sheetViews>
    <sheetView workbookViewId="0">
      <pane ySplit="2" topLeftCell="A30" activePane="bottomLeft" state="frozen"/>
      <selection pane="bottomLeft" activeCell="A16" sqref="A16"/>
    </sheetView>
  </sheetViews>
  <sheetFormatPr defaultRowHeight="15" x14ac:dyDescent="0.25"/>
  <cols>
    <col min="2" max="2" width="13.28515625" customWidth="1"/>
    <col min="3" max="3" width="14.28515625" customWidth="1"/>
    <col min="4" max="4" width="50" bestFit="1" customWidth="1"/>
    <col min="5" max="5" width="37" bestFit="1" customWidth="1"/>
  </cols>
  <sheetData>
    <row r="1" spans="1:5" x14ac:dyDescent="0.25">
      <c r="A1" s="5" t="s">
        <v>61</v>
      </c>
      <c r="B1" s="5" t="s">
        <v>193</v>
      </c>
      <c r="C1" s="5" t="s">
        <v>193</v>
      </c>
      <c r="D1" s="5" t="s">
        <v>193</v>
      </c>
      <c r="E1" s="5" t="s">
        <v>193</v>
      </c>
    </row>
    <row r="2" spans="1:5" x14ac:dyDescent="0.25">
      <c r="A2" t="s">
        <v>66</v>
      </c>
      <c r="B2" t="s">
        <v>2</v>
      </c>
      <c r="C2" t="s">
        <v>3</v>
      </c>
      <c r="D2" t="s">
        <v>4</v>
      </c>
      <c r="E2" t="s">
        <v>179</v>
      </c>
    </row>
    <row r="3" spans="1:5" x14ac:dyDescent="0.25">
      <c r="A3" t="str">
        <f>B3&amp;"-"&amp;C3</f>
        <v>100-21</v>
      </c>
      <c r="B3" s="2">
        <v>100</v>
      </c>
      <c r="C3" s="2">
        <v>21</v>
      </c>
      <c r="D3" s="2" t="s">
        <v>7</v>
      </c>
    </row>
    <row r="4" spans="1:5" x14ac:dyDescent="0.25">
      <c r="A4" t="str">
        <f t="shared" ref="A4:A47" si="0">B4&amp;"-"&amp;C4</f>
        <v>100-22</v>
      </c>
      <c r="B4" s="2">
        <v>100</v>
      </c>
      <c r="C4" s="2">
        <v>22</v>
      </c>
      <c r="D4" s="2" t="s">
        <v>8</v>
      </c>
    </row>
    <row r="5" spans="1:5" x14ac:dyDescent="0.25">
      <c r="A5" t="str">
        <f t="shared" si="0"/>
        <v>100-31</v>
      </c>
      <c r="B5" s="2">
        <v>100</v>
      </c>
      <c r="C5" s="2">
        <v>31</v>
      </c>
      <c r="D5" s="2" t="s">
        <v>9</v>
      </c>
    </row>
    <row r="6" spans="1:5" x14ac:dyDescent="0.25">
      <c r="A6" t="str">
        <f t="shared" si="0"/>
        <v>100-32</v>
      </c>
      <c r="B6" s="2">
        <v>100</v>
      </c>
      <c r="C6" s="2">
        <v>32</v>
      </c>
      <c r="D6" s="2" t="s">
        <v>10</v>
      </c>
    </row>
    <row r="7" spans="1:5" x14ac:dyDescent="0.25">
      <c r="A7" t="str">
        <f t="shared" si="0"/>
        <v>100-33</v>
      </c>
      <c r="B7" s="2">
        <v>100</v>
      </c>
      <c r="C7" s="2">
        <v>33</v>
      </c>
      <c r="D7" s="2" t="s">
        <v>11</v>
      </c>
    </row>
    <row r="8" spans="1:5" x14ac:dyDescent="0.25">
      <c r="A8" t="str">
        <f t="shared" si="0"/>
        <v>100-34</v>
      </c>
      <c r="B8" s="2">
        <v>100</v>
      </c>
      <c r="C8" s="2">
        <v>34</v>
      </c>
      <c r="D8" s="2" t="s">
        <v>12</v>
      </c>
    </row>
    <row r="9" spans="1:5" x14ac:dyDescent="0.25">
      <c r="A9" t="str">
        <f t="shared" si="0"/>
        <v>100-35</v>
      </c>
      <c r="B9" s="2">
        <v>100</v>
      </c>
      <c r="C9" s="2">
        <v>35</v>
      </c>
      <c r="D9" s="2" t="s">
        <v>13</v>
      </c>
    </row>
    <row r="10" spans="1:5" x14ac:dyDescent="0.25">
      <c r="A10" t="str">
        <f t="shared" si="0"/>
        <v>100-36</v>
      </c>
      <c r="B10" s="2">
        <v>100</v>
      </c>
      <c r="C10" s="2">
        <v>36</v>
      </c>
      <c r="D10" s="2" t="s">
        <v>14</v>
      </c>
    </row>
    <row r="11" spans="1:5" x14ac:dyDescent="0.25">
      <c r="A11" t="str">
        <f t="shared" si="0"/>
        <v>100-51</v>
      </c>
      <c r="B11" s="2">
        <v>100</v>
      </c>
      <c r="C11" s="2">
        <v>51</v>
      </c>
      <c r="D11" s="2" t="s">
        <v>15</v>
      </c>
    </row>
    <row r="12" spans="1:5" x14ac:dyDescent="0.25">
      <c r="A12" t="str">
        <f t="shared" si="0"/>
        <v>100-61</v>
      </c>
      <c r="B12" s="2">
        <v>100</v>
      </c>
      <c r="C12" s="2">
        <v>61</v>
      </c>
      <c r="D12" s="2" t="s">
        <v>16</v>
      </c>
    </row>
    <row r="13" spans="1:5" x14ac:dyDescent="0.25">
      <c r="A13" t="str">
        <f t="shared" si="0"/>
        <v>100-62</v>
      </c>
      <c r="B13" s="2">
        <v>100</v>
      </c>
      <c r="C13" s="2">
        <v>62</v>
      </c>
      <c r="D13" s="2" t="s">
        <v>59</v>
      </c>
    </row>
    <row r="14" spans="1:5" x14ac:dyDescent="0.25">
      <c r="A14" t="str">
        <f t="shared" si="0"/>
        <v>200-21</v>
      </c>
      <c r="B14" s="2">
        <v>200</v>
      </c>
      <c r="C14" s="2">
        <v>21</v>
      </c>
      <c r="D14" s="2" t="s">
        <v>17</v>
      </c>
    </row>
    <row r="15" spans="1:5" x14ac:dyDescent="0.25">
      <c r="A15" t="str">
        <f t="shared" si="0"/>
        <v>200-31</v>
      </c>
      <c r="B15" s="2">
        <v>200</v>
      </c>
      <c r="C15" s="2">
        <v>31</v>
      </c>
      <c r="D15" s="2" t="s">
        <v>18</v>
      </c>
    </row>
    <row r="16" spans="1:5" x14ac:dyDescent="0.25">
      <c r="A16" t="str">
        <f t="shared" si="0"/>
        <v>200-32</v>
      </c>
      <c r="B16" s="2">
        <v>200</v>
      </c>
      <c r="C16" s="2">
        <v>32</v>
      </c>
      <c r="D16" s="2" t="s">
        <v>19</v>
      </c>
    </row>
    <row r="17" spans="1:4" x14ac:dyDescent="0.25">
      <c r="A17" t="str">
        <f t="shared" si="0"/>
        <v>200-51</v>
      </c>
      <c r="B17" s="2">
        <v>200</v>
      </c>
      <c r="C17" s="2">
        <v>51</v>
      </c>
      <c r="D17" s="2" t="s">
        <v>20</v>
      </c>
    </row>
    <row r="18" spans="1:4" x14ac:dyDescent="0.25">
      <c r="A18" t="str">
        <f t="shared" si="0"/>
        <v>200-61</v>
      </c>
      <c r="B18" s="2">
        <v>200</v>
      </c>
      <c r="C18" s="2">
        <v>61</v>
      </c>
      <c r="D18" s="2" t="s">
        <v>21</v>
      </c>
    </row>
    <row r="19" spans="1:4" x14ac:dyDescent="0.25">
      <c r="A19" t="str">
        <f t="shared" si="0"/>
        <v>324-21</v>
      </c>
      <c r="B19" s="2">
        <v>324</v>
      </c>
      <c r="C19" s="2">
        <v>21</v>
      </c>
      <c r="D19" s="2" t="s">
        <v>22</v>
      </c>
    </row>
    <row r="20" spans="1:4" x14ac:dyDescent="0.25">
      <c r="A20" t="str">
        <f t="shared" si="0"/>
        <v>324-31</v>
      </c>
      <c r="B20" s="2">
        <v>324</v>
      </c>
      <c r="C20" s="2">
        <v>31</v>
      </c>
      <c r="D20" s="2" t="s">
        <v>23</v>
      </c>
    </row>
    <row r="21" spans="1:4" x14ac:dyDescent="0.25">
      <c r="A21" t="str">
        <f t="shared" si="0"/>
        <v>324-51</v>
      </c>
      <c r="B21" s="2">
        <v>324</v>
      </c>
      <c r="C21" s="2">
        <v>51</v>
      </c>
      <c r="D21" s="2" t="s">
        <v>24</v>
      </c>
    </row>
    <row r="22" spans="1:4" x14ac:dyDescent="0.25">
      <c r="A22" t="str">
        <f t="shared" si="0"/>
        <v>324-61</v>
      </c>
      <c r="B22" s="2">
        <v>324</v>
      </c>
      <c r="C22" s="2">
        <v>61</v>
      </c>
      <c r="D22" s="2" t="s">
        <v>25</v>
      </c>
    </row>
    <row r="23" spans="1:4" x14ac:dyDescent="0.25">
      <c r="A23" t="str">
        <f t="shared" si="0"/>
        <v>610-21</v>
      </c>
      <c r="B23" s="2">
        <v>610</v>
      </c>
      <c r="C23" s="2">
        <v>21</v>
      </c>
      <c r="D23" s="2" t="s">
        <v>26</v>
      </c>
    </row>
    <row r="24" spans="1:4" x14ac:dyDescent="0.25">
      <c r="A24" t="str">
        <f t="shared" si="0"/>
        <v>610-31</v>
      </c>
      <c r="B24" s="2">
        <v>610</v>
      </c>
      <c r="C24" s="2">
        <v>31</v>
      </c>
      <c r="D24" s="2" t="s">
        <v>27</v>
      </c>
    </row>
    <row r="25" spans="1:4" x14ac:dyDescent="0.25">
      <c r="A25" t="str">
        <f t="shared" si="0"/>
        <v>610-51</v>
      </c>
      <c r="B25" s="2">
        <v>610</v>
      </c>
      <c r="C25" s="2">
        <v>51</v>
      </c>
      <c r="D25" s="2" t="s">
        <v>28</v>
      </c>
    </row>
    <row r="26" spans="1:4" x14ac:dyDescent="0.25">
      <c r="A26" t="str">
        <f t="shared" si="0"/>
        <v>610-61</v>
      </c>
      <c r="B26" s="2">
        <v>610</v>
      </c>
      <c r="C26" s="2">
        <v>61</v>
      </c>
      <c r="D26" s="2" t="s">
        <v>29</v>
      </c>
    </row>
    <row r="27" spans="1:4" x14ac:dyDescent="0.25">
      <c r="A27" t="str">
        <f t="shared" si="0"/>
        <v>810-21</v>
      </c>
      <c r="B27" s="2">
        <v>810</v>
      </c>
      <c r="C27" s="2">
        <v>21</v>
      </c>
      <c r="D27" s="2" t="s">
        <v>30</v>
      </c>
    </row>
    <row r="28" spans="1:4" x14ac:dyDescent="0.25">
      <c r="A28" t="str">
        <f t="shared" si="0"/>
        <v>810-22</v>
      </c>
      <c r="B28" s="2">
        <v>810</v>
      </c>
      <c r="C28" s="2">
        <v>22</v>
      </c>
      <c r="D28" s="2" t="s">
        <v>31</v>
      </c>
    </row>
    <row r="29" spans="1:4" x14ac:dyDescent="0.25">
      <c r="A29" t="str">
        <f t="shared" si="0"/>
        <v>810-31</v>
      </c>
      <c r="B29" s="2">
        <v>810</v>
      </c>
      <c r="C29" s="2">
        <v>31</v>
      </c>
      <c r="D29" s="2" t="s">
        <v>32</v>
      </c>
    </row>
    <row r="30" spans="1:4" x14ac:dyDescent="0.25">
      <c r="A30" t="str">
        <f t="shared" si="0"/>
        <v>810-32</v>
      </c>
      <c r="B30" s="2">
        <v>810</v>
      </c>
      <c r="C30" s="2">
        <v>32</v>
      </c>
      <c r="D30" s="2" t="s">
        <v>33</v>
      </c>
    </row>
    <row r="31" spans="1:4" x14ac:dyDescent="0.25">
      <c r="A31" t="str">
        <f t="shared" si="0"/>
        <v>810-33</v>
      </c>
      <c r="B31" s="2">
        <v>810</v>
      </c>
      <c r="C31" s="2">
        <v>33</v>
      </c>
      <c r="D31" s="2" t="s">
        <v>34</v>
      </c>
    </row>
    <row r="32" spans="1:4" x14ac:dyDescent="0.25">
      <c r="A32" t="str">
        <f t="shared" si="0"/>
        <v>810-51</v>
      </c>
      <c r="B32" s="2">
        <v>810</v>
      </c>
      <c r="C32" s="2">
        <v>51</v>
      </c>
      <c r="D32" s="2" t="s">
        <v>35</v>
      </c>
    </row>
    <row r="33" spans="1:5" x14ac:dyDescent="0.25">
      <c r="A33" t="str">
        <f t="shared" si="0"/>
        <v>810-61</v>
      </c>
      <c r="B33" s="2">
        <v>810</v>
      </c>
      <c r="C33" s="2">
        <v>61</v>
      </c>
      <c r="D33" s="2" t="s">
        <v>36</v>
      </c>
    </row>
    <row r="34" spans="1:5" x14ac:dyDescent="0.25">
      <c r="A34" t="str">
        <f t="shared" si="0"/>
        <v>210-61</v>
      </c>
      <c r="B34" s="2">
        <v>210</v>
      </c>
      <c r="C34" s="2">
        <v>61</v>
      </c>
      <c r="D34" s="2" t="s">
        <v>37</v>
      </c>
    </row>
    <row r="35" spans="1:5" x14ac:dyDescent="0.25">
      <c r="A35" t="str">
        <f t="shared" si="0"/>
        <v>835-21</v>
      </c>
      <c r="B35" s="2">
        <v>835</v>
      </c>
      <c r="C35" s="2">
        <v>21</v>
      </c>
      <c r="D35" s="2" t="s">
        <v>43</v>
      </c>
    </row>
    <row r="36" spans="1:5" x14ac:dyDescent="0.25">
      <c r="A36" t="str">
        <f t="shared" si="0"/>
        <v>835-31</v>
      </c>
      <c r="B36" s="2">
        <v>835</v>
      </c>
      <c r="C36" s="2">
        <v>31</v>
      </c>
      <c r="D36" s="2" t="s">
        <v>44</v>
      </c>
      <c r="E36" t="s">
        <v>180</v>
      </c>
    </row>
    <row r="37" spans="1:5" x14ac:dyDescent="0.25">
      <c r="A37" t="str">
        <f t="shared" si="0"/>
        <v>835-51</v>
      </c>
      <c r="B37" s="2">
        <v>835</v>
      </c>
      <c r="C37" s="2">
        <v>51</v>
      </c>
      <c r="D37" s="2" t="s">
        <v>45</v>
      </c>
    </row>
    <row r="38" spans="1:5" x14ac:dyDescent="0.25">
      <c r="A38" t="str">
        <f t="shared" si="0"/>
        <v>835-61</v>
      </c>
      <c r="B38" s="2">
        <v>835</v>
      </c>
      <c r="C38" s="2">
        <v>61</v>
      </c>
      <c r="D38" s="2" t="s">
        <v>46</v>
      </c>
    </row>
    <row r="39" spans="1:5" x14ac:dyDescent="0.25">
      <c r="A39" t="str">
        <f t="shared" si="0"/>
        <v>840-21</v>
      </c>
      <c r="B39" s="2">
        <v>840</v>
      </c>
      <c r="C39" s="2">
        <v>21</v>
      </c>
      <c r="D39" s="2" t="s">
        <v>47</v>
      </c>
    </row>
    <row r="40" spans="1:5" x14ac:dyDescent="0.25">
      <c r="A40" t="str">
        <f t="shared" si="0"/>
        <v>840-31</v>
      </c>
      <c r="B40" s="2">
        <v>840</v>
      </c>
      <c r="C40" s="2">
        <v>31</v>
      </c>
      <c r="D40" s="2" t="s">
        <v>48</v>
      </c>
      <c r="E40" t="s">
        <v>180</v>
      </c>
    </row>
    <row r="41" spans="1:5" x14ac:dyDescent="0.25">
      <c r="A41" t="str">
        <f t="shared" si="0"/>
        <v>840-51</v>
      </c>
      <c r="B41" s="2">
        <v>840</v>
      </c>
      <c r="C41" s="2">
        <v>51</v>
      </c>
      <c r="D41" s="2" t="s">
        <v>49</v>
      </c>
    </row>
    <row r="42" spans="1:5" x14ac:dyDescent="0.25">
      <c r="A42" t="str">
        <f t="shared" si="0"/>
        <v>840-52</v>
      </c>
      <c r="B42" s="2">
        <v>840</v>
      </c>
      <c r="C42" s="2">
        <v>52</v>
      </c>
      <c r="D42" s="2" t="s">
        <v>41</v>
      </c>
    </row>
    <row r="43" spans="1:5" x14ac:dyDescent="0.25">
      <c r="A43" t="str">
        <f t="shared" si="0"/>
        <v>840-61</v>
      </c>
      <c r="B43" s="2">
        <v>840</v>
      </c>
      <c r="C43" s="2">
        <v>61</v>
      </c>
      <c r="D43" s="2" t="s">
        <v>39</v>
      </c>
    </row>
    <row r="44" spans="1:5" x14ac:dyDescent="0.25">
      <c r="A44" t="str">
        <f t="shared" si="0"/>
        <v>650-51</v>
      </c>
      <c r="B44" s="2">
        <v>650</v>
      </c>
      <c r="C44" s="2">
        <v>51</v>
      </c>
      <c r="D44" s="2" t="s">
        <v>42</v>
      </c>
    </row>
    <row r="45" spans="1:5" x14ac:dyDescent="0.25">
      <c r="A45" t="str">
        <f t="shared" si="0"/>
        <v>925-21</v>
      </c>
      <c r="B45" s="2">
        <v>925</v>
      </c>
      <c r="C45" s="2">
        <v>21</v>
      </c>
      <c r="D45" s="2" t="s">
        <v>51</v>
      </c>
    </row>
    <row r="46" spans="1:5" x14ac:dyDescent="0.25">
      <c r="A46" t="str">
        <f t="shared" si="0"/>
        <v>925-31</v>
      </c>
      <c r="B46" s="2">
        <v>925</v>
      </c>
      <c r="C46" s="2">
        <v>31</v>
      </c>
      <c r="D46" s="2" t="s">
        <v>52</v>
      </c>
    </row>
    <row r="47" spans="1:5" x14ac:dyDescent="0.25">
      <c r="A47" t="str">
        <f t="shared" si="0"/>
        <v>925-51</v>
      </c>
      <c r="B47" s="2">
        <v>925</v>
      </c>
      <c r="C47" s="2">
        <v>51</v>
      </c>
      <c r="D47" s="2" t="s">
        <v>50</v>
      </c>
    </row>
    <row r="49" spans="1:5" x14ac:dyDescent="0.25">
      <c r="A49" t="str">
        <f t="shared" ref="A49:A50" si="1">B49&amp;"-"&amp;C49</f>
        <v>835-31</v>
      </c>
      <c r="B49" s="2">
        <v>835</v>
      </c>
      <c r="C49" s="2">
        <v>31</v>
      </c>
      <c r="D49" s="38" t="s">
        <v>38</v>
      </c>
      <c r="E49" s="38" t="s">
        <v>181</v>
      </c>
    </row>
    <row r="50" spans="1:5" x14ac:dyDescent="0.25">
      <c r="A50" t="str">
        <f t="shared" si="1"/>
        <v>840-31</v>
      </c>
      <c r="B50" s="2">
        <v>840</v>
      </c>
      <c r="C50" s="2">
        <v>31</v>
      </c>
      <c r="D50" s="38" t="s">
        <v>40</v>
      </c>
      <c r="E50" s="38" t="s">
        <v>181</v>
      </c>
    </row>
  </sheetData>
  <autoFilter ref="B2:D74" xr:uid="{079ED0D6-8BDB-47C3-A2F5-96C218AF183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document Id="0fde85b2-5795-4285-abe7-adff679e6384">
  <version>1</version>
  <createdBy>JMullen</createdBy>
  <modifiedBy>JMullen</modifiedBy>
  <createdDate>2023-12-18T15:18:50.1192246Z</createdDate>
  <modifiedDate>2024-11-13T21:32:37.3861094Z</modifiedDate>
  <sheets>
    <sheet Id="c6d463ac-99dd-4e17-9213-ada598534116" Name="OC"/>
    <sheet Id="34864750-36d0-48eb-b30f-296de4ba20f4" Name="OC-Days"/>
  </sheets>
  <documentDefinitions>
    <reportDocumentDefinition>
      <properties version="26" revision="0" isCriteriaEnabled="false" suppressions="10"/>
      <reportDate>2023-11-15T00:00:00</reportDate>
      <lastRefreshTime>2024-11-13T15:10:05.153149Z</lastRefreshTime>
      <options areDatesRelativeByDefault="false" autoFitColumnsOnRefresh="false" rounding="0" displayZeroForBlank="true" clearDataOnSave="false" highlightEditableCells="true" refreshOnExpand="true" updateExpandedElementsOnRefresh="true" updateReportGroupsOnRefresh="true" enableUnknownFilters="false"/>
      <areLocationsHidden>false</areLocationsHidden>
      <adapterReportOptions>
        <option adapterId="2">
          <reportSettings UseLevelCurrency="true"/>
        </option>
      </adapterReportOptions>
      <instance adapterId="2">
        <instance code="ASBURYCOMMUNITIES1"/>
      </instance>
    </reportDocumentDefinition>
  </documentDefinitions>
</document>
</file>

<file path=customXml/item2.xml><?xml version="1.0" encoding="utf-8"?>
<AdaptiveCompressedXml>H4sIAAAAAAAEAO1dTXNdN3Ldpyr/gcVVsugh0PieojTlyF6oKuOZGnkWya4BNCJWqI8i6ZlxpfLf06BkSXx8FPGuDUYWsZGf373Euxc4aJzu02ic/uEfr86P/sYXl2dvXj851r9Tx394+s//dPriJfPV0fP65JhdJO3JgbWRwaIyQIE0NFebodaUZzw++p5e8ZPjPz07+hf812Np4Ojo9LI38S23s9dnV9L45fW38v0Fv31zcfXi5tX3F+XyW7q4uvzwvx/u/7N8ff08RbGznLI8RZLnyVlBZC6AMTTLVmnD5viTv5cW/v1NoRs/8v77s3p09dNbeW5/fHSye7Hw+fk3tV7w5eXRxZu/PzlWx0flzfmPr6SbzJ77/5t/eqpPT/p/bvz4yd5fPy0XZ1d8cUa7zfA5v+LXVy+k96nSW7mnvzQe79zXn/715RW9LnzryifX5ImrvN83L/7tr3/5j2d/+uMf//r98x+ef/dC336B/qh3NvnzY13u+7ELPpcX/Bs/o3N+Xeniu3f3Hr1p7ZKvBFTHR/XHi+s++EG6u7+PVub2G73rl/eNPK97r9+8QyulTk/u+ZP7b7i6fqq7fq9fPZL3Obv66YdrtMR9nfful+5s6fTkjl7ad+/7zj466z0V7+yqWw+W9j/Y6QmP/RZi0HH0x/ZC6HM/9uHKLog+XBDQ78ydPbOk9+TPBuEzZoIaFTY6Qw0xgTURQcxYhUC+YmNUlfRsM4F3mAlcZmKZid+2mUhfiZnIuWnSCiHmHMAWziB0p4FCztFbbzjE2WbC3mEmzDITy0z8ps0Eqq/ETFimrJQW+uAIwTbWIPOpQrWROCqSfp1uJtwdZsIuM7HMxG/bTOivxEwoHWt0pMRMaAUWnYWkMIPB4mowrDS7KWbC6492Qt1hJ9yjtBM3YD0Ksz19/u4ZvgyYoafcXBGqqmoBm4PAjBpCJlUdpWA90hSYpftR5h89yvyw6TwYZrt4dlYNM6w9McvP/9jDYtqz1YpZGJbK2DFdIRbnwWFEMaa6UGxTMK3V/aAOC9R+gXoLH2AXuSI4b7SAOhYgFGZALZM3zqNJYQ6oB/hAXKAeDnYvUH8ENVNVpiQLJbcGtpQmxKNaiI4jOfnoUpoDarwf1OnRgzrMY7lfMaiVl7EuPQ7shXlY1k3wbCKoyoFq4qK8nQNqcz+otVqoXqR6C6nORalIYqWxJfkHs1APlwTVpZTMOsU8J2yp7QCqH2e2xA1Uu4Xqw1EdtaaUVYUS0YBN4i/m4A0YRFZKEzea5Cq6AVQ/TnH/U6zFsFB9OKprxmQwMFRbotjqIFzENgLU0RaXVMs8CdV+ANWPU4u+gbWEe571+raF68/g2pEvPjQFFBuCFVbdcy0iRArRa/EXKfAcXIcBXD9O8fRTrNnlL25AdcDmW00VfLXYOUiAlEKB3EJtxWQrDGUOquMAqpfUp3EFrLdkzVJypL2CnGsGq8VYp5oZTGJyTislZHsOrAekRb20RY0rZL2FW9fiAlKDmksBqyhDsrFCK55RcG1NnBOyxgFxUS91Ubi1Xbg+HNcWm21VJbBZibkORUGK1cinaIztMW03CdcD+qJeAqM2w0hbsP7EXFutW8sZTPECayZhIdYjNEdF6Vy1nZRtiwMKo14SozZLjdlCriuq2gyDjQm7cB4h22jB6SAYD2LIJ+1cxQGNEZfGqPWy1luk81Ad1tiAQ7CC7ZwgNe2AmTB646oLc6RzHBAZcYmM2q+49ZYk62IzOt8ATRCfMbUGUZcgnAR1jqHmxJO49YDKiEtl1LsJOR/uWrD+HKxdKTVoBhW732izg+SIwISIMYVWkOfsi8cBmRGXzKhXTsgmlTEZ6xI3aEEJt9YpQeRkIChlTXO5cp2TaY0DKiMulVGHlRSyAdaNYoyKSt/p1SMhbCAHGwGTsI+kHWszRzzHAZkRl8woWFuwPhzWsVBzgSwgNgfyXgkoonzSZH3wpLBNgvWAzIhLZkR0S2fckm9NjiMHBOWb+IxOEcRcDDhjXGtMuu1uDv2VcG0GdEZcOqPgerhw0cL1J1WSfNLBtgTeGgWWahWnsVTQCru0TqgmbfkyAzojLp0R7TLXW+TzYFmlnKHmFsD60oBM1KBrVdGXnEqsc2A9oDPi0hlxNyvnw10L1p+BdfEFiUKApoywkJo1pFic+JCNmWMIXOeE+MyAzmiWzmjicho3wDo5X1TIHnwURNukNFCyGpRpHFW1GCdtJDADOqNZOqOJK+V6A6xNRu8sBaiRSychCWKoBZwjVZl1ot0Y068F6wGd0Syd0cTFrbdkhaReUCEnqF05t60hRGwMhTCxiUHFNMlaD+iMZumMJq19X5vqRZdGITkgG7Jw69ALwdoCVTWngkdfk5oD6wGd0Syd0aSVmrqFhJSmWGsE7U2v6aRJSEhwkIhiLOJQ6jxnO6MZ0BnN0hlNWlkhW7JCvHXVeIKsdO7V/VmsdaoQalXUQiJdyxxYD+iMZumMJi1uvUU+b9E1YxugSr22UxRDXQmBXKkGs/Pezwnw2QGZ0SyZ0fgVt95SU4Gr99En8Nr0SiEkdptrBu0MO/aouc0hIXZAZTRLZdQhLhayhVw33xDFZ2y5Z4UkEyB1HT2mkjhHdt74ObgekBnNkhkF1ys5dYt8XoR0OErAEfsxBNFAMlxAZTK6FYxKzSkWYgd0Rrt0Rh3SEhq3ZPH1wgmRFIjv6IReyz/ZiNEuLeSC1HyhSbgeEBrtEhrFXq/Y9aYKk5YN1QCG+8nJETUkpRsQh9QE70Kw56Q72QGl0S6l0du1UXcTrLNipgim9T0yJUXI3iF4bGyyEoj7OYdu2QGl0S6lMa3955ti182T1UlDJtuVxqSAAlrQEZOgvaiyW4/214L1gNJol9KoV9L1xj0yJIa5IAgdsWBbz3fSST5V06JhATtNYiEDUqNdUqPW6wC7TVt1syLGHMHXoIRdVwRKkcHnHColLiHMOZTRDmiNdmmNWoeVn7oF1y1zSqofNiq+omWhIKQTgeOYk6XkbZ5TWcENiI12iY1arwTVTdHr1A+N8WKqU/BgO8mOrgXg3Hwrpmnf5vBrN6A22qU2Jr9EmS0iekEXEBOgDbqT6gARtYWQdfG5arZlEqwHxEa7xEatzBLRt4joyrOuuYKuth+l2xrkGgO0jCSWOqZmJtGQAbHRLbFRK7twvaUen7BrxaUXlwyu02sD5J2CYrLRwUYf2hy30Q2IjW6JjVq5xUO20GtVrA/Ut+cy9+QQDzF7BFYhGSHaKrg5SU9uQGx0S2zUaiWpbuLXrcfysIFqXUQPuUDCjKBCVa0qG5nnbClwA2qjW2qjVis5ZJMsoxlRuwDG9gNknDDtjNVD8zmYxLG1OGdjoxuQG92SG5NfUb4tySHIQeXUAGvOYKmfqqtShZKIi7XJazVHbXQDaqNbamPyS5TZUgsnGa2CJiCne+WyYCBF9OAbRUPVOk6TWMiA2OiW2JiWhr4F1hoV2eYSmNxLPBXBtriKFlzTGi1mW3BO0RA/oDW6pTWiswvXm7TGELTVGozxFWz3HCm6DNXaEIxXGMqcnY1+JHi9tEZEP+/orwc2oVYFr7FCLUm9P9+FLUEJOTmbUqp+EtRG4slL/xOozYtPPLBvFcWniqaC015W6+YjRNPrfDU2HLxhO6l8rh8I8folyQnU5mXeP3DFixwClaigRkcCNSvEMBgNwZSMrVL1dU5hfT8QdfVLJROozSOGDxwIrTrqIDQtNV/EB6l9t758Ym1N4lwsTTpT2w8EQv0SrqaeTfLAWpK4Az5oD1G5IFYtaIgWNVBIFDTn3PKcc679QHDSLy0JcWJJ4wdeQF2sSmUNKgdZQHs5+CxYAxfZsS0m1d0D2n4tqA0EDP2SdwRq89JMHhZqJbPYaGUhJBXBBvSQChNoQRp6a3RIczJQw0AQzy/JRaD2tSygsXArlvs5trqfS2QLZEdi1XRtOqqEGOa4BWEgh98vGWTqeVsPCzXKWINBcQaqFbxxP7JQ1QQqqIItp2RoTs3FEaq2lIl1rtsmGdl7b2ptUIvpETznezKbBaUCGWqJMM8pnTHi6i5ZwriVUr9lx6qNgTxrCLpXfRZmDYlK56NRtUBVXKFJEZwBVC8FZIF60/4nFx2WilB6ZQHbWgFi5aAk1yIR+UZzHPhPFOQ9XXQN6nCA1nJOmc93G7nif1w9/R/1v6cn1592rl7/ybfczl6f9fbeP7zMsBvovx7xPaN9PdLP676hvYWBuB/ze1s4Pdl5rp3X333R4eOgnPgx2kHlXgTZo4LcLEGsIeVoq2U76fC+j+OMd43zAULHGuf7yjth4NYcOF+p51tHoJgIsOgSgrE2hTnU65NxtneN8wEqwxrne87BYu0dygTOPRXDYvaQs+41ztl54deB1KSjkz+Os7trnA8I8a9xvmcfp66RkXzfbW+6bGghGRnnFEpWNRA5nhOKsgPr8wHx9S96nNP//zj3sKLT4lxY22uHlF70upIRWmZDT/PjhHN4mB1Ynw8Ibq9xvu+gN6ts4QymRRnnnmwSvQ8QC1NtJWhb5mTY24H1+YDI8hrn+zYIWdsCM/jUhVFlK1CpClLLqJV2MYdJ5QgH1ucD4rprnO9Zn1k714iBk+d+cKOsz6rJp5RUSMmEVtucHTMD6/MBoc4vepzviBk96PrsQywm9POTcxP/mTKkohI4dtFSkyWaJ9WJGVifDwj+rXG+x6+Kja9NdnG6b6moMs7GeqisTfa6Zu8n7YC7f32OX0s87AsYZ2QUrtWjnbn0DbyOIapGwL6gNanYOukIR3f/+hy/lnjYg4/z6clb+d+PgfPTl3T57CW9/i++fHp18SOfnnzyxYebzi6fvY+ff/ea8jnXp43OL+Xm2xc+/M05XV79hZuM68sfzl7xU1RooB90G3/Q9vfO/17p3+kUo2DpP/vD37z7QzOXL9/8/dmb11fSa8/l34tLLv3dL39+gjuvf3zDM76gi/Lypz/fePPdKzd7s/fS928qH/UP12ZPx54CryC4nvGCrtMYFC8Fi6vBsNJ8S17prchzfdcH/Ixv6zM3NZN9esmgNHOXVnI92nc/wembt9d99R7gAkb+x1t6Xb9p0pFPjq97+Pio8turl++vlvMf67s7zy6//ek1vTorT447bnaf6h3Oeg/e/Lq8PDuXuX7LRNzq76Edqbetw612Dt+wPTJyO2M3c9fxPWM4dRTvHMd9PX34cSCbenrmzpovsKdPT/ZMGbHSd5iug2zalrlxkE27Y148Xqt2eFWUkT6/1eszk+cf2RzZMmIHzpG9o/V458jhBbFG+vxWr89Mxf4C58i+nj68Evumnp65v+IL7OmZ1mjL3DjQGu2dF4/XGg2VnRzwQ4bKsg60M1S2eKCdobLeA+0Mlb2/NSjzZsgWm3bgDNlrzx7vDBk6p2YASUPnOA20M3TO2UA7Q+cAPiCyt/jXByJ7r2/9eJF9+Lm9I32+0+szD599dPxoy4gdNEfuGK3HO0cOP7N9pM93en3qweNf5CTZ19WxCZMxtgGq1Pr2Gtcz4GSVdKUazM77fRWuDuxqM7E6/W+mp23o+0xzFgrRemBU6DaZqIUrVxV9yanEIQqRfRJO3hJ4a/o26VohyWCBVlhrcSQDuSdDZx+lETLFQbwO4bDi9ikS56EYcMa41ph08/tSXG4jqFBzgSwgNpmsqu+ljSifNIlz4sU+tiFRpVGMUVERytepCLOBLL4HYEpCBbVjbfiXT3pnFxKpoqrN9LUsoZC+IqTPRgtOcMUUxAPdzW7e0tN6ZhHG30hPO/JFnGch+bFJT0dnZI6JNxIpRK9dJgq/HNO7W4i+9o6eGgvbwDwOU+TvYB2Pl+zZInzDUQKOWHoQy0AyXEBlMroVjErtS8G7HXxqviEmBy339SyZXupNVsiYSuIc2XkzFAwLXL2Pvm/q6Xv2IhFklhVJO8OOvbD9lh/SRd/C0A6C5B3s7PEi0nkr09/LuKu+5bwwA9VUIQhToxYS6ToUnjWlKdY9Pcmb1tNNhGGFIMNHQnVK8UXnW0jay/hyaRQE2WRDDxoFLc9jC1TVnAoefU37dqjfakclqiREE2pqre86RohCzkBsWmITg4ppiKmZjN5ZClCjzFNhskneq/YkXVKVWSdy+5Ipb7WTnC8qZA8+9nQccaqBku3R7MZCAvte/6HnkZ5EWUkDNGXkeao0lnpNtKgaM0uXc72VEzdzxm5hsoctIvtZ7COesclYl7hBC0pstk6CSE4GglLWNJcr16FwMbpSZHoxqKjS+3rbThYAEyLGFGQ14j3ZlXvaKTaj82Kze/K67dMt6hLAFNRZ5koWIAzN2FAd1tiAQ7CyFsncTU07YCaM3rjqwq2ZNhPZWzyHw5C932t4vMiuVuvWchbo+G5LyPQCtgjNUZHVqWqr9uyX3cOysFkZHgF1VtJOKEpsZJd7QzTGdtbrhhDZQwxBiDDUXATZqu/IsLFCK57ROW1NHGqHSCaW9gpy7jZSyJWwmsxgEpM0o1TKQ6wvoNC+vjh7WS+gC3WQksy53EJtxWRL6UHZ2haP76AZst/be8QTJGMyGBiEEUWhxz2XyjYC1NEWl1TL3IbCWFoLVFSFEtF0ICF00RcMIiuliRsNteNzUSpSZ+pNZhtiBuopx6qWUrKQo5iHJmyfkjLF5W18qDLxtSwhzkRph4OwUS7KD5EspiqsKFkoXY4Xk90gC3uUxjiS4FHm/dhSpNlFrgjiR3VtPxYg1ILzlklWIo8mDS2xnq1WzMKmlXSxzfJywtU8OIwo814XmThDS6yn3FzpCnHtbmPfAkgy5bJwUPEmgxjJIWV3qBTgCJkdqb42EgYdqXf1Swzazvc/z/Wfd3a8eMl8tbMfpO+IuPFt/6PTk+tbn/4fB3YX2nUOAQA=</AdaptiveCompressedXml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daptiveCompressedXml>H4sIAAAAAAAEAO2ZS2/bRhDH7wH6HQie2sNW+34UtIJEzcFAHoVlH9rbPmYrInoYJNPU3z5DWVFtSa56IVAIBAgR2pmd/e/wh+Fyt3r992pZ/AVNW2/WVyX7mZavpz+8quYLgK64Tlcll1kYGyKhNAYiRZYk5GSI4ylxZp0B5svio1/BVflpVvzIfyoxQFFUbR/iV8j1uu4weLttxfYG7jdNN39u3RnRfO+brt3/3fv/hs1bPUkGG4PNRHqFekAy4rmVRESLgmQ0QvLySX+M8H4T/bNBdu11KrqHe9Sty2JyaIywXL5JqYG2LZrN16vS0LKIm+WXFeaJnujwGR6mrJr0t2ejT04OX8Wm7qCp/WEYWMIK1t0c0++Tv0ef7VMoD/x6+eu28+sIR5YnNlSccIJv5m/vbn6fffrw4e7j9e31uzk7nkAv9cWQ32W1pwbb2Yq6Fyq4Oda6detzXaBf3T3cvpT2Rxm7gCcEviBjb8C0HWT/RJ6ryT9M/QtpAJw7qRlxwJG0HAQJQWniaLaGJ8XB+2FIY+dJ4yNpgrsLIS1QEZKPkQSZNZEsGmI5GMKzhpCNyz6HYUjj50kTI2lCXUpNo1SCoZaRlAzgKxQUcUoxYn0UiUeno5LDkCbOkyZH0gS1F0KakpCcxoWZAyqIpFlgTROKKJsCB26DiHoY0uR50tRImryYdRpzErJF0nQ0kciQcMUmqSPWapcSo1bTgWqaOk+aHkmTgl0IadSBAy0RLaETrtMk1jQGHF+hwIIH7SmYYUjT50kzI2nK6AshTXNLJQv4RUAp1jQbsaZ5q0gU0hssboLyNAxp5jxpdiRNMHohpFFHg49AiVHREpk06/f3KNFY6qyTNuehvgjsedLcSJq0l7LLQTkuxRiEnjSDpAVObNaRgNJgI6SofR6GNPcfdm7piJpgJ7Ru3f7fqFWT54cG1cK3s4Vf/wnttGu+QDV50rB3qtvZLv67tQ9LSNPsly06Hxv2fZa+7W4gI1qL23oFU0opI9vrlqpfKMXrj2py6LXv3i42X2ebdYezvcbfpoX4eDSyG/lF+2OE75M/dXbSdz46b6kmW9fpN/UkZGPmGQAA</AdaptiveCompressedXml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7FD5980DB714C9F5852EFD4C2AA66" ma:contentTypeVersion="12" ma:contentTypeDescription="Create a new document." ma:contentTypeScope="" ma:versionID="81ed09463aa8ba917ddc0e15d1f6b420">
  <xsd:schema xmlns:xsd="http://www.w3.org/2001/XMLSchema" xmlns:xs="http://www.w3.org/2001/XMLSchema" xmlns:p="http://schemas.microsoft.com/office/2006/metadata/properties" xmlns:ns2="bbc653f9-896c-423b-b633-458ff5ee7f8d" xmlns:ns3="e3a04d1e-c291-4260-9b09-c24197f117dd" targetNamespace="http://schemas.microsoft.com/office/2006/metadata/properties" ma:root="true" ma:fieldsID="78418f766a92c06a17c3610cd6c41ac1" ns2:_="" ns3:_="">
    <xsd:import namespace="bbc653f9-896c-423b-b633-458ff5ee7f8d"/>
    <xsd:import namespace="e3a04d1e-c291-4260-9b09-c24197f11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653f9-896c-423b-b633-458ff5ee7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04d1e-c291-4260-9b09-c24197f117d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AdaptiveCompressedXml id="3486475036d048ebb30f296de4ba20f4">H4sIAAAAAAAEAO2dTW/exhGA7wX6HwTdJ9qZnf0KFAepk4OB5gOxc2hvs7uztVBZNvSqTf3vu3Til7YsV7zwbcmuDxbEzyXFBzPDZ0hefv2vV9dn/9Tbw9Xrm6/O8Qtz/vWTP/7h8vlL1buzZ/Wrc8vRc3AGrK8GOGqGbE0DSr4qZyHT+PzsB3mlX53/+BS+lbeH876Fs7PLw7SNb7Vd3Vzd9a0f3k3t02/1zevbu+cfz/19Zp/9Rm7vDsdfj8v/1Ce/G5BSNgULg+fsgCUmEI0NRLJKYVdM0vMP1u9b+PPrIh/t5PfpV/Xs7u2bPnB/fnZxf2bR6+tvar3Vw+Hs9vWv/eT04yyvr//xqp8o88AKf9e3T/DyYvrx0d4vHtz9Zbm9utPbK7m/Gb3WV3pz97yff6nypi8zHTWd31tuGv7N4U5uin4y54N5fcS1H+A3z//0y89/efrj99//8sOzF8++e46fHsA01M9u8v2wDg/trMi13lS5/e63Zc6upgH3a8bgp6P+aIVn9QkaYy4vPpjw4ArTn+msb/rq7u2Ld3+x+ND4pyO4N5aHltEPhonI9jOD/GSf6XP71M/s6zjn/lk7zuh/5XsXywOXxeXFjMB/AKOG4lPwFaxqAs7RQEypgev4ijVFm/A6YNjHwaABxhEMHmCcFAzt8co3yWCxCHAlhugM9oiGpmkPJcR1HTDocTDsAOMIhh1gnBQMsZSdUs+dKk0Ro+dTQpygmSLJJh+yWwkMfBwMHmAcwaABxknBaNHVElyDzkCPGMUJ5NrBSLH1qqdlr62sA4Z5HAw3wDiCgQOMk4IRcxH0GiCg9uLbIfVUqvV8qiUfnTQbwzoRIz3OhR9cHLkwg4uTcuFEMiMWMNUoMPkIWXrUSDayNxRL1bAKF/FxLsLg4j0XPg0uTssFsTTCAL6SThVGgVTRgFGqXFpJzvpVuAiPcxEHF0cu4uDixHkUa1BDEFxmYC29Bg+5x4vga0w9rSJyq3DhH+ciDS6OXITBxWkLb07ifUDARga4GQu59WQKNSl6Msy4TrxwC9yeGWAcwfADjNMGDI8ckzfgikXgWjN0UBCkquFoOBW1q4CxRHoP6z2DMaz3acEwtuZoiKFpz584TRUGJg/BqGmheuqBZBUwFkhvHNZ7BmNY7xO3g5gkhqcQIbX0VConyNEJYHS2hYAN2zq3pGhBjYFDex/JiNsoMtjvhYxofW5NC1S2nQxbAohj18tw9b0sF29bWoeMJVXG8N4zGduoMvZDBkqJjkICaiUBUzMgU+AIJVsqHrPz6yRTtKTMGOJ7JmMbZcZ+yIhiQ8+bLOQkGdjodK/WJijspzyLJNM6N6ZoSZ0x1PdMxjbqjP2QoeITJ09QSw8XbFuGrK5AFGbKGiqjrEPGgu5aHPJ7JmMb7bX7IUMqZW9iLyzQTTGjeUg5efBosyS2lFZqlqIF7bU49PdMxjb6a/dDBimV4Kc+kKndnHsEgZQ4Q3UuJ8MpVl5Hf9OC/locAnwmYxsNtvshQ9H6KjkDsmvArRYQxgqxFcZUqxRa6ZGMBR22NAz4TMY2Wmz3QwZbJ0zaS+5IvqdUpWdTJAIxuFoyKzpa564tLuixpaHAj2SEbTTZ7ocMdNVQwAjZT8+32oqQoq1gtIZikqOWV3ojwoIuWxoOfCZjG222+yGjOEm92k7Q81gCdtLJ8D25Uo6xpGiUV6rAcYEDp+HAZzKGAz/xgxml5Vi4QgjB9go8h05GFWi+ttS0UqaVYsYCB07Dgc9kDAd+WjJSUUeqESpX7hV4ypByZDAkGFPCTCmv01C44N4UDQd+JCNt495UNHshg4yaQk7Ap8n0FW8hFXTQA0ZAg0njSmTQkjpjOPD53tQ26oz9kGGcCdjzJ6h5evVaCQhZDUM/QnHelCZunWyKltybGg58JmMb96b2Q0azPTBI6kFCSgBOlEGCxCmEeI1o+z9ch4wlPmM48Dmb2obP2A8Z0VslcrGX3JqBa5xevhYYtMXmpteIxLiOA7cLukNoOPCZjG10h+yHDEZfvRgEJSPANL2WsDkP1YWmMUhLYSUylryvczjwmYxtdBTuhwx14kyLFULOttcZyYPkSkAVc6lOs5i4DhkLutDtcOAzGdvoQt8PGdOLQ4IlAkbBTkaxID3BghDJuVhSJrtOF7pd8OSSHQ58JmMbTy7th4zicwycC2Tr6vSChKkCjwiUpLjWmkRc596UXWD67HDgMxnbMH37ISOIVUxFwFb0wMIR+gUUwEWfjXhOJq7zTJ9d0B1ihwOfydhGd8h+yCBVU5wm0Iy9zrDaIHtP0AxmyqW5ENfptbULTJ8dDnwmY5i+E9cZZHyyqQcJKrkXG9ZC0uDBsVpbbchiVyJjgemzw4HPZAzTd+I6I9tc0Bnw0RVgExSSy1NTek21U2OiXefzY3aB6bPD9L2/5KzZhOkj9A+c2of3+T9OhrfU2JIAhxCA2XuILhkQFue0J1Rupe4QXtBRaIfpm8nYREfhjshAjy5pR0Fdq9MzfQmijQiZYgm5JZRC65Cx5ANkw/TNZGzCge+IjNBCVRIFZ0yPGVPFEWMvyH3ULBLYG7OOz+AFDpyH6ZvJ2IQD3xEZRLUX2apQS+h1hvOxk+EbuFyix4aBdJ0udF7gwHmYvpmMTTjwPZEh0eWcYodiqsCp1+IpoAHrUuWSsFhZ56uVvMCB8zB9MxmbcOA7IsPaSNUgges/JgfOkJprUIxpymyL5nXuTfECB87D9M1kbMKB74iMni7ZILlARW+BowbIJiC0WHJmrw7zStnUAgfOw/TNZGzCge+IDE0m9ZKiQnHcY4a0XoGrCPjm0UfyLLwSGQscOA/TN5OxCQe+IzJCjM6gd+Bth4JzbJCjaUDUTIyMRnGdL8vwAgfO42nXmYxNOPAdkWGDTra788C+Qk+fAqR3pg9dEe8kRLfO0668wIHzcOBHMnA48BO/VUddjwo9ZiCnHjOkWsi5OLAteq5Ssfl1+qbcAgfOw4HPZAwHfuJsCpNp1bz7agYB96Ddo4ebRLirwQg7a9b55tIHYNDnmkP+P5Opjzr0ll5mD5zz38bwucvsk0vaLW4FfPBo/1uX9OXFm/7rvOHLl3J4+lJu/qaHJ02uD3p58cGU41JXh6e/7+C7G8nXWt8v/OmM4zrXcrj7WVu/hl++uHqlT2j68CsioH2B7ksTvqT0RerwoPF/vby4v/RxM4eXr399+vrmrh/2s/7/7UHLdD0fh/vZ+b9t4f1ZeP5S9e5bbVc3V0ccppU/mjqtdHnxbtEn/wZwiJm5bpkAAA==</AdaptiveCompressedXml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<?xml version="1.0" encoding="utf-8"?>
<AdaptiveCompressedXml id="c6d463ac99dd4e179213ada598534116">H4sIAAAAAAAEAO19W49kx5HeuwH/B2LeY5lxycyIBanFWqsHAd5dY6l9sN/yag1MkQJn7F3B8H935JAajUZT6jONSrrdnXxo9lSdrjpVccmIL76I+Orv/v13337xv8YPb15//93Xr/Bvwqu/+8V//A9fffPbMd5+8ev+9auWuiQuDcx6BxmYwQgZSi/RNLIgpldf/FP53fj61T//8pX/8RdffPVm/fk/jPn6u9dv/YXfvHvUH/9h/P77H95+8+fP/vSkP/378sPbN+//+f76/+IPv7sX5hinqoFoyn4vbKB1ZCDlIp2qhtRfffD3/gr/+ftW/uxNfnr8df/i7R9+7/fsN//lx0+28e23f9/7D+PNmy9++P7f3l3Uvv/2f/7Ov6Lwiev/x/jDL/CrL9f//uzNv/zku3/Vfnj9dvzwunz8MuPb8bvx3dtv/Jv3b/f3fs360PTqo+vW3X/35m35ro2/eOaD5/yOu3++v//mP/3rv/zXX/7zP/7jv/7Tr3/z6199g3/5Adat3nzJP97Wm0+92U/PffHabzTGv7zTdxetL/oLv+r12z/85tZ3/uNN/PRyD70TRgnh6pvx577Z+2c+/sTvn3AJfSToT4j0qy//pL1/RaeNNDcOCJaH25eaQh21Q0s4euslpapbdDo/rNP04nWaj1I/RqmRR2BLDBlnAMk5Qe1DIeZOhiWLtLRFqfVhpeYXr9TRjk5/vk7X2S2IBahhMgjJhMrUAcmmzjglfPy93kmn7WGdlhev04mPTn++To9SxMOMCQM5gswewUKLMEOpQ4m1c9ii0xgeVup4lDodpf58pc41D0s1QptjglSLUI0zxDL7lFqje/I9So0PK3U6Sq1HqT9fqVNRDrE1kB49+kiTPE1sBUrJitVCyS3uUWp6WKnzi1fqjEepP1+pZ9auK6TOhc012/VZkbInjCFMHc08Dtmj1PywUutR6hNTPwr76BVVGmTCAKKSoOY2gLpUbp0plz15IsrDSm1HqQ+g9xhPXUIfEgxmUY9B1PW50DBQnVI6pWZ57FHqeKH0El68Vms+Wv35Wl16M6LEUGoqIJMbaM8VqpbQEIMm3VN7wSsFxVNRRJfO0etHhCAh1ZZRgLu5XtfgeeKPMEjWgCxF49yj1xeKiniqinKyxceA1S0VEquAeYyFg0SPQfyfpq2mHNFG2RSDXKgq4ikrIh24+hFq3XtCVGNIzHPVFQdo0A6UJWjVEUqmPWp9obCIp7KIdADrR6h1C7WOkQJYpA4SUMGGJ5A1Too8KJe8hwJCF0qLeGqLHlvL0evP1+sZlbUpuac2/zEbgk1hj0dEOZcwa90TW9OF6iKe8iJ+zFh4f9VR67+i1qziyTYOKKFVkFjRg+viETY2nrVrKLSnaE4X6ot4CozIpxjzmCgkYxWpw2OPgattYEJpWYC4EbaBVoLsUesLFUY8JUbE460fQ3EabdQeDSJXD64Lu99OSWFqykURyWQPb48u1BjxFBkxHdz6MfUY0h6TCnA0V+sqGUopATRnGpJ7jWMPH4QuVBnpVBkxnZTxMSkj1djzTDClecrY0VPGago9ZNfs3HqwtketL5QZ6ZQZ8XBCHpUyFk1ROS5OSHJvPd+VYgxKnlpd5Qviptj6SuviqTJiPqSQx3hr0Ra4IRT0AFti9JTRKoJalDmzf6uEe9T6QpmRTpnRde2o9WOCkNxCKQq1TwVBD0JKaAKKHpBMnik23qLWfAHgo1NmJIqnzvgYVkiUFmtJ0KPHHpITgbJruIcjI9eaU697WCF8JWc8dUbX69Nu/piGLwpzxDxBy+zLX0+oydPH8g66lm6N9rQR8JWk8SDXrCcMeQw11bgWHhGSpQAiJYDN1aub1HKMw9KmEU58JWk8yDXrIfE9BgtJwbWYFSyZRyFWIlTOCE1iplxGwriH7cRXJt4c5Jo/buR4f9VR67+i1iW4gx5BYOTuSaN5XF1qGpBmnK3bnAM3BSEXuKl8kGu200nwKLJTwBkDQdZcVjcjg8bUoHNO2ifSrHuCELnATeWDXLMdstNjWCHdqs2cwcoafCM9QCVKYGRMPSdi2VOQkQvUVD7INdupMz6q9xxnp1KBqSxvXTsUcW89WqHRJ8m0PV26cgG55oNc88df//urjlr/FbVWzgF7aCCcIkiq1R01M5Ti2WMosahsCkIuUFP5ANecDm79qEFlHDuWCX2umQrCBnWQQE+FwmSj+fEpeC+1vkBN5dMfg1lPFPKYTgLJNtQMhnXX68AehVQOoBLryH0224TwyYU6I58GGdfrQ3d6TPt5dtW13qCJul57rggWsUAXJMsWO22a7CQX6ox86oyY7RQaHwNdY8WiJUCda2oqD4KKk0BDaBi1Rpl7+E5yodDIp9Do/vpg149ZQ5ADS5gBSFYcIoRQhmXwh3F0jTjaJpDvQqVRTqUxyWn9eswapNio+seBMGyCFGV33Kgg2R+O1LnVPa1fcmW9xqk02ulofIxax1iLBZ1go3WQWdUDEEmQ3FNX8tA6fBzd3Umt44VKo5xKI5Ic8PoRek1pisaRoGmoIEEFavXoOje2MW2kYHvA63ih1Cin1Ih4FiI9Cg0ZtVYqCrFj9ug6CBSlAIxCo2jqFveEIfFCrVFOrRHx46lx7y87ev3XskbxQEPnhNyZl7/OUN2Hg4zqIQgPDq3u0esLxUY5xUbEQ1B9jF6HnBrXMaByWl0yolDiCB5k92wda8t5k7++UG2UU220dIoyj0kbTSuvpnNMCw3JtUG1Vl3Ly5zGVWxTl0y8UGyUU2zEwKeI/hi9niVhGgVspgYSjdcI9wKt5Dk7pZBwk7u+UGyUU2zEIEevH1NsFFaPqT1ZpL5muJOA2RyQrK5BfbPax3vk76XXF4qNcoqNGOKJQx6TNprU2phAs67+rzr8t9mgeVyiSQoxb/LXF4qN8RQbMRyS6qPSxhpYc/I4pFAF12MC99QK0T9jpaoD6x5ySLxQbYyn2ojhkEMep9eW2xwRGkVZi786mJQC0ePqolMWJ2qLXqcL5cZ4yo12lp8/KgwJedDoAt2kgyQOYDm4gsc106xaD2HPANV0odoYT7XR0inKPKYNvcc8s0RgabJm4UyPR1qHPoRyt2Fd8h61vlBsjKfYaKeG/qg29NZSCBOBreNaTiBQRAhGoGImgXlsGqB6Jbg+YAhR2hdc/7yqJtI4lNKghDJAZu6gkRQaxsKBzFLbo2p8Id5NB59wVdtHG/2ZU6uWkLPxKi2vPqlVxKhMwN1P79xKSrZnTSdfiEHTgQzWHvdnomqcGUWLQmp5jWp2ffNMPnv2424uNAoW9gy84AtknXTiQqKNraY/c2atLfTZDWJnVzVVAvdsAq1jy1lVc92zSIov8GfS4YW5qu1DjH7mWA1Xcrs2ANe1LgSJQFEVZg22dirU9vEA9Dup2geh2icypx817VBaiPLHsxzfX/cXqvbJu/iMdJc+Y0GaPeK9Wvl2fNfLD7/64D05+H+3Ep8//sGv+y/QL3M9/9MD125Tb93mR/fy/zqMLZbCaMvhr+66arYqBAZjmjZpyLPtmej5gRXKLSs8BJwXYIV4rPBV5pxxzSXQbHXxOyMUnW6FNaUYEibOewoaH1hhvGWFByF7AVZIxwpfaV+kDzRACgySLENlj007hplnIcKPR2Xd3wo/df2yvnzAwxdghXys8NWKORE5egi6OOEFA2hV86OxN8yDp33Mtb+/FeZbVnhw1RdghXKs8FXNpc+4ep7DWr09cUIRPxWt26BWk8awp0H0Ayv8xFf1oxUe4tgLsMJ4rPCVpjlzjwGEiv8YimC4erVLwzaVetE9RcYPrPATEv3RCg/P7QVYYTpW+MqNLxatAUrgNeo3rhF7NUEoc1b/ilBoT/ftB1aIt4pi+dRfX4AZ5mOGr4Z2UkoFKBePS2ucYKkMGFZIeleWvr1giJ9Qnx/N8NSmX4AZ6jHDVzElrE0YcjXy03CtJFZjWBulhiTqnfYMvv/QDOmWGZ4RKy/ADO2Y4aucdVBKASYND0rz4p92dlsUnmvM0Rh9O0yKt/gz+fBnnr8Z4uHPfP2q6MhtdoWeuwelmtcEGxRIqTEZDlHcjtDgLQJNPgSaF2CGh0Dz9atacSGinhH24kEpskEZOsACxqxxjl62lyvwZu3+MGiWGV4mLv9/aYaHTbq+BbFQMRYg4+RBKTfQmAlyHy2NGEw37Yf/0AxvFe/1UGhegBme09Bzw5hyiox+/JU1psvTwhKRoebZYpLBY+5pg/3QDG9V7/VwaF6AGR4+6VoRqhTWrN4eRgSp4rnhiAQjdSluijXQnqliH5rhrfK9HhLNCzDDQyhdG6jRSqEJLRv6aSgVNKyJrDxCm0KCY3vdkG6V7/WwaF6AGR5G6devOjKFEfwgDLhywzbWdOQKWYeWmGXmTYsqPzTDW+V7PSyaF2CGh1Lq1oCpzbqm3FLx01AmgzJOMOU6mXO0uN8Mb5Xv9bBoXoAZHk6p32YcqaTaYdQ51lbbAKUxwjLNUXn2XvYHpbfK93pYNC/ADA+ndDUbNhojuRlqkXUkVk8L84JoYmeZUsemPXgfmuGt8r0eFs0LMMPDKf361QyxhqgKycLqc8oBjDTB4KYZK6PE7ZxSujUAQw+L5gWY4eGUrpmmOdaWBtSxeg4HEhT/CS0W1JET1o/Xy2www1ssGj0smudvhodTusr3LdNs1cD6mowYPUssBRvk1mOudXRJc7sZ3mLR2GHRvAAzPCyar1/J9COPQ4HWBEFmbWC5V/8tdg9Mraa8acL3wwNK7TNINN+WOr79+EXejn9/+4v/Hf7PV1++++2jZ9/9yT+M+fq71+v1frp5dw9/Zq7vdOUTWyreSfyT2nBRZf2mPvUKX3350X199PE//qBXMYCgmicj1NAmSJ8MVopCzJLrNAlB9iQf/PAITPsMlsaR8wMc8URZqBswr9nWHuhCtVqhdhJt0XTQnmOVHx6yaJ9BAzhyfoDvIYmMqHruwmuNUp1gIyJ099paS826355vJTH2GXXmI+cH5gG4QXcVgTDIs9U5K6iWCB2naqjKte7BbvnhQXH2GYXMI+cHmgqKNkTPf1peSyxbFbAmFSjTCDnlKXnPWjR+eBSZfUal7Mj5gcECHoUlD65hYC0gwwJoGBk85Q2a5hCmTcubHh52ZZ9RijlyfqhXz0KO00BjyIuB0qHEhFCYuAxMk3XPOCW+ME7JPgPsP4J+IBAjxaLJD+i0Zki6bKFgDZAjzpSCTQ/Ntgv6FuPPPgNOPoJ+oG7QRytSB0iYnllxy1ByXqV0cXNOedXytgv6FqcMw2cglkfSf13SiNW9dEYYE8sakR7BMjOQm3qmgH/Zbb9B0rdAMQwHFbubpPNok7E06NUaiCdaq5XXgNegNSyczTYtnbsw2ALDwcXuJmlZjdk9VkDmvLx39zw6MORZy9TOldomnPvDetMNSRM9F8Tkk+vYfl5JF4415RigUzX33u7CbcQEI9YiEynMsf+cvgWNYXgukn4CNl0FVagLeKply6Yr1MkGgzBwU+S6azvthUEMGA46dj9JUzQymhBtLYctycCSVAihRuOcWs97moz5Qq8/hoOP3U3SSlx5FIMWScBjMIPifhtS79aapJ7KftzkFkCG4SBk97Pp3MrIwU/nIGt+hw6ozBUohN4oaw9j7Jb0zY5lDAciu5+kOc1QegSKGkA0IFRPs6COXtTCglW21zZuNsViOBjZHSOyynGu1hLsa4k7NVAyhpLLIltlk/3Vypt9l4gHI7tfXXpaJ8sNrCb9cX+SDcRV5ChxFk6lbs+ybrb2IR6M7G6SnlTLmFk89m4rn5YE7sEnBGrU6ojYx/aK5c3uMcSDkd2vwlGStEoKTTv+hJF5HOZJtbbQBGPL23Hvmw1KiIc9djdJWyWmODK0pG7TrU2waBWGNVTJ5Fn1fknfxMjwYGT3w71tWEhaoVdcKw6VodZsoENCKcFD8/1Vy5ttFogHI7ubpPvgTtozkKx5mNgL6Fqv3k0TDpuIbY+k5WEmP+Jzgchu9Nv8rIIuEucsEZp4Ei0pGBh7Tq1j1t5bn0x70ml5mMqP+FwQsicg6FCyDCkDNK2ZfhkZtFYPz6wXq50pyJ7qtDzM5Ud8LgDZExB0wxy0NpdsZQ/HehQombqHYxJHQgqW9qy5kYfJ/IjPBR97AoJOaRjmlvx4Nhd06QnKDBMw9ODplsdDuifulofZ/K5mR9B3O6MtK3oi5blzniBaPOJuowFLC0VE2ELbLeib9Up6LujYExB0Ti3gHAncSS+uYG+gUioo66CqSpa2n9E3y5X0XMCxJyDoooFiVYI4VmmjhwGGghCC1CGdbYY9ZBO5QOhHei7g2BOQdMqhokiHGN2QJQ8C7X5cm7TZJpVkZfshfZPRj8+GKvgEJC1cciDPrRqKn9LcCWwOgTFMPcFS5k0EMrlC6afnAo49AUk3mWtXTIMc3m0wtAFVPMMqo1nGGSuW7eDYbUo/HXTsfjZNhVJs4gezuaRDWDYdKrSMrWKvo9geWpFcofTTgcfuJ+mZKakueGzZdM8ImoetsIwwYeRS91AFya5Q+p9LRPYEKP02PACbnkOHEZp776FQNCl0ooBoluOmYRdyhdJPByC7H/3XbTb3gcCprizLApTUK6SW62qxrBT3e++bCBkfhOx+TZa5WJ4hg1n12Dvl6I7bGkTtU0PrqHMPpV+uUPr5QGT3K2ONaJH8dG6ltR+7p2tsEWKdM9uaVyV7CGRyhdLPByO7n6RTmii5QxRySefq3ltr9Ni7py4xhDq3V6ZvU/r5uURkT0DSs1WyIQyZi3tview2HWRVOjQhJ+O+vWJ5m9LPByO7m6RjYLPUE9RmEYRThDqNV5vOTLgIJ7I9IrtN6eeDkd2vlFUlhNENRuICEmkumc+1rac1P6QjxT35tFyh9PPByO6XT9NI1bNmCAUZBNmglojg8beR1sQdt0dktyn9fDCy+9WyrEXkGUAJ8Y/euxUIIq2P5FpQt1c4blP6+XDI7pdPz57qWifTowyXtBKUUd26JWgtQXpq+236JkbGByO7m6SpJuyjL7S7dpBWiv/GDeLEVBpqb2F/lnUTI5ODkd2vyVKtV8oF5lixN4YJGizBNJo8xYQkbJF0vEDpl+cCkX1yU8PPXMpqbtNlzSya65jWKaAjDRiF1iAbxDT20AXjBUq/PBeE7AkIOqrQGKwQB62RRYPAEnVg1Oiv2HMZe3CTeIHSL88FIHsCgu7aXbhFIY/4bhICQ8GMLugSmhabFvfwQuMFSr88F3zsCQia8rSZG8Piknm0LROKn8uQgx/PfYYwZE+GFS9Q+uW5wGNPQNCxDy1V3Y49pV6ue4XdflCnUTh09KN6ExAaL1D65bmgY09A0KO2ngTjirXbjxatJRu0PGPC6Qf13DPEJl6g9MtzAceegKAjTi7CBTi5HUtc/ZUxBZix5EGVDXkPrSheofTLcwHHnoCkcwllTB1QqsdgEv24ttWqw51ZMY9Aut1336b0y3MBx56ApKsNrsUGxDXWW/Lar2J9QhVPvZha7HN7gnWb0h+fCzj2BCRt1UhiYqDaB4glP6ZjsTUMuHHg4Bn2nnJlvELpjwcdu2Mu3Upsw1OsnAlEV7mSc10TvYdN5jJxOwx6m9IfDzx2P0mHWmMNa4zg2o4lOUFhN/FeR/WTm2j2Pa138QrROx7Y5H4EMpWxapKQy7LpqMkjsqLuzFlymFpD31PEileI3vHgJveTdMUatFWXNNoqYimUNRM2R2nVArmk9xC94xWidzzAyR0bp5sUaxkSpwriwTYYK0MsDac2LrHvoSDEK0TveJCT+7XptJrDmKsXq8+fRpC5ZQPlkmrJgUfdLunbRO94kJP70YrqCsU0AqO5TZdF9F6S7r1WmWusYJbtkr6JnMSDnNxN0iyKpYYIMVL32NsCmDYFTNb64NhpbIe9bxO900FO7ibpMm2aBnLRTnRJ97J2rDSIA0OwOiTO7WjobaJ3OsjJ/RqyTBKG5LlVXjtLCzao1U9sHKNGqtMo7PfeN5GTdJCT+8XerFUjNT+nmUFmYijD/bgSl541Vn9ku6RvMovSYRbdj3AyhiUXN6RVsBRCF3Jy68YSUtPMlvYjJ7eJ3ulgZHeTdDNc6CdDstLXbMEK2noE7NNGrjRS3C/pmxhZOhjZ/erTjRRTzpDyGnBCs4NVRSAOU2xwsbiH/5senmSD6blAZE9gkg0aMpY1+zetbmnJ6un02imPzVNpj9TapuW0+YqgnwtC9gQE3UPvMU0Ptav/kJg88s4lw8DWSvGUemDZImi9IujnApA9AUE3jD01XpvE17TQisVjbnG5i/+My9jDHqL3hSFkmJ4LPvYEBJ2r59ATE4SJee0rnaDSMrQmnSNi5U3bsfDCBnnMzwUfewKSJhaLNNc6hl48l44EJUgDNf9ZdGQpe/gmiyL4sKSfCz72BCQ9JZfgmQy0tLZYJlrj5mr3o9oyDmJutAcJXRTBhyX9XPCxJyDpJkND9EibwmqKbxRhkceA6+gSJc4S97TpIF+R9HPBx56ApD1dbpVZoHXSlWKxS9oT6lIt5TQ4StrDC0W5Iunngo89AUnn1CPlqtDf4WOcJxi2NRchjDQwDqQ9ORbGK5J+LvjYE5B08eTKg6+6dlf2lWR5Np20eDYdxgrHC2/iheIVgCwfgOx+sXcxqxpXOs1pDTcZoDP7YV08GMOy9hHvSafxCkKWD0J2P4SMZk+tJai6gBOZtIQcYATPurIhBtxT3cArEFk+ENk9eaFGYxAETmFB3QhGnnQFNJUwWpdNEBlewcjywcjul2X1JCW37N57LDB0bZDXscabENeSkUfdU96gKxiZHozsfswiTVp7I2jqP2QGA+21QQxNQh6xus3vkfQVjEwPRna/LAs7tzgCzDpWTxYyWF+blNhTrzRjG3FPRy1dwcj0YGT3O6cF1U/kAlPfrSGenkpX9+NIKWBJI5W2J5+mKxiZHozsbpKOPQQLPCCvtloZYUA1qpA9lY4ksVTdtDrpCkamByO7p6QHzpEhhb6G2YwIiqFDxMFsa5fl2NOpQ1cwMj0Y2f16slKhOWOANBZGxiVDHWlNkxxV2HKueVPsfQUj04OR3U/SoccUksFCSUBaM7BZM5TZqzU0GbqH601XMDI9GNn9MDJMxWOyDr2kvFj9BdZoKhjcgnLLsfOmc/oKRqYHI7sfchIK9uwRt1uze+8eyb23NmDFWELvfdY9GBlfyrIORnY/7x3dedepUMKah2DUQLNMSCyeYXccvWyS9JWIzA5Gdj/v3aahaIVgizGoY80OVYKguXfhTFL2ICd8JSKzk0/fr3e6xpmtEpSYBST5Oa2WBCJpYqNubtt7JH0lIrOTT99N0gOx9OzytbyWZKVFLBojASklrZy18Z58mq9EZHby6ftxQytbNzdnShT9nOYB1sQlPXgKCjexPT1ZfKVqaSefvt85XcLIUj0E6+reu3CDumb1p4E2M/tJXfZ0ycuVqqWdfPp+3FDlzrm6Jac4QTJ5lpWnB+CcZ8zdQiibllleqVrayafvF5FR0ULVIPSKbtOebxnnAXnMWVBCTZvmIciVfNpOPn2/c1r72sBQweqKyKig/9bdmaO0sKhHpW2y6QtVSwonn75jB14nIfN8Gofb9JAMmsxdeKCIiVFi2VPhkAtVSwqHc3K/c1raWOPaYYxC7r09s9YeDDp6XJZqiLXuYRfJBYyMwuGc3A/3ZmXiGaF6suURmawB7qHD6KWFGWOmuWlt6QWMjMLByO6He1cs6NE3eJLl+XTPnmX1nqDlXOdM1aTvwcjkAkZG4WBk9+vh6FXKWKMjKa1pNu7CVXWNBS4SCs8QaU+FQy5gZBQORnY3SUuJxXSNg83FbTpPgzI8IhsTDclz6r5pVZZcwMgoHIzsfh14ZRWtbIDWnNx7ewBuQd9tzcKmpazteHtmkV3AyCgcjOx+FY4kWWdd003WXh1qE6wRrolVrY1IwWjTzNALGBmFg5HdETnhkkcp0MPqwAt+WJeuBDy1z+jpF+dNG5QuYGSuZ0fSd0NOLKXVWAvh3di5yhFKTgrcDWehaAU3bTq8gpHhwcjux/dGmjzGWo5F79YRC6iNASWO2DI2KnWT976CkeHByO7nvYufz5QM6oi89t8Fz7ISQpshE3GIsWzy3lcwMjwY2f36smaVGGaELJX8nHbDriFkyJabWRM37U02fQUjw4OR3Q8N1dFwdoWiqB5701o9bRH6nJNkLeFIm7aXXsHI8GBkd0RDjVFCBG5rg1LmtKZJIlBNreSohnnTbO8rGBkejOx+GJl0nS5uqN0tWZq69+YSYa72+TYlVdwzeS5ewcjwYGT3w71ncuMNtAa4D/BjWf2c1g6KY5KSPxD2VC3TFYwMD0Z2PzTUD2JUGmBF3XuPqaAhrWEnJFw4jRn2TIhNVzAyPBjZ/bx3xtG7uGhlsYuYOhQJ08/p0Vqvg3TTpsN0BSPDg5HdkTHY4qDa1uaNDoLisTdNhKBlzDpnR9nDI+MrNk0nIrtjRFZtNDXIaLT26iCUXhU8Eu8hyxSkPREZX0FD6Xjvu0m6Es6olQAzLm7oqKA5RqAYE3dSo01zTvgKGkrHez9S0l99+Xv/55s//fu35c0vf1u+++/jzS9m+fbN+OrLDx55f9XrN7/84bV/8tflV9+V+u3of7z4L594/zffljdv/2VMF+1vf/P6d2Ox/wQQAfk3GP8Ww9+G+DdBmTSl/7bu/s+vfv8yb377/b/98vvv3vrX9mv/+cOb0daHf3+7N5//8RX++C1889sx3n703a0//rNH1x999eW7S3/xfwFD3sxi7OwBAA==</AdaptiveCompressedXml>
</file>

<file path=customXml/itemProps1.xml><?xml version="1.0" encoding="utf-8"?>
<ds:datastoreItem xmlns:ds="http://schemas.openxmlformats.org/officeDocument/2006/customXml" ds:itemID="{3EBABB89-8561-4376-BC04-E4FD5F2DB155}">
  <ds:schemaRefs/>
</ds:datastoreItem>
</file>

<file path=customXml/itemProps2.xml><?xml version="1.0" encoding="utf-8"?>
<ds:datastoreItem xmlns:ds="http://schemas.openxmlformats.org/officeDocument/2006/customXml" ds:itemID="{B0A16390-D0F9-4BFC-98AA-06379692311A}">
  <ds:schemaRefs/>
</ds:datastoreItem>
</file>

<file path=customXml/itemProps3.xml><?xml version="1.0" encoding="utf-8"?>
<ds:datastoreItem xmlns:ds="http://schemas.openxmlformats.org/officeDocument/2006/customXml" ds:itemID="{BB6E494C-BCBB-4D4B-9C5E-3C8A6370DF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1ABAA5-A7FC-4D51-9F1C-41166C04B659}">
  <ds:schemaRefs/>
</ds:datastoreItem>
</file>

<file path=customXml/itemProps5.xml><?xml version="1.0" encoding="utf-8"?>
<ds:datastoreItem xmlns:ds="http://schemas.openxmlformats.org/officeDocument/2006/customXml" ds:itemID="{DCF5231F-5F6E-4CF9-82A6-12F50DEC8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c653f9-896c-423b-b633-458ff5ee7f8d"/>
    <ds:schemaRef ds:uri="e3a04d1e-c291-4260-9b09-c24197f11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3F8CABED-81A4-4A0E-9476-5D1DB1200A33}">
  <ds:schemaRefs/>
</ds:datastoreItem>
</file>

<file path=customXml/itemProps7.xml><?xml version="1.0" encoding="utf-8"?>
<ds:datastoreItem xmlns:ds="http://schemas.openxmlformats.org/officeDocument/2006/customXml" ds:itemID="{F85BC731-537C-4890-B761-CB707AC38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8.xml><?xml version="1.0" encoding="utf-8"?>
<ds:datastoreItem xmlns:ds="http://schemas.openxmlformats.org/officeDocument/2006/customXml" ds:itemID="{73A73F79-517D-4835-A8CC-DCFA92C237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Nuance</vt:lpstr>
      <vt:lpstr>2025 Load</vt:lpstr>
      <vt:lpstr>OC</vt:lpstr>
      <vt:lpstr>OC-Days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Perun, Thorne (Asbury)</dc:creator>
  <cp:lastModifiedBy>Mullen, John (ASCC)</cp:lastModifiedBy>
  <dcterms:created xsi:type="dcterms:W3CDTF">2021-12-09T19:34:59Z</dcterms:created>
  <dcterms:modified xsi:type="dcterms:W3CDTF">2024-11-14T17:26:01Z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0x0101006737FD5980DB714C9F5852EFD4C2AA66</vt:lpwstr>
  </property>
  <property fmtid="{D5CDD505-2E9C-101B-9397-08002B2CF9AE}" pid="3" name="AdaptiveDocumentId">
    <vt:lpwstr>0fde85b2-5795-4285-abe7-adff679e6384</vt:lpwstr>
  </property>
  <property fmtid="{D5CDD505-2E9C-101B-9397-08002B2CF9AE}" pid="4" name="AdaptiveReportingVersion">
    <vt:lpwstr>5</vt:lpwstr>
  </property>
  <property fmtid="{D5CDD505-2E9C-101B-9397-08002B2CF9AE}" pid="5" name="AdaptiveReportingRevision">
    <vt:lpwstr>0</vt:lpwstr>
  </property>
  <property fmtid="{D5CDD505-2E9C-101B-9397-08002B2CF9AE}" pid="6" name="AdaptiveCustomXmlPartId">
    <vt:lpwstr>3ebabb89-8561-4376-bc04-e4fd5f2db155</vt:lpwstr>
  </property>
</Properties>
</file>