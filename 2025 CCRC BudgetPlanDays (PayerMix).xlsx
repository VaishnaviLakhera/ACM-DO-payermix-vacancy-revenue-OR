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I:\Asbury Services\Projections\Projections 2025\2025 Budget\Data Warehouse\"/>
    </mc:Choice>
  </mc:AlternateContent>
  <xr:revisionPtr revIDLastSave="0" documentId="13_ncr:1_{EC7CCD19-9C1D-44DF-8985-77A6EE562A88}" xr6:coauthVersionLast="47" xr6:coauthVersionMax="47" xr10:uidLastSave="{00000000-0000-0000-0000-000000000000}"/>
  <bookViews>
    <workbookView xWindow="-120" yWindow="-120" windowWidth="29040" windowHeight="16440" firstSheet="2" activeTab="2" xr2:uid="{00000000-000D-0000-FFFF-FFFF00000000}"/>
  </bookViews>
  <sheets>
    <sheet name="CrossfireHiddenWorksheet" sheetId="6" state="veryHidden" r:id="rId1"/>
    <sheet name="OfficeConnectCellHighlights" sheetId="7" state="veryHidden" r:id="rId2"/>
    <sheet name="2025 Load" sheetId="20" r:id="rId3"/>
    <sheet name="OC-SNF PMix Anc Days" sheetId="5" r:id="rId4"/>
    <sheet name="OC-Res Days" sheetId="10" r:id="rId5"/>
    <sheet name="REF" sheetId="9" r:id="rId6"/>
    <sheet name="OC-Days" sheetId="8" r:id="rId7"/>
    <sheet name="prior -&gt;" sheetId="4" r:id="rId8"/>
    <sheet name="BudgetPlanDays2023-Pay Mix" sheetId="2" r:id="rId9"/>
    <sheet name="BudgetPlanDays2023-2nd Persons" sheetId="3" r:id="rId10"/>
    <sheet name="2023 CCRC BudgetPlanDays2023 (P" sheetId="1" r:id="rId11"/>
  </sheets>
  <externalReferences>
    <externalReference r:id="rId12"/>
    <externalReference r:id="rId13"/>
  </externalReferences>
  <definedNames>
    <definedName name="_xlnm._FilterDatabase" localSheetId="10" hidden="1">'2023 CCRC BudgetPlanDays2023 (P'!$A$2:$H$228</definedName>
    <definedName name="_xlnm._FilterDatabase" localSheetId="9" hidden="1">'BudgetPlanDays2023-2nd Persons'!$A$2:$H$42</definedName>
    <definedName name="_xlnm._FilterDatabase" localSheetId="8" hidden="1">'BudgetPlanDays2023-Pay Mix'!$A$2:$H$236</definedName>
    <definedName name="_xlnm._FilterDatabase" localSheetId="3" hidden="1">'OC-SNF PMix Anc Days'!$CS$5:$CV$41</definedName>
    <definedName name="_xlnm._FilterDatabase" localSheetId="5" hidden="1">REF!$B$1:$M$61</definedName>
    <definedName name="_P">#REF!</definedName>
    <definedName name="basic">#REF!</definedName>
    <definedName name="Company">#REF!</definedName>
    <definedName name="CurrYr" localSheetId="6">[1]HQ!$B$19</definedName>
    <definedName name="CurrYr">[2]HQ!$B$19</definedName>
    <definedName name="CurrYrFCVersion" localSheetId="6">[1]HQ!$B$20</definedName>
    <definedName name="CurrYrFCVersion">[2]HQ!$B$20</definedName>
    <definedName name="dental">#REF!</definedName>
    <definedName name="dentcode">#REF!</definedName>
    <definedName name="Depart">#REF!</definedName>
    <definedName name="Facility">#REF!</definedName>
    <definedName name="FillColMatch" localSheetId="6">'[1]OC-Fill'!$B$1:$NB$1</definedName>
    <definedName name="FillColMatch">'[2]OC-Fill'!$B$1:$NB$1</definedName>
    <definedName name="FillDataArray" localSheetId="6">INDIRECT(RIGHT('[1]OC-Fill'!$NI$6,LEN('[1]OC-Fill'!$NI$6)-1))</definedName>
    <definedName name="FillDataArray">INDIRECT(RIGHT('[2]OC-Fill'!$NI$6,LEN('[2]OC-Fill'!$NI$6)-1))</definedName>
    <definedName name="FillRowMatch" localSheetId="6">INDIRECT(RIGHT('[1]OC-Fill'!$NI$7,LEN('[1]OC-Fill'!$NI$7)-1))</definedName>
    <definedName name="FillRowMatch">INDIRECT(RIGHT('[2]OC-Fill'!$NI$7,LEN('[2]OC-Fill'!$NI$7)-1))</definedName>
    <definedName name="FillSNFColMatch" localSheetId="6">'[1]OC-SNF Fill'!$B$1:$CX$1</definedName>
    <definedName name="FillSNFColMatch">'[2]OC-SNF Fill'!$B$1:$ET$1</definedName>
    <definedName name="FillSNFDataArray" localSheetId="6">'[1]OC-SNF Fill'!$B$9:$CX$15</definedName>
    <definedName name="FillSNFDataArray">'[2]OC-SNF Fill'!$B$9:$ET$30</definedName>
    <definedName name="FillSNFRowMatch" localSheetId="6">'[1]OC-SNF Fill'!$CZ$9:$CZ$15</definedName>
    <definedName name="FillSNFRowMatch">'[2]OC-SNF Fill'!$EV$9:$EV$30</definedName>
    <definedName name="health">#REF!</definedName>
    <definedName name="jobcode">#REF!</definedName>
    <definedName name="MainColMatch" localSheetId="6">'[1]OC-Main'!$B$1:$LD$1</definedName>
    <definedName name="MainColMatch">'[2]OC-Main'!$B$1:$LS$1</definedName>
    <definedName name="MainDataArray" localSheetId="6">'[1]OC-Main'!$B$9:$LD$74</definedName>
    <definedName name="MainDataArray">'[2]OC-Main'!$B$9:$LS$74</definedName>
    <definedName name="MainRowMatch" localSheetId="6">'[1]OC-Main'!$LE$9:$LE$74</definedName>
    <definedName name="MainRowMatch">'[2]OC-Main'!$LT$9:$LT$74</definedName>
    <definedName name="medcode">#REF!</definedName>
    <definedName name="NextYr" localSheetId="6">[1]HQ!$B$21</definedName>
    <definedName name="NextYr">[2]HQ!$B$21</definedName>
    <definedName name="parttm">#REF!</definedName>
    <definedName name="pension">#REF!</definedName>
    <definedName name="RaiseColMatch" localSheetId="6">'[1]OC-Raise'!$B$1:$D$1</definedName>
    <definedName name="RaiseColMatch">'[2]OC-Raise'!$B$1:$D$1</definedName>
    <definedName name="RaiseDataArray" localSheetId="6">INDIRECT(RIGHT('[1]OC-Raise'!$I$2,LEN('[1]OC-Raise'!$I$2)-1))</definedName>
    <definedName name="RaiseDataArray">INDIRECT(RIGHT('[2]OC-Raise'!$I$2,LEN('[2]OC-Raise'!$I$2)-1))</definedName>
    <definedName name="RaiseRowMatch" localSheetId="6">INDIRECT(RIGHT('[1]OC-Raise'!$I$3,LEN('[1]OC-Raise'!$I$3)-1))</definedName>
    <definedName name="RaiseRowMatch">INDIRECT(RIGHT('[2]OC-Raise'!$I$3,LEN('[2]OC-Raise'!$I$3)-1))</definedName>
    <definedName name="vachrs">#REF!</definedName>
    <definedName name="WASbasic">#REF!</definedName>
    <definedName name="WASmeddent">#REF!</definedName>
    <definedName name="workcomp">#REF!</definedName>
    <definedName name="workcompclass">#REF!</definedName>
  </definedNames>
  <calcPr calcId="191029" iterateDelta="1E-4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74" i="20" l="1"/>
  <c r="U74" i="20"/>
  <c r="S75" i="20"/>
  <c r="U75" i="20"/>
  <c r="S76" i="20"/>
  <c r="U76" i="20"/>
  <c r="S77" i="20"/>
  <c r="U77" i="20"/>
  <c r="S78" i="20"/>
  <c r="U78" i="20"/>
  <c r="S79" i="20"/>
  <c r="U79" i="20"/>
  <c r="S80" i="20"/>
  <c r="U80" i="20"/>
  <c r="S81" i="20"/>
  <c r="U81" i="20"/>
  <c r="S82" i="20"/>
  <c r="U82" i="20"/>
  <c r="S83" i="20"/>
  <c r="U83" i="20"/>
  <c r="S84" i="20"/>
  <c r="U84" i="20"/>
  <c r="S85" i="20"/>
  <c r="U85" i="20"/>
  <c r="S86" i="20"/>
  <c r="U86" i="20"/>
  <c r="S87" i="20"/>
  <c r="U87" i="20"/>
  <c r="S88" i="20"/>
  <c r="U88" i="20"/>
  <c r="S89" i="20"/>
  <c r="U89" i="20"/>
  <c r="S90" i="20"/>
  <c r="U90" i="20"/>
  <c r="S91" i="20"/>
  <c r="U91" i="20"/>
  <c r="S92" i="20"/>
  <c r="U92" i="20"/>
  <c r="S93" i="20"/>
  <c r="U93" i="20"/>
  <c r="S94" i="20"/>
  <c r="U94" i="20"/>
  <c r="S95" i="20"/>
  <c r="U95" i="20"/>
  <c r="S96" i="20"/>
  <c r="U96" i="20"/>
  <c r="S97" i="20"/>
  <c r="U97" i="20"/>
  <c r="S98" i="20"/>
  <c r="U98" i="20"/>
  <c r="S99" i="20"/>
  <c r="U99" i="20"/>
  <c r="S100" i="20"/>
  <c r="U100" i="20"/>
  <c r="S101" i="20"/>
  <c r="U101" i="20"/>
  <c r="S102" i="20"/>
  <c r="U102" i="20"/>
  <c r="S103" i="20"/>
  <c r="U103" i="20"/>
  <c r="S104" i="20"/>
  <c r="U104" i="20"/>
  <c r="S105" i="20"/>
  <c r="U105" i="20"/>
  <c r="S106" i="20"/>
  <c r="U106" i="20"/>
  <c r="S107" i="20"/>
  <c r="U107" i="20"/>
  <c r="S108" i="20"/>
  <c r="U108" i="20"/>
  <c r="S109" i="20"/>
  <c r="U109" i="20"/>
  <c r="S110" i="20"/>
  <c r="U110" i="20"/>
  <c r="S111" i="20"/>
  <c r="U111" i="20"/>
  <c r="S112" i="20"/>
  <c r="U112" i="20"/>
  <c r="S113" i="20"/>
  <c r="U113" i="20"/>
  <c r="S73" i="20"/>
  <c r="H66" i="20"/>
  <c r="A49" i="20"/>
  <c r="B49" i="20"/>
  <c r="C49" i="20"/>
  <c r="D49" i="20"/>
  <c r="E49" i="20"/>
  <c r="F49" i="20"/>
  <c r="G49" i="20"/>
  <c r="H49" i="20"/>
  <c r="A50" i="20"/>
  <c r="B50" i="20"/>
  <c r="C50" i="20"/>
  <c r="D50" i="20"/>
  <c r="E50" i="20"/>
  <c r="F50" i="20"/>
  <c r="G50" i="20"/>
  <c r="H50" i="20"/>
  <c r="A51" i="20"/>
  <c r="B51" i="20"/>
  <c r="C51" i="20"/>
  <c r="D51" i="20"/>
  <c r="E51" i="20"/>
  <c r="F51" i="20"/>
  <c r="G51" i="20"/>
  <c r="H51" i="20"/>
  <c r="A52" i="20"/>
  <c r="B52" i="20"/>
  <c r="C52" i="20"/>
  <c r="D52" i="20"/>
  <c r="E52" i="20"/>
  <c r="F52" i="20"/>
  <c r="G52" i="20"/>
  <c r="H52" i="20"/>
  <c r="A53" i="20"/>
  <c r="B53" i="20"/>
  <c r="C53" i="20"/>
  <c r="D53" i="20"/>
  <c r="E53" i="20"/>
  <c r="F53" i="20"/>
  <c r="G53" i="20"/>
  <c r="H53" i="20"/>
  <c r="A54" i="20"/>
  <c r="B54" i="20"/>
  <c r="C54" i="20"/>
  <c r="D54" i="20"/>
  <c r="E54" i="20"/>
  <c r="F54" i="20"/>
  <c r="G54" i="20"/>
  <c r="H54" i="20"/>
  <c r="A55" i="20"/>
  <c r="B55" i="20"/>
  <c r="C55" i="20"/>
  <c r="D55" i="20"/>
  <c r="E55" i="20"/>
  <c r="F55" i="20"/>
  <c r="G55" i="20"/>
  <c r="H55" i="20"/>
  <c r="A56" i="20"/>
  <c r="B56" i="20"/>
  <c r="C56" i="20"/>
  <c r="D56" i="20"/>
  <c r="E56" i="20"/>
  <c r="F56" i="20"/>
  <c r="G56" i="20"/>
  <c r="H56" i="20"/>
  <c r="A57" i="20"/>
  <c r="B57" i="20"/>
  <c r="C57" i="20"/>
  <c r="D57" i="20"/>
  <c r="E57" i="20"/>
  <c r="F57" i="20"/>
  <c r="G57" i="20"/>
  <c r="H57" i="20"/>
  <c r="A58" i="20"/>
  <c r="B58" i="20"/>
  <c r="C58" i="20"/>
  <c r="D58" i="20"/>
  <c r="E58" i="20"/>
  <c r="F58" i="20"/>
  <c r="G58" i="20"/>
  <c r="H58" i="20"/>
  <c r="A59" i="20"/>
  <c r="B59" i="20"/>
  <c r="C59" i="20"/>
  <c r="D59" i="20"/>
  <c r="E59" i="20"/>
  <c r="F59" i="20"/>
  <c r="G59" i="20"/>
  <c r="H59" i="20"/>
  <c r="A60" i="20"/>
  <c r="B60" i="20"/>
  <c r="C60" i="20"/>
  <c r="D60" i="20"/>
  <c r="E60" i="20"/>
  <c r="F60" i="20"/>
  <c r="G60" i="20"/>
  <c r="H60" i="20"/>
  <c r="A61" i="20"/>
  <c r="B61" i="20"/>
  <c r="C61" i="20"/>
  <c r="D61" i="20"/>
  <c r="E61" i="20"/>
  <c r="F61" i="20"/>
  <c r="G61" i="20"/>
  <c r="H61" i="20"/>
  <c r="A62" i="20"/>
  <c r="B62" i="20"/>
  <c r="C62" i="20"/>
  <c r="D62" i="20"/>
  <c r="E62" i="20"/>
  <c r="F62" i="20"/>
  <c r="G62" i="20"/>
  <c r="H62" i="20"/>
  <c r="A63" i="20"/>
  <c r="B63" i="20"/>
  <c r="C63" i="20"/>
  <c r="D63" i="20"/>
  <c r="E63" i="20"/>
  <c r="F63" i="20"/>
  <c r="G63" i="20"/>
  <c r="H63" i="20"/>
  <c r="A64" i="20"/>
  <c r="B64" i="20"/>
  <c r="C64" i="20"/>
  <c r="D64" i="20"/>
  <c r="E64" i="20"/>
  <c r="F64" i="20"/>
  <c r="G64" i="20"/>
  <c r="H64" i="20"/>
  <c r="A66" i="20"/>
  <c r="B66" i="20"/>
  <c r="C66" i="20"/>
  <c r="D66" i="20"/>
  <c r="E66" i="20"/>
  <c r="F66" i="20"/>
  <c r="G66" i="20"/>
  <c r="A65" i="20"/>
  <c r="B65" i="20"/>
  <c r="C65" i="20"/>
  <c r="D65" i="20"/>
  <c r="E65" i="20"/>
  <c r="F65" i="20"/>
  <c r="G65" i="20"/>
  <c r="H65" i="20"/>
  <c r="H72" i="20"/>
  <c r="H71" i="20"/>
  <c r="H70" i="20"/>
  <c r="H69" i="20"/>
  <c r="C72" i="20"/>
  <c r="C71" i="20"/>
  <c r="C70" i="20"/>
  <c r="C69" i="20"/>
  <c r="D72" i="20"/>
  <c r="D71" i="20"/>
  <c r="D70" i="20"/>
  <c r="D69" i="20"/>
  <c r="B72" i="20"/>
  <c r="A72" i="20"/>
  <c r="B71" i="20"/>
  <c r="A71" i="20"/>
  <c r="B70" i="20"/>
  <c r="A70" i="20"/>
  <c r="B69" i="20"/>
  <c r="A69" i="20"/>
  <c r="H68" i="20"/>
  <c r="H67" i="20"/>
  <c r="EV5" i="5"/>
  <c r="EU5" i="5"/>
  <c r="ET5" i="5"/>
  <c r="ES5" i="5"/>
  <c r="ER5" i="5"/>
  <c r="ER3" i="5"/>
  <c r="EQ5" i="5"/>
  <c r="EQ3" i="5"/>
  <c r="EP5" i="5"/>
  <c r="EP3" i="5"/>
  <c r="EO5" i="5"/>
  <c r="EO3" i="5"/>
  <c r="EV3" i="5"/>
  <c r="EU3" i="5"/>
  <c r="ET3" i="5"/>
  <c r="ES3" i="5"/>
  <c r="AS41" i="5"/>
  <c r="AS40" i="5"/>
  <c r="AS39" i="5"/>
  <c r="AS38" i="5"/>
  <c r="AS37" i="5"/>
  <c r="AS36" i="5"/>
  <c r="AS35" i="5"/>
  <c r="AS34" i="5"/>
  <c r="AS33" i="5"/>
  <c r="AS32" i="5"/>
  <c r="AS31" i="5"/>
  <c r="AS30" i="5"/>
  <c r="AS29" i="5"/>
  <c r="AS28" i="5"/>
  <c r="AS27" i="5"/>
  <c r="AS26" i="5"/>
  <c r="AS25" i="5"/>
  <c r="AS24" i="5"/>
  <c r="AS23" i="5"/>
  <c r="AS22" i="5"/>
  <c r="AS21" i="5"/>
  <c r="AS20" i="5"/>
  <c r="AS19" i="5"/>
  <c r="AS18" i="5"/>
  <c r="AS17" i="5"/>
  <c r="AS16" i="5"/>
  <c r="AS15" i="5"/>
  <c r="AS14" i="5"/>
  <c r="AS13" i="5"/>
  <c r="AS12" i="5"/>
  <c r="AS11" i="5"/>
  <c r="AS10" i="5"/>
  <c r="AS9" i="5"/>
  <c r="AS8" i="5"/>
  <c r="AS7" i="5"/>
  <c r="AS6" i="5"/>
  <c r="M1" i="10"/>
  <c r="L1" i="10"/>
  <c r="K1" i="10"/>
  <c r="J1" i="10"/>
  <c r="I1" i="10"/>
  <c r="H1" i="10"/>
  <c r="G1" i="10"/>
  <c r="F1" i="10"/>
  <c r="E1" i="10"/>
  <c r="D1" i="10"/>
  <c r="C1" i="10"/>
  <c r="B1" i="10"/>
  <c r="O1" i="5"/>
  <c r="N1" i="5"/>
  <c r="M1" i="5"/>
  <c r="L1" i="5"/>
  <c r="K1" i="5"/>
  <c r="J1" i="5"/>
  <c r="I1" i="5"/>
  <c r="H1" i="5"/>
  <c r="G1" i="5"/>
  <c r="F1" i="5"/>
  <c r="E1" i="5"/>
  <c r="D1" i="5"/>
  <c r="C39" i="8"/>
  <c r="D39" i="8"/>
  <c r="E39" i="8"/>
  <c r="F39" i="8"/>
  <c r="G39" i="8"/>
  <c r="G41" i="6"/>
  <c r="C40" i="8"/>
  <c r="F40" i="8"/>
  <c r="D40" i="8"/>
  <c r="E40" i="8"/>
  <c r="C41" i="8"/>
  <c r="D41" i="8"/>
  <c r="E41" i="8"/>
  <c r="C42" i="8"/>
  <c r="F42" i="8"/>
  <c r="D42" i="8"/>
  <c r="G42" i="8"/>
  <c r="G44" i="6"/>
  <c r="E42" i="8"/>
  <c r="C43" i="8"/>
  <c r="D43" i="8"/>
  <c r="G43" i="8"/>
  <c r="G45" i="6"/>
  <c r="E43" i="8"/>
  <c r="F43" i="8"/>
  <c r="C44" i="8"/>
  <c r="D44" i="8"/>
  <c r="E44" i="8"/>
  <c r="F44" i="8"/>
  <c r="G44" i="8"/>
  <c r="C45" i="8"/>
  <c r="D45" i="8"/>
  <c r="E45" i="8"/>
  <c r="F45" i="8"/>
  <c r="G45" i="8"/>
  <c r="G47" i="6"/>
  <c r="C46" i="8"/>
  <c r="D46" i="8"/>
  <c r="E46" i="8"/>
  <c r="C47" i="8"/>
  <c r="D47" i="8"/>
  <c r="E47" i="8"/>
  <c r="C48" i="8"/>
  <c r="F48" i="8"/>
  <c r="D48" i="8"/>
  <c r="G48" i="8"/>
  <c r="G50" i="6"/>
  <c r="E48" i="8"/>
  <c r="C49" i="8"/>
  <c r="D49" i="8"/>
  <c r="G49" i="8"/>
  <c r="G51" i="6"/>
  <c r="E49" i="8"/>
  <c r="F49" i="8"/>
  <c r="C50" i="8"/>
  <c r="D50" i="8"/>
  <c r="E50" i="8"/>
  <c r="F50" i="8"/>
  <c r="G50" i="8"/>
  <c r="G46" i="6"/>
  <c r="G52" i="6"/>
  <c r="F47" i="8"/>
  <c r="F41" i="8"/>
  <c r="F46" i="8"/>
  <c r="G40" i="8"/>
  <c r="G42" i="6"/>
  <c r="G47" i="8"/>
  <c r="G49" i="6"/>
  <c r="G46" i="8"/>
  <c r="G48" i="6"/>
  <c r="G41" i="8"/>
  <c r="G43" i="6"/>
  <c r="U73" i="20"/>
  <c r="DH3" i="5"/>
  <c r="DG3" i="5"/>
  <c r="DF3" i="5"/>
  <c r="DE3" i="5"/>
  <c r="DD3" i="5"/>
  <c r="DC3" i="5"/>
  <c r="DB3" i="5"/>
  <c r="DA3" i="5"/>
  <c r="X31" i="20"/>
  <c r="W31" i="20"/>
  <c r="U31" i="20"/>
  <c r="X30" i="20"/>
  <c r="W30" i="20"/>
  <c r="U30" i="20"/>
  <c r="X29" i="20"/>
  <c r="W29" i="20"/>
  <c r="X28" i="20"/>
  <c r="W28" i="20"/>
  <c r="X27" i="20"/>
  <c r="W27" i="20"/>
  <c r="X26" i="20"/>
  <c r="W26" i="20"/>
  <c r="AA26" i="20"/>
  <c r="AB26" i="20"/>
  <c r="X25" i="20"/>
  <c r="W25" i="20"/>
  <c r="U25" i="20"/>
  <c r="X24" i="20"/>
  <c r="W24" i="20"/>
  <c r="AA24" i="20"/>
  <c r="AB24" i="20"/>
  <c r="X23" i="20"/>
  <c r="W23" i="20"/>
  <c r="U23" i="20"/>
  <c r="X22" i="20"/>
  <c r="W22" i="20"/>
  <c r="AA22" i="20"/>
  <c r="AB22" i="20"/>
  <c r="X21" i="20"/>
  <c r="W21" i="20"/>
  <c r="X20" i="20"/>
  <c r="W20" i="20"/>
  <c r="AA20" i="20"/>
  <c r="AB20" i="20"/>
  <c r="X19" i="20"/>
  <c r="W19" i="20"/>
  <c r="U19" i="20"/>
  <c r="X18" i="20"/>
  <c r="W18" i="20"/>
  <c r="U18" i="20"/>
  <c r="X17" i="20"/>
  <c r="W17" i="20"/>
  <c r="U17" i="20"/>
  <c r="X16" i="20"/>
  <c r="W16" i="20"/>
  <c r="X15" i="20"/>
  <c r="W15" i="20"/>
  <c r="X14" i="20"/>
  <c r="W14" i="20"/>
  <c r="AA14" i="20"/>
  <c r="AB14" i="20"/>
  <c r="X13" i="20"/>
  <c r="W13" i="20"/>
  <c r="U13" i="20"/>
  <c r="X12" i="20"/>
  <c r="W12" i="20"/>
  <c r="U12" i="20"/>
  <c r="X11" i="20"/>
  <c r="W11" i="20"/>
  <c r="U11" i="20"/>
  <c r="X10" i="20"/>
  <c r="W10" i="20"/>
  <c r="AA10" i="20"/>
  <c r="AB10" i="20"/>
  <c r="X9" i="20"/>
  <c r="W9" i="20"/>
  <c r="X8" i="20"/>
  <c r="W8" i="20"/>
  <c r="U8" i="20"/>
  <c r="X7" i="20"/>
  <c r="W7" i="20"/>
  <c r="U7" i="20"/>
  <c r="X6" i="20"/>
  <c r="W6" i="20"/>
  <c r="U6" i="20"/>
  <c r="X5" i="20"/>
  <c r="W5" i="20"/>
  <c r="U5" i="20"/>
  <c r="X4" i="20"/>
  <c r="W4" i="20"/>
  <c r="U29" i="20"/>
  <c r="U9" i="20"/>
  <c r="U15" i="20"/>
  <c r="U21" i="20"/>
  <c r="U27" i="20"/>
  <c r="AA12" i="20"/>
  <c r="AB12" i="20"/>
  <c r="AA11" i="20"/>
  <c r="AB11" i="20"/>
  <c r="AA23" i="20"/>
  <c r="AB23" i="20"/>
  <c r="AA15" i="20"/>
  <c r="AB15" i="20"/>
  <c r="U4" i="20"/>
  <c r="U10" i="20"/>
  <c r="U16" i="20"/>
  <c r="U22" i="20"/>
  <c r="U28" i="20"/>
  <c r="AA4" i="20"/>
  <c r="AB4" i="20"/>
  <c r="AA16" i="20"/>
  <c r="AB16" i="20"/>
  <c r="AA28" i="20"/>
  <c r="AB28" i="20"/>
  <c r="AA25" i="20"/>
  <c r="AB25" i="20"/>
  <c r="AA5" i="20"/>
  <c r="AB5" i="20"/>
  <c r="AA17" i="20"/>
  <c r="AB17" i="20"/>
  <c r="AA29" i="20"/>
  <c r="AB29" i="20"/>
  <c r="AA13" i="20"/>
  <c r="AB13" i="20"/>
  <c r="AA6" i="20"/>
  <c r="AB6" i="20"/>
  <c r="AA18" i="20"/>
  <c r="AB18" i="20"/>
  <c r="AA30" i="20"/>
  <c r="AB30" i="20"/>
  <c r="AA7" i="20"/>
  <c r="AB7" i="20"/>
  <c r="AA19" i="20"/>
  <c r="AB19" i="20"/>
  <c r="AA31" i="20"/>
  <c r="AB31" i="20"/>
  <c r="AA27" i="20"/>
  <c r="AB27" i="20"/>
  <c r="AA8" i="20"/>
  <c r="AB8" i="20"/>
  <c r="AA9" i="20"/>
  <c r="AB9" i="20"/>
  <c r="AA21" i="20"/>
  <c r="AB21" i="20"/>
  <c r="U20" i="20"/>
  <c r="U14" i="20"/>
  <c r="U26" i="20"/>
  <c r="U24" i="20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E90" i="9"/>
  <c r="D90" i="9"/>
  <c r="E89" i="9"/>
  <c r="D89" i="9"/>
  <c r="E88" i="9"/>
  <c r="D88" i="9"/>
  <c r="E87" i="9"/>
  <c r="D87" i="9"/>
  <c r="E86" i="9"/>
  <c r="D86" i="9"/>
  <c r="E85" i="9"/>
  <c r="D85" i="9"/>
  <c r="E84" i="9"/>
  <c r="D84" i="9"/>
  <c r="E83" i="9"/>
  <c r="D83" i="9"/>
  <c r="E82" i="9"/>
  <c r="D82" i="9"/>
  <c r="E81" i="9"/>
  <c r="D81" i="9"/>
  <c r="E80" i="9"/>
  <c r="D80" i="9"/>
  <c r="E79" i="9"/>
  <c r="D79" i="9"/>
  <c r="E78" i="9"/>
  <c r="D78" i="9"/>
  <c r="E77" i="9"/>
  <c r="D77" i="9"/>
  <c r="E76" i="9"/>
  <c r="D76" i="9"/>
  <c r="E75" i="9"/>
  <c r="D75" i="9"/>
  <c r="E74" i="9"/>
  <c r="D74" i="9"/>
  <c r="E73" i="9"/>
  <c r="D73" i="9"/>
  <c r="E72" i="9"/>
  <c r="D72" i="9"/>
  <c r="E71" i="9"/>
  <c r="D71" i="9"/>
  <c r="E70" i="9"/>
  <c r="D70" i="9"/>
  <c r="E69" i="9"/>
  <c r="D69" i="9"/>
  <c r="E68" i="9"/>
  <c r="D68" i="9"/>
  <c r="E67" i="9"/>
  <c r="D67" i="9"/>
  <c r="E66" i="9"/>
  <c r="D66" i="9"/>
  <c r="E65" i="9"/>
  <c r="D65" i="9"/>
  <c r="E64" i="9"/>
  <c r="D64" i="9"/>
  <c r="C87" i="9"/>
  <c r="B87" i="9"/>
  <c r="C81" i="9"/>
  <c r="B81" i="9"/>
  <c r="C73" i="9"/>
  <c r="B73" i="9"/>
  <c r="C64" i="9"/>
  <c r="B64" i="9"/>
  <c r="C90" i="9"/>
  <c r="C89" i="9"/>
  <c r="C88" i="9"/>
  <c r="C86" i="9"/>
  <c r="C85" i="9"/>
  <c r="C84" i="9"/>
  <c r="C83" i="9"/>
  <c r="C82" i="9"/>
  <c r="C80" i="9"/>
  <c r="C79" i="9"/>
  <c r="C78" i="9"/>
  <c r="C77" i="9"/>
  <c r="C76" i="9"/>
  <c r="C75" i="9"/>
  <c r="C74" i="9"/>
  <c r="C72" i="9"/>
  <c r="C71" i="9"/>
  <c r="C70" i="9"/>
  <c r="C69" i="9"/>
  <c r="C68" i="9"/>
  <c r="C67" i="9"/>
  <c r="C66" i="9"/>
  <c r="C65" i="9"/>
  <c r="B90" i="9"/>
  <c r="B89" i="9"/>
  <c r="B88" i="9"/>
  <c r="B86" i="9"/>
  <c r="B85" i="9"/>
  <c r="B84" i="9"/>
  <c r="B83" i="9"/>
  <c r="B82" i="9"/>
  <c r="B80" i="9"/>
  <c r="B79" i="9"/>
  <c r="B78" i="9"/>
  <c r="B77" i="9"/>
  <c r="B76" i="9"/>
  <c r="B75" i="9"/>
  <c r="B74" i="9"/>
  <c r="B72" i="9"/>
  <c r="B71" i="9"/>
  <c r="B70" i="9"/>
  <c r="B69" i="9"/>
  <c r="B68" i="9"/>
  <c r="B67" i="9"/>
  <c r="B66" i="9"/>
  <c r="B65" i="9"/>
  <c r="I90" i="9"/>
  <c r="H90" i="9"/>
  <c r="I89" i="9"/>
  <c r="H89" i="9"/>
  <c r="J89" i="9"/>
  <c r="K89" i="9"/>
  <c r="I88" i="9"/>
  <c r="H88" i="9"/>
  <c r="J88" i="9"/>
  <c r="K88" i="9"/>
  <c r="I87" i="9"/>
  <c r="H87" i="9"/>
  <c r="J87" i="9"/>
  <c r="K87" i="9"/>
  <c r="I86" i="9"/>
  <c r="H86" i="9"/>
  <c r="J86" i="9"/>
  <c r="K86" i="9"/>
  <c r="I85" i="9"/>
  <c r="H85" i="9"/>
  <c r="J85" i="9"/>
  <c r="K85" i="9"/>
  <c r="I84" i="9"/>
  <c r="H84" i="9"/>
  <c r="J84" i="9"/>
  <c r="K84" i="9"/>
  <c r="I83" i="9"/>
  <c r="H83" i="9"/>
  <c r="J83" i="9"/>
  <c r="K83" i="9"/>
  <c r="I82" i="9"/>
  <c r="H82" i="9"/>
  <c r="J82" i="9"/>
  <c r="K82" i="9"/>
  <c r="I81" i="9"/>
  <c r="H81" i="9"/>
  <c r="J81" i="9"/>
  <c r="K81" i="9"/>
  <c r="I80" i="9"/>
  <c r="H80" i="9"/>
  <c r="J80" i="9"/>
  <c r="K80" i="9"/>
  <c r="I79" i="9"/>
  <c r="H79" i="9"/>
  <c r="J79" i="9"/>
  <c r="K79" i="9"/>
  <c r="I78" i="9"/>
  <c r="H78" i="9"/>
  <c r="J78" i="9"/>
  <c r="K78" i="9"/>
  <c r="I77" i="9"/>
  <c r="H77" i="9"/>
  <c r="J77" i="9"/>
  <c r="K77" i="9"/>
  <c r="I76" i="9"/>
  <c r="H76" i="9"/>
  <c r="J76" i="9"/>
  <c r="K76" i="9"/>
  <c r="I75" i="9"/>
  <c r="H75" i="9"/>
  <c r="J75" i="9"/>
  <c r="K75" i="9"/>
  <c r="I74" i="9"/>
  <c r="H74" i="9"/>
  <c r="J74" i="9"/>
  <c r="K74" i="9"/>
  <c r="I73" i="9"/>
  <c r="H73" i="9"/>
  <c r="J73" i="9"/>
  <c r="K73" i="9"/>
  <c r="I72" i="9"/>
  <c r="H72" i="9"/>
  <c r="J72" i="9"/>
  <c r="K72" i="9"/>
  <c r="I71" i="9"/>
  <c r="H71" i="9"/>
  <c r="J71" i="9"/>
  <c r="K71" i="9"/>
  <c r="I70" i="9"/>
  <c r="H70" i="9"/>
  <c r="J70" i="9"/>
  <c r="K70" i="9"/>
  <c r="I69" i="9"/>
  <c r="H69" i="9"/>
  <c r="J69" i="9"/>
  <c r="K69" i="9"/>
  <c r="I68" i="9"/>
  <c r="H68" i="9"/>
  <c r="J68" i="9"/>
  <c r="K68" i="9"/>
  <c r="I67" i="9"/>
  <c r="H67" i="9"/>
  <c r="J67" i="9"/>
  <c r="K67" i="9"/>
  <c r="I66" i="9"/>
  <c r="H66" i="9"/>
  <c r="J66" i="9"/>
  <c r="K66" i="9"/>
  <c r="I65" i="9"/>
  <c r="H65" i="9"/>
  <c r="J65" i="9"/>
  <c r="K65" i="9"/>
  <c r="I64" i="9"/>
  <c r="H64" i="9"/>
  <c r="J64" i="9"/>
  <c r="K64" i="9"/>
  <c r="DO5" i="5"/>
  <c r="DN5" i="5"/>
  <c r="DM5" i="5"/>
  <c r="DP5" i="5"/>
  <c r="DL5" i="5"/>
  <c r="DK5" i="5"/>
  <c r="DJ5" i="5"/>
  <c r="DI5" i="5"/>
  <c r="DR5" i="5"/>
  <c r="DJ3" i="5"/>
  <c r="DS5" i="5"/>
  <c r="DK3" i="5"/>
  <c r="DT5" i="5"/>
  <c r="DL3" i="5"/>
  <c r="DX5" i="5"/>
  <c r="DP3" i="5"/>
  <c r="DU5" i="5"/>
  <c r="DM3" i="5"/>
  <c r="DW5" i="5"/>
  <c r="DO3" i="5"/>
  <c r="DQ5" i="5"/>
  <c r="DI3" i="5"/>
  <c r="DV5" i="5"/>
  <c r="DN3" i="5"/>
  <c r="J90" i="9"/>
  <c r="K90" i="9"/>
  <c r="CS41" i="5"/>
  <c r="CS40" i="5"/>
  <c r="CS39" i="5"/>
  <c r="CS38" i="5"/>
  <c r="CS37" i="5"/>
  <c r="CS36" i="5"/>
  <c r="CS35" i="5"/>
  <c r="CS34" i="5"/>
  <c r="CS33" i="5"/>
  <c r="CS32" i="5"/>
  <c r="CS31" i="5"/>
  <c r="CS30" i="5"/>
  <c r="CS29" i="5"/>
  <c r="CS28" i="5"/>
  <c r="CS27" i="5"/>
  <c r="CS26" i="5"/>
  <c r="CS25" i="5"/>
  <c r="CS24" i="5"/>
  <c r="CS23" i="5"/>
  <c r="CS22" i="5"/>
  <c r="CS21" i="5"/>
  <c r="CS20" i="5"/>
  <c r="CS19" i="5"/>
  <c r="CS18" i="5"/>
  <c r="CS17" i="5"/>
  <c r="CS16" i="5"/>
  <c r="CS15" i="5"/>
  <c r="CS14" i="5"/>
  <c r="CS13" i="5"/>
  <c r="CS12" i="5"/>
  <c r="CS11" i="5"/>
  <c r="CS10" i="5"/>
  <c r="CS9" i="5"/>
  <c r="CS8" i="5"/>
  <c r="CS7" i="5"/>
  <c r="CS6" i="5"/>
  <c r="AF5" i="5"/>
  <c r="AS5" i="5"/>
  <c r="AG5" i="5"/>
  <c r="AT5" i="5"/>
  <c r="BG5" i="5"/>
  <c r="BT5" i="5"/>
  <c r="CG5" i="5"/>
  <c r="AH5" i="5"/>
  <c r="AU5" i="5"/>
  <c r="BH5" i="5"/>
  <c r="BU5" i="5"/>
  <c r="CH5" i="5"/>
  <c r="AI5" i="5"/>
  <c r="AV5" i="5"/>
  <c r="BI5" i="5"/>
  <c r="BV5" i="5"/>
  <c r="CI5" i="5"/>
  <c r="AJ5" i="5"/>
  <c r="AW5" i="5"/>
  <c r="BJ5" i="5"/>
  <c r="BW5" i="5"/>
  <c r="CJ5" i="5"/>
  <c r="AK5" i="5"/>
  <c r="AX5" i="5"/>
  <c r="BK5" i="5"/>
  <c r="BX5" i="5"/>
  <c r="CK5" i="5"/>
  <c r="AL5" i="5"/>
  <c r="AY5" i="5"/>
  <c r="BL5" i="5"/>
  <c r="BY5" i="5"/>
  <c r="CL5" i="5"/>
  <c r="AM5" i="5"/>
  <c r="AZ5" i="5"/>
  <c r="BM5" i="5"/>
  <c r="BZ5" i="5"/>
  <c r="CM5" i="5"/>
  <c r="AN5" i="5"/>
  <c r="BA5" i="5"/>
  <c r="BN5" i="5"/>
  <c r="CA5" i="5"/>
  <c r="CN5" i="5"/>
  <c r="AO5" i="5"/>
  <c r="BB5" i="5"/>
  <c r="BO5" i="5"/>
  <c r="CB5" i="5"/>
  <c r="CO5" i="5"/>
  <c r="AP5" i="5"/>
  <c r="BC5" i="5"/>
  <c r="BP5" i="5"/>
  <c r="CC5" i="5"/>
  <c r="CP5" i="5"/>
  <c r="AQ5" i="5"/>
  <c r="BD5" i="5"/>
  <c r="BQ5" i="5"/>
  <c r="CV41" i="5"/>
  <c r="CU41" i="5"/>
  <c r="CV40" i="5"/>
  <c r="CU40" i="5"/>
  <c r="CT40" i="5"/>
  <c r="CV39" i="5"/>
  <c r="CU39" i="5"/>
  <c r="CV38" i="5"/>
  <c r="CU38" i="5"/>
  <c r="CV37" i="5"/>
  <c r="CU37" i="5"/>
  <c r="CV36" i="5"/>
  <c r="CU36" i="5"/>
  <c r="CV35" i="5"/>
  <c r="CU35" i="5"/>
  <c r="CV34" i="5"/>
  <c r="CU34" i="5"/>
  <c r="CT34" i="5"/>
  <c r="CV33" i="5"/>
  <c r="CU33" i="5"/>
  <c r="CV32" i="5"/>
  <c r="CU32" i="5"/>
  <c r="CV31" i="5"/>
  <c r="CU31" i="5"/>
  <c r="CT31" i="5"/>
  <c r="CV30" i="5"/>
  <c r="CU30" i="5"/>
  <c r="CV29" i="5"/>
  <c r="CU29" i="5"/>
  <c r="CV28" i="5"/>
  <c r="CU28" i="5"/>
  <c r="CT28" i="5"/>
  <c r="CV27" i="5"/>
  <c r="CU27" i="5"/>
  <c r="CV26" i="5"/>
  <c r="CU26" i="5"/>
  <c r="CV25" i="5"/>
  <c r="CU25" i="5"/>
  <c r="CT25" i="5"/>
  <c r="CV24" i="5"/>
  <c r="CU24" i="5"/>
  <c r="CV23" i="5"/>
  <c r="CU23" i="5"/>
  <c r="CV22" i="5"/>
  <c r="CU22" i="5"/>
  <c r="CT22" i="5"/>
  <c r="CV21" i="5"/>
  <c r="CU21" i="5"/>
  <c r="CV20" i="5"/>
  <c r="CU20" i="5"/>
  <c r="CV19" i="5"/>
  <c r="CU19" i="5"/>
  <c r="CT19" i="5"/>
  <c r="CV18" i="5"/>
  <c r="CU18" i="5"/>
  <c r="CV17" i="5"/>
  <c r="CU17" i="5"/>
  <c r="CV16" i="5"/>
  <c r="CU16" i="5"/>
  <c r="CT16" i="5"/>
  <c r="CV15" i="5"/>
  <c r="CU15" i="5"/>
  <c r="CV14" i="5"/>
  <c r="CU14" i="5"/>
  <c r="CV13" i="5"/>
  <c r="CU13" i="5"/>
  <c r="CT13" i="5"/>
  <c r="CV12" i="5"/>
  <c r="CU12" i="5"/>
  <c r="CV11" i="5"/>
  <c r="CU11" i="5"/>
  <c r="CV10" i="5"/>
  <c r="CU10" i="5"/>
  <c r="CT10" i="5"/>
  <c r="CV9" i="5"/>
  <c r="CU9" i="5"/>
  <c r="CV8" i="5"/>
  <c r="CU8" i="5"/>
  <c r="CV7" i="5"/>
  <c r="CU7" i="5"/>
  <c r="CT7" i="5"/>
  <c r="CV6" i="5"/>
  <c r="CU6" i="5"/>
  <c r="B68" i="20"/>
  <c r="A68" i="20"/>
  <c r="B67" i="20"/>
  <c r="A67" i="20"/>
  <c r="H48" i="20"/>
  <c r="B48" i="20"/>
  <c r="A48" i="20"/>
  <c r="H47" i="20"/>
  <c r="B47" i="20"/>
  <c r="A47" i="20"/>
  <c r="H46" i="20"/>
  <c r="B46" i="20"/>
  <c r="A46" i="20"/>
  <c r="H45" i="20"/>
  <c r="B45" i="20"/>
  <c r="A45" i="20"/>
  <c r="H44" i="20"/>
  <c r="B44" i="20"/>
  <c r="A44" i="20"/>
  <c r="H43" i="20"/>
  <c r="B43" i="20"/>
  <c r="A43" i="20"/>
  <c r="H42" i="20"/>
  <c r="B42" i="20"/>
  <c r="A42" i="20"/>
  <c r="H41" i="20"/>
  <c r="B41" i="20"/>
  <c r="A41" i="20"/>
  <c r="H40" i="20"/>
  <c r="B40" i="20"/>
  <c r="A40" i="20"/>
  <c r="H39" i="20"/>
  <c r="B39" i="20"/>
  <c r="A39" i="20"/>
  <c r="H38" i="20"/>
  <c r="B38" i="20"/>
  <c r="A38" i="20"/>
  <c r="H37" i="20"/>
  <c r="B37" i="20"/>
  <c r="A37" i="20"/>
  <c r="H36" i="20"/>
  <c r="B36" i="20"/>
  <c r="A36" i="20"/>
  <c r="H35" i="20"/>
  <c r="B35" i="20"/>
  <c r="A35" i="20"/>
  <c r="H34" i="20"/>
  <c r="B34" i="20"/>
  <c r="A34" i="20"/>
  <c r="H33" i="20"/>
  <c r="B33" i="20"/>
  <c r="A33" i="20"/>
  <c r="H32" i="20"/>
  <c r="B32" i="20"/>
  <c r="A32" i="20"/>
  <c r="H31" i="20"/>
  <c r="B31" i="20"/>
  <c r="A31" i="20"/>
  <c r="H30" i="20"/>
  <c r="B30" i="20"/>
  <c r="A30" i="20"/>
  <c r="H29" i="20"/>
  <c r="B29" i="20"/>
  <c r="A29" i="20"/>
  <c r="H28" i="20"/>
  <c r="B28" i="20"/>
  <c r="A28" i="20"/>
  <c r="H27" i="20"/>
  <c r="B27" i="20"/>
  <c r="A27" i="20"/>
  <c r="H26" i="20"/>
  <c r="B26" i="20"/>
  <c r="A26" i="20"/>
  <c r="H25" i="20"/>
  <c r="B25" i="20"/>
  <c r="A25" i="20"/>
  <c r="H24" i="20"/>
  <c r="B24" i="20"/>
  <c r="A24" i="20"/>
  <c r="H23" i="20"/>
  <c r="B23" i="20"/>
  <c r="A23" i="20"/>
  <c r="H22" i="20"/>
  <c r="B22" i="20"/>
  <c r="A22" i="20"/>
  <c r="H21" i="20"/>
  <c r="B21" i="20"/>
  <c r="A21" i="20"/>
  <c r="H20" i="20"/>
  <c r="B20" i="20"/>
  <c r="A20" i="20"/>
  <c r="H19" i="20"/>
  <c r="B19" i="20"/>
  <c r="A19" i="20"/>
  <c r="H18" i="20"/>
  <c r="B18" i="20"/>
  <c r="A18" i="20"/>
  <c r="H17" i="20"/>
  <c r="B17" i="20"/>
  <c r="A17" i="20"/>
  <c r="H16" i="20"/>
  <c r="B16" i="20"/>
  <c r="A16" i="20"/>
  <c r="H15" i="20"/>
  <c r="B15" i="20"/>
  <c r="A15" i="20"/>
  <c r="H14" i="20"/>
  <c r="B14" i="20"/>
  <c r="A14" i="20"/>
  <c r="H13" i="20"/>
  <c r="B13" i="20"/>
  <c r="A13" i="20"/>
  <c r="H12" i="20"/>
  <c r="B12" i="20"/>
  <c r="A12" i="20"/>
  <c r="H11" i="20"/>
  <c r="B11" i="20"/>
  <c r="A11" i="20"/>
  <c r="H10" i="20"/>
  <c r="B10" i="20"/>
  <c r="A10" i="20"/>
  <c r="H9" i="20"/>
  <c r="B9" i="20"/>
  <c r="A9" i="20"/>
  <c r="H8" i="20"/>
  <c r="B8" i="20"/>
  <c r="A8" i="20"/>
  <c r="H7" i="20"/>
  <c r="B7" i="20"/>
  <c r="A7" i="20"/>
  <c r="H6" i="20"/>
  <c r="B6" i="20"/>
  <c r="A6" i="20"/>
  <c r="H5" i="20"/>
  <c r="B5" i="20"/>
  <c r="A5" i="20"/>
  <c r="H4" i="20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15" i="9"/>
  <c r="H115" i="9"/>
  <c r="I114" i="9"/>
  <c r="H114" i="9"/>
  <c r="I113" i="9"/>
  <c r="H113" i="9"/>
  <c r="I112" i="9"/>
  <c r="H112" i="9"/>
  <c r="I111" i="9"/>
  <c r="H111" i="9"/>
  <c r="I110" i="9"/>
  <c r="H110" i="9"/>
  <c r="I109" i="9"/>
  <c r="H109" i="9"/>
  <c r="I108" i="9"/>
  <c r="H108" i="9"/>
  <c r="I107" i="9"/>
  <c r="H107" i="9"/>
  <c r="I106" i="9"/>
  <c r="H106" i="9"/>
  <c r="I105" i="9"/>
  <c r="H105" i="9"/>
  <c r="I104" i="9"/>
  <c r="H104" i="9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H6" i="9"/>
  <c r="I5" i="9"/>
  <c r="H5" i="9"/>
  <c r="I4" i="9"/>
  <c r="H4" i="9"/>
  <c r="I3" i="9"/>
  <c r="H3" i="9"/>
  <c r="I2" i="9"/>
  <c r="H2" i="9"/>
  <c r="B4" i="20"/>
  <c r="A4" i="20"/>
  <c r="CT37" i="5"/>
  <c r="CT11" i="5"/>
  <c r="CT17" i="5"/>
  <c r="CT23" i="5"/>
  <c r="CT29" i="5"/>
  <c r="CT35" i="5"/>
  <c r="CT41" i="5"/>
  <c r="CT8" i="5"/>
  <c r="CT14" i="5"/>
  <c r="CT20" i="5"/>
  <c r="CT26" i="5"/>
  <c r="CT32" i="5"/>
  <c r="CT38" i="5"/>
  <c r="CT6" i="5"/>
  <c r="CT12" i="5"/>
  <c r="CT18" i="5"/>
  <c r="CT24" i="5"/>
  <c r="CT30" i="5"/>
  <c r="CT36" i="5"/>
  <c r="CT9" i="5"/>
  <c r="CT15" i="5"/>
  <c r="CT21" i="5"/>
  <c r="CT27" i="5"/>
  <c r="CT33" i="5"/>
  <c r="CT39" i="5"/>
  <c r="EC5" i="5"/>
  <c r="DU3" i="5"/>
  <c r="EF5" i="5"/>
  <c r="DX3" i="5"/>
  <c r="EE5" i="5"/>
  <c r="DW3" i="5"/>
  <c r="EB5" i="5"/>
  <c r="DT3" i="5"/>
  <c r="ED5" i="5"/>
  <c r="DV3" i="5"/>
  <c r="EA5" i="5"/>
  <c r="DS3" i="5"/>
  <c r="DY5" i="5"/>
  <c r="DQ3" i="5"/>
  <c r="DZ5" i="5"/>
  <c r="DR3" i="5"/>
  <c r="DC16" i="5"/>
  <c r="DK16" i="5"/>
  <c r="DS16" i="5"/>
  <c r="EA16" i="5"/>
  <c r="EI16" i="5"/>
  <c r="EQ16" i="5"/>
  <c r="DE16" i="5"/>
  <c r="DM16" i="5"/>
  <c r="DU16" i="5"/>
  <c r="EC16" i="5"/>
  <c r="EK16" i="5"/>
  <c r="ES16" i="5"/>
  <c r="DG16" i="5"/>
  <c r="DO16" i="5"/>
  <c r="DW16" i="5"/>
  <c r="EE16" i="5"/>
  <c r="EM16" i="5"/>
  <c r="EU16" i="5"/>
  <c r="DD16" i="5"/>
  <c r="DL16" i="5"/>
  <c r="DT16" i="5"/>
  <c r="EB16" i="5"/>
  <c r="EJ16" i="5"/>
  <c r="ER16" i="5"/>
  <c r="DF16" i="5"/>
  <c r="DN16" i="5"/>
  <c r="DV16" i="5"/>
  <c r="ED16" i="5"/>
  <c r="EL16" i="5"/>
  <c r="ET16" i="5"/>
  <c r="DD11" i="5"/>
  <c r="DL11" i="5"/>
  <c r="DT11" i="5"/>
  <c r="EB11" i="5"/>
  <c r="EJ11" i="5"/>
  <c r="ER11" i="5"/>
  <c r="DC11" i="5"/>
  <c r="DK11" i="5"/>
  <c r="DS11" i="5"/>
  <c r="EA11" i="5"/>
  <c r="EI11" i="5"/>
  <c r="EQ11" i="5"/>
  <c r="DE11" i="5"/>
  <c r="DM11" i="5"/>
  <c r="DU11" i="5"/>
  <c r="EC11" i="5"/>
  <c r="EK11" i="5"/>
  <c r="ES11" i="5"/>
  <c r="DF11" i="5"/>
  <c r="DN11" i="5"/>
  <c r="DV11" i="5"/>
  <c r="ED11" i="5"/>
  <c r="EL11" i="5"/>
  <c r="ET11" i="5"/>
  <c r="DG11" i="5"/>
  <c r="DO11" i="5"/>
  <c r="DW11" i="5"/>
  <c r="EE11" i="5"/>
  <c r="EM11" i="5"/>
  <c r="EU11" i="5"/>
  <c r="DG17" i="5"/>
  <c r="DO17" i="5"/>
  <c r="DW17" i="5"/>
  <c r="EE17" i="5"/>
  <c r="EM17" i="5"/>
  <c r="EU17" i="5"/>
  <c r="DF17" i="5"/>
  <c r="DN17" i="5"/>
  <c r="DV17" i="5"/>
  <c r="ED17" i="5"/>
  <c r="EL17" i="5"/>
  <c r="ET17" i="5"/>
  <c r="DE17" i="5"/>
  <c r="DM17" i="5"/>
  <c r="DU17" i="5"/>
  <c r="EC17" i="5"/>
  <c r="EK17" i="5"/>
  <c r="ES17" i="5"/>
  <c r="DC17" i="5"/>
  <c r="DK17" i="5"/>
  <c r="DS17" i="5"/>
  <c r="EA17" i="5"/>
  <c r="EI17" i="5"/>
  <c r="EQ17" i="5"/>
  <c r="DD17" i="5"/>
  <c r="DL17" i="5"/>
  <c r="DT17" i="5"/>
  <c r="EB17" i="5"/>
  <c r="EJ17" i="5"/>
  <c r="ER17" i="5"/>
  <c r="DD23" i="5"/>
  <c r="DL23" i="5"/>
  <c r="DT23" i="5"/>
  <c r="EB23" i="5"/>
  <c r="EJ23" i="5"/>
  <c r="ER23" i="5"/>
  <c r="DC23" i="5"/>
  <c r="DK23" i="5"/>
  <c r="DS23" i="5"/>
  <c r="EA23" i="5"/>
  <c r="EI23" i="5"/>
  <c r="EQ23" i="5"/>
  <c r="DE23" i="5"/>
  <c r="DM23" i="5"/>
  <c r="DU23" i="5"/>
  <c r="EC23" i="5"/>
  <c r="EK23" i="5"/>
  <c r="ES23" i="5"/>
  <c r="DF23" i="5"/>
  <c r="DN23" i="5"/>
  <c r="DV23" i="5"/>
  <c r="ED23" i="5"/>
  <c r="EL23" i="5"/>
  <c r="ET23" i="5"/>
  <c r="DG23" i="5"/>
  <c r="DO23" i="5"/>
  <c r="DW23" i="5"/>
  <c r="EE23" i="5"/>
  <c r="EM23" i="5"/>
  <c r="EU23" i="5"/>
  <c r="DG29" i="5"/>
  <c r="DO29" i="5"/>
  <c r="DW29" i="5"/>
  <c r="EE29" i="5"/>
  <c r="EM29" i="5"/>
  <c r="EU29" i="5"/>
  <c r="DC29" i="5"/>
  <c r="DK29" i="5"/>
  <c r="DS29" i="5"/>
  <c r="EA29" i="5"/>
  <c r="EI29" i="5"/>
  <c r="EQ29" i="5"/>
  <c r="DF29" i="5"/>
  <c r="DN29" i="5"/>
  <c r="DV29" i="5"/>
  <c r="ED29" i="5"/>
  <c r="EL29" i="5"/>
  <c r="ET29" i="5"/>
  <c r="DE29" i="5"/>
  <c r="DM29" i="5"/>
  <c r="DU29" i="5"/>
  <c r="EC29" i="5"/>
  <c r="EK29" i="5"/>
  <c r="ES29" i="5"/>
  <c r="DD29" i="5"/>
  <c r="DL29" i="5"/>
  <c r="DT29" i="5"/>
  <c r="EB29" i="5"/>
  <c r="EJ29" i="5"/>
  <c r="ER29" i="5"/>
  <c r="DD35" i="5"/>
  <c r="DL35" i="5"/>
  <c r="DT35" i="5"/>
  <c r="EB35" i="5"/>
  <c r="EJ35" i="5"/>
  <c r="ER35" i="5"/>
  <c r="DE35" i="5"/>
  <c r="DM35" i="5"/>
  <c r="DU35" i="5"/>
  <c r="EC35" i="5"/>
  <c r="EK35" i="5"/>
  <c r="ES35" i="5"/>
  <c r="DC35" i="5"/>
  <c r="DK35" i="5"/>
  <c r="DS35" i="5"/>
  <c r="EA35" i="5"/>
  <c r="EI35" i="5"/>
  <c r="EQ35" i="5"/>
  <c r="DF35" i="5"/>
  <c r="DN35" i="5"/>
  <c r="DV35" i="5"/>
  <c r="ED35" i="5"/>
  <c r="EL35" i="5"/>
  <c r="ET35" i="5"/>
  <c r="DG35" i="5"/>
  <c r="DO35" i="5"/>
  <c r="DW35" i="5"/>
  <c r="EE35" i="5"/>
  <c r="EM35" i="5"/>
  <c r="EU35" i="5"/>
  <c r="DD41" i="5"/>
  <c r="DL41" i="5"/>
  <c r="DT41" i="5"/>
  <c r="EB41" i="5"/>
  <c r="EJ41" i="5"/>
  <c r="ER41" i="5"/>
  <c r="DF41" i="5"/>
  <c r="DN41" i="5"/>
  <c r="DV41" i="5"/>
  <c r="ED41" i="5"/>
  <c r="EL41" i="5"/>
  <c r="ET41" i="5"/>
  <c r="DC41" i="5"/>
  <c r="DK41" i="5"/>
  <c r="DS41" i="5"/>
  <c r="EA41" i="5"/>
  <c r="EI41" i="5"/>
  <c r="EQ41" i="5"/>
  <c r="DG41" i="5"/>
  <c r="DO41" i="5"/>
  <c r="DW41" i="5"/>
  <c r="EE41" i="5"/>
  <c r="EM41" i="5"/>
  <c r="EU41" i="5"/>
  <c r="DE41" i="5"/>
  <c r="DM41" i="5"/>
  <c r="DU41" i="5"/>
  <c r="EC41" i="5"/>
  <c r="EK41" i="5"/>
  <c r="ES41" i="5"/>
  <c r="DG10" i="5"/>
  <c r="DO10" i="5"/>
  <c r="DW10" i="5"/>
  <c r="EE10" i="5"/>
  <c r="EM10" i="5"/>
  <c r="EU10" i="5"/>
  <c r="DF10" i="5"/>
  <c r="DN10" i="5"/>
  <c r="DE10" i="5"/>
  <c r="DM10" i="5"/>
  <c r="DD10" i="5"/>
  <c r="DL10" i="5"/>
  <c r="DT10" i="5"/>
  <c r="EB10" i="5"/>
  <c r="DC10" i="5"/>
  <c r="DK10" i="5"/>
  <c r="DE6" i="5"/>
  <c r="DM6" i="5"/>
  <c r="DU6" i="5"/>
  <c r="EC6" i="5"/>
  <c r="EK6" i="5"/>
  <c r="ES6" i="5"/>
  <c r="DG6" i="5"/>
  <c r="DO6" i="5"/>
  <c r="DW6" i="5"/>
  <c r="EE6" i="5"/>
  <c r="EM6" i="5"/>
  <c r="EU6" i="5"/>
  <c r="DD6" i="5"/>
  <c r="DL6" i="5"/>
  <c r="DT6" i="5"/>
  <c r="EB6" i="5"/>
  <c r="EJ6" i="5"/>
  <c r="ER6" i="5"/>
  <c r="DC6" i="5"/>
  <c r="DK6" i="5"/>
  <c r="DS6" i="5"/>
  <c r="EA6" i="5"/>
  <c r="EI6" i="5"/>
  <c r="EQ6" i="5"/>
  <c r="DF6" i="5"/>
  <c r="DN6" i="5"/>
  <c r="DV6" i="5"/>
  <c r="ED6" i="5"/>
  <c r="EL6" i="5"/>
  <c r="ET6" i="5"/>
  <c r="DG12" i="5"/>
  <c r="DO12" i="5"/>
  <c r="DD12" i="5"/>
  <c r="DL12" i="5"/>
  <c r="DF12" i="5"/>
  <c r="DN12" i="5"/>
  <c r="DV12" i="5"/>
  <c r="ED12" i="5"/>
  <c r="DE12" i="5"/>
  <c r="DM12" i="5"/>
  <c r="DC12" i="5"/>
  <c r="DK12" i="5"/>
  <c r="DE18" i="5"/>
  <c r="DM18" i="5"/>
  <c r="DU18" i="5"/>
  <c r="EC18" i="5"/>
  <c r="EK18" i="5"/>
  <c r="ES18" i="5"/>
  <c r="DD18" i="5"/>
  <c r="DL18" i="5"/>
  <c r="DT18" i="5"/>
  <c r="EB18" i="5"/>
  <c r="EJ18" i="5"/>
  <c r="ER18" i="5"/>
  <c r="DC18" i="5"/>
  <c r="DK18" i="5"/>
  <c r="DS18" i="5"/>
  <c r="EA18" i="5"/>
  <c r="EI18" i="5"/>
  <c r="EQ18" i="5"/>
  <c r="DF18" i="5"/>
  <c r="DN18" i="5"/>
  <c r="DV18" i="5"/>
  <c r="ED18" i="5"/>
  <c r="EL18" i="5"/>
  <c r="ET18" i="5"/>
  <c r="DG18" i="5"/>
  <c r="DO18" i="5"/>
  <c r="DW18" i="5"/>
  <c r="EE18" i="5"/>
  <c r="EM18" i="5"/>
  <c r="EU18" i="5"/>
  <c r="DD24" i="5"/>
  <c r="DL24" i="5"/>
  <c r="DG24" i="5"/>
  <c r="DO24" i="5"/>
  <c r="DF24" i="5"/>
  <c r="DN24" i="5"/>
  <c r="DV24" i="5"/>
  <c r="ED24" i="5"/>
  <c r="EL24" i="5"/>
  <c r="ET24" i="5"/>
  <c r="DE24" i="5"/>
  <c r="DM24" i="5"/>
  <c r="DU24" i="5"/>
  <c r="EC24" i="5"/>
  <c r="EK24" i="5"/>
  <c r="ES24" i="5"/>
  <c r="DC24" i="5"/>
  <c r="DK24" i="5"/>
  <c r="DE30" i="5"/>
  <c r="DM30" i="5"/>
  <c r="DU30" i="5"/>
  <c r="EC30" i="5"/>
  <c r="EK30" i="5"/>
  <c r="ES30" i="5"/>
  <c r="DD30" i="5"/>
  <c r="DL30" i="5"/>
  <c r="DT30" i="5"/>
  <c r="EB30" i="5"/>
  <c r="EJ30" i="5"/>
  <c r="ER30" i="5"/>
  <c r="DC30" i="5"/>
  <c r="DK30" i="5"/>
  <c r="DS30" i="5"/>
  <c r="EA30" i="5"/>
  <c r="EI30" i="5"/>
  <c r="EQ30" i="5"/>
  <c r="DG30" i="5"/>
  <c r="DO30" i="5"/>
  <c r="DW30" i="5"/>
  <c r="EE30" i="5"/>
  <c r="EM30" i="5"/>
  <c r="EU30" i="5"/>
  <c r="DF30" i="5"/>
  <c r="DN30" i="5"/>
  <c r="DV30" i="5"/>
  <c r="ED30" i="5"/>
  <c r="EL30" i="5"/>
  <c r="ET30" i="5"/>
  <c r="DE36" i="5"/>
  <c r="DM36" i="5"/>
  <c r="DU36" i="5"/>
  <c r="EC36" i="5"/>
  <c r="EK36" i="5"/>
  <c r="ES36" i="5"/>
  <c r="DD36" i="5"/>
  <c r="DL36" i="5"/>
  <c r="DT36" i="5"/>
  <c r="EB36" i="5"/>
  <c r="EJ36" i="5"/>
  <c r="ER36" i="5"/>
  <c r="DC36" i="5"/>
  <c r="DK36" i="5"/>
  <c r="DS36" i="5"/>
  <c r="EA36" i="5"/>
  <c r="EI36" i="5"/>
  <c r="EQ36" i="5"/>
  <c r="DF36" i="5"/>
  <c r="DN36" i="5"/>
  <c r="DV36" i="5"/>
  <c r="ED36" i="5"/>
  <c r="EL36" i="5"/>
  <c r="ET36" i="5"/>
  <c r="DG36" i="5"/>
  <c r="DO36" i="5"/>
  <c r="DW36" i="5"/>
  <c r="EE36" i="5"/>
  <c r="EM36" i="5"/>
  <c r="EU36" i="5"/>
  <c r="DG22" i="5"/>
  <c r="DO22" i="5"/>
  <c r="DW22" i="5"/>
  <c r="EE22" i="5"/>
  <c r="EM22" i="5"/>
  <c r="EU22" i="5"/>
  <c r="DF22" i="5"/>
  <c r="DN22" i="5"/>
  <c r="DV22" i="5"/>
  <c r="ED22" i="5"/>
  <c r="EL22" i="5"/>
  <c r="ET22" i="5"/>
  <c r="DE22" i="5"/>
  <c r="DM22" i="5"/>
  <c r="DU22" i="5"/>
  <c r="EC22" i="5"/>
  <c r="EK22" i="5"/>
  <c r="ES22" i="5"/>
  <c r="DD22" i="5"/>
  <c r="DL22" i="5"/>
  <c r="DT22" i="5"/>
  <c r="EB22" i="5"/>
  <c r="EJ22" i="5"/>
  <c r="ER22" i="5"/>
  <c r="DC22" i="5"/>
  <c r="DK22" i="5"/>
  <c r="DS22" i="5"/>
  <c r="EA22" i="5"/>
  <c r="EI22" i="5"/>
  <c r="EQ22" i="5"/>
  <c r="DE7" i="5"/>
  <c r="DM7" i="5"/>
  <c r="DG7" i="5"/>
  <c r="DO7" i="5"/>
  <c r="DW7" i="5"/>
  <c r="EE7" i="5"/>
  <c r="EM7" i="5"/>
  <c r="EU7" i="5"/>
  <c r="DF7" i="5"/>
  <c r="DN7" i="5"/>
  <c r="DD7" i="5"/>
  <c r="DL7" i="5"/>
  <c r="DC7" i="5"/>
  <c r="DK7" i="5"/>
  <c r="DS7" i="5"/>
  <c r="EA7" i="5"/>
  <c r="EI7" i="5"/>
  <c r="EQ7" i="5"/>
  <c r="DF13" i="5"/>
  <c r="DN13" i="5"/>
  <c r="DV13" i="5"/>
  <c r="ED13" i="5"/>
  <c r="EL13" i="5"/>
  <c r="ET13" i="5"/>
  <c r="DE13" i="5"/>
  <c r="DM13" i="5"/>
  <c r="DU13" i="5"/>
  <c r="EC13" i="5"/>
  <c r="EK13" i="5"/>
  <c r="ES13" i="5"/>
  <c r="DD13" i="5"/>
  <c r="DL13" i="5"/>
  <c r="DT13" i="5"/>
  <c r="EB13" i="5"/>
  <c r="EJ13" i="5"/>
  <c r="ER13" i="5"/>
  <c r="DC13" i="5"/>
  <c r="DK13" i="5"/>
  <c r="DG13" i="5"/>
  <c r="DO13" i="5"/>
  <c r="DW13" i="5"/>
  <c r="EE13" i="5"/>
  <c r="EM13" i="5"/>
  <c r="EU13" i="5"/>
  <c r="DG19" i="5"/>
  <c r="DO19" i="5"/>
  <c r="DW19" i="5"/>
  <c r="EE19" i="5"/>
  <c r="EM19" i="5"/>
  <c r="EU19" i="5"/>
  <c r="DF19" i="5"/>
  <c r="DN19" i="5"/>
  <c r="DV19" i="5"/>
  <c r="ED19" i="5"/>
  <c r="EL19" i="5"/>
  <c r="ET19" i="5"/>
  <c r="DE19" i="5"/>
  <c r="DM19" i="5"/>
  <c r="DU19" i="5"/>
  <c r="EC19" i="5"/>
  <c r="EK19" i="5"/>
  <c r="ES19" i="5"/>
  <c r="DD19" i="5"/>
  <c r="DL19" i="5"/>
  <c r="DT19" i="5"/>
  <c r="EB19" i="5"/>
  <c r="EJ19" i="5"/>
  <c r="ER19" i="5"/>
  <c r="DC19" i="5"/>
  <c r="DK19" i="5"/>
  <c r="DS19" i="5"/>
  <c r="EA19" i="5"/>
  <c r="EI19" i="5"/>
  <c r="EQ19" i="5"/>
  <c r="DF25" i="5"/>
  <c r="DN25" i="5"/>
  <c r="DV25" i="5"/>
  <c r="ED25" i="5"/>
  <c r="EL25" i="5"/>
  <c r="ET25" i="5"/>
  <c r="DE25" i="5"/>
  <c r="DM25" i="5"/>
  <c r="DU25" i="5"/>
  <c r="EC25" i="5"/>
  <c r="EK25" i="5"/>
  <c r="ES25" i="5"/>
  <c r="DD25" i="5"/>
  <c r="DL25" i="5"/>
  <c r="DT25" i="5"/>
  <c r="EB25" i="5"/>
  <c r="EJ25" i="5"/>
  <c r="ER25" i="5"/>
  <c r="DC25" i="5"/>
  <c r="DK25" i="5"/>
  <c r="DG25" i="5"/>
  <c r="DO25" i="5"/>
  <c r="DW25" i="5"/>
  <c r="EE25" i="5"/>
  <c r="EM25" i="5"/>
  <c r="EU25" i="5"/>
  <c r="DG31" i="5"/>
  <c r="DO31" i="5"/>
  <c r="DW31" i="5"/>
  <c r="EE31" i="5"/>
  <c r="EM31" i="5"/>
  <c r="EU31" i="5"/>
  <c r="DF31" i="5"/>
  <c r="DN31" i="5"/>
  <c r="DV31" i="5"/>
  <c r="ED31" i="5"/>
  <c r="EL31" i="5"/>
  <c r="ET31" i="5"/>
  <c r="DE31" i="5"/>
  <c r="DM31" i="5"/>
  <c r="DU31" i="5"/>
  <c r="EC31" i="5"/>
  <c r="EK31" i="5"/>
  <c r="ES31" i="5"/>
  <c r="DD31" i="5"/>
  <c r="DL31" i="5"/>
  <c r="DT31" i="5"/>
  <c r="EB31" i="5"/>
  <c r="EJ31" i="5"/>
  <c r="ER31" i="5"/>
  <c r="DC31" i="5"/>
  <c r="DK31" i="5"/>
  <c r="DS31" i="5"/>
  <c r="EA31" i="5"/>
  <c r="EI31" i="5"/>
  <c r="EQ31" i="5"/>
  <c r="DG37" i="5"/>
  <c r="DO37" i="5"/>
  <c r="DW37" i="5"/>
  <c r="EE37" i="5"/>
  <c r="EM37" i="5"/>
  <c r="EU37" i="5"/>
  <c r="DF37" i="5"/>
  <c r="DN37" i="5"/>
  <c r="DV37" i="5"/>
  <c r="ED37" i="5"/>
  <c r="EL37" i="5"/>
  <c r="ET37" i="5"/>
  <c r="DE37" i="5"/>
  <c r="DM37" i="5"/>
  <c r="DU37" i="5"/>
  <c r="EC37" i="5"/>
  <c r="EK37" i="5"/>
  <c r="ES37" i="5"/>
  <c r="DD37" i="5"/>
  <c r="DL37" i="5"/>
  <c r="DT37" i="5"/>
  <c r="EB37" i="5"/>
  <c r="EJ37" i="5"/>
  <c r="ER37" i="5"/>
  <c r="DC37" i="5"/>
  <c r="DK37" i="5"/>
  <c r="DS37" i="5"/>
  <c r="EA37" i="5"/>
  <c r="EI37" i="5"/>
  <c r="EQ37" i="5"/>
  <c r="DG34" i="5"/>
  <c r="DO34" i="5"/>
  <c r="DW34" i="5"/>
  <c r="EE34" i="5"/>
  <c r="EM34" i="5"/>
  <c r="EU34" i="5"/>
  <c r="DF34" i="5"/>
  <c r="DN34" i="5"/>
  <c r="DV34" i="5"/>
  <c r="ED34" i="5"/>
  <c r="EL34" i="5"/>
  <c r="ET34" i="5"/>
  <c r="DE34" i="5"/>
  <c r="DM34" i="5"/>
  <c r="DU34" i="5"/>
  <c r="EC34" i="5"/>
  <c r="EK34" i="5"/>
  <c r="ES34" i="5"/>
  <c r="DD34" i="5"/>
  <c r="DL34" i="5"/>
  <c r="DT34" i="5"/>
  <c r="EB34" i="5"/>
  <c r="EJ34" i="5"/>
  <c r="ER34" i="5"/>
  <c r="DC34" i="5"/>
  <c r="DK34" i="5"/>
  <c r="DS34" i="5"/>
  <c r="EA34" i="5"/>
  <c r="EI34" i="5"/>
  <c r="EQ34" i="5"/>
  <c r="DG40" i="5"/>
  <c r="DO40" i="5"/>
  <c r="DW40" i="5"/>
  <c r="EE40" i="5"/>
  <c r="EM40" i="5"/>
  <c r="EU40" i="5"/>
  <c r="DF40" i="5"/>
  <c r="DN40" i="5"/>
  <c r="DV40" i="5"/>
  <c r="ED40" i="5"/>
  <c r="EL40" i="5"/>
  <c r="ET40" i="5"/>
  <c r="DE40" i="5"/>
  <c r="DM40" i="5"/>
  <c r="DU40" i="5"/>
  <c r="EC40" i="5"/>
  <c r="EK40" i="5"/>
  <c r="ES40" i="5"/>
  <c r="DD40" i="5"/>
  <c r="DL40" i="5"/>
  <c r="DT40" i="5"/>
  <c r="EB40" i="5"/>
  <c r="EJ40" i="5"/>
  <c r="ER40" i="5"/>
  <c r="DC40" i="5"/>
  <c r="DK40" i="5"/>
  <c r="DS40" i="5"/>
  <c r="EA40" i="5"/>
  <c r="EI40" i="5"/>
  <c r="EQ40" i="5"/>
  <c r="DG8" i="5"/>
  <c r="DO8" i="5"/>
  <c r="DW8" i="5"/>
  <c r="EE8" i="5"/>
  <c r="EM8" i="5"/>
  <c r="EU8" i="5"/>
  <c r="DF8" i="5"/>
  <c r="DN8" i="5"/>
  <c r="DV8" i="5"/>
  <c r="ED8" i="5"/>
  <c r="EL8" i="5"/>
  <c r="ET8" i="5"/>
  <c r="DE8" i="5"/>
  <c r="DM8" i="5"/>
  <c r="DU8" i="5"/>
  <c r="EC8" i="5"/>
  <c r="EK8" i="5"/>
  <c r="ES8" i="5"/>
  <c r="DD8" i="5"/>
  <c r="DL8" i="5"/>
  <c r="DC8" i="5"/>
  <c r="DK8" i="5"/>
  <c r="DF14" i="5"/>
  <c r="DN14" i="5"/>
  <c r="DV14" i="5"/>
  <c r="ED14" i="5"/>
  <c r="EL14" i="5"/>
  <c r="ET14" i="5"/>
  <c r="DG14" i="5"/>
  <c r="DO14" i="5"/>
  <c r="DW14" i="5"/>
  <c r="EE14" i="5"/>
  <c r="EM14" i="5"/>
  <c r="EU14" i="5"/>
  <c r="DE14" i="5"/>
  <c r="DM14" i="5"/>
  <c r="DU14" i="5"/>
  <c r="EC14" i="5"/>
  <c r="EK14" i="5"/>
  <c r="ES14" i="5"/>
  <c r="DC14" i="5"/>
  <c r="DK14" i="5"/>
  <c r="DS14" i="5"/>
  <c r="EA14" i="5"/>
  <c r="EI14" i="5"/>
  <c r="EQ14" i="5"/>
  <c r="DD14" i="5"/>
  <c r="DL14" i="5"/>
  <c r="DT14" i="5"/>
  <c r="EB14" i="5"/>
  <c r="EJ14" i="5"/>
  <c r="ER14" i="5"/>
  <c r="DG20" i="5"/>
  <c r="DO20" i="5"/>
  <c r="DW20" i="5"/>
  <c r="EE20" i="5"/>
  <c r="EM20" i="5"/>
  <c r="EU20" i="5"/>
  <c r="DF20" i="5"/>
  <c r="DN20" i="5"/>
  <c r="DV20" i="5"/>
  <c r="ED20" i="5"/>
  <c r="EL20" i="5"/>
  <c r="ET20" i="5"/>
  <c r="DE20" i="5"/>
  <c r="DM20" i="5"/>
  <c r="DU20" i="5"/>
  <c r="EC20" i="5"/>
  <c r="EK20" i="5"/>
  <c r="ES20" i="5"/>
  <c r="DD20" i="5"/>
  <c r="DL20" i="5"/>
  <c r="DT20" i="5"/>
  <c r="EB20" i="5"/>
  <c r="EJ20" i="5"/>
  <c r="ER20" i="5"/>
  <c r="DC20" i="5"/>
  <c r="DK20" i="5"/>
  <c r="DS20" i="5"/>
  <c r="EA20" i="5"/>
  <c r="EI20" i="5"/>
  <c r="EQ20" i="5"/>
  <c r="DC26" i="5"/>
  <c r="DK26" i="5"/>
  <c r="DS26" i="5"/>
  <c r="EA26" i="5"/>
  <c r="EI26" i="5"/>
  <c r="EQ26" i="5"/>
  <c r="DG26" i="5"/>
  <c r="DO26" i="5"/>
  <c r="DW26" i="5"/>
  <c r="EE26" i="5"/>
  <c r="EM26" i="5"/>
  <c r="EU26" i="5"/>
  <c r="DF26" i="5"/>
  <c r="DN26" i="5"/>
  <c r="DE26" i="5"/>
  <c r="DM26" i="5"/>
  <c r="DD26" i="5"/>
  <c r="DL26" i="5"/>
  <c r="DT26" i="5"/>
  <c r="EB26" i="5"/>
  <c r="EJ26" i="5"/>
  <c r="ER26" i="5"/>
  <c r="DG32" i="5"/>
  <c r="DO32" i="5"/>
  <c r="DW32" i="5"/>
  <c r="EE32" i="5"/>
  <c r="EM32" i="5"/>
  <c r="EU32" i="5"/>
  <c r="DF32" i="5"/>
  <c r="DN32" i="5"/>
  <c r="DV32" i="5"/>
  <c r="ED32" i="5"/>
  <c r="EL32" i="5"/>
  <c r="ET32" i="5"/>
  <c r="DE32" i="5"/>
  <c r="DM32" i="5"/>
  <c r="DU32" i="5"/>
  <c r="EC32" i="5"/>
  <c r="EK32" i="5"/>
  <c r="ES32" i="5"/>
  <c r="DD32" i="5"/>
  <c r="DL32" i="5"/>
  <c r="DT32" i="5"/>
  <c r="EB32" i="5"/>
  <c r="EJ32" i="5"/>
  <c r="ER32" i="5"/>
  <c r="DC32" i="5"/>
  <c r="DK32" i="5"/>
  <c r="DS32" i="5"/>
  <c r="EA32" i="5"/>
  <c r="EI32" i="5"/>
  <c r="EQ32" i="5"/>
  <c r="DG38" i="5"/>
  <c r="DO38" i="5"/>
  <c r="DW38" i="5"/>
  <c r="EE38" i="5"/>
  <c r="EM38" i="5"/>
  <c r="EU38" i="5"/>
  <c r="DF38" i="5"/>
  <c r="DN38" i="5"/>
  <c r="DV38" i="5"/>
  <c r="ED38" i="5"/>
  <c r="EL38" i="5"/>
  <c r="ET38" i="5"/>
  <c r="DE38" i="5"/>
  <c r="DM38" i="5"/>
  <c r="DU38" i="5"/>
  <c r="EC38" i="5"/>
  <c r="EK38" i="5"/>
  <c r="ES38" i="5"/>
  <c r="DD38" i="5"/>
  <c r="DL38" i="5"/>
  <c r="DT38" i="5"/>
  <c r="EB38" i="5"/>
  <c r="EJ38" i="5"/>
  <c r="ER38" i="5"/>
  <c r="DC38" i="5"/>
  <c r="DK38" i="5"/>
  <c r="DS38" i="5"/>
  <c r="EA38" i="5"/>
  <c r="EI38" i="5"/>
  <c r="EQ38" i="5"/>
  <c r="DC28" i="5"/>
  <c r="DK28" i="5"/>
  <c r="DS28" i="5"/>
  <c r="EA28" i="5"/>
  <c r="EI28" i="5"/>
  <c r="EQ28" i="5"/>
  <c r="DD28" i="5"/>
  <c r="DL28" i="5"/>
  <c r="DT28" i="5"/>
  <c r="EB28" i="5"/>
  <c r="EJ28" i="5"/>
  <c r="ER28" i="5"/>
  <c r="DG28" i="5"/>
  <c r="DO28" i="5"/>
  <c r="DE28" i="5"/>
  <c r="DM28" i="5"/>
  <c r="DU28" i="5"/>
  <c r="EC28" i="5"/>
  <c r="EK28" i="5"/>
  <c r="ES28" i="5"/>
  <c r="DF28" i="5"/>
  <c r="DN28" i="5"/>
  <c r="DV28" i="5"/>
  <c r="ED28" i="5"/>
  <c r="EL28" i="5"/>
  <c r="ET28" i="5"/>
  <c r="DD9" i="5"/>
  <c r="DL9" i="5"/>
  <c r="DT9" i="5"/>
  <c r="EB9" i="5"/>
  <c r="EJ9" i="5"/>
  <c r="ER9" i="5"/>
  <c r="DC9" i="5"/>
  <c r="DK9" i="5"/>
  <c r="DS9" i="5"/>
  <c r="EA9" i="5"/>
  <c r="EI9" i="5"/>
  <c r="EQ9" i="5"/>
  <c r="DG9" i="5"/>
  <c r="DO9" i="5"/>
  <c r="DF9" i="5"/>
  <c r="DN9" i="5"/>
  <c r="DE9" i="5"/>
  <c r="DM9" i="5"/>
  <c r="DU9" i="5"/>
  <c r="EC9" i="5"/>
  <c r="EK9" i="5"/>
  <c r="ES9" i="5"/>
  <c r="DG15" i="5"/>
  <c r="DO15" i="5"/>
  <c r="DW15" i="5"/>
  <c r="EE15" i="5"/>
  <c r="EM15" i="5"/>
  <c r="EU15" i="5"/>
  <c r="DF15" i="5"/>
  <c r="DN15" i="5"/>
  <c r="DV15" i="5"/>
  <c r="ED15" i="5"/>
  <c r="EL15" i="5"/>
  <c r="ET15" i="5"/>
  <c r="DE15" i="5"/>
  <c r="DM15" i="5"/>
  <c r="DU15" i="5"/>
  <c r="EC15" i="5"/>
  <c r="EK15" i="5"/>
  <c r="ES15" i="5"/>
  <c r="DD15" i="5"/>
  <c r="DL15" i="5"/>
  <c r="DT15" i="5"/>
  <c r="EB15" i="5"/>
  <c r="EJ15" i="5"/>
  <c r="ER15" i="5"/>
  <c r="DC15" i="5"/>
  <c r="DK15" i="5"/>
  <c r="DS15" i="5"/>
  <c r="EA15" i="5"/>
  <c r="EI15" i="5"/>
  <c r="EQ15" i="5"/>
  <c r="DG21" i="5"/>
  <c r="DO21" i="5"/>
  <c r="DW21" i="5"/>
  <c r="EE21" i="5"/>
  <c r="EM21" i="5"/>
  <c r="EU21" i="5"/>
  <c r="DD21" i="5"/>
  <c r="DL21" i="5"/>
  <c r="DT21" i="5"/>
  <c r="EB21" i="5"/>
  <c r="EJ21" i="5"/>
  <c r="ER21" i="5"/>
  <c r="DF21" i="5"/>
  <c r="DN21" i="5"/>
  <c r="DV21" i="5"/>
  <c r="ED21" i="5"/>
  <c r="EL21" i="5"/>
  <c r="ET21" i="5"/>
  <c r="DE21" i="5"/>
  <c r="DM21" i="5"/>
  <c r="DU21" i="5"/>
  <c r="EC21" i="5"/>
  <c r="EK21" i="5"/>
  <c r="ES21" i="5"/>
  <c r="DC21" i="5"/>
  <c r="DK21" i="5"/>
  <c r="DS21" i="5"/>
  <c r="EA21" i="5"/>
  <c r="EI21" i="5"/>
  <c r="EQ21" i="5"/>
  <c r="DG27" i="5"/>
  <c r="DO27" i="5"/>
  <c r="DW27" i="5"/>
  <c r="EE27" i="5"/>
  <c r="EM27" i="5"/>
  <c r="EU27" i="5"/>
  <c r="DF27" i="5"/>
  <c r="DN27" i="5"/>
  <c r="DV27" i="5"/>
  <c r="ED27" i="5"/>
  <c r="EL27" i="5"/>
  <c r="ET27" i="5"/>
  <c r="DE27" i="5"/>
  <c r="DM27" i="5"/>
  <c r="DU27" i="5"/>
  <c r="EC27" i="5"/>
  <c r="EK27" i="5"/>
  <c r="ES27" i="5"/>
  <c r="DD27" i="5"/>
  <c r="DL27" i="5"/>
  <c r="DT27" i="5"/>
  <c r="EB27" i="5"/>
  <c r="EJ27" i="5"/>
  <c r="ER27" i="5"/>
  <c r="DC27" i="5"/>
  <c r="DK27" i="5"/>
  <c r="DS27" i="5"/>
  <c r="EA27" i="5"/>
  <c r="EI27" i="5"/>
  <c r="EQ27" i="5"/>
  <c r="DD33" i="5"/>
  <c r="DL33" i="5"/>
  <c r="DT33" i="5"/>
  <c r="EB33" i="5"/>
  <c r="EJ33" i="5"/>
  <c r="ER33" i="5"/>
  <c r="DG33" i="5"/>
  <c r="DO33" i="5"/>
  <c r="DW33" i="5"/>
  <c r="EE33" i="5"/>
  <c r="EM33" i="5"/>
  <c r="EU33" i="5"/>
  <c r="DC33" i="5"/>
  <c r="DK33" i="5"/>
  <c r="DS33" i="5"/>
  <c r="EA33" i="5"/>
  <c r="EI33" i="5"/>
  <c r="EQ33" i="5"/>
  <c r="DF33" i="5"/>
  <c r="DN33" i="5"/>
  <c r="DV33" i="5"/>
  <c r="ED33" i="5"/>
  <c r="EL33" i="5"/>
  <c r="ET33" i="5"/>
  <c r="DE33" i="5"/>
  <c r="DM33" i="5"/>
  <c r="DU33" i="5"/>
  <c r="EC33" i="5"/>
  <c r="EK33" i="5"/>
  <c r="ES33" i="5"/>
  <c r="DG39" i="5"/>
  <c r="DO39" i="5"/>
  <c r="DW39" i="5"/>
  <c r="EE39" i="5"/>
  <c r="EM39" i="5"/>
  <c r="EU39" i="5"/>
  <c r="DD39" i="5"/>
  <c r="DL39" i="5"/>
  <c r="DT39" i="5"/>
  <c r="EB39" i="5"/>
  <c r="EJ39" i="5"/>
  <c r="ER39" i="5"/>
  <c r="DC39" i="5"/>
  <c r="DK39" i="5"/>
  <c r="DS39" i="5"/>
  <c r="EA39" i="5"/>
  <c r="EI39" i="5"/>
  <c r="EQ39" i="5"/>
  <c r="DF39" i="5"/>
  <c r="DN39" i="5"/>
  <c r="DV39" i="5"/>
  <c r="ED39" i="5"/>
  <c r="EL39" i="5"/>
  <c r="ET39" i="5"/>
  <c r="DE39" i="5"/>
  <c r="DM39" i="5"/>
  <c r="DU39" i="5"/>
  <c r="EC39" i="5"/>
  <c r="EK39" i="5"/>
  <c r="ES39" i="5"/>
  <c r="J45" i="9"/>
  <c r="K45" i="9"/>
  <c r="J57" i="9"/>
  <c r="K57" i="9"/>
  <c r="J3" i="9"/>
  <c r="K3" i="9"/>
  <c r="J95" i="9"/>
  <c r="J101" i="9"/>
  <c r="J18" i="9"/>
  <c r="J98" i="9"/>
  <c r="J25" i="9"/>
  <c r="J43" i="9"/>
  <c r="K43" i="9"/>
  <c r="J49" i="9"/>
  <c r="K49" i="9"/>
  <c r="J55" i="9"/>
  <c r="K55" i="9"/>
  <c r="J14" i="9"/>
  <c r="J94" i="9"/>
  <c r="J106" i="9"/>
  <c r="J23" i="9"/>
  <c r="J29" i="9"/>
  <c r="K29" i="9"/>
  <c r="J7" i="9"/>
  <c r="K7" i="9"/>
  <c r="J105" i="9"/>
  <c r="J111" i="9"/>
  <c r="J20" i="9"/>
  <c r="K20" i="9"/>
  <c r="J26" i="9"/>
  <c r="K26" i="9"/>
  <c r="J32" i="9"/>
  <c r="J59" i="9"/>
  <c r="K59" i="9"/>
  <c r="J11" i="9"/>
  <c r="J17" i="9"/>
  <c r="J97" i="9"/>
  <c r="J109" i="9"/>
  <c r="J115" i="9"/>
  <c r="J42" i="9"/>
  <c r="K42" i="9"/>
  <c r="J48" i="9"/>
  <c r="K48" i="9"/>
  <c r="J60" i="9"/>
  <c r="K60" i="9"/>
  <c r="BQ26" i="5"/>
  <c r="BQ14" i="5"/>
  <c r="BQ40" i="5"/>
  <c r="BQ33" i="5"/>
  <c r="BQ28" i="5"/>
  <c r="BQ15" i="5"/>
  <c r="BQ41" i="5"/>
  <c r="BQ31" i="5"/>
  <c r="BQ17" i="5"/>
  <c r="BQ39" i="5"/>
  <c r="BQ30" i="5"/>
  <c r="BQ16" i="5"/>
  <c r="BQ20" i="5"/>
  <c r="BQ35" i="5"/>
  <c r="BQ18" i="5"/>
  <c r="BQ32" i="5"/>
  <c r="BQ12" i="5"/>
  <c r="BQ37" i="5"/>
  <c r="BQ24" i="5"/>
  <c r="BQ8" i="5"/>
  <c r="BQ11" i="5"/>
  <c r="BQ22" i="5"/>
  <c r="BQ34" i="5"/>
  <c r="CD5" i="5"/>
  <c r="CQ5" i="5"/>
  <c r="BQ29" i="5"/>
  <c r="BQ23" i="5"/>
  <c r="BQ21" i="5"/>
  <c r="BQ19" i="5"/>
  <c r="BQ38" i="5"/>
  <c r="BQ10" i="5"/>
  <c r="BQ36" i="5"/>
  <c r="BQ9" i="5"/>
  <c r="BQ27" i="5"/>
  <c r="BQ13" i="5"/>
  <c r="BQ7" i="5"/>
  <c r="BQ6" i="5"/>
  <c r="BQ25" i="5"/>
  <c r="BF5" i="5"/>
  <c r="BS5" i="5"/>
  <c r="CF5" i="5"/>
  <c r="J4" i="9"/>
  <c r="K4" i="9"/>
  <c r="J24" i="9"/>
  <c r="J36" i="9"/>
  <c r="K36" i="9"/>
  <c r="J56" i="9"/>
  <c r="K56" i="9"/>
  <c r="J15" i="9"/>
  <c r="J108" i="9"/>
  <c r="J114" i="9"/>
  <c r="J28" i="9"/>
  <c r="K28" i="9"/>
  <c r="J40" i="9"/>
  <c r="K40" i="9"/>
  <c r="J46" i="9"/>
  <c r="K46" i="9"/>
  <c r="J52" i="9"/>
  <c r="K52" i="9"/>
  <c r="J2" i="9"/>
  <c r="K2" i="9"/>
  <c r="J8" i="9"/>
  <c r="K8" i="9"/>
  <c r="J93" i="9"/>
  <c r="J110" i="9"/>
  <c r="J30" i="9"/>
  <c r="K30" i="9"/>
  <c r="J41" i="9"/>
  <c r="K41" i="9"/>
  <c r="J58" i="9"/>
  <c r="K58" i="9"/>
  <c r="J5" i="9"/>
  <c r="K5" i="9"/>
  <c r="J16" i="9"/>
  <c r="J107" i="9"/>
  <c r="J113" i="9"/>
  <c r="J27" i="9"/>
  <c r="K27" i="9"/>
  <c r="J33" i="9"/>
  <c r="J44" i="9"/>
  <c r="K44" i="9"/>
  <c r="J61" i="9"/>
  <c r="K61" i="9"/>
  <c r="J39" i="9"/>
  <c r="K39" i="9"/>
  <c r="J6" i="9"/>
  <c r="K6" i="9"/>
  <c r="J96" i="9"/>
  <c r="J112" i="9"/>
  <c r="J31" i="9"/>
  <c r="K31" i="9"/>
  <c r="J47" i="9"/>
  <c r="K47" i="9"/>
  <c r="J12" i="9"/>
  <c r="J102" i="9"/>
  <c r="J21" i="9"/>
  <c r="K21" i="9"/>
  <c r="J37" i="9"/>
  <c r="K37" i="9"/>
  <c r="J53" i="9"/>
  <c r="K53" i="9"/>
  <c r="J13" i="9"/>
  <c r="J103" i="9"/>
  <c r="J22" i="9"/>
  <c r="K22" i="9"/>
  <c r="J38" i="9"/>
  <c r="K38" i="9"/>
  <c r="J54" i="9"/>
  <c r="K54" i="9"/>
  <c r="J104" i="9"/>
  <c r="J9" i="9"/>
  <c r="K9" i="9"/>
  <c r="J99" i="9"/>
  <c r="J34" i="9"/>
  <c r="J50" i="9"/>
  <c r="K50" i="9"/>
  <c r="J10" i="9"/>
  <c r="K10" i="9"/>
  <c r="J100" i="9"/>
  <c r="J19" i="9"/>
  <c r="K19" i="9"/>
  <c r="J35" i="9"/>
  <c r="J51" i="9"/>
  <c r="K51" i="9"/>
  <c r="AO6" i="10"/>
  <c r="AL74" i="10"/>
  <c r="AL73" i="10"/>
  <c r="AK73" i="10"/>
  <c r="AG73" i="10"/>
  <c r="AH71" i="10"/>
  <c r="AL70" i="10"/>
  <c r="AK70" i="10"/>
  <c r="AF70" i="10"/>
  <c r="AH69" i="10"/>
  <c r="AF69" i="10"/>
  <c r="AL68" i="10"/>
  <c r="AF68" i="10"/>
  <c r="AL66" i="10"/>
  <c r="AK66" i="10"/>
  <c r="AL65" i="10"/>
  <c r="AG63" i="10"/>
  <c r="AF63" i="10"/>
  <c r="AK62" i="10"/>
  <c r="AF61" i="10"/>
  <c r="AI60" i="10"/>
  <c r="AG60" i="10"/>
  <c r="AL58" i="10"/>
  <c r="AJ58" i="10"/>
  <c r="AF58" i="10"/>
  <c r="AK57" i="10"/>
  <c r="AG56" i="10"/>
  <c r="AL55" i="10"/>
  <c r="AJ55" i="10"/>
  <c r="AF54" i="10"/>
  <c r="AG53" i="10"/>
  <c r="AI51" i="10"/>
  <c r="AG51" i="10"/>
  <c r="AF51" i="10"/>
  <c r="AK50" i="10"/>
  <c r="AF49" i="10"/>
  <c r="AI48" i="10"/>
  <c r="AG48" i="10"/>
  <c r="AL46" i="10"/>
  <c r="AJ46" i="10"/>
  <c r="AF46" i="10"/>
  <c r="AK45" i="10"/>
  <c r="AG44" i="10"/>
  <c r="AL43" i="10"/>
  <c r="AJ43" i="10"/>
  <c r="AF42" i="10"/>
  <c r="AG41" i="10"/>
  <c r="AI39" i="10"/>
  <c r="AG39" i="10"/>
  <c r="AF39" i="10"/>
  <c r="AK38" i="10"/>
  <c r="AF37" i="10"/>
  <c r="AI36" i="10"/>
  <c r="AG36" i="10"/>
  <c r="AL34" i="10"/>
  <c r="AJ34" i="10"/>
  <c r="AF34" i="10"/>
  <c r="AK33" i="10"/>
  <c r="AG32" i="10"/>
  <c r="AL31" i="10"/>
  <c r="AJ31" i="10"/>
  <c r="AF30" i="10"/>
  <c r="AG29" i="10"/>
  <c r="AI27" i="10"/>
  <c r="AG27" i="10"/>
  <c r="AF27" i="10"/>
  <c r="AK26" i="10"/>
  <c r="AF25" i="10"/>
  <c r="AI24" i="10"/>
  <c r="AG24" i="10"/>
  <c r="AL22" i="10"/>
  <c r="AJ22" i="10"/>
  <c r="AF22" i="10"/>
  <c r="AK21" i="10"/>
  <c r="AG20" i="10"/>
  <c r="AL19" i="10"/>
  <c r="AJ19" i="10"/>
  <c r="AF18" i="10"/>
  <c r="AG17" i="10"/>
  <c r="AI15" i="10"/>
  <c r="AG15" i="10"/>
  <c r="AF15" i="10"/>
  <c r="AK14" i="10"/>
  <c r="AI13" i="10"/>
  <c r="AL12" i="10"/>
  <c r="AK12" i="10"/>
  <c r="AH12" i="10"/>
  <c r="AJ10" i="10"/>
  <c r="AF10" i="10"/>
  <c r="AL8" i="10"/>
  <c r="AG8" i="10"/>
  <c r="AF8" i="10"/>
  <c r="AL7" i="10"/>
  <c r="AI6" i="10"/>
  <c r="AG6" i="10"/>
  <c r="AF6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Q146" i="6"/>
  <c r="Q145" i="6"/>
  <c r="Q144" i="6"/>
  <c r="Q143" i="6"/>
  <c r="Q142" i="6"/>
  <c r="Q141" i="6"/>
  <c r="Q140" i="6"/>
  <c r="Q139" i="6"/>
  <c r="Q138" i="6"/>
  <c r="Q137" i="6"/>
  <c r="Q136" i="6"/>
  <c r="Q135" i="6"/>
  <c r="Q134" i="6"/>
  <c r="Q133" i="6"/>
  <c r="Q132" i="6"/>
  <c r="Q131" i="6"/>
  <c r="Q130" i="6"/>
  <c r="Q129" i="6"/>
  <c r="Q128" i="6"/>
  <c r="Q127" i="6"/>
  <c r="Q126" i="6"/>
  <c r="Q125" i="6"/>
  <c r="Q124" i="6"/>
  <c r="Q123" i="6"/>
  <c r="Q122" i="6"/>
  <c r="Q121" i="6"/>
  <c r="Q120" i="6"/>
  <c r="Q119" i="6"/>
  <c r="Q118" i="6"/>
  <c r="Q117" i="6"/>
  <c r="Q116" i="6"/>
  <c r="Q115" i="6"/>
  <c r="Q114" i="6"/>
  <c r="Q113" i="6"/>
  <c r="Q112" i="6"/>
  <c r="Q111" i="6"/>
  <c r="O17" i="6"/>
  <c r="O18" i="6"/>
  <c r="O19" i="6"/>
  <c r="O20" i="6"/>
  <c r="O21" i="6"/>
  <c r="O22" i="6"/>
  <c r="O23" i="6"/>
  <c r="O24" i="6"/>
  <c r="O25" i="6"/>
  <c r="O26" i="6"/>
  <c r="O27" i="6"/>
  <c r="O28" i="6"/>
  <c r="AD19" i="5"/>
  <c r="AC19" i="5"/>
  <c r="AB19" i="5"/>
  <c r="AA19" i="5"/>
  <c r="Z19" i="5"/>
  <c r="Y19" i="5"/>
  <c r="X19" i="5"/>
  <c r="W19" i="5"/>
  <c r="V19" i="5"/>
  <c r="U19" i="5"/>
  <c r="T19" i="5"/>
  <c r="S19" i="5"/>
  <c r="AD18" i="5"/>
  <c r="AC18" i="5"/>
  <c r="AB18" i="5"/>
  <c r="AA18" i="5"/>
  <c r="Z18" i="5"/>
  <c r="Y18" i="5"/>
  <c r="X18" i="5"/>
  <c r="W18" i="5"/>
  <c r="V18" i="5"/>
  <c r="U18" i="5"/>
  <c r="T18" i="5"/>
  <c r="S18" i="5"/>
  <c r="AD17" i="5"/>
  <c r="AC17" i="5"/>
  <c r="AB17" i="5"/>
  <c r="AA17" i="5"/>
  <c r="Z17" i="5"/>
  <c r="Y17" i="5"/>
  <c r="X17" i="5"/>
  <c r="W17" i="5"/>
  <c r="V17" i="5"/>
  <c r="U17" i="5"/>
  <c r="T17" i="5"/>
  <c r="S17" i="5"/>
  <c r="AD16" i="5"/>
  <c r="AC16" i="5"/>
  <c r="AB16" i="5"/>
  <c r="AA16" i="5"/>
  <c r="Z16" i="5"/>
  <c r="Y16" i="5"/>
  <c r="X16" i="5"/>
  <c r="W16" i="5"/>
  <c r="V16" i="5"/>
  <c r="U16" i="5"/>
  <c r="T16" i="5"/>
  <c r="S16" i="5"/>
  <c r="AD15" i="5"/>
  <c r="AC15" i="5"/>
  <c r="AB15" i="5"/>
  <c r="AA15" i="5"/>
  <c r="Z15" i="5"/>
  <c r="Y15" i="5"/>
  <c r="X15" i="5"/>
  <c r="W15" i="5"/>
  <c r="V15" i="5"/>
  <c r="U15" i="5"/>
  <c r="T15" i="5"/>
  <c r="S15" i="5"/>
  <c r="AD14" i="5"/>
  <c r="AC14" i="5"/>
  <c r="AB14" i="5"/>
  <c r="AA14" i="5"/>
  <c r="Z14" i="5"/>
  <c r="Y14" i="5"/>
  <c r="X14" i="5"/>
  <c r="W14" i="5"/>
  <c r="V14" i="5"/>
  <c r="U14" i="5"/>
  <c r="T14" i="5"/>
  <c r="S14" i="5"/>
  <c r="AD11" i="5"/>
  <c r="AC11" i="5"/>
  <c r="AB11" i="5"/>
  <c r="AA11" i="5"/>
  <c r="Z11" i="5"/>
  <c r="Y11" i="5"/>
  <c r="X11" i="5"/>
  <c r="W11" i="5"/>
  <c r="V11" i="5"/>
  <c r="U11" i="5"/>
  <c r="T11" i="5"/>
  <c r="S11" i="5"/>
  <c r="AD10" i="5"/>
  <c r="AC10" i="5"/>
  <c r="AB10" i="5"/>
  <c r="AA10" i="5"/>
  <c r="Z10" i="5"/>
  <c r="Y10" i="5"/>
  <c r="X10" i="5"/>
  <c r="W10" i="5"/>
  <c r="V10" i="5"/>
  <c r="U10" i="5"/>
  <c r="T10" i="5"/>
  <c r="S10" i="5"/>
  <c r="AD9" i="5"/>
  <c r="AC9" i="5"/>
  <c r="AB9" i="5"/>
  <c r="AA9" i="5"/>
  <c r="Z9" i="5"/>
  <c r="Y9" i="5"/>
  <c r="X9" i="5"/>
  <c r="W9" i="5"/>
  <c r="V9" i="5"/>
  <c r="U9" i="5"/>
  <c r="T9" i="5"/>
  <c r="S9" i="5"/>
  <c r="AD8" i="5"/>
  <c r="AC8" i="5"/>
  <c r="AB8" i="5"/>
  <c r="AA8" i="5"/>
  <c r="Z8" i="5"/>
  <c r="Y8" i="5"/>
  <c r="X8" i="5"/>
  <c r="W8" i="5"/>
  <c r="V8" i="5"/>
  <c r="U8" i="5"/>
  <c r="T8" i="5"/>
  <c r="S8" i="5"/>
  <c r="AD7" i="5"/>
  <c r="AC7" i="5"/>
  <c r="AB7" i="5"/>
  <c r="AA7" i="5"/>
  <c r="Z7" i="5"/>
  <c r="Y7" i="5"/>
  <c r="X7" i="5"/>
  <c r="W7" i="5"/>
  <c r="V7" i="5"/>
  <c r="U7" i="5"/>
  <c r="T7" i="5"/>
  <c r="S7" i="5"/>
  <c r="AD6" i="5"/>
  <c r="AC6" i="5"/>
  <c r="AB6" i="5"/>
  <c r="AA6" i="5"/>
  <c r="Z6" i="5"/>
  <c r="Y6" i="5"/>
  <c r="X6" i="5"/>
  <c r="W6" i="5"/>
  <c r="V6" i="5"/>
  <c r="U6" i="5"/>
  <c r="T6" i="5"/>
  <c r="S6" i="5"/>
  <c r="S5" i="5"/>
  <c r="T5" i="5"/>
  <c r="U5" i="5"/>
  <c r="V5" i="5"/>
  <c r="W5" i="5"/>
  <c r="X5" i="5"/>
  <c r="Y5" i="5"/>
  <c r="Z5" i="5"/>
  <c r="AA5" i="5"/>
  <c r="AB5" i="5"/>
  <c r="AC5" i="5"/>
  <c r="AD5" i="5"/>
  <c r="AC75" i="10"/>
  <c r="AF74" i="10"/>
  <c r="AG68" i="10"/>
  <c r="AH72" i="10"/>
  <c r="AJ75" i="10"/>
  <c r="AK72" i="10"/>
  <c r="AL75" i="10"/>
  <c r="AB62" i="10"/>
  <c r="M25" i="9"/>
  <c r="M24" i="9"/>
  <c r="M23" i="9"/>
  <c r="M35" i="9"/>
  <c r="M34" i="9"/>
  <c r="M33" i="9"/>
  <c r="M32" i="9"/>
  <c r="M18" i="9"/>
  <c r="M17" i="9"/>
  <c r="M16" i="9"/>
  <c r="M15" i="9"/>
  <c r="M14" i="9"/>
  <c r="M13" i="9"/>
  <c r="M12" i="9"/>
  <c r="M11" i="9"/>
  <c r="D112" i="20" a="1"/>
  <c r="D112" i="20"/>
  <c r="D109" i="20" a="1"/>
  <c r="D109" i="20"/>
  <c r="D106" i="20" a="1"/>
  <c r="D106" i="20"/>
  <c r="D103" i="20" a="1"/>
  <c r="D103" i="20"/>
  <c r="D100" i="20" a="1"/>
  <c r="D100" i="20"/>
  <c r="D97" i="20" a="1"/>
  <c r="D97" i="20"/>
  <c r="D94" i="20" a="1"/>
  <c r="D94" i="20"/>
  <c r="D91" i="20" a="1"/>
  <c r="D91" i="20"/>
  <c r="D88" i="20" a="1"/>
  <c r="D88" i="20"/>
  <c r="D85" i="20" a="1"/>
  <c r="D85" i="20"/>
  <c r="D82" i="20" a="1"/>
  <c r="D82" i="20"/>
  <c r="D79" i="20" a="1"/>
  <c r="D79" i="20"/>
  <c r="D76" i="20" a="1"/>
  <c r="D76" i="20"/>
  <c r="D73" i="20" a="1"/>
  <c r="D73" i="20"/>
  <c r="E110" i="20" a="1"/>
  <c r="E110" i="20"/>
  <c r="E104" i="20" a="1"/>
  <c r="E104" i="20"/>
  <c r="E95" i="20" a="1"/>
  <c r="E95" i="20"/>
  <c r="E92" i="20" a="1"/>
  <c r="E92" i="20"/>
  <c r="E83" i="20" a="1"/>
  <c r="E83" i="20"/>
  <c r="E74" i="20" a="1"/>
  <c r="E74" i="20"/>
  <c r="G78" i="20" a="1"/>
  <c r="G78" i="20"/>
  <c r="E79" i="20" a="1"/>
  <c r="E79" i="20"/>
  <c r="G113" i="20" a="1"/>
  <c r="G113" i="20"/>
  <c r="C112" i="20" a="1"/>
  <c r="C112" i="20"/>
  <c r="G110" i="20" a="1"/>
  <c r="G110" i="20"/>
  <c r="C109" i="20" a="1"/>
  <c r="C109" i="20"/>
  <c r="G107" i="20" a="1"/>
  <c r="G107" i="20"/>
  <c r="C106" i="20" a="1"/>
  <c r="C106" i="20"/>
  <c r="G104" i="20" a="1"/>
  <c r="G104" i="20"/>
  <c r="C103" i="20" a="1"/>
  <c r="C103" i="20"/>
  <c r="G101" i="20" a="1"/>
  <c r="G101" i="20"/>
  <c r="C100" i="20" a="1"/>
  <c r="C100" i="20"/>
  <c r="G98" i="20" a="1"/>
  <c r="G98" i="20"/>
  <c r="C97" i="20" a="1"/>
  <c r="C97" i="20"/>
  <c r="G95" i="20" a="1"/>
  <c r="G95" i="20"/>
  <c r="C94" i="20" a="1"/>
  <c r="C94" i="20"/>
  <c r="G92" i="20" a="1"/>
  <c r="G92" i="20"/>
  <c r="C91" i="20" a="1"/>
  <c r="C91" i="20"/>
  <c r="G89" i="20" a="1"/>
  <c r="G89" i="20"/>
  <c r="C88" i="20" a="1"/>
  <c r="C88" i="20"/>
  <c r="G86" i="20" a="1"/>
  <c r="G86" i="20"/>
  <c r="C85" i="20" a="1"/>
  <c r="C85" i="20"/>
  <c r="G83" i="20" a="1"/>
  <c r="G83" i="20"/>
  <c r="C82" i="20" a="1"/>
  <c r="C82" i="20"/>
  <c r="G80" i="20" a="1"/>
  <c r="G80" i="20"/>
  <c r="C79" i="20" a="1"/>
  <c r="C79" i="20"/>
  <c r="G77" i="20" a="1"/>
  <c r="G77" i="20"/>
  <c r="C76" i="20" a="1"/>
  <c r="C76" i="20"/>
  <c r="G74" i="20" a="1"/>
  <c r="G74" i="20"/>
  <c r="C73" i="20" a="1"/>
  <c r="C73" i="20"/>
  <c r="E113" i="20" a="1"/>
  <c r="E113" i="20"/>
  <c r="E101" i="20" a="1"/>
  <c r="E101" i="20"/>
  <c r="E86" i="20" a="1"/>
  <c r="E86" i="20"/>
  <c r="E77" i="20" a="1"/>
  <c r="E77" i="20"/>
  <c r="C77" i="20" a="1"/>
  <c r="C77" i="20"/>
  <c r="F113" i="20" a="1"/>
  <c r="F113" i="20"/>
  <c r="F110" i="20" a="1"/>
  <c r="F110" i="20"/>
  <c r="F107" i="20" a="1"/>
  <c r="F107" i="20"/>
  <c r="F104" i="20" a="1"/>
  <c r="F104" i="20"/>
  <c r="F101" i="20" a="1"/>
  <c r="F101" i="20"/>
  <c r="F98" i="20" a="1"/>
  <c r="F98" i="20"/>
  <c r="F95" i="20" a="1"/>
  <c r="F95" i="20"/>
  <c r="F92" i="20" a="1"/>
  <c r="F92" i="20"/>
  <c r="F89" i="20" a="1"/>
  <c r="F89" i="20"/>
  <c r="F86" i="20" a="1"/>
  <c r="F86" i="20"/>
  <c r="F83" i="20" a="1"/>
  <c r="F83" i="20"/>
  <c r="F80" i="20" a="1"/>
  <c r="F80" i="20"/>
  <c r="F77" i="20" a="1"/>
  <c r="F77" i="20"/>
  <c r="F74" i="20" a="1"/>
  <c r="F74" i="20"/>
  <c r="E107" i="20" a="1"/>
  <c r="E107" i="20"/>
  <c r="E98" i="20" a="1"/>
  <c r="E98" i="20"/>
  <c r="E89" i="20" a="1"/>
  <c r="E89" i="20"/>
  <c r="E80" i="20" a="1"/>
  <c r="E80" i="20"/>
  <c r="C74" i="20" a="1"/>
  <c r="C74" i="20"/>
  <c r="D113" i="20" a="1"/>
  <c r="D113" i="20"/>
  <c r="D110" i="20" a="1"/>
  <c r="D110" i="20"/>
  <c r="D107" i="20" a="1"/>
  <c r="D107" i="20"/>
  <c r="D104" i="20" a="1"/>
  <c r="D104" i="20"/>
  <c r="D101" i="20" a="1"/>
  <c r="D101" i="20"/>
  <c r="D98" i="20" a="1"/>
  <c r="D98" i="20"/>
  <c r="D95" i="20" a="1"/>
  <c r="D95" i="20"/>
  <c r="D92" i="20" a="1"/>
  <c r="D92" i="20"/>
  <c r="D89" i="20" a="1"/>
  <c r="D89" i="20"/>
  <c r="D86" i="20" a="1"/>
  <c r="D86" i="20"/>
  <c r="D83" i="20" a="1"/>
  <c r="D83" i="20"/>
  <c r="D80" i="20" a="1"/>
  <c r="D80" i="20"/>
  <c r="D77" i="20" a="1"/>
  <c r="D77" i="20"/>
  <c r="D74" i="20" a="1"/>
  <c r="D74" i="20"/>
  <c r="G111" i="20" a="1"/>
  <c r="G111" i="20"/>
  <c r="G108" i="20" a="1"/>
  <c r="G108" i="20"/>
  <c r="C107" i="20" a="1"/>
  <c r="C107" i="20"/>
  <c r="C104" i="20" a="1"/>
  <c r="C104" i="20"/>
  <c r="C101" i="20" a="1"/>
  <c r="C101" i="20"/>
  <c r="G99" i="20" a="1"/>
  <c r="G99" i="20"/>
  <c r="G96" i="20" a="1"/>
  <c r="G96" i="20"/>
  <c r="G93" i="20" a="1"/>
  <c r="G93" i="20"/>
  <c r="G90" i="20" a="1"/>
  <c r="G90" i="20"/>
  <c r="C89" i="20" a="1"/>
  <c r="C89" i="20"/>
  <c r="C86" i="20" a="1"/>
  <c r="C86" i="20"/>
  <c r="C83" i="20" a="1"/>
  <c r="C83" i="20"/>
  <c r="C80" i="20" a="1"/>
  <c r="C80" i="20"/>
  <c r="G75" i="20" a="1"/>
  <c r="G75" i="20"/>
  <c r="C113" i="20" a="1"/>
  <c r="C113" i="20"/>
  <c r="C110" i="20" a="1"/>
  <c r="C110" i="20"/>
  <c r="G105" i="20" a="1"/>
  <c r="G105" i="20"/>
  <c r="G102" i="20" a="1"/>
  <c r="G102" i="20"/>
  <c r="C98" i="20" a="1"/>
  <c r="C98" i="20"/>
  <c r="C95" i="20" a="1"/>
  <c r="C95" i="20"/>
  <c r="C92" i="20" a="1"/>
  <c r="C92" i="20"/>
  <c r="G87" i="20" a="1"/>
  <c r="G87" i="20"/>
  <c r="G84" i="20" a="1"/>
  <c r="G84" i="20"/>
  <c r="G81" i="20" a="1"/>
  <c r="G81" i="20"/>
  <c r="F111" i="20" a="1"/>
  <c r="F111" i="20"/>
  <c r="F108" i="20" a="1"/>
  <c r="F108" i="20"/>
  <c r="F105" i="20" a="1"/>
  <c r="F105" i="20"/>
  <c r="F102" i="20" a="1"/>
  <c r="F102" i="20"/>
  <c r="F99" i="20" a="1"/>
  <c r="F99" i="20"/>
  <c r="F96" i="20" a="1"/>
  <c r="F96" i="20"/>
  <c r="F93" i="20" a="1"/>
  <c r="F93" i="20"/>
  <c r="F90" i="20" a="1"/>
  <c r="F90" i="20"/>
  <c r="F87" i="20" a="1"/>
  <c r="F87" i="20"/>
  <c r="F84" i="20" a="1"/>
  <c r="F84" i="20"/>
  <c r="F81" i="20" a="1"/>
  <c r="F81" i="20"/>
  <c r="F78" i="20" a="1"/>
  <c r="F78" i="20"/>
  <c r="F75" i="20" a="1"/>
  <c r="F75" i="20"/>
  <c r="G109" i="20" a="1"/>
  <c r="G109" i="20"/>
  <c r="G103" i="20" a="1"/>
  <c r="G103" i="20"/>
  <c r="C99" i="20" a="1"/>
  <c r="C99" i="20"/>
  <c r="C93" i="20" a="1"/>
  <c r="C93" i="20"/>
  <c r="C87" i="20" a="1"/>
  <c r="C87" i="20"/>
  <c r="G79" i="20" a="1"/>
  <c r="G79" i="20"/>
  <c r="C75" i="20" a="1"/>
  <c r="C75" i="20"/>
  <c r="E76" i="20" a="1"/>
  <c r="E76" i="20"/>
  <c r="E111" i="20" a="1"/>
  <c r="E111" i="20"/>
  <c r="E108" i="20" a="1"/>
  <c r="E108" i="20"/>
  <c r="E105" i="20" a="1"/>
  <c r="E105" i="20"/>
  <c r="E102" i="20" a="1"/>
  <c r="E102" i="20"/>
  <c r="E99" i="20" a="1"/>
  <c r="E99" i="20"/>
  <c r="E96" i="20" a="1"/>
  <c r="E96" i="20"/>
  <c r="E93" i="20" a="1"/>
  <c r="E93" i="20"/>
  <c r="E90" i="20" a="1"/>
  <c r="E90" i="20"/>
  <c r="E87" i="20" a="1"/>
  <c r="E87" i="20"/>
  <c r="E84" i="20" a="1"/>
  <c r="E84" i="20"/>
  <c r="E81" i="20" a="1"/>
  <c r="E81" i="20"/>
  <c r="E78" i="20" a="1"/>
  <c r="E78" i="20"/>
  <c r="E75" i="20" a="1"/>
  <c r="E75" i="20"/>
  <c r="C111" i="20" a="1"/>
  <c r="C111" i="20"/>
  <c r="G106" i="20" a="1"/>
  <c r="G106" i="20"/>
  <c r="C102" i="20" a="1"/>
  <c r="C102" i="20"/>
  <c r="C96" i="20" a="1"/>
  <c r="C96" i="20"/>
  <c r="G91" i="20" a="1"/>
  <c r="G91" i="20"/>
  <c r="G88" i="20" a="1"/>
  <c r="G88" i="20"/>
  <c r="C84" i="20" a="1"/>
  <c r="C84" i="20"/>
  <c r="G82" i="20" a="1"/>
  <c r="G82" i="20"/>
  <c r="C78" i="20" a="1"/>
  <c r="C78" i="20"/>
  <c r="G73" i="20" a="1"/>
  <c r="G73" i="20"/>
  <c r="E91" i="20" a="1"/>
  <c r="E91" i="20"/>
  <c r="D111" i="20" a="1"/>
  <c r="D111" i="20"/>
  <c r="D108" i="20" a="1"/>
  <c r="D108" i="20"/>
  <c r="D105" i="20" a="1"/>
  <c r="D105" i="20"/>
  <c r="D102" i="20" a="1"/>
  <c r="D102" i="20"/>
  <c r="D99" i="20" a="1"/>
  <c r="D99" i="20"/>
  <c r="D96" i="20" a="1"/>
  <c r="D96" i="20"/>
  <c r="D93" i="20" a="1"/>
  <c r="D93" i="20"/>
  <c r="D90" i="20" a="1"/>
  <c r="D90" i="20"/>
  <c r="D87" i="20" a="1"/>
  <c r="D87" i="20"/>
  <c r="D84" i="20" a="1"/>
  <c r="D84" i="20"/>
  <c r="D81" i="20" a="1"/>
  <c r="D81" i="20"/>
  <c r="D78" i="20" a="1"/>
  <c r="D78" i="20"/>
  <c r="D75" i="20" a="1"/>
  <c r="D75" i="20"/>
  <c r="G112" i="20" a="1"/>
  <c r="G112" i="20"/>
  <c r="C105" i="20" a="1"/>
  <c r="C105" i="20"/>
  <c r="G100" i="20" a="1"/>
  <c r="G100" i="20"/>
  <c r="G97" i="20" a="1"/>
  <c r="G97" i="20"/>
  <c r="G94" i="20" a="1"/>
  <c r="G94" i="20"/>
  <c r="C90" i="20" a="1"/>
  <c r="C90" i="20"/>
  <c r="G85" i="20" a="1"/>
  <c r="G85" i="20"/>
  <c r="C81" i="20" a="1"/>
  <c r="C81" i="20"/>
  <c r="G76" i="20" a="1"/>
  <c r="G76" i="20"/>
  <c r="E85" i="20" a="1"/>
  <c r="E85" i="20"/>
  <c r="C108" i="20" a="1"/>
  <c r="C108" i="20"/>
  <c r="F112" i="20" a="1"/>
  <c r="F112" i="20"/>
  <c r="F109" i="20" a="1"/>
  <c r="F109" i="20"/>
  <c r="F106" i="20" a="1"/>
  <c r="F106" i="20"/>
  <c r="F103" i="20" a="1"/>
  <c r="F103" i="20"/>
  <c r="F100" i="20" a="1"/>
  <c r="F100" i="20"/>
  <c r="F97" i="20" a="1"/>
  <c r="F97" i="20"/>
  <c r="F94" i="20" a="1"/>
  <c r="F94" i="20"/>
  <c r="F91" i="20" a="1"/>
  <c r="F91" i="20"/>
  <c r="F88" i="20" a="1"/>
  <c r="F88" i="20"/>
  <c r="F85" i="20" a="1"/>
  <c r="F85" i="20"/>
  <c r="F82" i="20" a="1"/>
  <c r="F82" i="20"/>
  <c r="F79" i="20" a="1"/>
  <c r="F79" i="20"/>
  <c r="F76" i="20" a="1"/>
  <c r="F76" i="20"/>
  <c r="F73" i="20" a="1"/>
  <c r="F73" i="20"/>
  <c r="E112" i="20" a="1"/>
  <c r="E112" i="20"/>
  <c r="E109" i="20" a="1"/>
  <c r="E109" i="20"/>
  <c r="E106" i="20" a="1"/>
  <c r="E106" i="20"/>
  <c r="E103" i="20" a="1"/>
  <c r="E103" i="20"/>
  <c r="E100" i="20" a="1"/>
  <c r="E100" i="20"/>
  <c r="E97" i="20" a="1"/>
  <c r="E97" i="20"/>
  <c r="E94" i="20" a="1"/>
  <c r="E94" i="20"/>
  <c r="E88" i="20" a="1"/>
  <c r="E88" i="20"/>
  <c r="E82" i="20" a="1"/>
  <c r="E82" i="20"/>
  <c r="E73" i="20" a="1"/>
  <c r="E73" i="20"/>
  <c r="DU12" i="5"/>
  <c r="DV10" i="5"/>
  <c r="ED10" i="5"/>
  <c r="EL10" i="5"/>
  <c r="ET10" i="5"/>
  <c r="DW28" i="5"/>
  <c r="EE28" i="5"/>
  <c r="EM28" i="5"/>
  <c r="EU28" i="5"/>
  <c r="DU26" i="5"/>
  <c r="EC26" i="5"/>
  <c r="EK26" i="5"/>
  <c r="ES26" i="5"/>
  <c r="DT7" i="5"/>
  <c r="DS24" i="5"/>
  <c r="EA24" i="5"/>
  <c r="EI24" i="5"/>
  <c r="EQ24" i="5"/>
  <c r="EL12" i="5"/>
  <c r="ET12" i="5"/>
  <c r="DV26" i="5"/>
  <c r="ED26" i="5"/>
  <c r="EL26" i="5"/>
  <c r="ET26" i="5"/>
  <c r="DV7" i="5"/>
  <c r="DT12" i="5"/>
  <c r="DS8" i="5"/>
  <c r="EA8" i="5"/>
  <c r="EI8" i="5"/>
  <c r="EQ8" i="5"/>
  <c r="DW12" i="5"/>
  <c r="EE12" i="5"/>
  <c r="EM12" i="5"/>
  <c r="EU12" i="5"/>
  <c r="DT8" i="5"/>
  <c r="EB8" i="5"/>
  <c r="EJ8" i="5"/>
  <c r="ER8" i="5"/>
  <c r="DU7" i="5"/>
  <c r="DW24" i="5"/>
  <c r="EE24" i="5"/>
  <c r="EM24" i="5"/>
  <c r="EU24" i="5"/>
  <c r="DT24" i="5"/>
  <c r="EB24" i="5"/>
  <c r="EJ24" i="5"/>
  <c r="ER24" i="5"/>
  <c r="DV9" i="5"/>
  <c r="DW9" i="5"/>
  <c r="DS13" i="5"/>
  <c r="EA13" i="5"/>
  <c r="EI13" i="5"/>
  <c r="EQ13" i="5"/>
  <c r="DS10" i="5"/>
  <c r="EA10" i="5"/>
  <c r="DS25" i="5"/>
  <c r="EA25" i="5"/>
  <c r="EI25" i="5"/>
  <c r="EQ25" i="5"/>
  <c r="EJ10" i="5"/>
  <c r="ER10" i="5"/>
  <c r="DS12" i="5"/>
  <c r="DU10" i="5"/>
  <c r="EC10" i="5"/>
  <c r="EK10" i="5"/>
  <c r="ES10" i="5"/>
  <c r="AK10" i="10"/>
  <c r="AB20" i="10"/>
  <c r="AB32" i="10"/>
  <c r="AJ7" i="10"/>
  <c r="AK9" i="10"/>
  <c r="AF12" i="10"/>
  <c r="AF14" i="10"/>
  <c r="AK16" i="10"/>
  <c r="AL18" i="10"/>
  <c r="AH21" i="10"/>
  <c r="AL23" i="10"/>
  <c r="AF26" i="10"/>
  <c r="AK28" i="10"/>
  <c r="AL30" i="10"/>
  <c r="AH33" i="10"/>
  <c r="AL35" i="10"/>
  <c r="AF38" i="10"/>
  <c r="AK40" i="10"/>
  <c r="AL42" i="10"/>
  <c r="AH45" i="10"/>
  <c r="AL47" i="10"/>
  <c r="AF50" i="10"/>
  <c r="AK52" i="10"/>
  <c r="AL54" i="10"/>
  <c r="AH57" i="10"/>
  <c r="AL59" i="10"/>
  <c r="AF62" i="10"/>
  <c r="AG65" i="10"/>
  <c r="AK67" i="10"/>
  <c r="AL72" i="10"/>
  <c r="AK7" i="10"/>
  <c r="AL9" i="10"/>
  <c r="AG12" i="10"/>
  <c r="AG14" i="10"/>
  <c r="AL16" i="10"/>
  <c r="AF19" i="10"/>
  <c r="AI21" i="10"/>
  <c r="AF24" i="10"/>
  <c r="AG26" i="10"/>
  <c r="AL28" i="10"/>
  <c r="AF31" i="10"/>
  <c r="AI33" i="10"/>
  <c r="AF36" i="10"/>
  <c r="AG38" i="10"/>
  <c r="AL40" i="10"/>
  <c r="AF43" i="10"/>
  <c r="AI45" i="10"/>
  <c r="AF48" i="10"/>
  <c r="AG50" i="10"/>
  <c r="AL52" i="10"/>
  <c r="AF55" i="10"/>
  <c r="AI57" i="10"/>
  <c r="AF60" i="10"/>
  <c r="AG62" i="10"/>
  <c r="AK65" i="10"/>
  <c r="AL67" i="10"/>
  <c r="AF73" i="10"/>
  <c r="AB17" i="10"/>
  <c r="AB29" i="10"/>
  <c r="AB41" i="10"/>
  <c r="AB53" i="10"/>
  <c r="AB8" i="10"/>
  <c r="AI10" i="10"/>
  <c r="AI12" i="10"/>
  <c r="AL14" i="10"/>
  <c r="AF17" i="10"/>
  <c r="AK19" i="10"/>
  <c r="AL21" i="10"/>
  <c r="AH24" i="10"/>
  <c r="AL26" i="10"/>
  <c r="AF29" i="10"/>
  <c r="AK31" i="10"/>
  <c r="AL33" i="10"/>
  <c r="AH36" i="10"/>
  <c r="AL38" i="10"/>
  <c r="AF41" i="10"/>
  <c r="AK43" i="10"/>
  <c r="AL45" i="10"/>
  <c r="AH48" i="10"/>
  <c r="AL50" i="10"/>
  <c r="AF53" i="10"/>
  <c r="AK55" i="10"/>
  <c r="AL57" i="10"/>
  <c r="AH60" i="10"/>
  <c r="AL62" i="10"/>
  <c r="AI66" i="10"/>
  <c r="AK68" i="10"/>
  <c r="AG70" i="10"/>
  <c r="AI73" i="10"/>
  <c r="AK24" i="10"/>
  <c r="AK48" i="10"/>
  <c r="AK29" i="10"/>
  <c r="AK41" i="10"/>
  <c r="AB44" i="10"/>
  <c r="AK53" i="10"/>
  <c r="AB56" i="10"/>
  <c r="AK60" i="10"/>
  <c r="AH6" i="10"/>
  <c r="AK8" i="10"/>
  <c r="AL10" i="10"/>
  <c r="AF13" i="10"/>
  <c r="AH15" i="10"/>
  <c r="AL17" i="10"/>
  <c r="AF20" i="10"/>
  <c r="AK22" i="10"/>
  <c r="AL24" i="10"/>
  <c r="AH27" i="10"/>
  <c r="AL29" i="10"/>
  <c r="AF32" i="10"/>
  <c r="AK34" i="10"/>
  <c r="AL36" i="10"/>
  <c r="AH39" i="10"/>
  <c r="AL41" i="10"/>
  <c r="AF44" i="10"/>
  <c r="AK46" i="10"/>
  <c r="AL48" i="10"/>
  <c r="AH51" i="10"/>
  <c r="AL53" i="10"/>
  <c r="AF56" i="10"/>
  <c r="AK58" i="10"/>
  <c r="AL60" i="10"/>
  <c r="AI63" i="10"/>
  <c r="AG69" i="10"/>
  <c r="AG71" i="10"/>
  <c r="AK74" i="10"/>
  <c r="AK36" i="10"/>
  <c r="AK63" i="10"/>
  <c r="AK6" i="10"/>
  <c r="AF9" i="10"/>
  <c r="AF11" i="10"/>
  <c r="AJ13" i="10"/>
  <c r="AK15" i="10"/>
  <c r="AG18" i="10"/>
  <c r="AK20" i="10"/>
  <c r="AB23" i="10"/>
  <c r="AJ25" i="10"/>
  <c r="AK27" i="10"/>
  <c r="AG30" i="10"/>
  <c r="AK32" i="10"/>
  <c r="AB35" i="10"/>
  <c r="AJ37" i="10"/>
  <c r="AK39" i="10"/>
  <c r="AG42" i="10"/>
  <c r="AK44" i="10"/>
  <c r="AB47" i="10"/>
  <c r="AJ49" i="10"/>
  <c r="AK51" i="10"/>
  <c r="AG54" i="10"/>
  <c r="AK56" i="10"/>
  <c r="AB59" i="10"/>
  <c r="AJ61" i="10"/>
  <c r="AL63" i="10"/>
  <c r="AK69" i="10"/>
  <c r="AK71" i="10"/>
  <c r="AF75" i="10"/>
  <c r="AL6" i="10"/>
  <c r="AG9" i="10"/>
  <c r="AG11" i="10"/>
  <c r="AK13" i="10"/>
  <c r="AL15" i="10"/>
  <c r="AH18" i="10"/>
  <c r="AL20" i="10"/>
  <c r="AF23" i="10"/>
  <c r="AK25" i="10"/>
  <c r="AL27" i="10"/>
  <c r="AH30" i="10"/>
  <c r="AL32" i="10"/>
  <c r="AF35" i="10"/>
  <c r="AK37" i="10"/>
  <c r="AL39" i="10"/>
  <c r="AH42" i="10"/>
  <c r="AL44" i="10"/>
  <c r="AF47" i="10"/>
  <c r="AK49" i="10"/>
  <c r="AL51" i="10"/>
  <c r="AH54" i="10"/>
  <c r="AL56" i="10"/>
  <c r="AF59" i="10"/>
  <c r="AK61" i="10"/>
  <c r="AK64" i="10"/>
  <c r="AL69" i="10"/>
  <c r="AL71" i="10"/>
  <c r="AG75" i="10"/>
  <c r="AK17" i="10"/>
  <c r="AF7" i="10"/>
  <c r="AH9" i="10"/>
  <c r="AK11" i="10"/>
  <c r="AL13" i="10"/>
  <c r="AF16" i="10"/>
  <c r="AI18" i="10"/>
  <c r="AF21" i="10"/>
  <c r="AG23" i="10"/>
  <c r="AL25" i="10"/>
  <c r="AF28" i="10"/>
  <c r="AI30" i="10"/>
  <c r="AF33" i="10"/>
  <c r="AG35" i="10"/>
  <c r="AL37" i="10"/>
  <c r="AF40" i="10"/>
  <c r="AI42" i="10"/>
  <c r="AF45" i="10"/>
  <c r="AG47" i="10"/>
  <c r="AL49" i="10"/>
  <c r="AF52" i="10"/>
  <c r="AI54" i="10"/>
  <c r="AF57" i="10"/>
  <c r="AG59" i="10"/>
  <c r="AL61" i="10"/>
  <c r="AL64" i="10"/>
  <c r="AF67" i="10"/>
  <c r="AF72" i="10"/>
  <c r="AK75" i="10"/>
  <c r="AB11" i="10"/>
  <c r="AI7" i="10"/>
  <c r="AI9" i="10"/>
  <c r="AL11" i="10"/>
  <c r="AB14" i="10"/>
  <c r="AJ16" i="10"/>
  <c r="AK18" i="10"/>
  <c r="AG21" i="10"/>
  <c r="AK23" i="10"/>
  <c r="AB26" i="10"/>
  <c r="AJ28" i="10"/>
  <c r="AK30" i="10"/>
  <c r="AG33" i="10"/>
  <c r="AK35" i="10"/>
  <c r="AB38" i="10"/>
  <c r="AJ40" i="10"/>
  <c r="AK42" i="10"/>
  <c r="AG45" i="10"/>
  <c r="AK47" i="10"/>
  <c r="AB50" i="10"/>
  <c r="AJ52" i="10"/>
  <c r="AK54" i="10"/>
  <c r="AG57" i="10"/>
  <c r="AK59" i="10"/>
  <c r="AF65" i="10"/>
  <c r="AG67" i="10"/>
  <c r="AJ6" i="10"/>
  <c r="AJ12" i="10"/>
  <c r="AJ18" i="10"/>
  <c r="AJ24" i="10"/>
  <c r="AJ27" i="10"/>
  <c r="AJ60" i="10"/>
  <c r="AH8" i="10"/>
  <c r="AE75" i="10"/>
  <c r="AE74" i="10"/>
  <c r="AE73" i="10"/>
  <c r="AE72" i="10"/>
  <c r="AE71" i="10"/>
  <c r="AE70" i="10"/>
  <c r="AE69" i="10"/>
  <c r="AE68" i="10"/>
  <c r="AE67" i="10"/>
  <c r="AE66" i="10"/>
  <c r="AE65" i="10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49" i="10"/>
  <c r="AE48" i="10"/>
  <c r="AE47" i="10"/>
  <c r="AE46" i="10"/>
  <c r="AE45" i="10"/>
  <c r="AE44" i="10"/>
  <c r="AE43" i="10"/>
  <c r="AE42" i="10"/>
  <c r="AE41" i="10"/>
  <c r="AE40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1" i="10"/>
  <c r="AE20" i="10"/>
  <c r="AE19" i="10"/>
  <c r="AE18" i="10"/>
  <c r="AE17" i="10"/>
  <c r="AE16" i="10"/>
  <c r="AE15" i="10"/>
  <c r="AE14" i="10"/>
  <c r="AE13" i="10"/>
  <c r="AE12" i="10"/>
  <c r="AE11" i="10"/>
  <c r="AE10" i="10"/>
  <c r="AE9" i="10"/>
  <c r="AE8" i="10"/>
  <c r="AE7" i="10"/>
  <c r="AE6" i="10"/>
  <c r="AJ8" i="10"/>
  <c r="AJ11" i="10"/>
  <c r="AJ14" i="10"/>
  <c r="AJ17" i="10"/>
  <c r="AJ20" i="10"/>
  <c r="AJ23" i="10"/>
  <c r="AJ26" i="10"/>
  <c r="AJ29" i="10"/>
  <c r="AJ32" i="10"/>
  <c r="AJ35" i="10"/>
  <c r="AJ38" i="10"/>
  <c r="AJ44" i="10"/>
  <c r="AJ47" i="10"/>
  <c r="AJ50" i="10"/>
  <c r="AJ53" i="10"/>
  <c r="AJ56" i="10"/>
  <c r="AJ59" i="10"/>
  <c r="AG64" i="10"/>
  <c r="AH68" i="10"/>
  <c r="AI72" i="10"/>
  <c r="AG74" i="10"/>
  <c r="AD75" i="10"/>
  <c r="AD74" i="10"/>
  <c r="AD73" i="10"/>
  <c r="AD72" i="10"/>
  <c r="AD71" i="10"/>
  <c r="AD70" i="10"/>
  <c r="AD69" i="10"/>
  <c r="AD68" i="10"/>
  <c r="AD67" i="10"/>
  <c r="AD66" i="10"/>
  <c r="AD65" i="10"/>
  <c r="AD64" i="10"/>
  <c r="AD63" i="10"/>
  <c r="AD62" i="10"/>
  <c r="AD61" i="10"/>
  <c r="AD60" i="10"/>
  <c r="AD59" i="10"/>
  <c r="AD58" i="10"/>
  <c r="AD57" i="10"/>
  <c r="AD56" i="10"/>
  <c r="AD55" i="10"/>
  <c r="AD54" i="10"/>
  <c r="AD53" i="10"/>
  <c r="AD52" i="10"/>
  <c r="AD51" i="10"/>
  <c r="AD50" i="10"/>
  <c r="AD49" i="10"/>
  <c r="AD48" i="10"/>
  <c r="AD47" i="10"/>
  <c r="AD46" i="10"/>
  <c r="AD45" i="10"/>
  <c r="AD44" i="10"/>
  <c r="AD43" i="10"/>
  <c r="AD42" i="10"/>
  <c r="AD41" i="10"/>
  <c r="AD40" i="10"/>
  <c r="AD39" i="10"/>
  <c r="AD38" i="10"/>
  <c r="AD37" i="10"/>
  <c r="AD36" i="10"/>
  <c r="AD35" i="10"/>
  <c r="AD34" i="10"/>
  <c r="AD33" i="10"/>
  <c r="AD32" i="10"/>
  <c r="AD31" i="10"/>
  <c r="AD30" i="10"/>
  <c r="AD29" i="10"/>
  <c r="AD28" i="10"/>
  <c r="AD27" i="10"/>
  <c r="AD26" i="10"/>
  <c r="AD25" i="10"/>
  <c r="AD24" i="10"/>
  <c r="AD23" i="10"/>
  <c r="AD22" i="10"/>
  <c r="AD21" i="10"/>
  <c r="AD20" i="10"/>
  <c r="AD19" i="10"/>
  <c r="AD18" i="10"/>
  <c r="AD17" i="10"/>
  <c r="AD16" i="10"/>
  <c r="AD15" i="10"/>
  <c r="AD14" i="10"/>
  <c r="AD13" i="10"/>
  <c r="AD12" i="10"/>
  <c r="AD11" i="10"/>
  <c r="AD10" i="10"/>
  <c r="AD9" i="10"/>
  <c r="AD8" i="10"/>
  <c r="AD7" i="10"/>
  <c r="AD6" i="10"/>
  <c r="AG7" i="10"/>
  <c r="AG10" i="10"/>
  <c r="AG13" i="10"/>
  <c r="AG16" i="10"/>
  <c r="AG19" i="10"/>
  <c r="AG22" i="10"/>
  <c r="AG25" i="10"/>
  <c r="AG28" i="10"/>
  <c r="AG31" i="10"/>
  <c r="AG34" i="10"/>
  <c r="AG37" i="10"/>
  <c r="AG40" i="10"/>
  <c r="AG43" i="10"/>
  <c r="AG46" i="10"/>
  <c r="AG49" i="10"/>
  <c r="AG52" i="10"/>
  <c r="AG55" i="10"/>
  <c r="AG58" i="10"/>
  <c r="AG61" i="10"/>
  <c r="AH64" i="10"/>
  <c r="AF66" i="10"/>
  <c r="AI68" i="10"/>
  <c r="AJ72" i="10"/>
  <c r="AH74" i="10"/>
  <c r="AJ48" i="10"/>
  <c r="AH70" i="10"/>
  <c r="AI75" i="10"/>
  <c r="AJ41" i="10"/>
  <c r="AJ62" i="10"/>
  <c r="AH7" i="10"/>
  <c r="AH10" i="10"/>
  <c r="AH13" i="10"/>
  <c r="AH16" i="10"/>
  <c r="AH19" i="10"/>
  <c r="AH22" i="10"/>
  <c r="AH25" i="10"/>
  <c r="AH28" i="10"/>
  <c r="AH31" i="10"/>
  <c r="AH34" i="10"/>
  <c r="AH37" i="10"/>
  <c r="AH40" i="10"/>
  <c r="AH43" i="10"/>
  <c r="AH46" i="10"/>
  <c r="AH49" i="10"/>
  <c r="AH52" i="10"/>
  <c r="AH55" i="10"/>
  <c r="AH58" i="10"/>
  <c r="AH61" i="10"/>
  <c r="AI64" i="10"/>
  <c r="AG66" i="10"/>
  <c r="AJ68" i="10"/>
  <c r="AF71" i="10"/>
  <c r="AI74" i="10"/>
  <c r="AB73" i="10"/>
  <c r="AB75" i="10"/>
  <c r="AB74" i="10"/>
  <c r="AB72" i="10"/>
  <c r="AB71" i="10"/>
  <c r="AB70" i="10"/>
  <c r="AB69" i="10"/>
  <c r="AB68" i="10"/>
  <c r="AB67" i="10"/>
  <c r="AB66" i="10"/>
  <c r="AB65" i="10"/>
  <c r="AB64" i="10"/>
  <c r="AB6" i="10"/>
  <c r="AB9" i="10"/>
  <c r="AB12" i="10"/>
  <c r="AB15" i="10"/>
  <c r="AI16" i="10"/>
  <c r="AB18" i="10"/>
  <c r="AI19" i="10"/>
  <c r="AB21" i="10"/>
  <c r="AI22" i="10"/>
  <c r="AB24" i="10"/>
  <c r="AI25" i="10"/>
  <c r="AB27" i="10"/>
  <c r="AI28" i="10"/>
  <c r="AB30" i="10"/>
  <c r="AI31" i="10"/>
  <c r="AB33" i="10"/>
  <c r="AI34" i="10"/>
  <c r="AB36" i="10"/>
  <c r="AI37" i="10"/>
  <c r="AB39" i="10"/>
  <c r="AI40" i="10"/>
  <c r="AB42" i="10"/>
  <c r="AI43" i="10"/>
  <c r="AB45" i="10"/>
  <c r="AI46" i="10"/>
  <c r="AB48" i="10"/>
  <c r="AI49" i="10"/>
  <c r="AB51" i="10"/>
  <c r="AI52" i="10"/>
  <c r="AB54" i="10"/>
  <c r="AI55" i="10"/>
  <c r="AB57" i="10"/>
  <c r="AI58" i="10"/>
  <c r="AB60" i="10"/>
  <c r="AI61" i="10"/>
  <c r="AB63" i="10"/>
  <c r="AJ64" i="10"/>
  <c r="AH66" i="10"/>
  <c r="AJ74" i="10"/>
  <c r="AJ66" i="10"/>
  <c r="AH67" i="10"/>
  <c r="AI71" i="10"/>
  <c r="AH63" i="10"/>
  <c r="AI67" i="10"/>
  <c r="AJ71" i="10"/>
  <c r="AH73" i="10"/>
  <c r="AJ9" i="10"/>
  <c r="AJ15" i="10"/>
  <c r="AJ21" i="10"/>
  <c r="AJ30" i="10"/>
  <c r="AJ33" i="10"/>
  <c r="AJ36" i="10"/>
  <c r="AJ39" i="10"/>
  <c r="AJ42" i="10"/>
  <c r="AJ45" i="10"/>
  <c r="AJ51" i="10"/>
  <c r="AJ54" i="10"/>
  <c r="AJ57" i="10"/>
  <c r="AJ63" i="10"/>
  <c r="AH65" i="10"/>
  <c r="AI69" i="10"/>
  <c r="AJ73" i="10"/>
  <c r="AH75" i="10"/>
  <c r="AJ67" i="10"/>
  <c r="AI65" i="10"/>
  <c r="AJ69" i="10"/>
  <c r="AH11" i="10"/>
  <c r="AH14" i="10"/>
  <c r="AH17" i="10"/>
  <c r="AH20" i="10"/>
  <c r="AH23" i="10"/>
  <c r="AH26" i="10"/>
  <c r="AH29" i="10"/>
  <c r="AH32" i="10"/>
  <c r="AH35" i="10"/>
  <c r="AH38" i="10"/>
  <c r="AH41" i="10"/>
  <c r="AH44" i="10"/>
  <c r="AH47" i="10"/>
  <c r="AH50" i="10"/>
  <c r="AH53" i="10"/>
  <c r="AH56" i="10"/>
  <c r="AH59" i="10"/>
  <c r="AH62" i="10"/>
  <c r="AJ65" i="10"/>
  <c r="AI70" i="10"/>
  <c r="AG72" i="10"/>
  <c r="AB7" i="10"/>
  <c r="AI8" i="10"/>
  <c r="AB10" i="10"/>
  <c r="AI11" i="10"/>
  <c r="AB13" i="10"/>
  <c r="AI14" i="10"/>
  <c r="AB16" i="10"/>
  <c r="AI17" i="10"/>
  <c r="AB19" i="10"/>
  <c r="AI20" i="10"/>
  <c r="AB22" i="10"/>
  <c r="AI23" i="10"/>
  <c r="AB25" i="10"/>
  <c r="AI26" i="10"/>
  <c r="AB28" i="10"/>
  <c r="AI29" i="10"/>
  <c r="AB31" i="10"/>
  <c r="AI32" i="10"/>
  <c r="AB34" i="10"/>
  <c r="AI35" i="10"/>
  <c r="AB37" i="10"/>
  <c r="AI38" i="10"/>
  <c r="AB40" i="10"/>
  <c r="AI41" i="10"/>
  <c r="AB43" i="10"/>
  <c r="AI44" i="10"/>
  <c r="AB46" i="10"/>
  <c r="AI47" i="10"/>
  <c r="AB49" i="10"/>
  <c r="AI50" i="10"/>
  <c r="AB52" i="10"/>
  <c r="AI53" i="10"/>
  <c r="AB55" i="10"/>
  <c r="AI56" i="10"/>
  <c r="AB58" i="10"/>
  <c r="AI59" i="10"/>
  <c r="AB61" i="10"/>
  <c r="AI62" i="10"/>
  <c r="AF64" i="10"/>
  <c r="AJ70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EL5" i="5"/>
  <c r="EL3" i="5"/>
  <c r="ED3" i="5"/>
  <c r="EI5" i="5"/>
  <c r="EI3" i="5"/>
  <c r="EA3" i="5"/>
  <c r="EJ5" i="5"/>
  <c r="EJ3" i="5"/>
  <c r="EB3" i="5"/>
  <c r="EM5" i="5"/>
  <c r="EM3" i="5"/>
  <c r="EE3" i="5"/>
  <c r="EH5" i="5"/>
  <c r="EH3" i="5"/>
  <c r="DZ3" i="5"/>
  <c r="EN5" i="5"/>
  <c r="EN3" i="5"/>
  <c r="EF3" i="5"/>
  <c r="EG5" i="5"/>
  <c r="EG3" i="5"/>
  <c r="DY3" i="5"/>
  <c r="EK5" i="5"/>
  <c r="EK3" i="5"/>
  <c r="EC3" i="5"/>
  <c r="K25" i="9"/>
  <c r="K18" i="9"/>
  <c r="K15" i="9"/>
  <c r="K17" i="9"/>
  <c r="K35" i="9"/>
  <c r="K11" i="9"/>
  <c r="K13" i="9"/>
  <c r="K24" i="9"/>
  <c r="K32" i="9"/>
  <c r="K33" i="9"/>
  <c r="K23" i="9"/>
  <c r="K34" i="9"/>
  <c r="K12" i="9"/>
  <c r="K14" i="9"/>
  <c r="K16" i="9"/>
  <c r="D46" i="20"/>
  <c r="D43" i="20"/>
  <c r="D40" i="20"/>
  <c r="G39" i="20"/>
  <c r="C38" i="20"/>
  <c r="G36" i="20"/>
  <c r="C35" i="20"/>
  <c r="G33" i="20"/>
  <c r="C32" i="20"/>
  <c r="G30" i="20"/>
  <c r="C29" i="20"/>
  <c r="G27" i="20"/>
  <c r="C26" i="20"/>
  <c r="G24" i="20"/>
  <c r="C23" i="20"/>
  <c r="G21" i="20"/>
  <c r="C20" i="20"/>
  <c r="G18" i="20"/>
  <c r="C17" i="20"/>
  <c r="G15" i="20"/>
  <c r="C14" i="20"/>
  <c r="G12" i="20"/>
  <c r="C11" i="20"/>
  <c r="G9" i="20"/>
  <c r="C8" i="20"/>
  <c r="G6" i="20"/>
  <c r="C5" i="20"/>
  <c r="E34" i="20"/>
  <c r="E28" i="20"/>
  <c r="E16" i="20"/>
  <c r="E4" i="20"/>
  <c r="D4" i="20"/>
  <c r="E43" i="20"/>
  <c r="G47" i="20"/>
  <c r="C46" i="20"/>
  <c r="G44" i="20"/>
  <c r="C43" i="20"/>
  <c r="G41" i="20"/>
  <c r="C40" i="20"/>
  <c r="F39" i="20"/>
  <c r="F36" i="20"/>
  <c r="F33" i="20"/>
  <c r="F30" i="20"/>
  <c r="F27" i="20"/>
  <c r="F24" i="20"/>
  <c r="F21" i="20"/>
  <c r="F18" i="20"/>
  <c r="F15" i="20"/>
  <c r="F12" i="20"/>
  <c r="F9" i="20"/>
  <c r="F6" i="20"/>
  <c r="F45" i="20"/>
  <c r="E22" i="20"/>
  <c r="E48" i="20"/>
  <c r="D34" i="20"/>
  <c r="D25" i="20"/>
  <c r="D16" i="20"/>
  <c r="D32" i="20"/>
  <c r="F47" i="20"/>
  <c r="F44" i="20"/>
  <c r="F41" i="20"/>
  <c r="E39" i="20"/>
  <c r="E36" i="20"/>
  <c r="E33" i="20"/>
  <c r="E30" i="20"/>
  <c r="E27" i="20"/>
  <c r="E24" i="20"/>
  <c r="E21" i="20"/>
  <c r="E18" i="20"/>
  <c r="E15" i="20"/>
  <c r="E12" i="20"/>
  <c r="E9" i="20"/>
  <c r="E6" i="20"/>
  <c r="F42" i="20"/>
  <c r="E31" i="20"/>
  <c r="E13" i="20"/>
  <c r="D31" i="20"/>
  <c r="D22" i="20"/>
  <c r="D13" i="20"/>
  <c r="E46" i="20"/>
  <c r="D8" i="20"/>
  <c r="E47" i="20"/>
  <c r="E44" i="20"/>
  <c r="E41" i="20"/>
  <c r="D39" i="20"/>
  <c r="D36" i="20"/>
  <c r="D33" i="20"/>
  <c r="D30" i="20"/>
  <c r="D27" i="20"/>
  <c r="D24" i="20"/>
  <c r="D21" i="20"/>
  <c r="D18" i="20"/>
  <c r="D15" i="20"/>
  <c r="D12" i="20"/>
  <c r="D9" i="20"/>
  <c r="D6" i="20"/>
  <c r="E37" i="20"/>
  <c r="E25" i="20"/>
  <c r="E42" i="20"/>
  <c r="D28" i="20"/>
  <c r="D19" i="20"/>
  <c r="D38" i="20"/>
  <c r="D47" i="20"/>
  <c r="D44" i="20"/>
  <c r="D41" i="20"/>
  <c r="C39" i="20"/>
  <c r="G37" i="20"/>
  <c r="C36" i="20"/>
  <c r="G34" i="20"/>
  <c r="C33" i="20"/>
  <c r="G31" i="20"/>
  <c r="C30" i="20"/>
  <c r="G28" i="20"/>
  <c r="C27" i="20"/>
  <c r="G25" i="20"/>
  <c r="C24" i="20"/>
  <c r="G22" i="20"/>
  <c r="C21" i="20"/>
  <c r="G19" i="20"/>
  <c r="C18" i="20"/>
  <c r="G16" i="20"/>
  <c r="C15" i="20"/>
  <c r="G13" i="20"/>
  <c r="C12" i="20"/>
  <c r="G10" i="20"/>
  <c r="C9" i="20"/>
  <c r="G7" i="20"/>
  <c r="C6" i="20"/>
  <c r="G4" i="20"/>
  <c r="F48" i="20"/>
  <c r="E19" i="20"/>
  <c r="E10" i="20"/>
  <c r="D37" i="20"/>
  <c r="D7" i="20"/>
  <c r="D35" i="20"/>
  <c r="G48" i="20"/>
  <c r="C47" i="20"/>
  <c r="G45" i="20"/>
  <c r="C44" i="20"/>
  <c r="G42" i="20"/>
  <c r="C41" i="20"/>
  <c r="F37" i="20"/>
  <c r="F34" i="20"/>
  <c r="F31" i="20"/>
  <c r="F28" i="20"/>
  <c r="F25" i="20"/>
  <c r="F22" i="20"/>
  <c r="F19" i="20"/>
  <c r="F16" i="20"/>
  <c r="F13" i="20"/>
  <c r="F10" i="20"/>
  <c r="F7" i="20"/>
  <c r="F4" i="20"/>
  <c r="E7" i="20"/>
  <c r="E45" i="20"/>
  <c r="D10" i="20"/>
  <c r="D48" i="20"/>
  <c r="D45" i="20"/>
  <c r="D42" i="20"/>
  <c r="G38" i="20"/>
  <c r="C37" i="20"/>
  <c r="G35" i="20"/>
  <c r="C34" i="20"/>
  <c r="G32" i="20"/>
  <c r="C31" i="20"/>
  <c r="G29" i="20"/>
  <c r="C28" i="20"/>
  <c r="G26" i="20"/>
  <c r="C25" i="20"/>
  <c r="G23" i="20"/>
  <c r="C22" i="20"/>
  <c r="G20" i="20"/>
  <c r="C19" i="20"/>
  <c r="G17" i="20"/>
  <c r="C16" i="20"/>
  <c r="G14" i="20"/>
  <c r="C13" i="20"/>
  <c r="G11" i="20"/>
  <c r="C10" i="20"/>
  <c r="G8" i="20"/>
  <c r="C7" i="20"/>
  <c r="G5" i="20"/>
  <c r="C4" i="20"/>
  <c r="F46" i="20"/>
  <c r="F43" i="20"/>
  <c r="E38" i="20"/>
  <c r="E32" i="20"/>
  <c r="E26" i="20"/>
  <c r="E20" i="20"/>
  <c r="E14" i="20"/>
  <c r="E8" i="20"/>
  <c r="D29" i="20"/>
  <c r="D26" i="20"/>
  <c r="D17" i="20"/>
  <c r="D11" i="20"/>
  <c r="C48" i="20"/>
  <c r="G46" i="20"/>
  <c r="C45" i="20"/>
  <c r="G43" i="20"/>
  <c r="C42" i="20"/>
  <c r="G40" i="20"/>
  <c r="F38" i="20"/>
  <c r="F35" i="20"/>
  <c r="F32" i="20"/>
  <c r="F29" i="20"/>
  <c r="F26" i="20"/>
  <c r="F23" i="20"/>
  <c r="F20" i="20"/>
  <c r="F17" i="20"/>
  <c r="F14" i="20"/>
  <c r="F11" i="20"/>
  <c r="F8" i="20"/>
  <c r="F5" i="20"/>
  <c r="F40" i="20"/>
  <c r="E35" i="20"/>
  <c r="E29" i="20"/>
  <c r="E23" i="20"/>
  <c r="E17" i="20"/>
  <c r="E11" i="20"/>
  <c r="E5" i="20"/>
  <c r="E40" i="20"/>
  <c r="D23" i="20"/>
  <c r="D20" i="20"/>
  <c r="D14" i="20"/>
  <c r="D5" i="20"/>
  <c r="BS26" i="5"/>
  <c r="BS12" i="5"/>
  <c r="BS25" i="5"/>
  <c r="BS40" i="5"/>
  <c r="BS37" i="5"/>
  <c r="BS29" i="5"/>
  <c r="BS20" i="5"/>
  <c r="BS32" i="5"/>
  <c r="BS33" i="5"/>
  <c r="BS13" i="5"/>
  <c r="BS27" i="5"/>
  <c r="BS6" i="5"/>
  <c r="BS19" i="5"/>
  <c r="BS28" i="5"/>
  <c r="BS14" i="5"/>
  <c r="BS17" i="5"/>
  <c r="BS35" i="5"/>
  <c r="BS34" i="5"/>
  <c r="BS39" i="5"/>
  <c r="BS9" i="5"/>
  <c r="BS7" i="5"/>
  <c r="BS15" i="5"/>
  <c r="BS36" i="5"/>
  <c r="BS22" i="5"/>
  <c r="BS30" i="5"/>
  <c r="BS31" i="5"/>
  <c r="BS38" i="5"/>
  <c r="BS21" i="5"/>
  <c r="BS41" i="5"/>
  <c r="BS11" i="5"/>
  <c r="BS8" i="5"/>
  <c r="BS10" i="5"/>
  <c r="BS16" i="5"/>
  <c r="BS18" i="5"/>
  <c r="BS24" i="5"/>
  <c r="BS23" i="5"/>
  <c r="X27" i="5"/>
  <c r="X35" i="5"/>
  <c r="Z27" i="5"/>
  <c r="Z35" i="5"/>
  <c r="Y27" i="5"/>
  <c r="Y35" i="5"/>
  <c r="AC27" i="5"/>
  <c r="AC35" i="5"/>
  <c r="V27" i="5"/>
  <c r="V35" i="5"/>
  <c r="AB27" i="5"/>
  <c r="AB35" i="5"/>
  <c r="W27" i="5"/>
  <c r="W35" i="5"/>
  <c r="V23" i="5"/>
  <c r="V31" i="5"/>
  <c r="W26" i="5"/>
  <c r="W34" i="5"/>
  <c r="X23" i="5"/>
  <c r="X31" i="5"/>
  <c r="Y22" i="5"/>
  <c r="Y30" i="5"/>
  <c r="Y25" i="5"/>
  <c r="Y33" i="5"/>
  <c r="AM41" i="5"/>
  <c r="AZ41" i="5"/>
  <c r="AM40" i="5"/>
  <c r="AM39" i="5"/>
  <c r="AZ39" i="5"/>
  <c r="AM38" i="5"/>
  <c r="AM37" i="5"/>
  <c r="AM36" i="5"/>
  <c r="AM35" i="5"/>
  <c r="AM34" i="5"/>
  <c r="AM33" i="5"/>
  <c r="AM32" i="5"/>
  <c r="AM31" i="5"/>
  <c r="AM30" i="5"/>
  <c r="AM29" i="5"/>
  <c r="AZ29" i="5"/>
  <c r="AM28" i="5"/>
  <c r="AM27" i="5"/>
  <c r="AZ27" i="5"/>
  <c r="AM26" i="5"/>
  <c r="AM25" i="5"/>
  <c r="AM24" i="5"/>
  <c r="AM23" i="5"/>
  <c r="AM22" i="5"/>
  <c r="AM21" i="5"/>
  <c r="AM20" i="5"/>
  <c r="AM19" i="5"/>
  <c r="AM18" i="5"/>
  <c r="AM17" i="5"/>
  <c r="AZ17" i="5"/>
  <c r="AM16" i="5"/>
  <c r="AM15" i="5"/>
  <c r="AM14" i="5"/>
  <c r="AM13" i="5"/>
  <c r="AM12" i="5"/>
  <c r="AM11" i="5"/>
  <c r="AM10" i="5"/>
  <c r="AM9" i="5"/>
  <c r="AM8" i="5"/>
  <c r="AM7" i="5"/>
  <c r="AM6" i="5"/>
  <c r="Z22" i="5"/>
  <c r="Z30" i="5"/>
  <c r="Z23" i="5"/>
  <c r="Z31" i="5"/>
  <c r="Z24" i="5"/>
  <c r="Z32" i="5"/>
  <c r="Z25" i="5"/>
  <c r="Z33" i="5"/>
  <c r="Z26" i="5"/>
  <c r="Z34" i="5"/>
  <c r="AN41" i="5"/>
  <c r="AN40" i="5"/>
  <c r="AN39" i="5"/>
  <c r="AN38" i="5"/>
  <c r="AN37" i="5"/>
  <c r="AN36" i="5"/>
  <c r="AN35" i="5"/>
  <c r="BA35" i="5"/>
  <c r="AN34" i="5"/>
  <c r="BA34" i="5"/>
  <c r="AN33" i="5"/>
  <c r="BA33" i="5"/>
  <c r="AN32" i="5"/>
  <c r="AN31" i="5"/>
  <c r="AN30" i="5"/>
  <c r="AN29" i="5"/>
  <c r="AN28" i="5"/>
  <c r="AN27" i="5"/>
  <c r="AN26" i="5"/>
  <c r="AN25" i="5"/>
  <c r="AN24" i="5"/>
  <c r="AN23" i="5"/>
  <c r="BA23" i="5"/>
  <c r="AN22" i="5"/>
  <c r="BA22" i="5"/>
  <c r="AN21" i="5"/>
  <c r="BA21" i="5"/>
  <c r="AN20" i="5"/>
  <c r="AN19" i="5"/>
  <c r="AN18" i="5"/>
  <c r="AN17" i="5"/>
  <c r="AN16" i="5"/>
  <c r="AN15" i="5"/>
  <c r="AN14" i="5"/>
  <c r="AN13" i="5"/>
  <c r="AN12" i="5"/>
  <c r="AN11" i="5"/>
  <c r="BA11" i="5"/>
  <c r="AN10" i="5"/>
  <c r="BA10" i="5"/>
  <c r="AN9" i="5"/>
  <c r="BA9" i="5"/>
  <c r="AN8" i="5"/>
  <c r="AN7" i="5"/>
  <c r="AN6" i="5"/>
  <c r="AA22" i="5"/>
  <c r="AA30" i="5"/>
  <c r="AA23" i="5"/>
  <c r="AA31" i="5"/>
  <c r="AA24" i="5"/>
  <c r="AA32" i="5"/>
  <c r="AA25" i="5"/>
  <c r="AA33" i="5"/>
  <c r="AA26" i="5"/>
  <c r="AA34" i="5"/>
  <c r="AA27" i="5"/>
  <c r="AA35" i="5"/>
  <c r="AI31" i="5"/>
  <c r="AI21" i="5"/>
  <c r="AI14" i="5"/>
  <c r="AI8" i="5"/>
  <c r="AI41" i="5"/>
  <c r="AI35" i="5"/>
  <c r="AI26" i="5"/>
  <c r="AI19" i="5"/>
  <c r="AI13" i="5"/>
  <c r="AI39" i="5"/>
  <c r="AI34" i="5"/>
  <c r="AI28" i="5"/>
  <c r="AI24" i="5"/>
  <c r="AI18" i="5"/>
  <c r="AV18" i="5"/>
  <c r="AI11" i="5"/>
  <c r="AV11" i="5"/>
  <c r="AI38" i="5"/>
  <c r="AI32" i="5"/>
  <c r="AI25" i="5"/>
  <c r="AI15" i="5"/>
  <c r="AI7" i="5"/>
  <c r="AI37" i="5"/>
  <c r="AI33" i="5"/>
  <c r="AI27" i="5"/>
  <c r="AI22" i="5"/>
  <c r="AI17" i="5"/>
  <c r="AI10" i="5"/>
  <c r="AV10" i="5"/>
  <c r="AI36" i="5"/>
  <c r="AI30" i="5"/>
  <c r="AI23" i="5"/>
  <c r="AI16" i="5"/>
  <c r="AI9" i="5"/>
  <c r="AI40" i="5"/>
  <c r="AI29" i="5"/>
  <c r="AI20" i="5"/>
  <c r="AI12" i="5"/>
  <c r="AI6" i="5"/>
  <c r="W25" i="5"/>
  <c r="W33" i="5"/>
  <c r="X25" i="5"/>
  <c r="X33" i="5"/>
  <c r="Y23" i="5"/>
  <c r="Y31" i="5"/>
  <c r="AB22" i="5"/>
  <c r="AB30" i="5"/>
  <c r="AB24" i="5"/>
  <c r="AB32" i="5"/>
  <c r="AC24" i="5"/>
  <c r="AC32" i="5"/>
  <c r="AD22" i="5"/>
  <c r="AD30" i="5"/>
  <c r="AD24" i="5"/>
  <c r="AD32" i="5"/>
  <c r="AD26" i="5"/>
  <c r="AD34" i="5"/>
  <c r="AD27" i="5"/>
  <c r="AD35" i="5"/>
  <c r="V22" i="5"/>
  <c r="V30" i="5"/>
  <c r="V24" i="5"/>
  <c r="V32" i="5"/>
  <c r="AJ11" i="5"/>
  <c r="AJ9" i="5"/>
  <c r="AJ12" i="5"/>
  <c r="AJ41" i="5"/>
  <c r="AW41" i="5"/>
  <c r="AJ40" i="5"/>
  <c r="AJ39" i="5"/>
  <c r="AJ38" i="5"/>
  <c r="AJ37" i="5"/>
  <c r="AJ36" i="5"/>
  <c r="AJ35" i="5"/>
  <c r="AJ34" i="5"/>
  <c r="AW34" i="5"/>
  <c r="AJ33" i="5"/>
  <c r="AJ32" i="5"/>
  <c r="AW32" i="5"/>
  <c r="AJ31" i="5"/>
  <c r="AW31" i="5"/>
  <c r="AJ30" i="5"/>
  <c r="AJ29" i="5"/>
  <c r="AJ28" i="5"/>
  <c r="AJ27" i="5"/>
  <c r="AJ26" i="5"/>
  <c r="AW26" i="5"/>
  <c r="AJ25" i="5"/>
  <c r="AJ24" i="5"/>
  <c r="AW24" i="5"/>
  <c r="AJ23" i="5"/>
  <c r="AJ22" i="5"/>
  <c r="AJ21" i="5"/>
  <c r="AJ20" i="5"/>
  <c r="AJ19" i="5"/>
  <c r="AW19" i="5"/>
  <c r="AJ18" i="5"/>
  <c r="AJ17" i="5"/>
  <c r="AW17" i="5"/>
  <c r="AJ16" i="5"/>
  <c r="AJ15" i="5"/>
  <c r="AJ14" i="5"/>
  <c r="AJ13" i="5"/>
  <c r="AJ10" i="5"/>
  <c r="AJ8" i="5"/>
  <c r="AJ7" i="5"/>
  <c r="AW7" i="5"/>
  <c r="AJ6" i="5"/>
  <c r="AW6" i="5"/>
  <c r="W22" i="5"/>
  <c r="W30" i="5"/>
  <c r="AK41" i="5"/>
  <c r="AK40" i="5"/>
  <c r="AX40" i="5"/>
  <c r="AK39" i="5"/>
  <c r="AK38" i="5"/>
  <c r="AX38" i="5"/>
  <c r="AK37" i="5"/>
  <c r="AX37" i="5"/>
  <c r="AK36" i="5"/>
  <c r="AK35" i="5"/>
  <c r="AK34" i="5"/>
  <c r="AK33" i="5"/>
  <c r="AK32" i="5"/>
  <c r="AK31" i="5"/>
  <c r="AK30" i="5"/>
  <c r="AK29" i="5"/>
  <c r="AK28" i="5"/>
  <c r="AX28" i="5"/>
  <c r="AK27" i="5"/>
  <c r="AK26" i="5"/>
  <c r="AX26" i="5"/>
  <c r="AK25" i="5"/>
  <c r="AX25" i="5"/>
  <c r="AK24" i="5"/>
  <c r="AK23" i="5"/>
  <c r="AK22" i="5"/>
  <c r="AK21" i="5"/>
  <c r="AK20" i="5"/>
  <c r="AK19" i="5"/>
  <c r="AK18" i="5"/>
  <c r="AK17" i="5"/>
  <c r="AK16" i="5"/>
  <c r="AX16" i="5"/>
  <c r="AK15" i="5"/>
  <c r="AK14" i="5"/>
  <c r="AX14" i="5"/>
  <c r="AK13" i="5"/>
  <c r="AX13" i="5"/>
  <c r="AK12" i="5"/>
  <c r="AK11" i="5"/>
  <c r="AK10" i="5"/>
  <c r="AK9" i="5"/>
  <c r="AK8" i="5"/>
  <c r="AK7" i="5"/>
  <c r="AK6" i="5"/>
  <c r="X22" i="5"/>
  <c r="X30" i="5"/>
  <c r="X24" i="5"/>
  <c r="X32" i="5"/>
  <c r="X26" i="5"/>
  <c r="X34" i="5"/>
  <c r="AL7" i="5"/>
  <c r="AL16" i="5"/>
  <c r="AL17" i="5"/>
  <c r="AL41" i="5"/>
  <c r="AL40" i="5"/>
  <c r="AL39" i="5"/>
  <c r="AL38" i="5"/>
  <c r="AY38" i="5"/>
  <c r="AL37" i="5"/>
  <c r="AL36" i="5"/>
  <c r="AY36" i="5"/>
  <c r="AL35" i="5"/>
  <c r="AY35" i="5"/>
  <c r="AL34" i="5"/>
  <c r="AY34" i="5"/>
  <c r="AL33" i="5"/>
  <c r="AY33" i="5"/>
  <c r="AL32" i="5"/>
  <c r="AL31" i="5"/>
  <c r="AL30" i="5"/>
  <c r="AL29" i="5"/>
  <c r="AL28" i="5"/>
  <c r="AL27" i="5"/>
  <c r="AL26" i="5"/>
  <c r="AY26" i="5"/>
  <c r="AL25" i="5"/>
  <c r="AL24" i="5"/>
  <c r="AY24" i="5"/>
  <c r="AL23" i="5"/>
  <c r="AY23" i="5"/>
  <c r="AL22" i="5"/>
  <c r="AY22" i="5"/>
  <c r="AL21" i="5"/>
  <c r="AY21" i="5"/>
  <c r="AL20" i="5"/>
  <c r="AL19" i="5"/>
  <c r="AL18" i="5"/>
  <c r="AL15" i="5"/>
  <c r="AL14" i="5"/>
  <c r="AY14" i="5"/>
  <c r="AL13" i="5"/>
  <c r="AL12" i="5"/>
  <c r="AY12" i="5"/>
  <c r="AL11" i="5"/>
  <c r="AL10" i="5"/>
  <c r="AL9" i="5"/>
  <c r="AY9" i="5"/>
  <c r="AL8" i="5"/>
  <c r="AL6" i="5"/>
  <c r="Y24" i="5"/>
  <c r="Y32" i="5"/>
  <c r="Y26" i="5"/>
  <c r="Y34" i="5"/>
  <c r="AO41" i="5"/>
  <c r="BB41" i="5"/>
  <c r="AO40" i="5"/>
  <c r="BB40" i="5"/>
  <c r="AO39" i="5"/>
  <c r="BB39" i="5"/>
  <c r="AO38" i="5"/>
  <c r="BB38" i="5"/>
  <c r="AO37" i="5"/>
  <c r="BB37" i="5"/>
  <c r="AO36" i="5"/>
  <c r="BB36" i="5"/>
  <c r="AO35" i="5"/>
  <c r="BB35" i="5"/>
  <c r="AO34" i="5"/>
  <c r="BB34" i="5"/>
  <c r="AO33" i="5"/>
  <c r="BB33" i="5"/>
  <c r="AO32" i="5"/>
  <c r="BB32" i="5"/>
  <c r="AO31" i="5"/>
  <c r="BB31" i="5"/>
  <c r="AO30" i="5"/>
  <c r="BB30" i="5"/>
  <c r="AO29" i="5"/>
  <c r="BB29" i="5"/>
  <c r="AO28" i="5"/>
  <c r="BB28" i="5"/>
  <c r="AO27" i="5"/>
  <c r="AO26" i="5"/>
  <c r="AO25" i="5"/>
  <c r="BB25" i="5"/>
  <c r="AO24" i="5"/>
  <c r="BB24" i="5"/>
  <c r="AO23" i="5"/>
  <c r="BB23" i="5"/>
  <c r="AO22" i="5"/>
  <c r="BB22" i="5"/>
  <c r="AO21" i="5"/>
  <c r="AO20" i="5"/>
  <c r="BB20" i="5"/>
  <c r="AO19" i="5"/>
  <c r="BB19" i="5"/>
  <c r="AO18" i="5"/>
  <c r="BB18" i="5"/>
  <c r="AO17" i="5"/>
  <c r="BB17" i="5"/>
  <c r="AO16" i="5"/>
  <c r="BB16" i="5"/>
  <c r="AO15" i="5"/>
  <c r="AO14" i="5"/>
  <c r="BB14" i="5"/>
  <c r="AO13" i="5"/>
  <c r="BB13" i="5"/>
  <c r="AO12" i="5"/>
  <c r="BB12" i="5"/>
  <c r="AO11" i="5"/>
  <c r="BB11" i="5"/>
  <c r="AO10" i="5"/>
  <c r="BB10" i="5"/>
  <c r="AO9" i="5"/>
  <c r="BB9" i="5"/>
  <c r="AO8" i="5"/>
  <c r="AO7" i="5"/>
  <c r="BB7" i="5"/>
  <c r="AO6" i="5"/>
  <c r="BB6" i="5"/>
  <c r="AB23" i="5"/>
  <c r="AB31" i="5"/>
  <c r="AB25" i="5"/>
  <c r="AB33" i="5"/>
  <c r="AB26" i="5"/>
  <c r="AB34" i="5"/>
  <c r="AP25" i="5"/>
  <c r="AP12" i="5"/>
  <c r="AP8" i="5"/>
  <c r="AP6" i="5"/>
  <c r="AP41" i="5"/>
  <c r="BC41" i="5"/>
  <c r="AP40" i="5"/>
  <c r="BC40" i="5"/>
  <c r="AP39" i="5"/>
  <c r="AP38" i="5"/>
  <c r="AP37" i="5"/>
  <c r="AP36" i="5"/>
  <c r="AP35" i="5"/>
  <c r="AP34" i="5"/>
  <c r="AP33" i="5"/>
  <c r="AP32" i="5"/>
  <c r="AP31" i="5"/>
  <c r="AP30" i="5"/>
  <c r="AP29" i="5"/>
  <c r="BC29" i="5"/>
  <c r="AP28" i="5"/>
  <c r="BC28" i="5"/>
  <c r="AP27" i="5"/>
  <c r="AP26" i="5"/>
  <c r="AP24" i="5"/>
  <c r="AP23" i="5"/>
  <c r="AP22" i="5"/>
  <c r="AP21" i="5"/>
  <c r="AP20" i="5"/>
  <c r="AP19" i="5"/>
  <c r="BC19" i="5"/>
  <c r="AP18" i="5"/>
  <c r="AP17" i="5"/>
  <c r="BC17" i="5"/>
  <c r="AP16" i="5"/>
  <c r="BC16" i="5"/>
  <c r="AP15" i="5"/>
  <c r="BC15" i="5"/>
  <c r="AP14" i="5"/>
  <c r="BC14" i="5"/>
  <c r="AP13" i="5"/>
  <c r="AP11" i="5"/>
  <c r="AP10" i="5"/>
  <c r="AP9" i="5"/>
  <c r="AP7" i="5"/>
  <c r="BC7" i="5"/>
  <c r="AC22" i="5"/>
  <c r="AC30" i="5"/>
  <c r="AC23" i="5"/>
  <c r="AC31" i="5"/>
  <c r="AC25" i="5"/>
  <c r="AC33" i="5"/>
  <c r="AC26" i="5"/>
  <c r="AC34" i="5"/>
  <c r="AD23" i="5"/>
  <c r="AD31" i="5"/>
  <c r="AD25" i="5"/>
  <c r="AD33" i="5"/>
  <c r="AF41" i="5"/>
  <c r="AF37" i="5"/>
  <c r="AF35" i="5"/>
  <c r="AF31" i="5"/>
  <c r="AF27" i="5"/>
  <c r="AF23" i="5"/>
  <c r="AF19" i="5"/>
  <c r="AF15" i="5"/>
  <c r="AF11" i="5"/>
  <c r="AF7" i="5"/>
  <c r="AF6" i="5"/>
  <c r="AF40" i="5"/>
  <c r="AF36" i="5"/>
  <c r="AF34" i="5"/>
  <c r="AF30" i="5"/>
  <c r="AF26" i="5"/>
  <c r="AF22" i="5"/>
  <c r="AF18" i="5"/>
  <c r="AF14" i="5"/>
  <c r="AF10" i="5"/>
  <c r="AF39" i="5"/>
  <c r="AF33" i="5"/>
  <c r="AF29" i="5"/>
  <c r="AF25" i="5"/>
  <c r="AF21" i="5"/>
  <c r="AF17" i="5"/>
  <c r="AF13" i="5"/>
  <c r="AF9" i="5"/>
  <c r="AF38" i="5"/>
  <c r="AF32" i="5"/>
  <c r="AF28" i="5"/>
  <c r="AF24" i="5"/>
  <c r="AF20" i="5"/>
  <c r="AF16" i="5"/>
  <c r="AF12" i="5"/>
  <c r="AF8" i="5"/>
  <c r="S22" i="5"/>
  <c r="S30" i="5"/>
  <c r="S23" i="5"/>
  <c r="S31" i="5"/>
  <c r="S24" i="5"/>
  <c r="S32" i="5"/>
  <c r="S25" i="5"/>
  <c r="S33" i="5"/>
  <c r="S26" i="5"/>
  <c r="S34" i="5"/>
  <c r="S27" i="5"/>
  <c r="S35" i="5"/>
  <c r="V25" i="5"/>
  <c r="V33" i="5"/>
  <c r="W23" i="5"/>
  <c r="W31" i="5"/>
  <c r="AG40" i="5"/>
  <c r="AG30" i="5"/>
  <c r="AG22" i="5"/>
  <c r="AT22" i="5"/>
  <c r="AG14" i="5"/>
  <c r="AT14" i="5"/>
  <c r="AG29" i="5"/>
  <c r="AG17" i="5"/>
  <c r="AT17" i="5"/>
  <c r="AG35" i="5"/>
  <c r="AT35" i="5"/>
  <c r="AG27" i="5"/>
  <c r="AT27" i="5"/>
  <c r="AG11" i="5"/>
  <c r="AG36" i="5"/>
  <c r="AG34" i="5"/>
  <c r="AG26" i="5"/>
  <c r="AT26" i="5"/>
  <c r="AG18" i="5"/>
  <c r="AG10" i="5"/>
  <c r="AG33" i="5"/>
  <c r="AT33" i="5"/>
  <c r="AG25" i="5"/>
  <c r="AG13" i="5"/>
  <c r="AG9" i="5"/>
  <c r="AT9" i="5"/>
  <c r="AG15" i="5"/>
  <c r="AG6" i="5"/>
  <c r="AG39" i="5"/>
  <c r="AG21" i="5"/>
  <c r="AG41" i="5"/>
  <c r="AG31" i="5"/>
  <c r="AT31" i="5"/>
  <c r="AG23" i="5"/>
  <c r="AG7" i="5"/>
  <c r="AT7" i="5"/>
  <c r="AG38" i="5"/>
  <c r="AT38" i="5"/>
  <c r="AG32" i="5"/>
  <c r="AT32" i="5"/>
  <c r="AG28" i="5"/>
  <c r="AT28" i="5"/>
  <c r="AG24" i="5"/>
  <c r="AG20" i="5"/>
  <c r="AG16" i="5"/>
  <c r="AG12" i="5"/>
  <c r="AG8" i="5"/>
  <c r="AG37" i="5"/>
  <c r="AG19" i="5"/>
  <c r="T23" i="5"/>
  <c r="T31" i="5"/>
  <c r="T25" i="5"/>
  <c r="T33" i="5"/>
  <c r="T27" i="5"/>
  <c r="T35" i="5"/>
  <c r="V26" i="5"/>
  <c r="V34" i="5"/>
  <c r="W24" i="5"/>
  <c r="W32" i="5"/>
  <c r="T22" i="5"/>
  <c r="T30" i="5"/>
  <c r="T24" i="5"/>
  <c r="T32" i="5"/>
  <c r="T26" i="5"/>
  <c r="T34" i="5"/>
  <c r="AH6" i="5"/>
  <c r="AH13" i="5"/>
  <c r="AH35" i="5"/>
  <c r="AH40" i="5"/>
  <c r="AH36" i="5"/>
  <c r="AH34" i="5"/>
  <c r="AH30" i="5"/>
  <c r="AU30" i="5"/>
  <c r="AH26" i="5"/>
  <c r="AH22" i="5"/>
  <c r="AH18" i="5"/>
  <c r="AH14" i="5"/>
  <c r="AH10" i="5"/>
  <c r="AH17" i="5"/>
  <c r="AH37" i="5"/>
  <c r="AH15" i="5"/>
  <c r="AH39" i="5"/>
  <c r="AU39" i="5"/>
  <c r="AH33" i="5"/>
  <c r="AH29" i="5"/>
  <c r="AH25" i="5"/>
  <c r="AH21" i="5"/>
  <c r="AU21" i="5"/>
  <c r="AH9" i="5"/>
  <c r="AU9" i="5"/>
  <c r="AH11" i="5"/>
  <c r="AU11" i="5"/>
  <c r="AH38" i="5"/>
  <c r="AH32" i="5"/>
  <c r="AH28" i="5"/>
  <c r="AH24" i="5"/>
  <c r="AU24" i="5"/>
  <c r="AH20" i="5"/>
  <c r="AH16" i="5"/>
  <c r="AU16" i="5"/>
  <c r="AH12" i="5"/>
  <c r="AH8" i="5"/>
  <c r="AH41" i="5"/>
  <c r="AU41" i="5"/>
  <c r="AH31" i="5"/>
  <c r="AH27" i="5"/>
  <c r="AU27" i="5"/>
  <c r="AH23" i="5"/>
  <c r="AH19" i="5"/>
  <c r="AH7" i="5"/>
  <c r="U22" i="5"/>
  <c r="U30" i="5"/>
  <c r="U23" i="5"/>
  <c r="U31" i="5"/>
  <c r="U24" i="5"/>
  <c r="U32" i="5"/>
  <c r="U25" i="5"/>
  <c r="U33" i="5"/>
  <c r="U26" i="5"/>
  <c r="U34" i="5"/>
  <c r="U27" i="5"/>
  <c r="U35" i="5"/>
  <c r="Q110" i="6"/>
  <c r="Q109" i="6"/>
  <c r="Q108" i="6"/>
  <c r="Q107" i="6"/>
  <c r="Q106" i="6"/>
  <c r="Q105" i="6"/>
  <c r="Q104" i="6"/>
  <c r="Q103" i="6"/>
  <c r="Q102" i="6"/>
  <c r="Q101" i="6"/>
  <c r="Q100" i="6"/>
  <c r="Q99" i="6"/>
  <c r="Q98" i="6"/>
  <c r="Q97" i="6"/>
  <c r="Q96" i="6"/>
  <c r="Q95" i="6"/>
  <c r="Q94" i="6"/>
  <c r="Q93" i="6"/>
  <c r="Q92" i="6"/>
  <c r="Q91" i="6"/>
  <c r="Q90" i="6"/>
  <c r="Q89" i="6"/>
  <c r="Q88" i="6"/>
  <c r="Q87" i="6"/>
  <c r="Q86" i="6"/>
  <c r="Q85" i="6"/>
  <c r="Q84" i="6"/>
  <c r="Q83" i="6"/>
  <c r="Q82" i="6"/>
  <c r="Q81" i="6"/>
  <c r="Q80" i="6"/>
  <c r="Q79" i="6"/>
  <c r="Q78" i="6"/>
  <c r="Q77" i="6"/>
  <c r="Q76" i="6"/>
  <c r="Q75" i="6"/>
  <c r="Q74" i="6"/>
  <c r="Q73" i="6"/>
  <c r="Q72" i="6"/>
  <c r="Q71" i="6"/>
  <c r="Q70" i="6"/>
  <c r="Q69" i="6"/>
  <c r="Q68" i="6"/>
  <c r="Q67" i="6"/>
  <c r="Q66" i="6"/>
  <c r="Q65" i="6"/>
  <c r="Q64" i="6"/>
  <c r="Q63" i="6"/>
  <c r="Q62" i="6"/>
  <c r="Q61" i="6"/>
  <c r="Q60" i="6"/>
  <c r="Q59" i="6"/>
  <c r="Q58" i="6"/>
  <c r="Q57" i="6"/>
  <c r="Q56" i="6"/>
  <c r="Q55" i="6"/>
  <c r="Q54" i="6"/>
  <c r="Q53" i="6"/>
  <c r="Q52" i="6"/>
  <c r="Q51" i="6"/>
  <c r="Q50" i="6"/>
  <c r="Q49" i="6"/>
  <c r="Q48" i="6"/>
  <c r="Q47" i="6"/>
  <c r="Q46" i="6"/>
  <c r="Q45" i="6"/>
  <c r="Q44" i="6"/>
  <c r="Q43" i="6"/>
  <c r="Q42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Q41" i="6"/>
  <c r="Q40" i="6"/>
  <c r="Q39" i="6"/>
  <c r="Q38" i="6"/>
  <c r="Q37" i="6"/>
  <c r="Q36" i="6"/>
  <c r="Q35" i="6"/>
  <c r="Q34" i="6"/>
  <c r="Q33" i="6"/>
  <c r="Q32" i="6"/>
  <c r="Q31" i="6"/>
  <c r="Q30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M5" i="6"/>
  <c r="O5" i="6"/>
  <c r="O6" i="6"/>
  <c r="O7" i="6"/>
  <c r="O8" i="6"/>
  <c r="O9" i="6"/>
  <c r="O10" i="6"/>
  <c r="O11" i="6"/>
  <c r="O12" i="6"/>
  <c r="O13" i="6"/>
  <c r="O14" i="6"/>
  <c r="O15" i="6"/>
  <c r="O16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I5" i="6"/>
  <c r="G39" i="6"/>
  <c r="D38" i="8"/>
  <c r="C38" i="8"/>
  <c r="G38" i="8"/>
  <c r="G37" i="8"/>
  <c r="D37" i="8"/>
  <c r="C37" i="8"/>
  <c r="D36" i="8"/>
  <c r="C36" i="8"/>
  <c r="D35" i="8"/>
  <c r="G35" i="8"/>
  <c r="G37" i="6"/>
  <c r="C35" i="8"/>
  <c r="D34" i="8"/>
  <c r="C34" i="8"/>
  <c r="G34" i="8"/>
  <c r="G36" i="6"/>
  <c r="D33" i="8"/>
  <c r="G33" i="8"/>
  <c r="G35" i="6"/>
  <c r="C33" i="8"/>
  <c r="D32" i="8"/>
  <c r="C32" i="8"/>
  <c r="G32" i="8"/>
  <c r="G34" i="6"/>
  <c r="D31" i="8"/>
  <c r="G31" i="8"/>
  <c r="G33" i="6"/>
  <c r="C31" i="8"/>
  <c r="D30" i="8"/>
  <c r="G30" i="8"/>
  <c r="G29" i="6"/>
  <c r="C30" i="8"/>
  <c r="D29" i="8"/>
  <c r="E29" i="8"/>
  <c r="C29" i="8"/>
  <c r="D28" i="8"/>
  <c r="E28" i="8"/>
  <c r="C28" i="8"/>
  <c r="G27" i="8"/>
  <c r="G30" i="6"/>
  <c r="D27" i="8"/>
  <c r="E27" i="8"/>
  <c r="F27" i="8"/>
  <c r="C27" i="8"/>
  <c r="D26" i="8"/>
  <c r="G26" i="8"/>
  <c r="G17" i="6"/>
  <c r="C26" i="8"/>
  <c r="G25" i="8"/>
  <c r="G18" i="6"/>
  <c r="D25" i="8"/>
  <c r="C25" i="8"/>
  <c r="D24" i="8"/>
  <c r="C24" i="8"/>
  <c r="D23" i="8"/>
  <c r="G23" i="8"/>
  <c r="G20" i="6"/>
  <c r="C23" i="8"/>
  <c r="D22" i="8"/>
  <c r="C22" i="8"/>
  <c r="G22" i="8"/>
  <c r="G21" i="6"/>
  <c r="D21" i="8"/>
  <c r="C21" i="8"/>
  <c r="G21" i="8"/>
  <c r="G22" i="6"/>
  <c r="G20" i="8"/>
  <c r="G23" i="6"/>
  <c r="D20" i="8"/>
  <c r="C20" i="8"/>
  <c r="D19" i="8"/>
  <c r="G19" i="8"/>
  <c r="G24" i="6"/>
  <c r="C19" i="8"/>
  <c r="D18" i="8"/>
  <c r="G18" i="8"/>
  <c r="G25" i="6"/>
  <c r="C18" i="8"/>
  <c r="D17" i="8"/>
  <c r="E17" i="8"/>
  <c r="C17" i="8"/>
  <c r="F17" i="8"/>
  <c r="D16" i="8"/>
  <c r="E16" i="8"/>
  <c r="C16" i="8"/>
  <c r="F16" i="8"/>
  <c r="G15" i="8"/>
  <c r="G28" i="6"/>
  <c r="D15" i="8"/>
  <c r="E15" i="8"/>
  <c r="F15" i="8"/>
  <c r="C15" i="8"/>
  <c r="D14" i="8"/>
  <c r="C14" i="8"/>
  <c r="G14" i="8"/>
  <c r="G5" i="6"/>
  <c r="G13" i="8"/>
  <c r="G6" i="6"/>
  <c r="D13" i="8"/>
  <c r="C13" i="8"/>
  <c r="D12" i="8"/>
  <c r="C12" i="8"/>
  <c r="G12" i="8"/>
  <c r="G7" i="6"/>
  <c r="G11" i="8"/>
  <c r="G8" i="6"/>
  <c r="D11" i="8"/>
  <c r="C11" i="8"/>
  <c r="D10" i="8"/>
  <c r="C10" i="8"/>
  <c r="G10" i="8"/>
  <c r="G9" i="6"/>
  <c r="G9" i="8"/>
  <c r="G10" i="6"/>
  <c r="D9" i="8"/>
  <c r="C9" i="8"/>
  <c r="D8" i="8"/>
  <c r="C8" i="8"/>
  <c r="G8" i="8"/>
  <c r="G11" i="6"/>
  <c r="G7" i="8"/>
  <c r="G12" i="6"/>
  <c r="D7" i="8"/>
  <c r="C7" i="8"/>
  <c r="D6" i="8"/>
  <c r="C6" i="8"/>
  <c r="G6" i="8"/>
  <c r="G13" i="6"/>
  <c r="J5" i="8"/>
  <c r="J6" i="8"/>
  <c r="G5" i="8"/>
  <c r="G14" i="6"/>
  <c r="D5" i="8"/>
  <c r="E5" i="8"/>
  <c r="F5" i="8"/>
  <c r="C5" i="8"/>
  <c r="J4" i="8"/>
  <c r="E4" i="8"/>
  <c r="D4" i="8"/>
  <c r="C4" i="8"/>
  <c r="G4" i="8"/>
  <c r="G15" i="6"/>
  <c r="G3" i="8"/>
  <c r="G16" i="6"/>
  <c r="F3" i="8"/>
  <c r="E3" i="8"/>
  <c r="D3" i="8"/>
  <c r="C3" i="8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AW39" i="5"/>
  <c r="AZ13" i="5"/>
  <c r="BC26" i="5"/>
  <c r="BC38" i="5"/>
  <c r="AU34" i="5"/>
  <c r="AW20" i="5"/>
  <c r="AY11" i="5"/>
  <c r="AW33" i="5"/>
  <c r="BA12" i="5"/>
  <c r="BM12" i="5"/>
  <c r="BA24" i="5"/>
  <c r="BM24" i="5"/>
  <c r="BA36" i="5"/>
  <c r="AT19" i="5"/>
  <c r="AX8" i="5"/>
  <c r="BB26" i="5"/>
  <c r="AX10" i="5"/>
  <c r="AU6" i="5"/>
  <c r="AX23" i="5"/>
  <c r="AX35" i="5"/>
  <c r="AU37" i="5"/>
  <c r="BG37" i="5"/>
  <c r="AT10" i="5"/>
  <c r="BF10" i="5"/>
  <c r="CF10" i="5"/>
  <c r="AT30" i="5"/>
  <c r="BC30" i="5"/>
  <c r="BC6" i="5"/>
  <c r="AX6" i="5"/>
  <c r="AV17" i="5"/>
  <c r="AZ18" i="5"/>
  <c r="AZ30" i="5"/>
  <c r="BL30" i="5"/>
  <c r="AX21" i="5"/>
  <c r="BJ21" i="5"/>
  <c r="AX33" i="5"/>
  <c r="BJ33" i="5"/>
  <c r="AX22" i="5"/>
  <c r="AX34" i="5"/>
  <c r="AV29" i="5"/>
  <c r="AZ10" i="5"/>
  <c r="AW22" i="5"/>
  <c r="AT39" i="5"/>
  <c r="AT11" i="5"/>
  <c r="AU40" i="5"/>
  <c r="BG40" i="5"/>
  <c r="BC36" i="5"/>
  <c r="BO36" i="5"/>
  <c r="AU19" i="5"/>
  <c r="AT15" i="5"/>
  <c r="BC37" i="5"/>
  <c r="AY19" i="5"/>
  <c r="AW27" i="5"/>
  <c r="BC12" i="5"/>
  <c r="BO12" i="5"/>
  <c r="AT20" i="5"/>
  <c r="BF20" i="5"/>
  <c r="CF20" i="5"/>
  <c r="AU23" i="5"/>
  <c r="AU18" i="5"/>
  <c r="AY7" i="5"/>
  <c r="AW28" i="5"/>
  <c r="AW40" i="5"/>
  <c r="BA7" i="5"/>
  <c r="BA19" i="5"/>
  <c r="BA31" i="5"/>
  <c r="BC24" i="5"/>
  <c r="BO24" i="5"/>
  <c r="AU22" i="5"/>
  <c r="AT13" i="5"/>
  <c r="AT29" i="5"/>
  <c r="BC27" i="5"/>
  <c r="BC39" i="5"/>
  <c r="AY6" i="5"/>
  <c r="AX15" i="5"/>
  <c r="BJ15" i="5"/>
  <c r="AX27" i="5"/>
  <c r="BJ27" i="5"/>
  <c r="AX39" i="5"/>
  <c r="BJ39" i="5"/>
  <c r="AW29" i="5"/>
  <c r="BI29" i="5"/>
  <c r="AV30" i="5"/>
  <c r="BH30" i="5"/>
  <c r="AV38" i="5"/>
  <c r="BH38" i="5"/>
  <c r="AV8" i="5"/>
  <c r="BA8" i="5"/>
  <c r="BA20" i="5"/>
  <c r="BA32" i="5"/>
  <c r="AZ15" i="5"/>
  <c r="AU31" i="5"/>
  <c r="AU26" i="5"/>
  <c r="BG26" i="5"/>
  <c r="AY8" i="5"/>
  <c r="BK8" i="5"/>
  <c r="AW18" i="5"/>
  <c r="BI18" i="5"/>
  <c r="AW12" i="5"/>
  <c r="BI12" i="5"/>
  <c r="AV36" i="5"/>
  <c r="BH36" i="5"/>
  <c r="AV14" i="5"/>
  <c r="AZ16" i="5"/>
  <c r="AZ28" i="5"/>
  <c r="AZ40" i="5"/>
  <c r="AU38" i="5"/>
  <c r="BG38" i="5"/>
  <c r="AU14" i="5"/>
  <c r="BG14" i="5"/>
  <c r="BC11" i="5"/>
  <c r="BO11" i="5"/>
  <c r="AY31" i="5"/>
  <c r="BK31" i="5"/>
  <c r="AY16" i="5"/>
  <c r="AW15" i="5"/>
  <c r="BI15" i="5"/>
  <c r="AV16" i="5"/>
  <c r="AV25" i="5"/>
  <c r="AV35" i="5"/>
  <c r="BA6" i="5"/>
  <c r="BM6" i="5"/>
  <c r="BA18" i="5"/>
  <c r="BM18" i="5"/>
  <c r="BA30" i="5"/>
  <c r="AZ25" i="5"/>
  <c r="BL25" i="5"/>
  <c r="AZ37" i="5"/>
  <c r="BL37" i="5"/>
  <c r="AT21" i="5"/>
  <c r="BF21" i="5"/>
  <c r="CF21" i="5"/>
  <c r="BA15" i="5"/>
  <c r="BM15" i="5"/>
  <c r="AT24" i="5"/>
  <c r="BC13" i="5"/>
  <c r="BO13" i="5"/>
  <c r="AY20" i="5"/>
  <c r="BK20" i="5"/>
  <c r="AY32" i="5"/>
  <c r="BK32" i="5"/>
  <c r="AW16" i="5"/>
  <c r="AV23" i="5"/>
  <c r="AV32" i="5"/>
  <c r="BH32" i="5"/>
  <c r="AV41" i="5"/>
  <c r="AZ14" i="5"/>
  <c r="BL14" i="5"/>
  <c r="AZ26" i="5"/>
  <c r="BL26" i="5"/>
  <c r="AZ38" i="5"/>
  <c r="BL38" i="5"/>
  <c r="AX17" i="5"/>
  <c r="BJ17" i="5"/>
  <c r="AU8" i="5"/>
  <c r="AW11" i="5"/>
  <c r="BI11" i="5"/>
  <c r="AV24" i="5"/>
  <c r="AV31" i="5"/>
  <c r="BH31" i="5"/>
  <c r="AZ6" i="5"/>
  <c r="AX41" i="5"/>
  <c r="AV21" i="5"/>
  <c r="BH21" i="5"/>
  <c r="AY10" i="5"/>
  <c r="BK10" i="5"/>
  <c r="AX18" i="5"/>
  <c r="BJ18" i="5"/>
  <c r="AX30" i="5"/>
  <c r="BJ30" i="5"/>
  <c r="AU12" i="5"/>
  <c r="BG12" i="5"/>
  <c r="AU33" i="5"/>
  <c r="BG33" i="5"/>
  <c r="AU36" i="5"/>
  <c r="AT23" i="5"/>
  <c r="AT18" i="5"/>
  <c r="AT40" i="5"/>
  <c r="BC18" i="5"/>
  <c r="BO18" i="5"/>
  <c r="BC31" i="5"/>
  <c r="BO31" i="5"/>
  <c r="BC8" i="5"/>
  <c r="BO8" i="5"/>
  <c r="AY25" i="5"/>
  <c r="BK25" i="5"/>
  <c r="AY37" i="5"/>
  <c r="AX7" i="5"/>
  <c r="BJ7" i="5"/>
  <c r="AX19" i="5"/>
  <c r="BJ19" i="5"/>
  <c r="AX31" i="5"/>
  <c r="BJ31" i="5"/>
  <c r="AW21" i="5"/>
  <c r="AV6" i="5"/>
  <c r="BH6" i="5"/>
  <c r="AV22" i="5"/>
  <c r="AV28" i="5"/>
  <c r="BH28" i="5"/>
  <c r="AZ7" i="5"/>
  <c r="AZ19" i="5"/>
  <c r="BL19" i="5"/>
  <c r="AZ31" i="5"/>
  <c r="BL31" i="5"/>
  <c r="BB21" i="5"/>
  <c r="BN21" i="5"/>
  <c r="AW30" i="5"/>
  <c r="BI30" i="5"/>
  <c r="AU25" i="5"/>
  <c r="BG25" i="5"/>
  <c r="AX29" i="5"/>
  <c r="BJ29" i="5"/>
  <c r="AW9" i="5"/>
  <c r="BI9" i="5"/>
  <c r="AU29" i="5"/>
  <c r="BG29" i="5"/>
  <c r="BC32" i="5"/>
  <c r="AX20" i="5"/>
  <c r="BJ20" i="5"/>
  <c r="AX32" i="5"/>
  <c r="AV12" i="5"/>
  <c r="AV27" i="5"/>
  <c r="AV34" i="5"/>
  <c r="BH34" i="5"/>
  <c r="BA13" i="5"/>
  <c r="BM13" i="5"/>
  <c r="BA25" i="5"/>
  <c r="BM25" i="5"/>
  <c r="BA37" i="5"/>
  <c r="BM37" i="5"/>
  <c r="AZ8" i="5"/>
  <c r="BL8" i="5"/>
  <c r="AZ20" i="5"/>
  <c r="BL20" i="5"/>
  <c r="AZ32" i="5"/>
  <c r="BL32" i="5"/>
  <c r="AT25" i="5"/>
  <c r="AU20" i="5"/>
  <c r="AU15" i="5"/>
  <c r="AU35" i="5"/>
  <c r="AT37" i="5"/>
  <c r="AT41" i="5"/>
  <c r="AT34" i="5"/>
  <c r="BT34" i="5"/>
  <c r="BC20" i="5"/>
  <c r="BO20" i="5"/>
  <c r="BC33" i="5"/>
  <c r="BO33" i="5"/>
  <c r="BC25" i="5"/>
  <c r="BO25" i="5"/>
  <c r="AY13" i="5"/>
  <c r="BK13" i="5"/>
  <c r="AY27" i="5"/>
  <c r="BK27" i="5"/>
  <c r="AY39" i="5"/>
  <c r="AX9" i="5"/>
  <c r="BJ9" i="5"/>
  <c r="AW8" i="5"/>
  <c r="BI8" i="5"/>
  <c r="AW23" i="5"/>
  <c r="AW35" i="5"/>
  <c r="AV20" i="5"/>
  <c r="AV33" i="5"/>
  <c r="BH33" i="5"/>
  <c r="AV39" i="5"/>
  <c r="BA14" i="5"/>
  <c r="BM14" i="5"/>
  <c r="BA26" i="5"/>
  <c r="BM26" i="5"/>
  <c r="BA38" i="5"/>
  <c r="BM38" i="5"/>
  <c r="AZ9" i="5"/>
  <c r="BL9" i="5"/>
  <c r="AZ21" i="5"/>
  <c r="AZ33" i="5"/>
  <c r="AV13" i="5"/>
  <c r="BB8" i="5"/>
  <c r="AT8" i="5"/>
  <c r="BF8" i="5"/>
  <c r="CF8" i="5"/>
  <c r="BC21" i="5"/>
  <c r="BO21" i="5"/>
  <c r="BB27" i="5"/>
  <c r="BN27" i="5"/>
  <c r="BA39" i="5"/>
  <c r="BM39" i="5"/>
  <c r="AZ22" i="5"/>
  <c r="BL22" i="5"/>
  <c r="AU28" i="5"/>
  <c r="BG28" i="5"/>
  <c r="AU17" i="5"/>
  <c r="BG17" i="5"/>
  <c r="AT12" i="5"/>
  <c r="BF12" i="5"/>
  <c r="CF12" i="5"/>
  <c r="BC9" i="5"/>
  <c r="BC22" i="5"/>
  <c r="BO22" i="5"/>
  <c r="BC35" i="5"/>
  <c r="BO35" i="5"/>
  <c r="AY15" i="5"/>
  <c r="BK15" i="5"/>
  <c r="AY29" i="5"/>
  <c r="BK29" i="5"/>
  <c r="AY41" i="5"/>
  <c r="BK41" i="5"/>
  <c r="AX11" i="5"/>
  <c r="BJ11" i="5"/>
  <c r="AW13" i="5"/>
  <c r="BI13" i="5"/>
  <c r="AW25" i="5"/>
  <c r="AW37" i="5"/>
  <c r="AV40" i="5"/>
  <c r="BH40" i="5"/>
  <c r="AV7" i="5"/>
  <c r="AV19" i="5"/>
  <c r="BA16" i="5"/>
  <c r="BM16" i="5"/>
  <c r="BA28" i="5"/>
  <c r="BM28" i="5"/>
  <c r="BA40" i="5"/>
  <c r="BM40" i="5"/>
  <c r="AZ11" i="5"/>
  <c r="BL11" i="5"/>
  <c r="AZ23" i="5"/>
  <c r="BL23" i="5"/>
  <c r="AZ35" i="5"/>
  <c r="BL35" i="5"/>
  <c r="AU13" i="5"/>
  <c r="AT36" i="5"/>
  <c r="BF36" i="5"/>
  <c r="CF36" i="5"/>
  <c r="BC34" i="5"/>
  <c r="BO34" i="5"/>
  <c r="BN15" i="5"/>
  <c r="BB15" i="5"/>
  <c r="AY28" i="5"/>
  <c r="BK28" i="5"/>
  <c r="AY40" i="5"/>
  <c r="AW10" i="5"/>
  <c r="BI10" i="5"/>
  <c r="AW36" i="5"/>
  <c r="BI36" i="5"/>
  <c r="AV37" i="5"/>
  <c r="BH37" i="5"/>
  <c r="BA27" i="5"/>
  <c r="BM27" i="5"/>
  <c r="AZ34" i="5"/>
  <c r="BL34" i="5"/>
  <c r="AU7" i="5"/>
  <c r="BG7" i="5"/>
  <c r="AU32" i="5"/>
  <c r="BG32" i="5"/>
  <c r="AU10" i="5"/>
  <c r="AT16" i="5"/>
  <c r="AT6" i="5"/>
  <c r="BC10" i="5"/>
  <c r="BC23" i="5"/>
  <c r="BO23" i="5"/>
  <c r="AY18" i="5"/>
  <c r="BK18" i="5"/>
  <c r="AY30" i="5"/>
  <c r="BK30" i="5"/>
  <c r="AY17" i="5"/>
  <c r="BK17" i="5"/>
  <c r="AX12" i="5"/>
  <c r="BJ12" i="5"/>
  <c r="AX24" i="5"/>
  <c r="BJ24" i="5"/>
  <c r="AX36" i="5"/>
  <c r="AW14" i="5"/>
  <c r="BI14" i="5"/>
  <c r="AW38" i="5"/>
  <c r="BI38" i="5"/>
  <c r="AV9" i="5"/>
  <c r="BH9" i="5"/>
  <c r="AV15" i="5"/>
  <c r="BH15" i="5"/>
  <c r="AV26" i="5"/>
  <c r="BA17" i="5"/>
  <c r="BA29" i="5"/>
  <c r="BM29" i="5"/>
  <c r="BA41" i="5"/>
  <c r="BM41" i="5"/>
  <c r="AZ12" i="5"/>
  <c r="BL12" i="5"/>
  <c r="AZ24" i="5"/>
  <c r="BL24" i="5"/>
  <c r="AZ36" i="5"/>
  <c r="BL36" i="5"/>
  <c r="BO17" i="5"/>
  <c r="BO14" i="5"/>
  <c r="BK21" i="5"/>
  <c r="BO28" i="5"/>
  <c r="BK34" i="5"/>
  <c r="BK23" i="5"/>
  <c r="BM17" i="5"/>
  <c r="BK26" i="5"/>
  <c r="BN24" i="5"/>
  <c r="BK24" i="5"/>
  <c r="EA12" i="5"/>
  <c r="ED9" i="5"/>
  <c r="EB7" i="5"/>
  <c r="EE9" i="5"/>
  <c r="BG18" i="5"/>
  <c r="EB12" i="5"/>
  <c r="BN12" i="5"/>
  <c r="ED7" i="5"/>
  <c r="EI10" i="5"/>
  <c r="EC7" i="5"/>
  <c r="EC12" i="5"/>
  <c r="G40" i="6"/>
  <c r="BK38" i="5"/>
  <c r="BN8" i="5"/>
  <c r="BN20" i="5"/>
  <c r="BN32" i="5"/>
  <c r="BN38" i="5"/>
  <c r="BN17" i="5"/>
  <c r="BN29" i="5"/>
  <c r="BO30" i="5"/>
  <c r="BK33" i="5"/>
  <c r="BG21" i="5"/>
  <c r="BK39" i="5"/>
  <c r="BF22" i="5"/>
  <c r="CF22" i="5"/>
  <c r="BK22" i="5"/>
  <c r="BO16" i="5"/>
  <c r="BK35" i="5"/>
  <c r="BO15" i="5"/>
  <c r="BN16" i="5"/>
  <c r="BN28" i="5"/>
  <c r="BO40" i="5"/>
  <c r="BN9" i="5"/>
  <c r="BN33" i="5"/>
  <c r="BN39" i="5"/>
  <c r="BK36" i="5"/>
  <c r="BK37" i="5"/>
  <c r="BN25" i="5"/>
  <c r="BT19" i="5"/>
  <c r="BN14" i="5"/>
  <c r="BN26" i="5"/>
  <c r="BG16" i="5"/>
  <c r="BK40" i="5"/>
  <c r="BK11" i="5"/>
  <c r="BI17" i="5"/>
  <c r="BG41" i="5"/>
  <c r="BO27" i="5"/>
  <c r="BI32" i="5"/>
  <c r="BG36" i="5"/>
  <c r="BF35" i="5"/>
  <c r="BG6" i="5"/>
  <c r="BG30" i="5"/>
  <c r="BJ16" i="5"/>
  <c r="BJ28" i="5"/>
  <c r="BF13" i="5"/>
  <c r="BT17" i="5"/>
  <c r="BK19" i="5"/>
  <c r="BJ37" i="5"/>
  <c r="BI26" i="5"/>
  <c r="BJ32" i="5"/>
  <c r="BF31" i="5"/>
  <c r="CF31" i="5"/>
  <c r="BM21" i="5"/>
  <c r="BM9" i="5"/>
  <c r="BM33" i="5"/>
  <c r="BJ36" i="5"/>
  <c r="BJ38" i="5"/>
  <c r="BK6" i="5"/>
  <c r="BM10" i="5"/>
  <c r="BM22" i="5"/>
  <c r="BM34" i="5"/>
  <c r="BM11" i="5"/>
  <c r="BM23" i="5"/>
  <c r="BM35" i="5"/>
  <c r="BU18" i="5"/>
  <c r="BI37" i="5"/>
  <c r="BG20" i="5"/>
  <c r="BG39" i="5"/>
  <c r="BT27" i="5"/>
  <c r="BT9" i="5"/>
  <c r="BI23" i="5"/>
  <c r="BI35" i="5"/>
  <c r="BI41" i="5"/>
  <c r="BH29" i="5"/>
  <c r="BG19" i="5"/>
  <c r="BO41" i="5"/>
  <c r="BN10" i="5"/>
  <c r="BN22" i="5"/>
  <c r="BN34" i="5"/>
  <c r="BN40" i="5"/>
  <c r="BL7" i="5"/>
  <c r="BI24" i="5"/>
  <c r="BL21" i="5"/>
  <c r="BL33" i="5"/>
  <c r="BL39" i="5"/>
  <c r="BH24" i="5"/>
  <c r="BM7" i="5"/>
  <c r="BM19" i="5"/>
  <c r="BM31" i="5"/>
  <c r="BM8" i="5"/>
  <c r="BM20" i="5"/>
  <c r="BM32" i="5"/>
  <c r="BG23" i="5"/>
  <c r="BF29" i="5"/>
  <c r="CF29" i="5"/>
  <c r="BO6" i="5"/>
  <c r="BJ6" i="5"/>
  <c r="BG27" i="5"/>
  <c r="BF33" i="5"/>
  <c r="BH16" i="5"/>
  <c r="BL41" i="5"/>
  <c r="BO7" i="5"/>
  <c r="BK14" i="5"/>
  <c r="BG11" i="5"/>
  <c r="BF37" i="5"/>
  <c r="CF37" i="5"/>
  <c r="BH25" i="5"/>
  <c r="BI22" i="5"/>
  <c r="BO19" i="5"/>
  <c r="BM30" i="5"/>
  <c r="BM36" i="5"/>
  <c r="BF26" i="5"/>
  <c r="BO29" i="5"/>
  <c r="BG15" i="5"/>
  <c r="BO37" i="5"/>
  <c r="BN6" i="5"/>
  <c r="BN18" i="5"/>
  <c r="BN30" i="5"/>
  <c r="BN36" i="5"/>
  <c r="BO39" i="5"/>
  <c r="BI7" i="5"/>
  <c r="BI34" i="5"/>
  <c r="BI40" i="5"/>
  <c r="BH27" i="5"/>
  <c r="BO9" i="5"/>
  <c r="BH7" i="5"/>
  <c r="BH39" i="5"/>
  <c r="BO10" i="5"/>
  <c r="BN11" i="5"/>
  <c r="BN23" i="5"/>
  <c r="BN35" i="5"/>
  <c r="BN41" i="5"/>
  <c r="BL10" i="5"/>
  <c r="BL40" i="5"/>
  <c r="BO26" i="5"/>
  <c r="BN13" i="5"/>
  <c r="BJ8" i="5"/>
  <c r="BI27" i="5"/>
  <c r="BH23" i="5"/>
  <c r="BH13" i="5"/>
  <c r="BI28" i="5"/>
  <c r="BL13" i="5"/>
  <c r="BJ10" i="5"/>
  <c r="BJ22" i="5"/>
  <c r="BJ34" i="5"/>
  <c r="BJ40" i="5"/>
  <c r="BK9" i="5"/>
  <c r="BJ23" i="5"/>
  <c r="BJ35" i="5"/>
  <c r="BJ41" i="5"/>
  <c r="BH35" i="5"/>
  <c r="BL15" i="5"/>
  <c r="BL27" i="5"/>
  <c r="BI19" i="5"/>
  <c r="BI31" i="5"/>
  <c r="BH10" i="5"/>
  <c r="BH41" i="5"/>
  <c r="BL16" i="5"/>
  <c r="BL28" i="5"/>
  <c r="BK16" i="5"/>
  <c r="BJ13" i="5"/>
  <c r="BJ25" i="5"/>
  <c r="BH17" i="5"/>
  <c r="BH11" i="5"/>
  <c r="BH8" i="5"/>
  <c r="BL17" i="5"/>
  <c r="BL29" i="5"/>
  <c r="BI16" i="5"/>
  <c r="BO32" i="5"/>
  <c r="BO38" i="5"/>
  <c r="BN7" i="5"/>
  <c r="BN19" i="5"/>
  <c r="BN31" i="5"/>
  <c r="BN37" i="5"/>
  <c r="BK12" i="5"/>
  <c r="BK7" i="5"/>
  <c r="BJ14" i="5"/>
  <c r="BJ26" i="5"/>
  <c r="BI6" i="5"/>
  <c r="BI33" i="5"/>
  <c r="BI39" i="5"/>
  <c r="BH22" i="5"/>
  <c r="BH14" i="5"/>
  <c r="BL6" i="5"/>
  <c r="BL18" i="5"/>
  <c r="E7" i="8"/>
  <c r="F7" i="8"/>
  <c r="F29" i="8"/>
  <c r="F19" i="8"/>
  <c r="E6" i="8"/>
  <c r="F6" i="8"/>
  <c r="J7" i="8"/>
  <c r="J8" i="8"/>
  <c r="E18" i="8"/>
  <c r="F18" i="8"/>
  <c r="E32" i="8"/>
  <c r="F32" i="8"/>
  <c r="F28" i="8"/>
  <c r="G16" i="8"/>
  <c r="G27" i="6"/>
  <c r="G24" i="8"/>
  <c r="G19" i="6"/>
  <c r="G36" i="8"/>
  <c r="G38" i="6"/>
  <c r="G17" i="8"/>
  <c r="G26" i="6"/>
  <c r="G29" i="8"/>
  <c r="G32" i="6"/>
  <c r="F4" i="8"/>
  <c r="G28" i="8"/>
  <c r="G31" i="6"/>
  <c r="E30" i="8"/>
  <c r="F30" i="8"/>
  <c r="E31" i="8"/>
  <c r="F31" i="8"/>
  <c r="E19" i="8"/>
  <c r="BF34" i="5"/>
  <c r="CF34" i="5"/>
  <c r="BT21" i="5"/>
  <c r="EQ10" i="5"/>
  <c r="CG21" i="5"/>
  <c r="BT20" i="5"/>
  <c r="EM9" i="5"/>
  <c r="CG20" i="5"/>
  <c r="EK7" i="5"/>
  <c r="BF19" i="5"/>
  <c r="CF19" i="5"/>
  <c r="EK12" i="5"/>
  <c r="EJ12" i="5"/>
  <c r="EJ7" i="5"/>
  <c r="EL7" i="5"/>
  <c r="EL9" i="5"/>
  <c r="EI12" i="5"/>
  <c r="BU21" i="5"/>
  <c r="AM75" i="10"/>
  <c r="AM15" i="10"/>
  <c r="AM27" i="10"/>
  <c r="AM39" i="10"/>
  <c r="AM51" i="10"/>
  <c r="AM63" i="10"/>
  <c r="AM73" i="10"/>
  <c r="AM57" i="10"/>
  <c r="AM58" i="10"/>
  <c r="AM16" i="10"/>
  <c r="AM28" i="10"/>
  <c r="AM40" i="10"/>
  <c r="AM52" i="10"/>
  <c r="AM64" i="10"/>
  <c r="AM74" i="10"/>
  <c r="AM21" i="10"/>
  <c r="AM10" i="10"/>
  <c r="AM17" i="10"/>
  <c r="AM29" i="10"/>
  <c r="AM41" i="10"/>
  <c r="AM53" i="10"/>
  <c r="AM65" i="10"/>
  <c r="AM33" i="10"/>
  <c r="AM46" i="10"/>
  <c r="AM6" i="10"/>
  <c r="AM18" i="10"/>
  <c r="AM30" i="10"/>
  <c r="AM42" i="10"/>
  <c r="AM54" i="10"/>
  <c r="AM66" i="10"/>
  <c r="AM7" i="10"/>
  <c r="AM19" i="10"/>
  <c r="AM31" i="10"/>
  <c r="AM43" i="10"/>
  <c r="AM55" i="10"/>
  <c r="AM34" i="10"/>
  <c r="AM8" i="10"/>
  <c r="AM20" i="10"/>
  <c r="AM32" i="10"/>
  <c r="AM44" i="10"/>
  <c r="AM56" i="10"/>
  <c r="AM67" i="10"/>
  <c r="AM9" i="10"/>
  <c r="AM45" i="10"/>
  <c r="AM68" i="10"/>
  <c r="AM22" i="10"/>
  <c r="AM69" i="10"/>
  <c r="AM11" i="10"/>
  <c r="AM23" i="10"/>
  <c r="AM35" i="10"/>
  <c r="AM47" i="10"/>
  <c r="AM59" i="10"/>
  <c r="AM12" i="10"/>
  <c r="AM24" i="10"/>
  <c r="AM36" i="10"/>
  <c r="AM48" i="10"/>
  <c r="AM60" i="10"/>
  <c r="AM70" i="10"/>
  <c r="AM13" i="10"/>
  <c r="AM25" i="10"/>
  <c r="AM37" i="10"/>
  <c r="AM49" i="10"/>
  <c r="AM61" i="10"/>
  <c r="AM71" i="10"/>
  <c r="AM14" i="10"/>
  <c r="AM26" i="10"/>
  <c r="AM38" i="10"/>
  <c r="AM50" i="10"/>
  <c r="AM62" i="10"/>
  <c r="AM72" i="10"/>
  <c r="AQ26" i="5"/>
  <c r="AQ14" i="5"/>
  <c r="AQ20" i="5"/>
  <c r="AQ37" i="5"/>
  <c r="AQ7" i="5"/>
  <c r="AQ25" i="5"/>
  <c r="AQ13" i="5"/>
  <c r="AQ32" i="5"/>
  <c r="AQ24" i="5"/>
  <c r="AQ12" i="5"/>
  <c r="AQ41" i="5"/>
  <c r="AQ35" i="5"/>
  <c r="AQ23" i="5"/>
  <c r="AQ11" i="5"/>
  <c r="AQ40" i="5"/>
  <c r="AQ34" i="5"/>
  <c r="AQ22" i="5"/>
  <c r="AQ10" i="5"/>
  <c r="AQ38" i="5"/>
  <c r="AQ31" i="5"/>
  <c r="AQ39" i="5"/>
  <c r="AQ33" i="5"/>
  <c r="AQ21" i="5"/>
  <c r="AQ9" i="5"/>
  <c r="AQ19" i="5"/>
  <c r="AQ36" i="5"/>
  <c r="AQ30" i="5"/>
  <c r="AQ18" i="5"/>
  <c r="AQ6" i="5"/>
  <c r="AQ29" i="5"/>
  <c r="AQ17" i="5"/>
  <c r="AQ28" i="5"/>
  <c r="AQ16" i="5"/>
  <c r="AQ27" i="5"/>
  <c r="AQ15" i="5"/>
  <c r="AQ8" i="5"/>
  <c r="CH21" i="5"/>
  <c r="BT22" i="5"/>
  <c r="CG26" i="5"/>
  <c r="BU16" i="5"/>
  <c r="BT8" i="5"/>
  <c r="BT35" i="5"/>
  <c r="BT13" i="5"/>
  <c r="BF17" i="5"/>
  <c r="CO17" i="5"/>
  <c r="BT12" i="5"/>
  <c r="CG29" i="5"/>
  <c r="BV21" i="5"/>
  <c r="BU20" i="5"/>
  <c r="BW20" i="5"/>
  <c r="BT31" i="5"/>
  <c r="BV20" i="5"/>
  <c r="BU9" i="5"/>
  <c r="BU27" i="5"/>
  <c r="BW25" i="5"/>
  <c r="BF27" i="5"/>
  <c r="CK27" i="5"/>
  <c r="CH29" i="5"/>
  <c r="BT29" i="5"/>
  <c r="BU19" i="5"/>
  <c r="BF9" i="5"/>
  <c r="CF9" i="5"/>
  <c r="CB21" i="5"/>
  <c r="BV29" i="5"/>
  <c r="CG12" i="5"/>
  <c r="BU12" i="5"/>
  <c r="BU29" i="5"/>
  <c r="BU36" i="5"/>
  <c r="BY36" i="5"/>
  <c r="BT36" i="5"/>
  <c r="BT10" i="5"/>
  <c r="BV22" i="5"/>
  <c r="BV36" i="5"/>
  <c r="BY20" i="5"/>
  <c r="BH20" i="5"/>
  <c r="CH20" i="5"/>
  <c r="BZ20" i="5"/>
  <c r="CO37" i="5"/>
  <c r="BT26" i="5"/>
  <c r="CC8" i="5"/>
  <c r="BW34" i="5"/>
  <c r="BV16" i="5"/>
  <c r="BF18" i="5"/>
  <c r="BT18" i="5"/>
  <c r="BZ36" i="5"/>
  <c r="BU26" i="5"/>
  <c r="BY24" i="5"/>
  <c r="BU35" i="5"/>
  <c r="CF26" i="5"/>
  <c r="BU25" i="5"/>
  <c r="BV25" i="5"/>
  <c r="CC36" i="5"/>
  <c r="BV26" i="5"/>
  <c r="CC20" i="5"/>
  <c r="BW21" i="5"/>
  <c r="CJ37" i="5"/>
  <c r="BZ19" i="5"/>
  <c r="CC35" i="5"/>
  <c r="BX8" i="5"/>
  <c r="CK37" i="5"/>
  <c r="BX17" i="5"/>
  <c r="CA19" i="5"/>
  <c r="CA12" i="5"/>
  <c r="BX24" i="5"/>
  <c r="CC16" i="5"/>
  <c r="CC26" i="5"/>
  <c r="CB22" i="5"/>
  <c r="CA37" i="5"/>
  <c r="CC18" i="5"/>
  <c r="BX18" i="5"/>
  <c r="CC33" i="5"/>
  <c r="CB31" i="5"/>
  <c r="CA31" i="5"/>
  <c r="BU37" i="5"/>
  <c r="BX33" i="5"/>
  <c r="BF24" i="5"/>
  <c r="CF24" i="5"/>
  <c r="BT24" i="5"/>
  <c r="CC21" i="5"/>
  <c r="BT33" i="5"/>
  <c r="BW9" i="5"/>
  <c r="CC10" i="5"/>
  <c r="CB12" i="5"/>
  <c r="CA24" i="5"/>
  <c r="BT37" i="5"/>
  <c r="BX21" i="5"/>
  <c r="BF16" i="5"/>
  <c r="CJ16" i="5"/>
  <c r="BT16" i="5"/>
  <c r="BX37" i="5"/>
  <c r="BZ24" i="5"/>
  <c r="CM36" i="5"/>
  <c r="CC13" i="5"/>
  <c r="BU13" i="5"/>
  <c r="BZ37" i="5"/>
  <c r="BX20" i="5"/>
  <c r="CI36" i="5"/>
  <c r="CB27" i="5"/>
  <c r="BF25" i="5"/>
  <c r="BT25" i="5"/>
  <c r="BG8" i="5"/>
  <c r="BZ8" i="5"/>
  <c r="BW8" i="5"/>
  <c r="CL37" i="5"/>
  <c r="CL29" i="5"/>
  <c r="BY13" i="5"/>
  <c r="BY34" i="5"/>
  <c r="BF40" i="5"/>
  <c r="CA40" i="5"/>
  <c r="CC40" i="5"/>
  <c r="BT40" i="5"/>
  <c r="BV40" i="5"/>
  <c r="BX40" i="5"/>
  <c r="BY40" i="5"/>
  <c r="BW40" i="5"/>
  <c r="CB40" i="5"/>
  <c r="BZ40" i="5"/>
  <c r="BU40" i="5"/>
  <c r="BY25" i="5"/>
  <c r="BZ18" i="5"/>
  <c r="BH19" i="5"/>
  <c r="BV19" i="5"/>
  <c r="CB19" i="5"/>
  <c r="BY26" i="5"/>
  <c r="CA16" i="5"/>
  <c r="CM37" i="5"/>
  <c r="CB8" i="5"/>
  <c r="CM29" i="5"/>
  <c r="BG35" i="5"/>
  <c r="CH35" i="5"/>
  <c r="BX35" i="5"/>
  <c r="CC19" i="5"/>
  <c r="BZ33" i="5"/>
  <c r="BZ16" i="5"/>
  <c r="CB36" i="5"/>
  <c r="CF13" i="5"/>
  <c r="BZ35" i="5"/>
  <c r="CA9" i="5"/>
  <c r="CA27" i="5"/>
  <c r="CA29" i="5"/>
  <c r="BY27" i="5"/>
  <c r="CH36" i="5"/>
  <c r="BX19" i="5"/>
  <c r="BF11" i="5"/>
  <c r="BW11" i="5"/>
  <c r="BT11" i="5"/>
  <c r="BY11" i="5"/>
  <c r="BV11" i="5"/>
  <c r="CC11" i="5"/>
  <c r="BZ11" i="5"/>
  <c r="CB11" i="5"/>
  <c r="BX11" i="5"/>
  <c r="CA11" i="5"/>
  <c r="BU11" i="5"/>
  <c r="BF7" i="5"/>
  <c r="BZ7" i="5"/>
  <c r="BV7" i="5"/>
  <c r="BT7" i="5"/>
  <c r="CB7" i="5"/>
  <c r="BW7" i="5"/>
  <c r="CA7" i="5"/>
  <c r="BX7" i="5"/>
  <c r="BU7" i="5"/>
  <c r="BY7" i="5"/>
  <c r="CC7" i="5"/>
  <c r="BG31" i="5"/>
  <c r="BX31" i="5"/>
  <c r="BU31" i="5"/>
  <c r="BV31" i="5"/>
  <c r="BW27" i="5"/>
  <c r="BV8" i="5"/>
  <c r="BW12" i="5"/>
  <c r="BW18" i="5"/>
  <c r="CN37" i="5"/>
  <c r="BY10" i="5"/>
  <c r="BZ29" i="5"/>
  <c r="CB33" i="5"/>
  <c r="BY17" i="5"/>
  <c r="CC9" i="5"/>
  <c r="BX22" i="5"/>
  <c r="CJ36" i="5"/>
  <c r="BF39" i="5"/>
  <c r="BT39" i="5"/>
  <c r="CB39" i="5"/>
  <c r="BX39" i="5"/>
  <c r="BW39" i="5"/>
  <c r="CA39" i="5"/>
  <c r="BY39" i="5"/>
  <c r="BZ39" i="5"/>
  <c r="CC39" i="5"/>
  <c r="BV39" i="5"/>
  <c r="BU39" i="5"/>
  <c r="CC22" i="5"/>
  <c r="BY37" i="5"/>
  <c r="BV24" i="5"/>
  <c r="BX10" i="5"/>
  <c r="BX25" i="5"/>
  <c r="CG37" i="5"/>
  <c r="BI25" i="5"/>
  <c r="CA25" i="5"/>
  <c r="CB25" i="5"/>
  <c r="CN29" i="5"/>
  <c r="BU33" i="5"/>
  <c r="BY35" i="5"/>
  <c r="CC27" i="5"/>
  <c r="BX12" i="5"/>
  <c r="BF38" i="5"/>
  <c r="CA38" i="5"/>
  <c r="BX38" i="5"/>
  <c r="BV38" i="5"/>
  <c r="BW38" i="5"/>
  <c r="BU38" i="5"/>
  <c r="CC38" i="5"/>
  <c r="BT38" i="5"/>
  <c r="BZ38" i="5"/>
  <c r="CB38" i="5"/>
  <c r="BY38" i="5"/>
  <c r="BF28" i="5"/>
  <c r="CA28" i="5"/>
  <c r="BZ28" i="5"/>
  <c r="BW28" i="5"/>
  <c r="CC28" i="5"/>
  <c r="BY28" i="5"/>
  <c r="CB28" i="5"/>
  <c r="BX28" i="5"/>
  <c r="BT28" i="5"/>
  <c r="BU28" i="5"/>
  <c r="BV28" i="5"/>
  <c r="BG34" i="5"/>
  <c r="CC34" i="5"/>
  <c r="BX34" i="5"/>
  <c r="BZ34" i="5"/>
  <c r="BH12" i="5"/>
  <c r="CC12" i="5"/>
  <c r="BV12" i="5"/>
  <c r="BG24" i="5"/>
  <c r="CB24" i="5"/>
  <c r="BW24" i="5"/>
  <c r="CL36" i="5"/>
  <c r="BF6" i="5"/>
  <c r="CC6" i="5"/>
  <c r="BU6" i="5"/>
  <c r="BY6" i="5"/>
  <c r="CA6" i="5"/>
  <c r="BX6" i="5"/>
  <c r="BV6" i="5"/>
  <c r="BT6" i="5"/>
  <c r="CB6" i="5"/>
  <c r="BZ6" i="5"/>
  <c r="BW6" i="5"/>
  <c r="BW31" i="5"/>
  <c r="CA22" i="5"/>
  <c r="BZ12" i="5"/>
  <c r="CC29" i="5"/>
  <c r="CI37" i="5"/>
  <c r="CB37" i="5"/>
  <c r="BY18" i="5"/>
  <c r="CO29" i="5"/>
  <c r="BW37" i="5"/>
  <c r="BY19" i="5"/>
  <c r="BZ27" i="5"/>
  <c r="BV33" i="5"/>
  <c r="CC17" i="5"/>
  <c r="BV13" i="5"/>
  <c r="CA35" i="5"/>
  <c r="BF32" i="5"/>
  <c r="CA32" i="5"/>
  <c r="BZ32" i="5"/>
  <c r="BX32" i="5"/>
  <c r="BV32" i="5"/>
  <c r="BY32" i="5"/>
  <c r="BW32" i="5"/>
  <c r="BU32" i="5"/>
  <c r="CC32" i="5"/>
  <c r="BT32" i="5"/>
  <c r="CB32" i="5"/>
  <c r="BG9" i="5"/>
  <c r="BZ9" i="5"/>
  <c r="BU8" i="5"/>
  <c r="CK36" i="5"/>
  <c r="CA21" i="5"/>
  <c r="BY31" i="5"/>
  <c r="CB34" i="5"/>
  <c r="CA20" i="5"/>
  <c r="BY29" i="5"/>
  <c r="BU24" i="5"/>
  <c r="BZ17" i="5"/>
  <c r="BY33" i="5"/>
  <c r="BV17" i="5"/>
  <c r="BX13" i="5"/>
  <c r="CB35" i="5"/>
  <c r="CB9" i="5"/>
  <c r="CB10" i="5"/>
  <c r="BG13" i="5"/>
  <c r="CN13" i="5"/>
  <c r="CB13" i="5"/>
  <c r="BH18" i="5"/>
  <c r="CA18" i="5"/>
  <c r="CB18" i="5"/>
  <c r="BV18" i="5"/>
  <c r="BU10" i="5"/>
  <c r="CN36" i="5"/>
  <c r="BZ26" i="5"/>
  <c r="CA8" i="5"/>
  <c r="BX36" i="5"/>
  <c r="CC37" i="5"/>
  <c r="CC24" i="5"/>
  <c r="BU34" i="5"/>
  <c r="CI29" i="5"/>
  <c r="BY21" i="5"/>
  <c r="BW36" i="5"/>
  <c r="CA33" i="5"/>
  <c r="BW13" i="5"/>
  <c r="BW29" i="5"/>
  <c r="BV35" i="5"/>
  <c r="BF14" i="5"/>
  <c r="BW14" i="5"/>
  <c r="BY14" i="5"/>
  <c r="BU14" i="5"/>
  <c r="CB14" i="5"/>
  <c r="BT14" i="5"/>
  <c r="CC14" i="5"/>
  <c r="BZ14" i="5"/>
  <c r="BV14" i="5"/>
  <c r="BX14" i="5"/>
  <c r="CA14" i="5"/>
  <c r="BV34" i="5"/>
  <c r="BW17" i="5"/>
  <c r="BZ13" i="5"/>
  <c r="CF35" i="5"/>
  <c r="BU17" i="5"/>
  <c r="CB29" i="5"/>
  <c r="CB26" i="5"/>
  <c r="CK29" i="5"/>
  <c r="BY8" i="5"/>
  <c r="BF30" i="5"/>
  <c r="BX30" i="5"/>
  <c r="BV30" i="5"/>
  <c r="CB30" i="5"/>
  <c r="CC30" i="5"/>
  <c r="BZ30" i="5"/>
  <c r="BU30" i="5"/>
  <c r="CA30" i="5"/>
  <c r="BT30" i="5"/>
  <c r="BY30" i="5"/>
  <c r="BW30" i="5"/>
  <c r="BI20" i="5"/>
  <c r="CB20" i="5"/>
  <c r="CG36" i="5"/>
  <c r="CB16" i="5"/>
  <c r="BG22" i="5"/>
  <c r="BZ22" i="5"/>
  <c r="BY22" i="5"/>
  <c r="BX29" i="5"/>
  <c r="BW22" i="5"/>
  <c r="CH37" i="5"/>
  <c r="CA36" i="5"/>
  <c r="CJ29" i="5"/>
  <c r="BW33" i="5"/>
  <c r="CA17" i="5"/>
  <c r="BV9" i="5"/>
  <c r="BV27" i="5"/>
  <c r="CA13" i="5"/>
  <c r="BG10" i="5"/>
  <c r="CA10" i="5"/>
  <c r="BW10" i="5"/>
  <c r="BY9" i="5"/>
  <c r="BF15" i="5"/>
  <c r="CA15" i="5"/>
  <c r="BW15" i="5"/>
  <c r="CB15" i="5"/>
  <c r="BY15" i="5"/>
  <c r="BX15" i="5"/>
  <c r="BZ15" i="5"/>
  <c r="BU15" i="5"/>
  <c r="CC15" i="5"/>
  <c r="BV15" i="5"/>
  <c r="BT15" i="5"/>
  <c r="BZ10" i="5"/>
  <c r="BI21" i="5"/>
  <c r="BZ31" i="5"/>
  <c r="CO36" i="5"/>
  <c r="BY12" i="5"/>
  <c r="BH26" i="5"/>
  <c r="BX26" i="5"/>
  <c r="CA26" i="5"/>
  <c r="BW26" i="5"/>
  <c r="BW16" i="5"/>
  <c r="BZ25" i="5"/>
  <c r="BV10" i="5"/>
  <c r="CC25" i="5"/>
  <c r="BX16" i="5"/>
  <c r="BZ21" i="5"/>
  <c r="BF41" i="5"/>
  <c r="CA41" i="5"/>
  <c r="BU41" i="5"/>
  <c r="BX41" i="5"/>
  <c r="BT41" i="5"/>
  <c r="CB41" i="5"/>
  <c r="BV41" i="5"/>
  <c r="CC41" i="5"/>
  <c r="BW41" i="5"/>
  <c r="BY41" i="5"/>
  <c r="BZ41" i="5"/>
  <c r="CA34" i="5"/>
  <c r="CC31" i="5"/>
  <c r="BF23" i="5"/>
  <c r="CB23" i="5"/>
  <c r="BT23" i="5"/>
  <c r="CA23" i="5"/>
  <c r="BY23" i="5"/>
  <c r="BU23" i="5"/>
  <c r="CC23" i="5"/>
  <c r="BX23" i="5"/>
  <c r="BV23" i="5"/>
  <c r="BW23" i="5"/>
  <c r="BZ23" i="5"/>
  <c r="BU22" i="5"/>
  <c r="BW19" i="5"/>
  <c r="BY16" i="5"/>
  <c r="CN33" i="5"/>
  <c r="CJ33" i="5"/>
  <c r="CH33" i="5"/>
  <c r="CL33" i="5"/>
  <c r="CK33" i="5"/>
  <c r="CO33" i="5"/>
  <c r="CI33" i="5"/>
  <c r="CF33" i="5"/>
  <c r="CG33" i="5"/>
  <c r="CM33" i="5"/>
  <c r="CB17" i="5"/>
  <c r="BV37" i="5"/>
  <c r="BW35" i="5"/>
  <c r="BX9" i="5"/>
  <c r="BX27" i="5"/>
  <c r="J9" i="8"/>
  <c r="E20" i="8"/>
  <c r="F20" i="8"/>
  <c r="E8" i="8"/>
  <c r="F8" i="8"/>
  <c r="BD23" i="5"/>
  <c r="CD23" i="5"/>
  <c r="BD30" i="5"/>
  <c r="BD40" i="5"/>
  <c r="CD40" i="5"/>
  <c r="BD20" i="5"/>
  <c r="ES12" i="5"/>
  <c r="BD26" i="5"/>
  <c r="CX26" i="5"/>
  <c r="EF26" i="5" a="1"/>
  <c r="EF26" i="5"/>
  <c r="ES7" i="5"/>
  <c r="BD36" i="5"/>
  <c r="CD36" i="5"/>
  <c r="BD11" i="5"/>
  <c r="CX11" i="5"/>
  <c r="EN11" i="5" a="1"/>
  <c r="EN11" i="5"/>
  <c r="BD14" i="5"/>
  <c r="CD14" i="5"/>
  <c r="BD27" i="5"/>
  <c r="CD27" i="5"/>
  <c r="BD33" i="5"/>
  <c r="BP33" i="5"/>
  <c r="BD12" i="5"/>
  <c r="BP12" i="5"/>
  <c r="BD8" i="5"/>
  <c r="BP8" i="5"/>
  <c r="BD9" i="5"/>
  <c r="CX9" i="5"/>
  <c r="BD35" i="5"/>
  <c r="CD35" i="5"/>
  <c r="ET9" i="5"/>
  <c r="BD16" i="5"/>
  <c r="CX16" i="5"/>
  <c r="DX16" i="5" a="1"/>
  <c r="DX16" i="5"/>
  <c r="BD39" i="5"/>
  <c r="CX39" i="5"/>
  <c r="BD24" i="5"/>
  <c r="BP24" i="5"/>
  <c r="ET7" i="5"/>
  <c r="EU9" i="5"/>
  <c r="BD41" i="5"/>
  <c r="CX41" i="5"/>
  <c r="EG41" i="5" a="1"/>
  <c r="EG41" i="5"/>
  <c r="BD28" i="5"/>
  <c r="BP28" i="5"/>
  <c r="BD31" i="5"/>
  <c r="CD31" i="5"/>
  <c r="BD32" i="5"/>
  <c r="CD32" i="5"/>
  <c r="BD17" i="5"/>
  <c r="BP17" i="5"/>
  <c r="CP17" i="5"/>
  <c r="BD38" i="5"/>
  <c r="CX38" i="5"/>
  <c r="BD13" i="5"/>
  <c r="CX13" i="5"/>
  <c r="ER7" i="5"/>
  <c r="BD19" i="5"/>
  <c r="BP19" i="5"/>
  <c r="BD21" i="5"/>
  <c r="BP21" i="5"/>
  <c r="BD29" i="5"/>
  <c r="CD29" i="5"/>
  <c r="BD10" i="5"/>
  <c r="BP10" i="5"/>
  <c r="BD25" i="5"/>
  <c r="CD25" i="5"/>
  <c r="BD15" i="5"/>
  <c r="CD15" i="5"/>
  <c r="BD6" i="5"/>
  <c r="CD6" i="5"/>
  <c r="BD22" i="5"/>
  <c r="BP22" i="5"/>
  <c r="BD7" i="5"/>
  <c r="BP7" i="5"/>
  <c r="ER12" i="5"/>
  <c r="EQ12" i="5"/>
  <c r="BD18" i="5"/>
  <c r="CX18" i="5"/>
  <c r="DH18" i="5" a="1"/>
  <c r="DH18" i="5"/>
  <c r="BD34" i="5"/>
  <c r="BP34" i="5"/>
  <c r="BD37" i="5"/>
  <c r="CX37" i="5"/>
  <c r="DQ37" i="5" a="1"/>
  <c r="DQ37" i="5"/>
  <c r="CX23" i="5"/>
  <c r="DH23" i="5" a="1"/>
  <c r="DH23" i="5"/>
  <c r="CX31" i="5"/>
  <c r="CD26" i="5"/>
  <c r="CD17" i="5"/>
  <c r="CJ17" i="5"/>
  <c r="CD12" i="5"/>
  <c r="CG19" i="5"/>
  <c r="CX24" i="5"/>
  <c r="CX17" i="5"/>
  <c r="CN19" i="5"/>
  <c r="CX12" i="5"/>
  <c r="CD22" i="5"/>
  <c r="CX40" i="5"/>
  <c r="CD8" i="5"/>
  <c r="CX6" i="5"/>
  <c r="CX8" i="5"/>
  <c r="CD7" i="5"/>
  <c r="CX36" i="5"/>
  <c r="CG17" i="5"/>
  <c r="CM17" i="5"/>
  <c r="CL17" i="5"/>
  <c r="CF17" i="5"/>
  <c r="CI17" i="5"/>
  <c r="CN17" i="5"/>
  <c r="CH17" i="5"/>
  <c r="CK17" i="5"/>
  <c r="DI16" i="5" a="1"/>
  <c r="DI16" i="5"/>
  <c r="CH27" i="5"/>
  <c r="CI27" i="5"/>
  <c r="CM27" i="5"/>
  <c r="CL19" i="5"/>
  <c r="CO27" i="5"/>
  <c r="CM19" i="5"/>
  <c r="CL27" i="5"/>
  <c r="CH19" i="5"/>
  <c r="CN27" i="5"/>
  <c r="CI19" i="5"/>
  <c r="CF27" i="5"/>
  <c r="CI35" i="5"/>
  <c r="CK19" i="5"/>
  <c r="CG27" i="5"/>
  <c r="CO35" i="5"/>
  <c r="CO19" i="5"/>
  <c r="CJ19" i="5"/>
  <c r="CJ27" i="5"/>
  <c r="CM9" i="5"/>
  <c r="CK35" i="5"/>
  <c r="CM35" i="5"/>
  <c r="CN35" i="5"/>
  <c r="CL35" i="5"/>
  <c r="CG35" i="5"/>
  <c r="CJ35" i="5"/>
  <c r="CF18" i="5"/>
  <c r="CG18" i="5"/>
  <c r="CN16" i="5"/>
  <c r="CI16" i="5"/>
  <c r="CM16" i="5"/>
  <c r="CO16" i="5"/>
  <c r="CH13" i="5"/>
  <c r="CK13" i="5"/>
  <c r="CF25" i="5"/>
  <c r="CH25" i="5"/>
  <c r="CG25" i="5"/>
  <c r="CK16" i="5"/>
  <c r="CH16" i="5"/>
  <c r="CF16" i="5"/>
  <c r="CG16" i="5"/>
  <c r="CL16" i="5"/>
  <c r="CL20" i="5"/>
  <c r="CJ9" i="5"/>
  <c r="CL11" i="5"/>
  <c r="CF11" i="5"/>
  <c r="CN11" i="5"/>
  <c r="CI11" i="5"/>
  <c r="CH11" i="5"/>
  <c r="CM11" i="5"/>
  <c r="CK11" i="5"/>
  <c r="CG11" i="5"/>
  <c r="CO11" i="5"/>
  <c r="CJ11" i="5"/>
  <c r="CK9" i="5"/>
  <c r="CI28" i="5"/>
  <c r="CF28" i="5"/>
  <c r="CN28" i="5"/>
  <c r="CM28" i="5"/>
  <c r="CJ28" i="5"/>
  <c r="CH28" i="5"/>
  <c r="CO28" i="5"/>
  <c r="CL28" i="5"/>
  <c r="CG28" i="5"/>
  <c r="CK28" i="5"/>
  <c r="CJ13" i="5"/>
  <c r="CJ40" i="5"/>
  <c r="CH40" i="5"/>
  <c r="CF40" i="5"/>
  <c r="CM40" i="5"/>
  <c r="CG40" i="5"/>
  <c r="CK40" i="5"/>
  <c r="CI40" i="5"/>
  <c r="CN40" i="5"/>
  <c r="CL40" i="5"/>
  <c r="CO40" i="5"/>
  <c r="CL10" i="5"/>
  <c r="CH10" i="5"/>
  <c r="CO10" i="5"/>
  <c r="CK10" i="5"/>
  <c r="CJ10" i="5"/>
  <c r="CN10" i="5"/>
  <c r="CM10" i="5"/>
  <c r="CI10" i="5"/>
  <c r="CG10" i="5"/>
  <c r="CN9" i="5"/>
  <c r="CJ38" i="5"/>
  <c r="CH38" i="5"/>
  <c r="CF38" i="5"/>
  <c r="CO38" i="5"/>
  <c r="CK38" i="5"/>
  <c r="CI38" i="5"/>
  <c r="CG38" i="5"/>
  <c r="CL38" i="5"/>
  <c r="CN38" i="5"/>
  <c r="CM38" i="5"/>
  <c r="CM13" i="5"/>
  <c r="CK30" i="5"/>
  <c r="CG30" i="5"/>
  <c r="CM30" i="5"/>
  <c r="CF30" i="5"/>
  <c r="CH30" i="5"/>
  <c r="CN30" i="5"/>
  <c r="CL30" i="5"/>
  <c r="CJ30" i="5"/>
  <c r="CO30" i="5"/>
  <c r="CI30" i="5"/>
  <c r="CJ20" i="5"/>
  <c r="CL9" i="5"/>
  <c r="CI24" i="5"/>
  <c r="CJ24" i="5"/>
  <c r="CH24" i="5"/>
  <c r="CN24" i="5"/>
  <c r="CL24" i="5"/>
  <c r="CM24" i="5"/>
  <c r="CG24" i="5"/>
  <c r="CO24" i="5"/>
  <c r="CK24" i="5"/>
  <c r="CI13" i="5"/>
  <c r="CI9" i="5"/>
  <c r="CJ41" i="5"/>
  <c r="CI41" i="5"/>
  <c r="CH41" i="5"/>
  <c r="CF41" i="5"/>
  <c r="CO41" i="5"/>
  <c r="CK41" i="5"/>
  <c r="CN41" i="5"/>
  <c r="CL41" i="5"/>
  <c r="CG41" i="5"/>
  <c r="CM41" i="5"/>
  <c r="CK18" i="5"/>
  <c r="CH18" i="5"/>
  <c r="CN18" i="5"/>
  <c r="CO18" i="5"/>
  <c r="CI18" i="5"/>
  <c r="CM18" i="5"/>
  <c r="CL18" i="5"/>
  <c r="CJ18" i="5"/>
  <c r="CO9" i="5"/>
  <c r="CM20" i="5"/>
  <c r="CO13" i="5"/>
  <c r="CH15" i="5"/>
  <c r="CM15" i="5"/>
  <c r="CK15" i="5"/>
  <c r="CJ15" i="5"/>
  <c r="CO15" i="5"/>
  <c r="CL15" i="5"/>
  <c r="CG15" i="5"/>
  <c r="CI15" i="5"/>
  <c r="CF15" i="5"/>
  <c r="CN15" i="5"/>
  <c r="CJ39" i="5"/>
  <c r="CH39" i="5"/>
  <c r="CF39" i="5"/>
  <c r="CI39" i="5"/>
  <c r="CM39" i="5"/>
  <c r="CL39" i="5"/>
  <c r="CO39" i="5"/>
  <c r="CK39" i="5"/>
  <c r="CN39" i="5"/>
  <c r="CG39" i="5"/>
  <c r="CM31" i="5"/>
  <c r="CN31" i="5"/>
  <c r="CK31" i="5"/>
  <c r="CO31" i="5"/>
  <c r="CG31" i="5"/>
  <c r="CL31" i="5"/>
  <c r="CI31" i="5"/>
  <c r="CH31" i="5"/>
  <c r="CJ31" i="5"/>
  <c r="CL7" i="5"/>
  <c r="CH7" i="5"/>
  <c r="CF7" i="5"/>
  <c r="CO7" i="5"/>
  <c r="CM7" i="5"/>
  <c r="CK7" i="5"/>
  <c r="CN7" i="5"/>
  <c r="CI7" i="5"/>
  <c r="CJ7" i="5"/>
  <c r="CG7" i="5"/>
  <c r="CG34" i="5"/>
  <c r="CK34" i="5"/>
  <c r="CH34" i="5"/>
  <c r="CI34" i="5"/>
  <c r="CM34" i="5"/>
  <c r="CN34" i="5"/>
  <c r="CJ34" i="5"/>
  <c r="CO34" i="5"/>
  <c r="CL34" i="5"/>
  <c r="CK20" i="5"/>
  <c r="CH9" i="5"/>
  <c r="CM12" i="5"/>
  <c r="CI12" i="5"/>
  <c r="CJ12" i="5"/>
  <c r="CH12" i="5"/>
  <c r="CK12" i="5"/>
  <c r="CO12" i="5"/>
  <c r="CN12" i="5"/>
  <c r="CL12" i="5"/>
  <c r="CG13" i="5"/>
  <c r="CJ8" i="5"/>
  <c r="CI8" i="5"/>
  <c r="CG8" i="5"/>
  <c r="CL8" i="5"/>
  <c r="CH8" i="5"/>
  <c r="CK8" i="5"/>
  <c r="CN8" i="5"/>
  <c r="CM8" i="5"/>
  <c r="CO8" i="5"/>
  <c r="CK6" i="5"/>
  <c r="CG6" i="5"/>
  <c r="CL6" i="5"/>
  <c r="CF6" i="5"/>
  <c r="CM6" i="5"/>
  <c r="CJ6" i="5"/>
  <c r="CH6" i="5"/>
  <c r="CO6" i="5"/>
  <c r="CN6" i="5"/>
  <c r="CI6" i="5"/>
  <c r="CL23" i="5"/>
  <c r="CK23" i="5"/>
  <c r="CI23" i="5"/>
  <c r="CH23" i="5"/>
  <c r="CO23" i="5"/>
  <c r="CN23" i="5"/>
  <c r="CM23" i="5"/>
  <c r="CG23" i="5"/>
  <c r="CF23" i="5"/>
  <c r="CJ23" i="5"/>
  <c r="CN26" i="5"/>
  <c r="CI26" i="5"/>
  <c r="CK26" i="5"/>
  <c r="CJ26" i="5"/>
  <c r="CL26" i="5"/>
  <c r="CO26" i="5"/>
  <c r="CM26" i="5"/>
  <c r="CH26" i="5"/>
  <c r="CO20" i="5"/>
  <c r="CI20" i="5"/>
  <c r="CG9" i="5"/>
  <c r="CN25" i="5"/>
  <c r="CJ25" i="5"/>
  <c r="CK25" i="5"/>
  <c r="CI25" i="5"/>
  <c r="CL25" i="5"/>
  <c r="CO25" i="5"/>
  <c r="CM25" i="5"/>
  <c r="CL13" i="5"/>
  <c r="CM32" i="5"/>
  <c r="CI32" i="5"/>
  <c r="CN32" i="5"/>
  <c r="CL32" i="5"/>
  <c r="CJ32" i="5"/>
  <c r="CH32" i="5"/>
  <c r="CG32" i="5"/>
  <c r="CF32" i="5"/>
  <c r="CO32" i="5"/>
  <c r="CK32" i="5"/>
  <c r="CG14" i="5"/>
  <c r="CO14" i="5"/>
  <c r="CJ14" i="5"/>
  <c r="CK14" i="5"/>
  <c r="CI14" i="5"/>
  <c r="CN14" i="5"/>
  <c r="CL14" i="5"/>
  <c r="CF14" i="5"/>
  <c r="CM14" i="5"/>
  <c r="CH14" i="5"/>
  <c r="CI21" i="5"/>
  <c r="CL21" i="5"/>
  <c r="CM21" i="5"/>
  <c r="CN21" i="5"/>
  <c r="CJ21" i="5"/>
  <c r="CK21" i="5"/>
  <c r="CO21" i="5"/>
  <c r="CJ22" i="5"/>
  <c r="CM22" i="5"/>
  <c r="CO22" i="5"/>
  <c r="CK22" i="5"/>
  <c r="CN22" i="5"/>
  <c r="CH22" i="5"/>
  <c r="CI22" i="5"/>
  <c r="CG22" i="5"/>
  <c r="CL22" i="5"/>
  <c r="CN20" i="5"/>
  <c r="J10" i="8"/>
  <c r="E21" i="8"/>
  <c r="F21" i="8"/>
  <c r="E33" i="8"/>
  <c r="F33" i="8"/>
  <c r="E9" i="8"/>
  <c r="F9" i="8"/>
  <c r="EG37" i="5" a="1"/>
  <c r="EG37" i="5"/>
  <c r="DQ18" i="5" a="1"/>
  <c r="DQ18" i="5"/>
  <c r="CX28" i="5"/>
  <c r="CD28" i="5"/>
  <c r="EF18" i="5" a="1"/>
  <c r="EF18" i="5"/>
  <c r="CD37" i="5"/>
  <c r="CX21" i="5"/>
  <c r="EN18" i="5" a="1"/>
  <c r="EN18" i="5"/>
  <c r="CX33" i="5"/>
  <c r="DX18" i="5" a="1"/>
  <c r="DX18" i="5"/>
  <c r="CD24" i="5"/>
  <c r="DY37" i="5" a="1"/>
  <c r="DY37" i="5"/>
  <c r="EN37" i="5" a="1"/>
  <c r="EN37" i="5"/>
  <c r="DA41" i="5" a="1"/>
  <c r="DA41" i="5"/>
  <c r="CD21" i="5"/>
  <c r="BP6" i="5"/>
  <c r="CP6" i="5"/>
  <c r="DH41" i="5" a="1"/>
  <c r="DH41" i="5"/>
  <c r="CD19" i="5"/>
  <c r="BP29" i="5"/>
  <c r="CX22" i="5"/>
  <c r="CD33" i="5"/>
  <c r="BP15" i="5"/>
  <c r="DP16" i="5" a="1"/>
  <c r="DP16" i="5"/>
  <c r="CX29" i="5"/>
  <c r="DY29" i="5" a="1"/>
  <c r="DY29" i="5"/>
  <c r="CX19" i="5"/>
  <c r="EN19" i="5" a="1"/>
  <c r="EN19" i="5"/>
  <c r="CP19" i="5"/>
  <c r="CY19" i="5"/>
  <c r="EP19" i="5" a="1"/>
  <c r="EP19" i="5"/>
  <c r="CQ19" i="5"/>
  <c r="CP33" i="5"/>
  <c r="CQ33" i="5"/>
  <c r="CY7" i="5"/>
  <c r="EP7" i="5" a="1"/>
  <c r="EP7" i="5"/>
  <c r="CQ7" i="5"/>
  <c r="CP7" i="5"/>
  <c r="CP34" i="5"/>
  <c r="CQ34" i="5"/>
  <c r="CY34" i="5"/>
  <c r="DZ34" i="5" a="1"/>
  <c r="DZ34" i="5"/>
  <c r="B107" i="20" a="1"/>
  <c r="B107" i="20"/>
  <c r="H80" i="20" a="1"/>
  <c r="H80" i="20"/>
  <c r="CP28" i="5"/>
  <c r="CY28" i="5"/>
  <c r="EP28" i="5" a="1"/>
  <c r="EP28" i="5"/>
  <c r="CQ28" i="5"/>
  <c r="CQ12" i="5"/>
  <c r="CP12" i="5"/>
  <c r="CY12" i="5"/>
  <c r="EP12" i="5" a="1"/>
  <c r="EP12" i="5"/>
  <c r="DA19" i="5" a="1"/>
  <c r="DA19" i="5"/>
  <c r="A81" i="20" a="1"/>
  <c r="A81" i="20"/>
  <c r="DQ16" i="5" a="1"/>
  <c r="DQ16" i="5"/>
  <c r="CD34" i="5"/>
  <c r="BP39" i="5"/>
  <c r="DH16" i="5" a="1"/>
  <c r="DH16" i="5"/>
  <c r="DY16" i="5" a="1"/>
  <c r="DY16" i="5"/>
  <c r="DI19" i="5" a="1"/>
  <c r="DI19" i="5"/>
  <c r="EG11" i="5" a="1"/>
  <c r="EG11" i="5"/>
  <c r="CX34" i="5"/>
  <c r="CD39" i="5"/>
  <c r="BP18" i="5"/>
  <c r="CY18" i="5"/>
  <c r="EP18" i="5" a="1"/>
  <c r="EP18" i="5"/>
  <c r="BP31" i="5"/>
  <c r="DX11" i="5" a="1"/>
  <c r="DX11" i="5"/>
  <c r="CY6" i="5"/>
  <c r="EP6" i="5" a="1"/>
  <c r="EP6" i="5"/>
  <c r="DQ19" i="5" a="1"/>
  <c r="DQ19" i="5"/>
  <c r="DA11" i="5" a="1"/>
  <c r="DA11" i="5"/>
  <c r="EG16" i="5" a="1"/>
  <c r="EG16" i="5"/>
  <c r="DP19" i="5" a="1"/>
  <c r="DP19" i="5"/>
  <c r="DQ11" i="5" a="1"/>
  <c r="DQ11" i="5"/>
  <c r="CQ17" i="5"/>
  <c r="CX32" i="5"/>
  <c r="BP26" i="5"/>
  <c r="DP11" i="5" a="1"/>
  <c r="DP11" i="5"/>
  <c r="BP16" i="5"/>
  <c r="CQ6" i="5"/>
  <c r="DH11" i="5" a="1"/>
  <c r="DH11" i="5"/>
  <c r="DI37" i="5" a="1"/>
  <c r="DI37" i="5"/>
  <c r="DX19" i="5" a="1"/>
  <c r="DX19" i="5"/>
  <c r="DI11" i="5" a="1"/>
  <c r="DI11" i="5"/>
  <c r="CY17" i="5"/>
  <c r="DZ17" i="5" a="1"/>
  <c r="DZ17" i="5"/>
  <c r="CD38" i="5"/>
  <c r="DH19" i="5" a="1"/>
  <c r="DH19" i="5"/>
  <c r="H81" i="20" a="1"/>
  <c r="H81" i="20"/>
  <c r="CD16" i="5"/>
  <c r="EN16" i="5" a="1"/>
  <c r="EN16" i="5"/>
  <c r="DY11" i="5" a="1"/>
  <c r="DY11" i="5"/>
  <c r="DH37" i="5" a="1"/>
  <c r="DH37" i="5"/>
  <c r="DP37" i="5" a="1"/>
  <c r="DP37" i="5"/>
  <c r="DY19" i="5" a="1"/>
  <c r="DY19" i="5"/>
  <c r="EF11" i="5" a="1"/>
  <c r="EF11" i="5"/>
  <c r="DA16" i="5" a="1"/>
  <c r="DA16" i="5"/>
  <c r="DA18" i="5" a="1"/>
  <c r="DA18" i="5"/>
  <c r="DA37" i="5" a="1"/>
  <c r="DA37" i="5"/>
  <c r="DX37" i="5" a="1"/>
  <c r="DX37" i="5"/>
  <c r="EG19" i="5" a="1"/>
  <c r="EG19" i="5"/>
  <c r="CD11" i="5"/>
  <c r="CX7" i="5"/>
  <c r="EF16" i="5" a="1"/>
  <c r="EF16" i="5"/>
  <c r="EF37" i="5" a="1"/>
  <c r="EF37" i="5"/>
  <c r="EF19" i="5" a="1"/>
  <c r="EF19" i="5"/>
  <c r="CD10" i="5"/>
  <c r="CQ21" i="5"/>
  <c r="CP21" i="5"/>
  <c r="CY21" i="5"/>
  <c r="EP21" i="5" a="1"/>
  <c r="EP21" i="5"/>
  <c r="CP8" i="5"/>
  <c r="CQ8" i="5"/>
  <c r="CY8" i="5"/>
  <c r="EP8" i="5" a="1"/>
  <c r="EP8" i="5"/>
  <c r="CY22" i="5"/>
  <c r="EP22" i="5" a="1"/>
  <c r="EP22" i="5"/>
  <c r="CQ22" i="5"/>
  <c r="CP22" i="5"/>
  <c r="DB22" i="5" a="1"/>
  <c r="DB22" i="5"/>
  <c r="DI13" i="5" a="1"/>
  <c r="DI13" i="5"/>
  <c r="EO13" i="5" a="1"/>
  <c r="EO13" i="5"/>
  <c r="EV13" i="5" a="1"/>
  <c r="EV13" i="5"/>
  <c r="DY38" i="5" a="1"/>
  <c r="DY38" i="5"/>
  <c r="EO38" i="5" a="1"/>
  <c r="EO38" i="5"/>
  <c r="EV38" i="5" a="1"/>
  <c r="EV38" i="5"/>
  <c r="DP9" i="5" a="1"/>
  <c r="DP9" i="5"/>
  <c r="EO9" i="5" a="1"/>
  <c r="EO9" i="5"/>
  <c r="EV9" i="5" a="1"/>
  <c r="EV9" i="5"/>
  <c r="EN9" i="5" a="1"/>
  <c r="EN9" i="5"/>
  <c r="CQ24" i="5"/>
  <c r="CP24" i="5"/>
  <c r="CY24" i="5"/>
  <c r="EP24" i="5" a="1"/>
  <c r="EP24" i="5"/>
  <c r="CY10" i="5"/>
  <c r="EP10" i="5" a="1"/>
  <c r="EP10" i="5"/>
  <c r="CP10" i="5"/>
  <c r="CQ10" i="5"/>
  <c r="DQ41" i="5" a="1"/>
  <c r="DQ41" i="5"/>
  <c r="DI23" i="5" a="1"/>
  <c r="DI23" i="5"/>
  <c r="DQ12" i="5" a="1"/>
  <c r="DQ12" i="5"/>
  <c r="EO12" i="5" a="1"/>
  <c r="EO12" i="5"/>
  <c r="EV12" i="5" a="1"/>
  <c r="EV12" i="5"/>
  <c r="CX10" i="5"/>
  <c r="EF10" i="5" a="1"/>
  <c r="EF10" i="5"/>
  <c r="EO18" i="5" a="1"/>
  <c r="EO18" i="5"/>
  <c r="EV18" i="5" a="1"/>
  <c r="EV18" i="5"/>
  <c r="EO16" i="5" a="1"/>
  <c r="EO16" i="5"/>
  <c r="EV16" i="5" a="1"/>
  <c r="EV16" i="5"/>
  <c r="DY41" i="5" a="1"/>
  <c r="DY41" i="5"/>
  <c r="DY23" i="5" a="1"/>
  <c r="DY23" i="5"/>
  <c r="CX25" i="5"/>
  <c r="EF17" i="5" a="1"/>
  <c r="EF17" i="5"/>
  <c r="EO17" i="5" a="1"/>
  <c r="EO17" i="5"/>
  <c r="EV17" i="5" a="1"/>
  <c r="EV17" i="5"/>
  <c r="EG36" i="5" a="1"/>
  <c r="EG36" i="5"/>
  <c r="EO36" i="5" a="1"/>
  <c r="EO36" i="5"/>
  <c r="EV36" i="5" a="1"/>
  <c r="EV36" i="5"/>
  <c r="EF23" i="5" a="1"/>
  <c r="EF23" i="5"/>
  <c r="BP25" i="5"/>
  <c r="CD13" i="5"/>
  <c r="DQ28" i="5" a="1"/>
  <c r="DQ28" i="5"/>
  <c r="EV28" i="5" a="1"/>
  <c r="EV28" i="5"/>
  <c r="EO28" i="5" a="1"/>
  <c r="EO28" i="5"/>
  <c r="DX26" i="5" a="1"/>
  <c r="DX26" i="5"/>
  <c r="EO26" i="5" a="1"/>
  <c r="EO26" i="5"/>
  <c r="EV26" i="5" a="1"/>
  <c r="EV26" i="5"/>
  <c r="CX20" i="5"/>
  <c r="CD20" i="5"/>
  <c r="EN41" i="5" a="1"/>
  <c r="EN41" i="5"/>
  <c r="DX22" i="5" a="1"/>
  <c r="DX22" i="5"/>
  <c r="EO22" i="5" a="1"/>
  <c r="EO22" i="5"/>
  <c r="EV22" i="5" a="1"/>
  <c r="EV22" i="5"/>
  <c r="DY21" i="5" a="1"/>
  <c r="DY21" i="5"/>
  <c r="EO21" i="5" a="1"/>
  <c r="EO21" i="5"/>
  <c r="EV21" i="5" a="1"/>
  <c r="EV21" i="5"/>
  <c r="DI7" i="5" a="1"/>
  <c r="DI7" i="5"/>
  <c r="EO7" i="5" a="1"/>
  <c r="EO7" i="5"/>
  <c r="EV7" i="5" a="1"/>
  <c r="EV7" i="5"/>
  <c r="DA7" i="5" a="1"/>
  <c r="DA7" i="5"/>
  <c r="EG21" i="5" a="1"/>
  <c r="EG21" i="5"/>
  <c r="EF40" i="5" a="1"/>
  <c r="EF40" i="5"/>
  <c r="EO40" i="5" a="1"/>
  <c r="EO40" i="5"/>
  <c r="EV40" i="5" a="1"/>
  <c r="EV40" i="5"/>
  <c r="CX35" i="5"/>
  <c r="DP35" i="5" a="1"/>
  <c r="DP35" i="5"/>
  <c r="CX27" i="5"/>
  <c r="CX14" i="5"/>
  <c r="DP14" i="5" a="1"/>
  <c r="DP14" i="5"/>
  <c r="BP38" i="5"/>
  <c r="BP35" i="5"/>
  <c r="BP14" i="5"/>
  <c r="BP20" i="5"/>
  <c r="BP41" i="5"/>
  <c r="CP18" i="5"/>
  <c r="DI18" i="5" a="1"/>
  <c r="DI18" i="5"/>
  <c r="DH34" i="5" a="1"/>
  <c r="DH34" i="5"/>
  <c r="EO34" i="5" a="1"/>
  <c r="EO34" i="5"/>
  <c r="A109" i="20" a="1"/>
  <c r="A109" i="20"/>
  <c r="EV34" i="5" a="1"/>
  <c r="EV34" i="5"/>
  <c r="H109" i="20" a="1"/>
  <c r="H109" i="20"/>
  <c r="CD18" i="5"/>
  <c r="EV19" i="5" a="1"/>
  <c r="EV19" i="5"/>
  <c r="EO19" i="5" a="1"/>
  <c r="EO19" i="5"/>
  <c r="EV11" i="5" a="1"/>
  <c r="EV11" i="5"/>
  <c r="EO11" i="5" a="1"/>
  <c r="EO11" i="5"/>
  <c r="EG23" i="5" a="1"/>
  <c r="EG23" i="5"/>
  <c r="DI41" i="5" a="1"/>
  <c r="DI41" i="5"/>
  <c r="DJ17" i="5" a="1"/>
  <c r="DJ17" i="5"/>
  <c r="EP17" i="5" a="1"/>
  <c r="EP17" i="5"/>
  <c r="EN24" i="5" a="1"/>
  <c r="EN24" i="5"/>
  <c r="EV24" i="5" a="1"/>
  <c r="EV24" i="5"/>
  <c r="EO24" i="5" a="1"/>
  <c r="EO24" i="5"/>
  <c r="CD41" i="5"/>
  <c r="CX15" i="5"/>
  <c r="EF15" i="5" a="1"/>
  <c r="EF15" i="5"/>
  <c r="BP9" i="5"/>
  <c r="BP11" i="5"/>
  <c r="BP40" i="5"/>
  <c r="EN23" i="5" a="1"/>
  <c r="EN23" i="5"/>
  <c r="EO23" i="5" a="1"/>
  <c r="EO23" i="5"/>
  <c r="EV23" i="5" a="1"/>
  <c r="EV23" i="5"/>
  <c r="DI39" i="5" a="1"/>
  <c r="DI39" i="5"/>
  <c r="EO39" i="5" a="1"/>
  <c r="EO39" i="5"/>
  <c r="EV39" i="5" a="1"/>
  <c r="EV39" i="5"/>
  <c r="BP13" i="5"/>
  <c r="DY26" i="5" a="1"/>
  <c r="DY26" i="5"/>
  <c r="DY34" i="5" a="1"/>
  <c r="DY34" i="5"/>
  <c r="A107" i="20" a="1"/>
  <c r="A107" i="20"/>
  <c r="DP18" i="5" a="1"/>
  <c r="DP18" i="5"/>
  <c r="EG8" i="5" a="1"/>
  <c r="EG8" i="5"/>
  <c r="EO8" i="5" a="1"/>
  <c r="EO8" i="5"/>
  <c r="EV8" i="5" a="1"/>
  <c r="EV8" i="5"/>
  <c r="CD9" i="5"/>
  <c r="DI32" i="5" a="1"/>
  <c r="DI32" i="5"/>
  <c r="A100" i="20" a="1"/>
  <c r="A100" i="20"/>
  <c r="EO32" i="5" a="1"/>
  <c r="EO32" i="5"/>
  <c r="EV32" i="5" a="1"/>
  <c r="EV32" i="5"/>
  <c r="DA31" i="5" a="1"/>
  <c r="DA31" i="5"/>
  <c r="EO31" i="5" a="1"/>
  <c r="EO31" i="5"/>
  <c r="EV31" i="5" a="1"/>
  <c r="EV31" i="5"/>
  <c r="EV37" i="5" a="1"/>
  <c r="EV37" i="5"/>
  <c r="EO37" i="5" a="1"/>
  <c r="EO37" i="5"/>
  <c r="CD30" i="5"/>
  <c r="CX30" i="5"/>
  <c r="EV41" i="5" a="1"/>
  <c r="EV41" i="5"/>
  <c r="EO41" i="5" a="1"/>
  <c r="EO41" i="5"/>
  <c r="BP27" i="5"/>
  <c r="CQ18" i="5"/>
  <c r="EN26" i="5" a="1"/>
  <c r="EN26" i="5"/>
  <c r="DP28" i="5" a="1"/>
  <c r="DP28" i="5"/>
  <c r="EG34" i="5" a="1"/>
  <c r="EG34" i="5"/>
  <c r="A108" i="20" a="1"/>
  <c r="A108" i="20"/>
  <c r="DP41" i="5" a="1"/>
  <c r="DP41" i="5"/>
  <c r="DY18" i="5" a="1"/>
  <c r="DY18" i="5"/>
  <c r="CQ29" i="5"/>
  <c r="BP37" i="5"/>
  <c r="BP32" i="5"/>
  <c r="BP36" i="5"/>
  <c r="BP30" i="5"/>
  <c r="DA26" i="5" a="1"/>
  <c r="DA26" i="5"/>
  <c r="EG26" i="5" a="1"/>
  <c r="EG26" i="5"/>
  <c r="DX34" i="5" a="1"/>
  <c r="DX34" i="5"/>
  <c r="H106" i="20" a="1"/>
  <c r="H106" i="20"/>
  <c r="DX41" i="5" a="1"/>
  <c r="DX41" i="5"/>
  <c r="EG18" i="5" a="1"/>
  <c r="EG18" i="5"/>
  <c r="DX6" i="5" a="1"/>
  <c r="DX6" i="5"/>
  <c r="EV6" i="5" a="1"/>
  <c r="EV6" i="5"/>
  <c r="EO6" i="5" a="1"/>
  <c r="EO6" i="5"/>
  <c r="CY33" i="5"/>
  <c r="DQ26" i="5" a="1"/>
  <c r="DQ26" i="5"/>
  <c r="EF41" i="5" a="1"/>
  <c r="EF41" i="5"/>
  <c r="DX23" i="5" a="1"/>
  <c r="DX23" i="5"/>
  <c r="DY33" i="5" a="1"/>
  <c r="DY33" i="5"/>
  <c r="EV33" i="5" a="1"/>
  <c r="EV33" i="5"/>
  <c r="EO33" i="5" a="1"/>
  <c r="EO33" i="5"/>
  <c r="BP23" i="5"/>
  <c r="DQ40" i="5" a="1"/>
  <c r="DQ40" i="5"/>
  <c r="DY40" i="5" a="1"/>
  <c r="DY40" i="5"/>
  <c r="DQ14" i="5" a="1"/>
  <c r="DQ14" i="5"/>
  <c r="DH7" i="5" a="1"/>
  <c r="DH7" i="5"/>
  <c r="DA14" i="5" a="1"/>
  <c r="DA14" i="5"/>
  <c r="DI40" i="5" a="1"/>
  <c r="DI40" i="5"/>
  <c r="DX40" i="5" a="1"/>
  <c r="DX40" i="5"/>
  <c r="DI14" i="5" a="1"/>
  <c r="DI14" i="5"/>
  <c r="DP22" i="5" a="1"/>
  <c r="DP22" i="5"/>
  <c r="DP23" i="5" a="1"/>
  <c r="DP23" i="5"/>
  <c r="DH26" i="5" a="1"/>
  <c r="DH26" i="5"/>
  <c r="DH40" i="5" a="1"/>
  <c r="DH40" i="5"/>
  <c r="DA23" i="5" a="1"/>
  <c r="DA23" i="5"/>
  <c r="DX14" i="5" a="1"/>
  <c r="DX14" i="5"/>
  <c r="DP26" i="5" a="1"/>
  <c r="DP26" i="5"/>
  <c r="EG7" i="5" a="1"/>
  <c r="EG7" i="5"/>
  <c r="DY22" i="5" a="1"/>
  <c r="DY22" i="5"/>
  <c r="DQ23" i="5" a="1"/>
  <c r="DQ23" i="5"/>
  <c r="EF12" i="5" a="1"/>
  <c r="EF12" i="5"/>
  <c r="DA12" i="5" a="1"/>
  <c r="DA12" i="5"/>
  <c r="EN40" i="5" a="1"/>
  <c r="EN40" i="5"/>
  <c r="EN17" i="5" a="1"/>
  <c r="EN17" i="5"/>
  <c r="DI26" i="5" a="1"/>
  <c r="DI26" i="5"/>
  <c r="EN12" i="5" a="1"/>
  <c r="EN12" i="5"/>
  <c r="DP39" i="5" a="1"/>
  <c r="DP39" i="5"/>
  <c r="DX33" i="5" a="1"/>
  <c r="DX33" i="5"/>
  <c r="DX17" i="5" a="1"/>
  <c r="DX17" i="5"/>
  <c r="DQ33" i="5" a="1"/>
  <c r="DQ33" i="5"/>
  <c r="DP17" i="5" a="1"/>
  <c r="DP17" i="5"/>
  <c r="EG12" i="5" a="1"/>
  <c r="EG12" i="5"/>
  <c r="DX31" i="5" a="1"/>
  <c r="DX31" i="5"/>
  <c r="H96" i="20" a="1"/>
  <c r="H96" i="20"/>
  <c r="DH31" i="5" a="1"/>
  <c r="DH31" i="5"/>
  <c r="EF33" i="5" a="1"/>
  <c r="EF33" i="5"/>
  <c r="EF7" i="5" a="1"/>
  <c r="EF7" i="5"/>
  <c r="DI22" i="5" a="1"/>
  <c r="DI22" i="5"/>
  <c r="DH39" i="5" a="1"/>
  <c r="DH39" i="5"/>
  <c r="DH6" i="5" a="1"/>
  <c r="DH6" i="5"/>
  <c r="DI15" i="5" a="1"/>
  <c r="DI15" i="5"/>
  <c r="DA39" i="5" a="1"/>
  <c r="DA39" i="5"/>
  <c r="DX8" i="5" a="1"/>
  <c r="DX8" i="5"/>
  <c r="EN31" i="5" a="1"/>
  <c r="EN31" i="5"/>
  <c r="H98" i="20" a="1"/>
  <c r="H98" i="20"/>
  <c r="DA8" i="5" a="1"/>
  <c r="DA8" i="5"/>
  <c r="DP8" i="5" a="1"/>
  <c r="DP8" i="5"/>
  <c r="EG31" i="5" a="1"/>
  <c r="EG31" i="5"/>
  <c r="A98" i="20" a="1"/>
  <c r="A98" i="20"/>
  <c r="DI8" i="5" a="1"/>
  <c r="DI8" i="5"/>
  <c r="DA33" i="5" a="1"/>
  <c r="DA33" i="5"/>
  <c r="EN39" i="5" a="1"/>
  <c r="EN39" i="5"/>
  <c r="EH17" i="5" a="1"/>
  <c r="EH17" i="5"/>
  <c r="EF8" i="5" a="1"/>
  <c r="EF8" i="5"/>
  <c r="DQ31" i="5" a="1"/>
  <c r="DQ31" i="5"/>
  <c r="A96" i="20" a="1"/>
  <c r="A96" i="20"/>
  <c r="DP7" i="5" a="1"/>
  <c r="DP7" i="5"/>
  <c r="EG39" i="5" a="1"/>
  <c r="EG39" i="5"/>
  <c r="DI33" i="5" a="1"/>
  <c r="DI33" i="5"/>
  <c r="EF31" i="5" a="1"/>
  <c r="EF31" i="5"/>
  <c r="H97" i="20" a="1"/>
  <c r="H97" i="20"/>
  <c r="DQ7" i="5" a="1"/>
  <c r="DQ7" i="5"/>
  <c r="DP33" i="5" a="1"/>
  <c r="DP33" i="5"/>
  <c r="DY6" i="5" a="1"/>
  <c r="DY6" i="5"/>
  <c r="DH33" i="5" a="1"/>
  <c r="DH33" i="5"/>
  <c r="DH8" i="5" a="1"/>
  <c r="DH8" i="5"/>
  <c r="DP40" i="5" a="1"/>
  <c r="DP40" i="5"/>
  <c r="DX39" i="5" a="1"/>
  <c r="DX39" i="5"/>
  <c r="DP31" i="5" a="1"/>
  <c r="DP31" i="5"/>
  <c r="H95" i="20" a="1"/>
  <c r="H95" i="20"/>
  <c r="DP34" i="5" a="1"/>
  <c r="DP34" i="5"/>
  <c r="H105" i="20" a="1"/>
  <c r="H105" i="20"/>
  <c r="EF6" i="5" a="1"/>
  <c r="EF6" i="5"/>
  <c r="EG40" i="5" a="1"/>
  <c r="EG40" i="5"/>
  <c r="EF39" i="5" a="1"/>
  <c r="EF39" i="5"/>
  <c r="DI31" i="5" a="1"/>
  <c r="DI31" i="5"/>
  <c r="A95" i="20" a="1"/>
  <c r="A95" i="20"/>
  <c r="DQ34" i="5" a="1"/>
  <c r="DQ34" i="5"/>
  <c r="A106" i="20" a="1"/>
  <c r="A106" i="20"/>
  <c r="DB17" i="5" a="1"/>
  <c r="DB17" i="5"/>
  <c r="DA6" i="5" a="1"/>
  <c r="DA6" i="5"/>
  <c r="DA40" i="5" a="1"/>
  <c r="DA40" i="5"/>
  <c r="DH22" i="5" a="1"/>
  <c r="DH22" i="5"/>
  <c r="DI9" i="5" a="1"/>
  <c r="DI9" i="5"/>
  <c r="DI17" i="5" a="1"/>
  <c r="DI17" i="5"/>
  <c r="EG33" i="5" a="1"/>
  <c r="EG33" i="5"/>
  <c r="EF28" i="5" a="1"/>
  <c r="EF28" i="5"/>
  <c r="DQ8" i="5" a="1"/>
  <c r="DQ8" i="5"/>
  <c r="DY31" i="5" a="1"/>
  <c r="DY31" i="5"/>
  <c r="A97" i="20" a="1"/>
  <c r="A97" i="20"/>
  <c r="DQ22" i="5" a="1"/>
  <c r="DQ22" i="5"/>
  <c r="DX21" i="5" a="1"/>
  <c r="DX21" i="5"/>
  <c r="EF34" i="5" a="1"/>
  <c r="EF34" i="5"/>
  <c r="H107" i="20" a="1"/>
  <c r="H107" i="20"/>
  <c r="EF25" i="5" a="1"/>
  <c r="EF25" i="5"/>
  <c r="DP21" i="5" a="1"/>
  <c r="DP21" i="5"/>
  <c r="EG9" i="5" a="1"/>
  <c r="EG9" i="5"/>
  <c r="DI21" i="5" a="1"/>
  <c r="DI21" i="5"/>
  <c r="DA21" i="5" a="1"/>
  <c r="DA21" i="5"/>
  <c r="DQ21" i="5" a="1"/>
  <c r="DQ21" i="5"/>
  <c r="DH21" i="5" a="1"/>
  <c r="DH21" i="5"/>
  <c r="DH17" i="5" a="1"/>
  <c r="DH17" i="5"/>
  <c r="DQ39" i="5" a="1"/>
  <c r="DQ39" i="5"/>
  <c r="EN33" i="5" a="1"/>
  <c r="EN33" i="5"/>
  <c r="DY8" i="5" a="1"/>
  <c r="DY8" i="5"/>
  <c r="EN22" i="5" a="1"/>
  <c r="EN22" i="5"/>
  <c r="EN21" i="5" a="1"/>
  <c r="EN21" i="5"/>
  <c r="DY39" i="5" a="1"/>
  <c r="DY39" i="5"/>
  <c r="EN8" i="5" a="1"/>
  <c r="EN8" i="5"/>
  <c r="EF22" i="5" a="1"/>
  <c r="EF22" i="5"/>
  <c r="EF21" i="5" a="1"/>
  <c r="EF21" i="5"/>
  <c r="DH9" i="5" a="1"/>
  <c r="DH9" i="5"/>
  <c r="DA27" i="5" a="1"/>
  <c r="DA27" i="5"/>
  <c r="DQ27" i="5" a="1"/>
  <c r="DQ27" i="5"/>
  <c r="EG38" i="5" a="1"/>
  <c r="EG38" i="5"/>
  <c r="DB33" i="5" a="1"/>
  <c r="DB33" i="5"/>
  <c r="EF27" i="5" a="1"/>
  <c r="EF27" i="5"/>
  <c r="DX38" i="5" a="1"/>
  <c r="DX38" i="5"/>
  <c r="DA38" i="5" a="1"/>
  <c r="DA38" i="5"/>
  <c r="EF36" i="5" a="1"/>
  <c r="EF36" i="5"/>
  <c r="DY13" i="5" a="1"/>
  <c r="DY13" i="5"/>
  <c r="EG24" i="5" a="1"/>
  <c r="EG24" i="5"/>
  <c r="EN38" i="5" a="1"/>
  <c r="EN38" i="5"/>
  <c r="DH38" i="5" a="1"/>
  <c r="DH38" i="5"/>
  <c r="DA32" i="5" a="1"/>
  <c r="DA32" i="5"/>
  <c r="DY32" i="5" a="1"/>
  <c r="DY32" i="5"/>
  <c r="A102" i="20" a="1"/>
  <c r="A102" i="20"/>
  <c r="DX24" i="5" a="1"/>
  <c r="DX24" i="5"/>
  <c r="DP38" i="5" a="1"/>
  <c r="DP38" i="5"/>
  <c r="EF38" i="5" a="1"/>
  <c r="EF38" i="5"/>
  <c r="DQ32" i="5" a="1"/>
  <c r="DQ32" i="5"/>
  <c r="A101" i="20" a="1"/>
  <c r="A101" i="20"/>
  <c r="DY27" i="5" a="1"/>
  <c r="DY27" i="5"/>
  <c r="DI38" i="5" a="1"/>
  <c r="DI38" i="5"/>
  <c r="EN32" i="5" a="1"/>
  <c r="EN32" i="5"/>
  <c r="H103" i="20" a="1"/>
  <c r="H103" i="20"/>
  <c r="DX27" i="5" a="1"/>
  <c r="DX27" i="5"/>
  <c r="DQ38" i="5" a="1"/>
  <c r="DQ38" i="5"/>
  <c r="DH24" i="5" a="1"/>
  <c r="DH24" i="5"/>
  <c r="EG27" i="5" a="1"/>
  <c r="EG27" i="5"/>
  <c r="DA28" i="5" a="1"/>
  <c r="DA28" i="5"/>
  <c r="EF9" i="5" a="1"/>
  <c r="EF9" i="5"/>
  <c r="EN28" i="5" a="1"/>
  <c r="EN28" i="5"/>
  <c r="EG32" i="5" a="1"/>
  <c r="EG32" i="5"/>
  <c r="A103" i="20" a="1"/>
  <c r="A103" i="20"/>
  <c r="DI12" i="5" a="1"/>
  <c r="DI12" i="5"/>
  <c r="DY24" i="5" a="1"/>
  <c r="DY24" i="5"/>
  <c r="EG6" i="5" a="1"/>
  <c r="EG6" i="5"/>
  <c r="DH28" i="5" a="1"/>
  <c r="DH28" i="5"/>
  <c r="DH25" i="5" a="1"/>
  <c r="DH25" i="5"/>
  <c r="DH27" i="5" a="1"/>
  <c r="DH27" i="5"/>
  <c r="DX9" i="5" a="1"/>
  <c r="DX9" i="5"/>
  <c r="DY28" i="5" a="1"/>
  <c r="DY28" i="5"/>
  <c r="DX32" i="5" a="1"/>
  <c r="DX32" i="5"/>
  <c r="H101" i="20" a="1"/>
  <c r="H101" i="20"/>
  <c r="DX12" i="5" a="1"/>
  <c r="DX12" i="5"/>
  <c r="DP27" i="5" a="1"/>
  <c r="DP27" i="5"/>
  <c r="DQ6" i="5" a="1"/>
  <c r="DQ6" i="5"/>
  <c r="DA17" i="5" a="1"/>
  <c r="DA17" i="5"/>
  <c r="DH12" i="5" a="1"/>
  <c r="DH12" i="5"/>
  <c r="DY9" i="5" a="1"/>
  <c r="DY9" i="5"/>
  <c r="DQ17" i="5" a="1"/>
  <c r="DQ17" i="5"/>
  <c r="EF32" i="5" a="1"/>
  <c r="EF32" i="5"/>
  <c r="H102" i="20" a="1"/>
  <c r="H102" i="20"/>
  <c r="DY12" i="5" a="1"/>
  <c r="DY12" i="5"/>
  <c r="DI27" i="5" a="1"/>
  <c r="DI27" i="5"/>
  <c r="DP6" i="5" a="1"/>
  <c r="DP6" i="5"/>
  <c r="EN6" i="5" a="1"/>
  <c r="EN6" i="5"/>
  <c r="DP25" i="5" a="1"/>
  <c r="DP25" i="5"/>
  <c r="DP24" i="5" a="1"/>
  <c r="DP24" i="5"/>
  <c r="DY25" i="5" a="1"/>
  <c r="DY25" i="5"/>
  <c r="DA9" i="5" a="1"/>
  <c r="DA9" i="5"/>
  <c r="DI24" i="5" a="1"/>
  <c r="DI24" i="5"/>
  <c r="DY17" i="5" a="1"/>
  <c r="DY17" i="5"/>
  <c r="DX28" i="5" a="1"/>
  <c r="DX28" i="5"/>
  <c r="DX25" i="5" a="1"/>
  <c r="DX25" i="5"/>
  <c r="DQ24" i="5" a="1"/>
  <c r="DQ24" i="5"/>
  <c r="DI28" i="5" a="1"/>
  <c r="DI28" i="5"/>
  <c r="DQ9" i="5" a="1"/>
  <c r="DQ9" i="5"/>
  <c r="EG17" i="5" a="1"/>
  <c r="EG17" i="5"/>
  <c r="EG28" i="5" a="1"/>
  <c r="EG28" i="5"/>
  <c r="DP32" i="5" a="1"/>
  <c r="DP32" i="5"/>
  <c r="H100" i="20" a="1"/>
  <c r="H100" i="20"/>
  <c r="DP12" i="5" a="1"/>
  <c r="DP12" i="5"/>
  <c r="EF24" i="5" a="1"/>
  <c r="EF24" i="5"/>
  <c r="DI6" i="5" a="1"/>
  <c r="DI6" i="5"/>
  <c r="DA24" i="5" a="1"/>
  <c r="DA24" i="5"/>
  <c r="DH32" i="5" a="1"/>
  <c r="DH32" i="5"/>
  <c r="DY36" i="5" a="1"/>
  <c r="DY36" i="5"/>
  <c r="DA36" i="5" a="1"/>
  <c r="DA36" i="5"/>
  <c r="DP36" i="5" a="1"/>
  <c r="DP36" i="5"/>
  <c r="DP13" i="5" a="1"/>
  <c r="DP13" i="5"/>
  <c r="DI25" i="5" a="1"/>
  <c r="DI25" i="5"/>
  <c r="EG13" i="5" a="1"/>
  <c r="EG13" i="5"/>
  <c r="DH36" i="5" a="1"/>
  <c r="DH36" i="5"/>
  <c r="DX36" i="5" a="1"/>
  <c r="DX36" i="5"/>
  <c r="DX13" i="5" a="1"/>
  <c r="DX13" i="5"/>
  <c r="EN25" i="5" a="1"/>
  <c r="EN25" i="5"/>
  <c r="EN36" i="5" a="1"/>
  <c r="EN36" i="5"/>
  <c r="DA25" i="5" a="1"/>
  <c r="DA25" i="5"/>
  <c r="EG25" i="5" a="1"/>
  <c r="EG25" i="5"/>
  <c r="DQ36" i="5" a="1"/>
  <c r="DQ36" i="5"/>
  <c r="DH13" i="5" a="1"/>
  <c r="DH13" i="5"/>
  <c r="DA13" i="5" a="1"/>
  <c r="DA13" i="5"/>
  <c r="DQ13" i="5" a="1"/>
  <c r="DQ13" i="5"/>
  <c r="EF13" i="5" a="1"/>
  <c r="EF13" i="5"/>
  <c r="DI36" i="5" a="1"/>
  <c r="DI36" i="5"/>
  <c r="EN13" i="5" a="1"/>
  <c r="EN13" i="5"/>
  <c r="DR17" i="5" a="1"/>
  <c r="DR17" i="5"/>
  <c r="DJ19" i="5" a="1"/>
  <c r="DJ19" i="5"/>
  <c r="EH19" i="5" a="1"/>
  <c r="EH19" i="5"/>
  <c r="DZ19" i="5" a="1"/>
  <c r="DZ19" i="5"/>
  <c r="DR19" i="5" a="1"/>
  <c r="DR19" i="5"/>
  <c r="DB8" i="5" a="1"/>
  <c r="DB8" i="5"/>
  <c r="EH8" i="5" a="1"/>
  <c r="EH8" i="5"/>
  <c r="DZ8" i="5" a="1"/>
  <c r="DZ8" i="5"/>
  <c r="DJ8" i="5" a="1"/>
  <c r="DJ8" i="5"/>
  <c r="DR8" i="5" a="1"/>
  <c r="DR8" i="5"/>
  <c r="EH22" i="5" a="1"/>
  <c r="EH22" i="5"/>
  <c r="DZ22" i="5" a="1"/>
  <c r="DZ22" i="5"/>
  <c r="DR22" i="5" a="1"/>
  <c r="DR22" i="5"/>
  <c r="DJ22" i="5" a="1"/>
  <c r="DJ22" i="5"/>
  <c r="EH21" i="5" a="1"/>
  <c r="EH21" i="5"/>
  <c r="DZ21" i="5" a="1"/>
  <c r="DZ21" i="5"/>
  <c r="DR21" i="5" a="1"/>
  <c r="DR21" i="5"/>
  <c r="DJ21" i="5" a="1"/>
  <c r="DJ21" i="5"/>
  <c r="DR28" i="5" a="1"/>
  <c r="DR28" i="5"/>
  <c r="EH28" i="5" a="1"/>
  <c r="EH28" i="5"/>
  <c r="DZ28" i="5" a="1"/>
  <c r="DZ28" i="5"/>
  <c r="DJ28" i="5" a="1"/>
  <c r="DJ28" i="5"/>
  <c r="DB12" i="5" a="1"/>
  <c r="DB12" i="5"/>
  <c r="EH12" i="5" a="1"/>
  <c r="EH12" i="5"/>
  <c r="DZ12" i="5" a="1"/>
  <c r="DZ12" i="5"/>
  <c r="DJ12" i="5" a="1"/>
  <c r="DJ12" i="5"/>
  <c r="DR12" i="5" a="1"/>
  <c r="DR12" i="5"/>
  <c r="EH18" i="5" a="1"/>
  <c r="EH18" i="5"/>
  <c r="DZ18" i="5" a="1"/>
  <c r="DZ18" i="5"/>
  <c r="DJ18" i="5" a="1"/>
  <c r="DJ18" i="5"/>
  <c r="DR18" i="5" a="1"/>
  <c r="DR18" i="5"/>
  <c r="EH7" i="5" a="1"/>
  <c r="EH7" i="5"/>
  <c r="DZ7" i="5" a="1"/>
  <c r="DZ7" i="5"/>
  <c r="DR7" i="5" a="1"/>
  <c r="DR7" i="5"/>
  <c r="DJ7" i="5" a="1"/>
  <c r="DJ7" i="5"/>
  <c r="DB7" i="5" a="1"/>
  <c r="DB7" i="5"/>
  <c r="DB19" i="5" a="1"/>
  <c r="DB19" i="5"/>
  <c r="B81" i="20" a="1"/>
  <c r="B81" i="20"/>
  <c r="DB21" i="5" a="1"/>
  <c r="DB21" i="5"/>
  <c r="DB28" i="5" a="1"/>
  <c r="DB28" i="5"/>
  <c r="J11" i="8"/>
  <c r="E10" i="8"/>
  <c r="F10" i="8"/>
  <c r="E34" i="8"/>
  <c r="F34" i="8"/>
  <c r="E22" i="8"/>
  <c r="F22" i="8"/>
  <c r="CP15" i="5"/>
  <c r="CQ15" i="5"/>
  <c r="CY15" i="5"/>
  <c r="DB34" i="5" a="1"/>
  <c r="DB34" i="5"/>
  <c r="EH10" i="5" a="1"/>
  <c r="EH10" i="5"/>
  <c r="DR10" i="5" a="1"/>
  <c r="DR10" i="5"/>
  <c r="EF29" i="5" a="1"/>
  <c r="EF29" i="5"/>
  <c r="DQ29" i="5" a="1"/>
  <c r="DQ29" i="5"/>
  <c r="EG22" i="5" a="1"/>
  <c r="EG22" i="5"/>
  <c r="DA22" i="5" a="1"/>
  <c r="DA22" i="5"/>
  <c r="EP34" i="5" a="1"/>
  <c r="EP34" i="5"/>
  <c r="B109" i="20" a="1"/>
  <c r="B109" i="20"/>
  <c r="DJ34" i="5" a="1"/>
  <c r="DJ34" i="5"/>
  <c r="B105" i="20" a="1"/>
  <c r="B105" i="20"/>
  <c r="DZ10" i="5" a="1"/>
  <c r="DZ10" i="5"/>
  <c r="CP29" i="5"/>
  <c r="CY29" i="5"/>
  <c r="DI29" i="5" a="1"/>
  <c r="DI29" i="5"/>
  <c r="DR34" i="5" a="1"/>
  <c r="DR34" i="5"/>
  <c r="B106" i="20" a="1"/>
  <c r="B106" i="20"/>
  <c r="DH29" i="5" a="1"/>
  <c r="DH29" i="5"/>
  <c r="DX29" i="5" a="1"/>
  <c r="DX29" i="5"/>
  <c r="EG35" i="5" a="1"/>
  <c r="EG35" i="5"/>
  <c r="EH34" i="5" a="1"/>
  <c r="EH34" i="5"/>
  <c r="B108" i="20" a="1"/>
  <c r="B108" i="20"/>
  <c r="DQ15" i="5" a="1"/>
  <c r="DQ15" i="5"/>
  <c r="EV29" i="5" a="1"/>
  <c r="EV29" i="5"/>
  <c r="EN29" i="5" a="1"/>
  <c r="EN29" i="5"/>
  <c r="DA29" i="5" a="1"/>
  <c r="DA29" i="5"/>
  <c r="EO29" i="5" a="1"/>
  <c r="EO29" i="5"/>
  <c r="DJ10" i="5" a="1"/>
  <c r="DJ10" i="5"/>
  <c r="DP29" i="5" a="1"/>
  <c r="DP29" i="5"/>
  <c r="EG29" i="5" a="1"/>
  <c r="EG29" i="5"/>
  <c r="DB10" i="5" a="1"/>
  <c r="DB10" i="5"/>
  <c r="A76" i="20" a="1"/>
  <c r="A76" i="20"/>
  <c r="CP39" i="5"/>
  <c r="CY39" i="5"/>
  <c r="CQ39" i="5"/>
  <c r="B74" i="20" a="1"/>
  <c r="B74" i="20"/>
  <c r="H113" i="20" a="1"/>
  <c r="H113" i="20"/>
  <c r="A86" i="20" a="1"/>
  <c r="A86" i="20"/>
  <c r="H110" i="20" a="1"/>
  <c r="H110" i="20"/>
  <c r="A99" i="20" a="1"/>
  <c r="A99" i="20"/>
  <c r="H94" i="20" a="1"/>
  <c r="H94" i="20"/>
  <c r="H76" i="20" a="1"/>
  <c r="H76" i="20"/>
  <c r="H111" i="20" a="1"/>
  <c r="H111" i="20"/>
  <c r="DA10" i="5" a="1"/>
  <c r="DA10" i="5"/>
  <c r="EF35" i="5" a="1"/>
  <c r="EF35" i="5"/>
  <c r="H112" i="20" a="1"/>
  <c r="H112" i="20"/>
  <c r="A74" i="20" a="1"/>
  <c r="A74" i="20"/>
  <c r="H104" i="20" a="1"/>
  <c r="H104" i="20"/>
  <c r="DB18" i="5" a="1"/>
  <c r="DB18" i="5"/>
  <c r="B104" i="20" a="1"/>
  <c r="B104" i="20"/>
  <c r="DJ15" i="5" a="1"/>
  <c r="DJ15" i="5"/>
  <c r="DZ6" i="5" a="1"/>
  <c r="DZ6" i="5"/>
  <c r="A87" i="20" a="1"/>
  <c r="A87" i="20"/>
  <c r="DI35" i="5" a="1"/>
  <c r="DI35" i="5"/>
  <c r="DX7" i="5" a="1"/>
  <c r="DX7" i="5"/>
  <c r="DY7" i="5" a="1"/>
  <c r="DY7" i="5"/>
  <c r="EN7" i="5" a="1"/>
  <c r="EN7" i="5"/>
  <c r="CP26" i="5"/>
  <c r="CY26" i="5"/>
  <c r="CQ26" i="5"/>
  <c r="B77" i="20" a="1"/>
  <c r="B77" i="20"/>
  <c r="A85" i="20" a="1"/>
  <c r="A85" i="20"/>
  <c r="H99" i="20" a="1"/>
  <c r="H99" i="20"/>
  <c r="A112" i="20" a="1"/>
  <c r="A112" i="20"/>
  <c r="H83" i="20" a="1"/>
  <c r="H83" i="20"/>
  <c r="EG10" i="5" a="1"/>
  <c r="EG10" i="5"/>
  <c r="DI34" i="5" a="1"/>
  <c r="DI34" i="5"/>
  <c r="A105" i="20" a="1"/>
  <c r="A105" i="20"/>
  <c r="EN34" i="5" a="1"/>
  <c r="EN34" i="5"/>
  <c r="H108" i="20" a="1"/>
  <c r="H108" i="20"/>
  <c r="DA34" i="5" a="1"/>
  <c r="DA34" i="5"/>
  <c r="EN35" i="5" a="1"/>
  <c r="EN35" i="5"/>
  <c r="B83" i="20" a="1"/>
  <c r="B83" i="20"/>
  <c r="DR6" i="5" a="1"/>
  <c r="DR6" i="5"/>
  <c r="CQ16" i="5"/>
  <c r="CY16" i="5"/>
  <c r="CP16" i="5"/>
  <c r="A110" i="20" a="1"/>
  <c r="A110" i="20"/>
  <c r="B87" i="20" a="1"/>
  <c r="B87" i="20"/>
  <c r="EH6" i="5" a="1"/>
  <c r="EH6" i="5"/>
  <c r="A84" i="20" a="1"/>
  <c r="A84" i="20"/>
  <c r="A113" i="20" a="1"/>
  <c r="A113" i="20"/>
  <c r="H74" i="20" a="1"/>
  <c r="H74" i="20"/>
  <c r="H73" i="20" a="1"/>
  <c r="H73" i="20"/>
  <c r="DI10" i="5" a="1"/>
  <c r="DI10" i="5"/>
  <c r="H86" i="20" a="1"/>
  <c r="H86" i="20"/>
  <c r="A78" i="20" a="1"/>
  <c r="A78" i="20"/>
  <c r="DB6" i="5" a="1"/>
  <c r="DB6" i="5"/>
  <c r="H78" i="20" a="1"/>
  <c r="H78" i="20"/>
  <c r="A77" i="20" a="1"/>
  <c r="A77" i="20"/>
  <c r="CY31" i="5"/>
  <c r="CP31" i="5"/>
  <c r="CQ31" i="5"/>
  <c r="DJ6" i="5" a="1"/>
  <c r="DJ6" i="5"/>
  <c r="H84" i="20" a="1"/>
  <c r="H84" i="20"/>
  <c r="A73" i="20" a="1"/>
  <c r="A73" i="20"/>
  <c r="DH35" i="5" a="1"/>
  <c r="DH35" i="5"/>
  <c r="H85" i="20" a="1"/>
  <c r="H85" i="20"/>
  <c r="A94" i="20" a="1"/>
  <c r="A94" i="20"/>
  <c r="A111" i="20" a="1"/>
  <c r="A111" i="20"/>
  <c r="H77" i="20" a="1"/>
  <c r="H77" i="20"/>
  <c r="H87" i="20" a="1"/>
  <c r="H87" i="20"/>
  <c r="A80" i="20" a="1"/>
  <c r="A80" i="20"/>
  <c r="DZ24" i="5" a="1"/>
  <c r="DZ24" i="5"/>
  <c r="DH10" i="5" a="1"/>
  <c r="DH10" i="5"/>
  <c r="EN10" i="5" a="1"/>
  <c r="EN10" i="5"/>
  <c r="DX35" i="5" a="1"/>
  <c r="DX35" i="5"/>
  <c r="EO35" i="5" a="1"/>
  <c r="EO35" i="5"/>
  <c r="EV35" i="5" a="1"/>
  <c r="EV35" i="5"/>
  <c r="DQ35" i="5" a="1"/>
  <c r="DQ35" i="5"/>
  <c r="DA35" i="5" a="1"/>
  <c r="DA35" i="5"/>
  <c r="DY35" i="5" a="1"/>
  <c r="DY35" i="5"/>
  <c r="DX10" i="5" a="1"/>
  <c r="DX10" i="5"/>
  <c r="DY10" i="5" a="1"/>
  <c r="DY10" i="5"/>
  <c r="CP27" i="5"/>
  <c r="CQ27" i="5"/>
  <c r="CY27" i="5"/>
  <c r="CQ25" i="5"/>
  <c r="CP25" i="5"/>
  <c r="CY25" i="5"/>
  <c r="DR33" i="5" a="1"/>
  <c r="DR33" i="5"/>
  <c r="EP33" i="5" a="1"/>
  <c r="EP33" i="5"/>
  <c r="CY37" i="5"/>
  <c r="CP37" i="5"/>
  <c r="CQ37" i="5"/>
  <c r="CY11" i="5"/>
  <c r="CP11" i="5"/>
  <c r="CQ11" i="5"/>
  <c r="CY41" i="5"/>
  <c r="CQ41" i="5"/>
  <c r="CP41" i="5"/>
  <c r="EV20" i="5" a="1"/>
  <c r="EV20" i="5"/>
  <c r="EO20" i="5" a="1"/>
  <c r="EO20" i="5"/>
  <c r="EN20" i="5" a="1"/>
  <c r="EN20" i="5"/>
  <c r="EF20" i="5" a="1"/>
  <c r="EF20" i="5"/>
  <c r="DH20" i="5" a="1"/>
  <c r="DH20" i="5"/>
  <c r="DQ20" i="5" a="1"/>
  <c r="DQ20" i="5"/>
  <c r="EG20" i="5" a="1"/>
  <c r="EG20" i="5"/>
  <c r="DI20" i="5" a="1"/>
  <c r="DI20" i="5"/>
  <c r="DP20" i="5" a="1"/>
  <c r="DP20" i="5"/>
  <c r="DX20" i="5" a="1"/>
  <c r="DX20" i="5"/>
  <c r="DA20" i="5" a="1"/>
  <c r="DA20" i="5"/>
  <c r="DY20" i="5" a="1"/>
  <c r="DY20" i="5"/>
  <c r="EH33" i="5" a="1"/>
  <c r="EH33" i="5"/>
  <c r="CP9" i="5"/>
  <c r="CQ9" i="5"/>
  <c r="CY9" i="5"/>
  <c r="CY20" i="5"/>
  <c r="CQ20" i="5"/>
  <c r="CP20" i="5"/>
  <c r="CY30" i="5"/>
  <c r="CQ30" i="5"/>
  <c r="CP30" i="5"/>
  <c r="CY32" i="5"/>
  <c r="CP32" i="5"/>
  <c r="CQ32" i="5"/>
  <c r="EO30" i="5" a="1"/>
  <c r="EO30" i="5"/>
  <c r="A93" i="20" a="1"/>
  <c r="A93" i="20"/>
  <c r="EV30" i="5" a="1"/>
  <c r="EV30" i="5"/>
  <c r="H93" i="20" a="1"/>
  <c r="H93" i="20"/>
  <c r="DQ30" i="5" a="1"/>
  <c r="DQ30" i="5"/>
  <c r="A90" i="20" a="1"/>
  <c r="A90" i="20"/>
  <c r="EF30" i="5" a="1"/>
  <c r="EF30" i="5"/>
  <c r="H91" i="20" a="1"/>
  <c r="H91" i="20"/>
  <c r="DX30" i="5" a="1"/>
  <c r="DX30" i="5"/>
  <c r="H90" i="20" a="1"/>
  <c r="H90" i="20"/>
  <c r="DI30" i="5" a="1"/>
  <c r="DI30" i="5"/>
  <c r="A89" i="20" a="1"/>
  <c r="A89" i="20"/>
  <c r="EG30" i="5" a="1"/>
  <c r="EG30" i="5"/>
  <c r="A92" i="20" a="1"/>
  <c r="A92" i="20"/>
  <c r="DA30" i="5" a="1"/>
  <c r="DA30" i="5"/>
  <c r="DY30" i="5" a="1"/>
  <c r="DY30" i="5"/>
  <c r="A91" i="20" a="1"/>
  <c r="A91" i="20"/>
  <c r="DH30" i="5" a="1"/>
  <c r="DH30" i="5"/>
  <c r="DP30" i="5" a="1"/>
  <c r="DP30" i="5"/>
  <c r="H89" i="20" a="1"/>
  <c r="H89" i="20"/>
  <c r="EN30" i="5" a="1"/>
  <c r="EN30" i="5"/>
  <c r="H92" i="20" a="1"/>
  <c r="H92" i="20"/>
  <c r="DQ10" i="5" a="1"/>
  <c r="DQ10" i="5"/>
  <c r="EO10" i="5" a="1"/>
  <c r="EO10" i="5"/>
  <c r="EV10" i="5" a="1"/>
  <c r="EV10" i="5"/>
  <c r="DP10" i="5" a="1"/>
  <c r="DP10" i="5"/>
  <c r="EN15" i="5" a="1"/>
  <c r="EN15" i="5"/>
  <c r="EV15" i="5" a="1"/>
  <c r="EV15" i="5"/>
  <c r="EO15" i="5" a="1"/>
  <c r="EO15" i="5"/>
  <c r="DY15" i="5" a="1"/>
  <c r="DY15" i="5"/>
  <c r="DA15" i="5" a="1"/>
  <c r="DA15" i="5"/>
  <c r="A79" i="20" a="1"/>
  <c r="A79" i="20"/>
  <c r="DP15" i="5" a="1"/>
  <c r="DP15" i="5"/>
  <c r="DH15" i="5" a="1"/>
  <c r="DH15" i="5"/>
  <c r="H79" i="20" a="1"/>
  <c r="H79" i="20"/>
  <c r="DX15" i="5" a="1"/>
  <c r="DX15" i="5"/>
  <c r="EG15" i="5" a="1"/>
  <c r="EG15" i="5"/>
  <c r="CY14" i="5"/>
  <c r="CQ14" i="5"/>
  <c r="CP14" i="5"/>
  <c r="CY23" i="5"/>
  <c r="CP23" i="5"/>
  <c r="CQ23" i="5"/>
  <c r="CQ35" i="5"/>
  <c r="CP35" i="5"/>
  <c r="CY35" i="5"/>
  <c r="DB24" i="5" a="1"/>
  <c r="DB24" i="5"/>
  <c r="EH24" i="5" a="1"/>
  <c r="EH24" i="5"/>
  <c r="DJ33" i="5" a="1"/>
  <c r="DJ33" i="5"/>
  <c r="CP13" i="5"/>
  <c r="CQ13" i="5"/>
  <c r="CY13" i="5"/>
  <c r="CP38" i="5"/>
  <c r="CY38" i="5"/>
  <c r="CQ38" i="5"/>
  <c r="DQ25" i="5" a="1"/>
  <c r="DQ25" i="5"/>
  <c r="EO25" i="5" a="1"/>
  <c r="EO25" i="5"/>
  <c r="EV25" i="5" a="1"/>
  <c r="EV25" i="5"/>
  <c r="DJ24" i="5" a="1"/>
  <c r="DJ24" i="5"/>
  <c r="DH14" i="5" a="1"/>
  <c r="DH14" i="5"/>
  <c r="EO14" i="5" a="1"/>
  <c r="EO14" i="5"/>
  <c r="EV14" i="5" a="1"/>
  <c r="EV14" i="5"/>
  <c r="EG14" i="5" a="1"/>
  <c r="EG14" i="5"/>
  <c r="EF14" i="5" a="1"/>
  <c r="EF14" i="5"/>
  <c r="EN14" i="5" a="1"/>
  <c r="EN14" i="5"/>
  <c r="DY14" i="5" a="1"/>
  <c r="DY14" i="5"/>
  <c r="CQ36" i="5"/>
  <c r="CY36" i="5"/>
  <c r="CP36" i="5"/>
  <c r="CY40" i="5"/>
  <c r="CQ40" i="5"/>
  <c r="CP40" i="5"/>
  <c r="DR24" i="5" a="1"/>
  <c r="DR24" i="5"/>
  <c r="DZ33" i="5" a="1"/>
  <c r="DZ33" i="5"/>
  <c r="EN27" i="5" a="1"/>
  <c r="EN27" i="5"/>
  <c r="EO27" i="5" a="1"/>
  <c r="EO27" i="5"/>
  <c r="EV27" i="5" a="1"/>
  <c r="EV27" i="5"/>
  <c r="J12" i="8"/>
  <c r="E11" i="8"/>
  <c r="F11" i="8"/>
  <c r="E23" i="8"/>
  <c r="F23" i="8"/>
  <c r="E35" i="8"/>
  <c r="F35" i="8"/>
  <c r="B75" i="20" a="1"/>
  <c r="B75" i="20"/>
  <c r="A83" i="20" a="1"/>
  <c r="A83" i="20"/>
  <c r="EH29" i="5" a="1"/>
  <c r="EH29" i="5"/>
  <c r="EP29" i="5" a="1"/>
  <c r="EP29" i="5"/>
  <c r="DB29" i="5" a="1"/>
  <c r="DB29" i="5"/>
  <c r="DZ29" i="5" a="1"/>
  <c r="DZ29" i="5"/>
  <c r="DJ29" i="5" a="1"/>
  <c r="DJ29" i="5"/>
  <c r="DR29" i="5" a="1"/>
  <c r="DR29" i="5"/>
  <c r="EP15" i="5" a="1"/>
  <c r="EP15" i="5"/>
  <c r="DZ15" i="5" a="1"/>
  <c r="DZ15" i="5"/>
  <c r="EH15" i="5" a="1"/>
  <c r="EH15" i="5"/>
  <c r="DR15" i="5" a="1"/>
  <c r="DR15" i="5"/>
  <c r="DB15" i="5" a="1"/>
  <c r="DB15" i="5"/>
  <c r="B79" i="20" a="1"/>
  <c r="B79" i="20"/>
  <c r="A75" i="20" a="1"/>
  <c r="A75" i="20"/>
  <c r="EP26" i="5" a="1"/>
  <c r="EP26" i="5"/>
  <c r="DR26" i="5" a="1"/>
  <c r="DR26" i="5"/>
  <c r="DJ26" i="5" a="1"/>
  <c r="DJ26" i="5"/>
  <c r="EH26" i="5" a="1"/>
  <c r="EH26" i="5"/>
  <c r="DZ26" i="5" a="1"/>
  <c r="DZ26" i="5"/>
  <c r="DB26" i="5" a="1"/>
  <c r="DB26" i="5"/>
  <c r="B80" i="20" a="1"/>
  <c r="B80" i="20"/>
  <c r="H82" i="20" a="1"/>
  <c r="H82" i="20"/>
  <c r="EP31" i="5" a="1"/>
  <c r="EP31" i="5"/>
  <c r="DB31" i="5" a="1"/>
  <c r="DB31" i="5"/>
  <c r="EH31" i="5" a="1"/>
  <c r="EH31" i="5"/>
  <c r="B98" i="20" a="1"/>
  <c r="B98" i="20"/>
  <c r="DZ31" i="5" a="1"/>
  <c r="DZ31" i="5"/>
  <c r="B97" i="20" a="1"/>
  <c r="B97" i="20"/>
  <c r="DR31" i="5" a="1"/>
  <c r="DR31" i="5"/>
  <c r="B96" i="20" a="1"/>
  <c r="B96" i="20"/>
  <c r="DJ31" i="5" a="1"/>
  <c r="DJ31" i="5"/>
  <c r="B95" i="20" a="1"/>
  <c r="B95" i="20"/>
  <c r="EP39" i="5" a="1"/>
  <c r="EP39" i="5"/>
  <c r="EH39" i="5" a="1"/>
  <c r="EH39" i="5"/>
  <c r="DZ39" i="5" a="1"/>
  <c r="DZ39" i="5"/>
  <c r="DR39" i="5" a="1"/>
  <c r="DR39" i="5"/>
  <c r="DB39" i="5" a="1"/>
  <c r="DB39" i="5"/>
  <c r="DJ39" i="5" a="1"/>
  <c r="DJ39" i="5"/>
  <c r="A104" i="20" a="1"/>
  <c r="A104" i="20"/>
  <c r="EP16" i="5" a="1"/>
  <c r="EP16" i="5"/>
  <c r="DR16" i="5" a="1"/>
  <c r="DR16" i="5"/>
  <c r="DB16" i="5" a="1"/>
  <c r="DB16" i="5"/>
  <c r="EH16" i="5" a="1"/>
  <c r="EH16" i="5"/>
  <c r="DJ16" i="5" a="1"/>
  <c r="DJ16" i="5"/>
  <c r="DZ16" i="5" a="1"/>
  <c r="DZ16" i="5"/>
  <c r="H88" i="20" a="1"/>
  <c r="H88" i="20"/>
  <c r="H75" i="20" a="1"/>
  <c r="H75" i="20"/>
  <c r="A88" i="20" a="1"/>
  <c r="A88" i="20"/>
  <c r="B84" i="20" a="1"/>
  <c r="B84" i="20"/>
  <c r="A82" i="20" a="1"/>
  <c r="A82" i="20"/>
  <c r="B73" i="20" a="1"/>
  <c r="B73" i="20"/>
  <c r="EP30" i="5" a="1"/>
  <c r="EP30" i="5"/>
  <c r="B93" i="20" a="1"/>
  <c r="B93" i="20"/>
  <c r="EH30" i="5" a="1"/>
  <c r="EH30" i="5"/>
  <c r="B92" i="20" a="1"/>
  <c r="B92" i="20"/>
  <c r="DB30" i="5" a="1"/>
  <c r="DB30" i="5"/>
  <c r="DZ30" i="5" a="1"/>
  <c r="DZ30" i="5"/>
  <c r="B91" i="20" a="1"/>
  <c r="B91" i="20"/>
  <c r="DR30" i="5" a="1"/>
  <c r="DR30" i="5"/>
  <c r="B90" i="20" a="1"/>
  <c r="B90" i="20"/>
  <c r="DJ30" i="5" a="1"/>
  <c r="DJ30" i="5"/>
  <c r="B89" i="20" a="1"/>
  <c r="B89" i="20"/>
  <c r="EP38" i="5" a="1"/>
  <c r="EP38" i="5"/>
  <c r="EH38" i="5" a="1"/>
  <c r="EH38" i="5"/>
  <c r="DB38" i="5" a="1"/>
  <c r="DB38" i="5"/>
  <c r="DJ38" i="5" a="1"/>
  <c r="DJ38" i="5"/>
  <c r="DZ38" i="5" a="1"/>
  <c r="DZ38" i="5"/>
  <c r="DR38" i="5" a="1"/>
  <c r="DR38" i="5"/>
  <c r="EP11" i="5" a="1"/>
  <c r="EP11" i="5"/>
  <c r="EH11" i="5" a="1"/>
  <c r="EH11" i="5"/>
  <c r="DJ11" i="5" a="1"/>
  <c r="DJ11" i="5"/>
  <c r="DZ11" i="5" a="1"/>
  <c r="DZ11" i="5"/>
  <c r="DR11" i="5" a="1"/>
  <c r="DR11" i="5"/>
  <c r="DB11" i="5" a="1"/>
  <c r="DB11" i="5"/>
  <c r="EP20" i="5" a="1"/>
  <c r="EP20" i="5"/>
  <c r="DR20" i="5" a="1"/>
  <c r="DR20" i="5"/>
  <c r="DB20" i="5" a="1"/>
  <c r="DB20" i="5"/>
  <c r="DJ20" i="5" a="1"/>
  <c r="DJ20" i="5"/>
  <c r="EH20" i="5" a="1"/>
  <c r="EH20" i="5"/>
  <c r="DZ20" i="5" a="1"/>
  <c r="DZ20" i="5"/>
  <c r="EP14" i="5" a="1"/>
  <c r="EP14" i="5"/>
  <c r="DZ14" i="5" a="1"/>
  <c r="DZ14" i="5"/>
  <c r="DJ14" i="5" a="1"/>
  <c r="DJ14" i="5"/>
  <c r="DB14" i="5" a="1"/>
  <c r="DB14" i="5"/>
  <c r="EH14" i="5" a="1"/>
  <c r="EH14" i="5"/>
  <c r="DR14" i="5" a="1"/>
  <c r="DR14" i="5"/>
  <c r="EP13" i="5" a="1"/>
  <c r="EP13" i="5"/>
  <c r="DB13" i="5" a="1"/>
  <c r="DB13" i="5"/>
  <c r="DJ13" i="5" a="1"/>
  <c r="DJ13" i="5"/>
  <c r="DR13" i="5" a="1"/>
  <c r="DR13" i="5"/>
  <c r="EH13" i="5" a="1"/>
  <c r="EH13" i="5"/>
  <c r="DZ13" i="5" a="1"/>
  <c r="DZ13" i="5"/>
  <c r="EP9" i="5" a="1"/>
  <c r="EP9" i="5"/>
  <c r="DB9" i="5" a="1"/>
  <c r="DB9" i="5"/>
  <c r="EH9" i="5" a="1"/>
  <c r="EH9" i="5"/>
  <c r="DZ9" i="5" a="1"/>
  <c r="DZ9" i="5"/>
  <c r="DR9" i="5" a="1"/>
  <c r="DR9" i="5"/>
  <c r="DJ9" i="5" a="1"/>
  <c r="DJ9" i="5"/>
  <c r="EP37" i="5" a="1"/>
  <c r="EP37" i="5"/>
  <c r="EH37" i="5" a="1"/>
  <c r="EH37" i="5"/>
  <c r="DB37" i="5" a="1"/>
  <c r="DB37" i="5"/>
  <c r="DR37" i="5" a="1"/>
  <c r="DR37" i="5"/>
  <c r="DZ37" i="5" a="1"/>
  <c r="DZ37" i="5"/>
  <c r="DJ37" i="5" a="1"/>
  <c r="DJ37" i="5"/>
  <c r="EP25" i="5" a="1"/>
  <c r="EP25" i="5"/>
  <c r="EH25" i="5" a="1"/>
  <c r="EH25" i="5"/>
  <c r="DZ25" i="5" a="1"/>
  <c r="DZ25" i="5"/>
  <c r="DJ25" i="5" a="1"/>
  <c r="DJ25" i="5"/>
  <c r="DR25" i="5" a="1"/>
  <c r="DR25" i="5"/>
  <c r="DB25" i="5" a="1"/>
  <c r="DB25" i="5"/>
  <c r="EP35" i="5" a="1"/>
  <c r="EP35" i="5"/>
  <c r="EH35" i="5" a="1"/>
  <c r="EH35" i="5"/>
  <c r="DZ35" i="5" a="1"/>
  <c r="DZ35" i="5"/>
  <c r="DR35" i="5" a="1"/>
  <c r="DR35" i="5"/>
  <c r="DJ35" i="5" a="1"/>
  <c r="DJ35" i="5"/>
  <c r="DB35" i="5" a="1"/>
  <c r="DB35" i="5"/>
  <c r="EP32" i="5" a="1"/>
  <c r="EP32" i="5"/>
  <c r="EH32" i="5" a="1"/>
  <c r="EH32" i="5"/>
  <c r="B103" i="20" a="1"/>
  <c r="B103" i="20"/>
  <c r="DJ32" i="5" a="1"/>
  <c r="DJ32" i="5"/>
  <c r="B100" i="20" a="1"/>
  <c r="B100" i="20"/>
  <c r="DB32" i="5" a="1"/>
  <c r="DB32" i="5"/>
  <c r="DR32" i="5" a="1"/>
  <c r="DR32" i="5"/>
  <c r="B101" i="20" a="1"/>
  <c r="B101" i="20"/>
  <c r="DZ32" i="5" a="1"/>
  <c r="DZ32" i="5"/>
  <c r="B102" i="20" a="1"/>
  <c r="B102" i="20"/>
  <c r="EP41" i="5" a="1"/>
  <c r="EP41" i="5"/>
  <c r="DB41" i="5" a="1"/>
  <c r="DB41" i="5"/>
  <c r="DR41" i="5" a="1"/>
  <c r="DR41" i="5"/>
  <c r="EH41" i="5" a="1"/>
  <c r="EH41" i="5"/>
  <c r="DJ41" i="5" a="1"/>
  <c r="DJ41" i="5"/>
  <c r="DZ41" i="5" a="1"/>
  <c r="DZ41" i="5"/>
  <c r="EP27" i="5" a="1"/>
  <c r="EP27" i="5"/>
  <c r="DB27" i="5" a="1"/>
  <c r="DB27" i="5"/>
  <c r="DJ27" i="5" a="1"/>
  <c r="DJ27" i="5"/>
  <c r="DZ27" i="5" a="1"/>
  <c r="DZ27" i="5"/>
  <c r="EH27" i="5" a="1"/>
  <c r="EH27" i="5"/>
  <c r="DR27" i="5" a="1"/>
  <c r="DR27" i="5"/>
  <c r="EP23" i="5" a="1"/>
  <c r="EP23" i="5"/>
  <c r="DZ23" i="5" a="1"/>
  <c r="DZ23" i="5"/>
  <c r="DJ23" i="5" a="1"/>
  <c r="DJ23" i="5"/>
  <c r="EH23" i="5" a="1"/>
  <c r="EH23" i="5"/>
  <c r="DB23" i="5" a="1"/>
  <c r="DB23" i="5"/>
  <c r="DR23" i="5" a="1"/>
  <c r="DR23" i="5"/>
  <c r="EP40" i="5" a="1"/>
  <c r="EP40" i="5"/>
  <c r="DZ40" i="5" a="1"/>
  <c r="DZ40" i="5"/>
  <c r="DB40" i="5" a="1"/>
  <c r="DB40" i="5"/>
  <c r="EH40" i="5" a="1"/>
  <c r="EH40" i="5"/>
  <c r="DR40" i="5" a="1"/>
  <c r="DR40" i="5"/>
  <c r="DJ40" i="5" a="1"/>
  <c r="DJ40" i="5"/>
  <c r="DB36" i="5" a="1"/>
  <c r="DB36" i="5"/>
  <c r="EP36" i="5" a="1"/>
  <c r="EP36" i="5"/>
  <c r="EH36" i="5" a="1"/>
  <c r="EH36" i="5"/>
  <c r="DZ36" i="5" a="1"/>
  <c r="DZ36" i="5"/>
  <c r="DR36" i="5" a="1"/>
  <c r="DR36" i="5"/>
  <c r="DJ36" i="5" a="1"/>
  <c r="DJ36" i="5"/>
  <c r="E36" i="8"/>
  <c r="F36" i="8"/>
  <c r="E12" i="8"/>
  <c r="F12" i="8"/>
  <c r="J13" i="8"/>
  <c r="E24" i="8"/>
  <c r="F24" i="8"/>
  <c r="B99" i="20" a="1"/>
  <c r="B99" i="20"/>
  <c r="B86" i="20" a="1"/>
  <c r="B86" i="20"/>
  <c r="B113" i="20" a="1"/>
  <c r="B113" i="20"/>
  <c r="B88" i="20" a="1"/>
  <c r="B88" i="20"/>
  <c r="B112" i="20" a="1"/>
  <c r="B112" i="20"/>
  <c r="B111" i="20" a="1"/>
  <c r="B111" i="20"/>
  <c r="B82" i="20" a="1"/>
  <c r="B82" i="20"/>
  <c r="B78" i="20" a="1"/>
  <c r="B78" i="20"/>
  <c r="B110" i="20" a="1"/>
  <c r="B110" i="20"/>
  <c r="B85" i="20" a="1"/>
  <c r="B85" i="20"/>
  <c r="B76" i="20" a="1"/>
  <c r="B76" i="20"/>
  <c r="B94" i="20" a="1"/>
  <c r="B94" i="20"/>
  <c r="J14" i="8"/>
  <c r="E37" i="8"/>
  <c r="F37" i="8"/>
  <c r="E25" i="8"/>
  <c r="F25" i="8"/>
  <c r="E13" i="8"/>
  <c r="F13" i="8"/>
  <c r="E38" i="8"/>
  <c r="F38" i="8"/>
  <c r="E14" i="8"/>
  <c r="F14" i="8"/>
  <c r="E26" i="8"/>
  <c r="F26" i="8"/>
  <c r="A35" i="6"/>
  <c r="A36" i="6"/>
  <c r="A37" i="6"/>
  <c r="A38" i="6"/>
  <c r="A39" i="6"/>
  <c r="A40" i="6"/>
  <c r="A41" i="6"/>
  <c r="A29" i="6"/>
  <c r="A30" i="6"/>
  <c r="A31" i="6"/>
  <c r="A32" i="6"/>
  <c r="A33" i="6"/>
  <c r="A34" i="6"/>
  <c r="A23" i="6"/>
  <c r="A24" i="6"/>
  <c r="A25" i="6"/>
  <c r="A26" i="6"/>
  <c r="A27" i="6"/>
  <c r="A28" i="6"/>
  <c r="A17" i="6"/>
  <c r="A18" i="6"/>
  <c r="A19" i="6"/>
  <c r="A20" i="6"/>
  <c r="A21" i="6"/>
  <c r="A22" i="6"/>
  <c r="A11" i="6"/>
  <c r="A12" i="6"/>
  <c r="A13" i="6"/>
  <c r="A14" i="6"/>
  <c r="A15" i="6"/>
  <c r="A16" i="6"/>
  <c r="A5" i="6"/>
  <c r="A6" i="6"/>
  <c r="A7" i="6"/>
  <c r="A8" i="6"/>
  <c r="A9" i="6"/>
  <c r="A10" i="6"/>
  <c r="C5" i="6"/>
  <c r="C6" i="6"/>
  <c r="C7" i="6"/>
  <c r="C8" i="6"/>
  <c r="C9" i="6"/>
  <c r="C10" i="6"/>
  <c r="C11" i="6"/>
  <c r="C12" i="6"/>
  <c r="C13" i="6"/>
  <c r="C14" i="6"/>
  <c r="C15" i="6"/>
  <c r="C16" i="6"/>
  <c r="X165" i="2"/>
  <c r="Z165" i="2"/>
  <c r="V222" i="2"/>
  <c r="W222" i="2"/>
  <c r="H228" i="1"/>
  <c r="H215" i="1"/>
  <c r="H202" i="1"/>
  <c r="H189" i="1"/>
  <c r="H176" i="1"/>
  <c r="H163" i="1"/>
  <c r="H150" i="1"/>
  <c r="H137" i="1"/>
  <c r="H124" i="1"/>
  <c r="H111" i="1"/>
  <c r="H98" i="1"/>
  <c r="H50" i="1"/>
  <c r="H227" i="1"/>
  <c r="H214" i="1"/>
  <c r="H201" i="1"/>
  <c r="H188" i="1"/>
  <c r="H175" i="1"/>
  <c r="H162" i="1"/>
  <c r="H149" i="1"/>
  <c r="H136" i="1"/>
  <c r="H123" i="1"/>
  <c r="H110" i="1"/>
  <c r="H97" i="1"/>
  <c r="H49" i="1"/>
  <c r="H46" i="1"/>
  <c r="H44" i="1"/>
  <c r="V230" i="2"/>
  <c r="W230" i="2"/>
  <c r="Z209" i="2"/>
  <c r="T209" i="2"/>
  <c r="S209" i="2"/>
  <c r="R209" i="2"/>
  <c r="Q209" i="2"/>
  <c r="P209" i="2"/>
  <c r="O209" i="2"/>
  <c r="N209" i="2"/>
  <c r="M209" i="2"/>
  <c r="L209" i="2"/>
  <c r="K209" i="2"/>
  <c r="J209" i="2"/>
  <c r="U209" i="2"/>
  <c r="V209" i="2"/>
  <c r="I209" i="2"/>
  <c r="H197" i="2"/>
  <c r="H196" i="2"/>
  <c r="S196" i="2"/>
  <c r="U196" i="2"/>
  <c r="H195" i="2"/>
  <c r="H194" i="2"/>
  <c r="Q194" i="2"/>
  <c r="U194" i="2"/>
  <c r="H193" i="2"/>
  <c r="P193" i="2"/>
  <c r="U193" i="2"/>
  <c r="H192" i="2"/>
  <c r="O192" i="2"/>
  <c r="U192" i="2"/>
  <c r="H191" i="2"/>
  <c r="H190" i="2"/>
  <c r="M190" i="2"/>
  <c r="U190" i="2"/>
  <c r="H189" i="2"/>
  <c r="H188" i="2"/>
  <c r="K188" i="2"/>
  <c r="U188" i="2"/>
  <c r="H187" i="2"/>
  <c r="H186" i="2"/>
  <c r="I186" i="2"/>
  <c r="U186" i="2"/>
  <c r="H185" i="2"/>
  <c r="T185" i="2"/>
  <c r="U185" i="2"/>
  <c r="H184" i="2"/>
  <c r="S184" i="2"/>
  <c r="U184" i="2"/>
  <c r="H183" i="2"/>
  <c r="R183" i="2"/>
  <c r="U183" i="2"/>
  <c r="H182" i="2"/>
  <c r="Q182" i="2"/>
  <c r="U182" i="2"/>
  <c r="H181" i="2"/>
  <c r="P181" i="2"/>
  <c r="U181" i="2"/>
  <c r="H180" i="2"/>
  <c r="O180" i="2"/>
  <c r="U180" i="2"/>
  <c r="H179" i="2"/>
  <c r="H178" i="2"/>
  <c r="H177" i="2"/>
  <c r="H176" i="2"/>
  <c r="K176" i="2"/>
  <c r="U176" i="2"/>
  <c r="H175" i="2"/>
  <c r="H174" i="2"/>
  <c r="I174" i="2"/>
  <c r="U174" i="2"/>
  <c r="T197" i="2"/>
  <c r="U197" i="2"/>
  <c r="R195" i="2"/>
  <c r="U195" i="2"/>
  <c r="N191" i="2"/>
  <c r="U191" i="2"/>
  <c r="L189" i="2"/>
  <c r="U189" i="2"/>
  <c r="J187" i="2"/>
  <c r="U187" i="2"/>
  <c r="N179" i="2"/>
  <c r="U179" i="2"/>
  <c r="M178" i="2"/>
  <c r="U178" i="2"/>
  <c r="L177" i="2"/>
  <c r="U177" i="2"/>
  <c r="J175" i="2"/>
  <c r="U175" i="2"/>
  <c r="H169" i="2"/>
  <c r="H171" i="2"/>
  <c r="V197" i="2"/>
  <c r="W197" i="2"/>
  <c r="V185" i="2"/>
  <c r="W185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I141" i="2"/>
  <c r="T96" i="2"/>
  <c r="S96" i="2"/>
  <c r="R96" i="2"/>
  <c r="Q96" i="2"/>
  <c r="P96" i="2"/>
  <c r="O96" i="2"/>
  <c r="N96" i="2"/>
  <c r="M96" i="2"/>
  <c r="L96" i="2"/>
  <c r="K96" i="2"/>
  <c r="J96" i="2"/>
  <c r="I96" i="2"/>
  <c r="T95" i="2"/>
  <c r="S95" i="2"/>
  <c r="R95" i="2"/>
  <c r="Q95" i="2"/>
  <c r="P95" i="2"/>
  <c r="O95" i="2"/>
  <c r="N95" i="2"/>
  <c r="M95" i="2"/>
  <c r="L95" i="2"/>
  <c r="K95" i="2"/>
  <c r="J95" i="2"/>
  <c r="I95" i="2"/>
  <c r="T94" i="2"/>
  <c r="S94" i="2"/>
  <c r="R94" i="2"/>
  <c r="Q94" i="2"/>
  <c r="P94" i="2"/>
  <c r="O94" i="2"/>
  <c r="N94" i="2"/>
  <c r="M94" i="2"/>
  <c r="L94" i="2"/>
  <c r="K94" i="2"/>
  <c r="J94" i="2"/>
  <c r="I94" i="2"/>
  <c r="T93" i="2"/>
  <c r="S93" i="2"/>
  <c r="R93" i="2"/>
  <c r="Q93" i="2"/>
  <c r="P93" i="2"/>
  <c r="O93" i="2"/>
  <c r="N93" i="2"/>
  <c r="M93" i="2"/>
  <c r="L93" i="2"/>
  <c r="K93" i="2"/>
  <c r="J93" i="2"/>
  <c r="I93" i="2"/>
  <c r="T92" i="2"/>
  <c r="S92" i="2"/>
  <c r="R92" i="2"/>
  <c r="Q92" i="2"/>
  <c r="P92" i="2"/>
  <c r="O92" i="2"/>
  <c r="N92" i="2"/>
  <c r="M92" i="2"/>
  <c r="L92" i="2"/>
  <c r="K92" i="2"/>
  <c r="J92" i="2"/>
  <c r="I92" i="2"/>
  <c r="T91" i="2"/>
  <c r="S91" i="2"/>
  <c r="R91" i="2"/>
  <c r="Q91" i="2"/>
  <c r="P91" i="2"/>
  <c r="O91" i="2"/>
  <c r="N91" i="2"/>
  <c r="M91" i="2"/>
  <c r="L91" i="2"/>
  <c r="K91" i="2"/>
  <c r="J91" i="2"/>
  <c r="I91" i="2"/>
  <c r="T90" i="2"/>
  <c r="S90" i="2"/>
  <c r="R90" i="2"/>
  <c r="Q90" i="2"/>
  <c r="P90" i="2"/>
  <c r="O90" i="2"/>
  <c r="N90" i="2"/>
  <c r="M90" i="2"/>
  <c r="L90" i="2"/>
  <c r="K90" i="2"/>
  <c r="J90" i="2"/>
  <c r="I90" i="2"/>
  <c r="T89" i="2"/>
  <c r="S89" i="2"/>
  <c r="R89" i="2"/>
  <c r="Q89" i="2"/>
  <c r="P89" i="2"/>
  <c r="O89" i="2"/>
  <c r="N89" i="2"/>
  <c r="M89" i="2"/>
  <c r="L89" i="2"/>
  <c r="K89" i="2"/>
  <c r="J89" i="2"/>
  <c r="I89" i="2"/>
  <c r="U166" i="2"/>
  <c r="V166" i="2"/>
  <c r="W166" i="2"/>
  <c r="U165" i="2"/>
  <c r="V165" i="2"/>
  <c r="W165" i="2"/>
  <c r="U167" i="2"/>
  <c r="V167" i="2"/>
  <c r="W167" i="2"/>
  <c r="U95" i="2"/>
  <c r="V95" i="2"/>
  <c r="W95" i="2"/>
  <c r="Z95" i="2"/>
  <c r="U96" i="2"/>
  <c r="V96" i="2"/>
  <c r="W96" i="2"/>
  <c r="Z96" i="2"/>
  <c r="Z230" i="2"/>
  <c r="Z222" i="2"/>
  <c r="U224" i="2"/>
  <c r="T164" i="2"/>
  <c r="U164" i="2"/>
  <c r="S163" i="2"/>
  <c r="U163" i="2"/>
  <c r="R162" i="2"/>
  <c r="U162" i="2"/>
  <c r="Q161" i="2"/>
  <c r="U161" i="2"/>
  <c r="P160" i="2"/>
  <c r="U160" i="2"/>
  <c r="O159" i="2"/>
  <c r="U159" i="2"/>
  <c r="N158" i="2"/>
  <c r="U158" i="2"/>
  <c r="M157" i="2"/>
  <c r="U157" i="2"/>
  <c r="L156" i="2"/>
  <c r="U156" i="2"/>
  <c r="K155" i="2"/>
  <c r="U155" i="2"/>
  <c r="J154" i="2"/>
  <c r="U154" i="2"/>
  <c r="I153" i="2"/>
  <c r="U153" i="2"/>
  <c r="T152" i="2"/>
  <c r="U152" i="2"/>
  <c r="S151" i="2"/>
  <c r="U151" i="2"/>
  <c r="R150" i="2"/>
  <c r="U150" i="2"/>
  <c r="Q149" i="2"/>
  <c r="U149" i="2"/>
  <c r="P148" i="2"/>
  <c r="U148" i="2"/>
  <c r="O147" i="2"/>
  <c r="U147" i="2"/>
  <c r="N146" i="2"/>
  <c r="U146" i="2"/>
  <c r="M145" i="2"/>
  <c r="U145" i="2"/>
  <c r="L144" i="2"/>
  <c r="U144" i="2"/>
  <c r="K143" i="2"/>
  <c r="U143" i="2"/>
  <c r="J142" i="2"/>
  <c r="U142" i="2"/>
  <c r="U141" i="2"/>
  <c r="T140" i="2"/>
  <c r="U140" i="2"/>
  <c r="S139" i="2"/>
  <c r="U139" i="2"/>
  <c r="R138" i="2"/>
  <c r="U138" i="2"/>
  <c r="Q137" i="2"/>
  <c r="U137" i="2"/>
  <c r="P136" i="2"/>
  <c r="U136" i="2"/>
  <c r="O135" i="2"/>
  <c r="U135" i="2"/>
  <c r="N134" i="2"/>
  <c r="U134" i="2"/>
  <c r="M133" i="2"/>
  <c r="U133" i="2"/>
  <c r="L132" i="2"/>
  <c r="U132" i="2"/>
  <c r="K131" i="2"/>
  <c r="U131" i="2"/>
  <c r="J130" i="2"/>
  <c r="U130" i="2"/>
  <c r="I129" i="2"/>
  <c r="U129" i="2"/>
  <c r="T125" i="2"/>
  <c r="U125" i="2"/>
  <c r="S124" i="2"/>
  <c r="U124" i="2"/>
  <c r="R123" i="2"/>
  <c r="U123" i="2"/>
  <c r="Q122" i="2"/>
  <c r="U122" i="2"/>
  <c r="P121" i="2"/>
  <c r="U121" i="2"/>
  <c r="O120" i="2"/>
  <c r="U120" i="2"/>
  <c r="N119" i="2"/>
  <c r="U119" i="2"/>
  <c r="M118" i="2"/>
  <c r="U118" i="2"/>
  <c r="L117" i="2"/>
  <c r="U117" i="2"/>
  <c r="K116" i="2"/>
  <c r="U116" i="2"/>
  <c r="J115" i="2"/>
  <c r="U115" i="2"/>
  <c r="I114" i="2"/>
  <c r="U114" i="2"/>
  <c r="U94" i="2"/>
  <c r="U93" i="2"/>
  <c r="U92" i="2"/>
  <c r="U91" i="2"/>
  <c r="U90" i="2"/>
  <c r="U89" i="2"/>
  <c r="T88" i="2"/>
  <c r="U88" i="2"/>
  <c r="S87" i="2"/>
  <c r="U87" i="2"/>
  <c r="R86" i="2"/>
  <c r="U86" i="2"/>
  <c r="Q85" i="2"/>
  <c r="U85" i="2"/>
  <c r="P84" i="2"/>
  <c r="U84" i="2"/>
  <c r="O83" i="2"/>
  <c r="U83" i="2"/>
  <c r="N82" i="2"/>
  <c r="U82" i="2"/>
  <c r="M81" i="2"/>
  <c r="U81" i="2"/>
  <c r="L80" i="2"/>
  <c r="U80" i="2"/>
  <c r="K79" i="2"/>
  <c r="U79" i="2"/>
  <c r="J78" i="2"/>
  <c r="U78" i="2"/>
  <c r="I77" i="2"/>
  <c r="U77" i="2"/>
  <c r="T76" i="2"/>
  <c r="U76" i="2"/>
  <c r="S75" i="2"/>
  <c r="U75" i="2"/>
  <c r="R74" i="2"/>
  <c r="U74" i="2"/>
  <c r="Q73" i="2"/>
  <c r="U73" i="2"/>
  <c r="P72" i="2"/>
  <c r="U72" i="2"/>
  <c r="O71" i="2"/>
  <c r="U71" i="2"/>
  <c r="N70" i="2"/>
  <c r="U70" i="2"/>
  <c r="M69" i="2"/>
  <c r="U69" i="2"/>
  <c r="L68" i="2"/>
  <c r="U68" i="2"/>
  <c r="K67" i="2"/>
  <c r="U67" i="2"/>
  <c r="J66" i="2"/>
  <c r="U66" i="2"/>
  <c r="I65" i="2"/>
  <c r="U65" i="2"/>
  <c r="T63" i="2"/>
  <c r="U63" i="2"/>
  <c r="S62" i="2"/>
  <c r="U62" i="2"/>
  <c r="R61" i="2"/>
  <c r="U61" i="2"/>
  <c r="Q60" i="2"/>
  <c r="U60" i="2"/>
  <c r="P59" i="2"/>
  <c r="U59" i="2"/>
  <c r="O58" i="2"/>
  <c r="U58" i="2"/>
  <c r="N57" i="2"/>
  <c r="U57" i="2"/>
  <c r="M56" i="2"/>
  <c r="U56" i="2"/>
  <c r="L55" i="2"/>
  <c r="U55" i="2"/>
  <c r="K54" i="2"/>
  <c r="U54" i="2"/>
  <c r="J53" i="2"/>
  <c r="U53" i="2"/>
  <c r="I52" i="2"/>
  <c r="U52" i="2"/>
  <c r="T51" i="2"/>
  <c r="U51" i="2"/>
  <c r="S50" i="2"/>
  <c r="U50" i="2"/>
  <c r="R49" i="2"/>
  <c r="U49" i="2"/>
  <c r="Q48" i="2"/>
  <c r="U48" i="2"/>
  <c r="P47" i="2"/>
  <c r="U47" i="2"/>
  <c r="O46" i="2"/>
  <c r="U46" i="2"/>
  <c r="N45" i="2"/>
  <c r="U45" i="2"/>
  <c r="M44" i="2"/>
  <c r="U44" i="2"/>
  <c r="L43" i="2"/>
  <c r="U43" i="2"/>
  <c r="K42" i="2"/>
  <c r="U42" i="2"/>
  <c r="J41" i="2"/>
  <c r="U41" i="2"/>
  <c r="I40" i="2"/>
  <c r="U40" i="2"/>
  <c r="T39" i="2"/>
  <c r="U39" i="2"/>
  <c r="S38" i="2"/>
  <c r="U38" i="2"/>
  <c r="R37" i="2"/>
  <c r="U37" i="2"/>
  <c r="Q36" i="2"/>
  <c r="U36" i="2"/>
  <c r="P35" i="2"/>
  <c r="U35" i="2"/>
  <c r="O34" i="2"/>
  <c r="U34" i="2"/>
  <c r="N33" i="2"/>
  <c r="U33" i="2"/>
  <c r="M32" i="2"/>
  <c r="U32" i="2"/>
  <c r="L31" i="2"/>
  <c r="U31" i="2"/>
  <c r="K30" i="2"/>
  <c r="U30" i="2"/>
  <c r="J29" i="2"/>
  <c r="U29" i="2"/>
  <c r="I28" i="2"/>
  <c r="U28" i="2"/>
  <c r="T27" i="2"/>
  <c r="U27" i="2"/>
  <c r="S26" i="2"/>
  <c r="U26" i="2"/>
  <c r="R25" i="2"/>
  <c r="U25" i="2"/>
  <c r="Q24" i="2"/>
  <c r="U24" i="2"/>
  <c r="P23" i="2"/>
  <c r="U23" i="2"/>
  <c r="O22" i="2"/>
  <c r="U22" i="2"/>
  <c r="N21" i="2"/>
  <c r="U21" i="2"/>
  <c r="M20" i="2"/>
  <c r="U20" i="2"/>
  <c r="L19" i="2"/>
  <c r="U19" i="2"/>
  <c r="K18" i="2"/>
  <c r="U18" i="2"/>
  <c r="J17" i="2"/>
  <c r="U17" i="2"/>
  <c r="I16" i="2"/>
  <c r="U16" i="2"/>
  <c r="S14" i="2"/>
  <c r="U14" i="2"/>
  <c r="R13" i="2"/>
  <c r="U13" i="2"/>
  <c r="Q12" i="2"/>
  <c r="U12" i="2"/>
  <c r="P11" i="2"/>
  <c r="U11" i="2"/>
  <c r="O10" i="2"/>
  <c r="U10" i="2"/>
  <c r="N9" i="2"/>
  <c r="U9" i="2"/>
  <c r="M8" i="2"/>
  <c r="U8" i="2"/>
  <c r="L7" i="2"/>
  <c r="U7" i="2"/>
  <c r="K6" i="2"/>
  <c r="U6" i="2"/>
  <c r="J5" i="2"/>
  <c r="U5" i="2"/>
  <c r="T236" i="2"/>
  <c r="S236" i="2"/>
  <c r="R236" i="2"/>
  <c r="Q236" i="2"/>
  <c r="P236" i="2"/>
  <c r="O236" i="2"/>
  <c r="N236" i="2"/>
  <c r="M236" i="2"/>
  <c r="L236" i="2"/>
  <c r="K236" i="2"/>
  <c r="J236" i="2"/>
  <c r="T235" i="2"/>
  <c r="S235" i="2"/>
  <c r="R235" i="2"/>
  <c r="Q235" i="2"/>
  <c r="P235" i="2"/>
  <c r="O235" i="2"/>
  <c r="N235" i="2"/>
  <c r="M235" i="2"/>
  <c r="L235" i="2"/>
  <c r="K235" i="2"/>
  <c r="J235" i="2"/>
  <c r="T234" i="2"/>
  <c r="S234" i="2"/>
  <c r="R234" i="2"/>
  <c r="Q234" i="2"/>
  <c r="P234" i="2"/>
  <c r="O234" i="2"/>
  <c r="N234" i="2"/>
  <c r="M234" i="2"/>
  <c r="L234" i="2"/>
  <c r="K234" i="2"/>
  <c r="J234" i="2"/>
  <c r="T232" i="2"/>
  <c r="S232" i="2"/>
  <c r="R232" i="2"/>
  <c r="Q232" i="2"/>
  <c r="P232" i="2"/>
  <c r="O232" i="2"/>
  <c r="N232" i="2"/>
  <c r="M232" i="2"/>
  <c r="L232" i="2"/>
  <c r="K232" i="2"/>
  <c r="J232" i="2"/>
  <c r="T231" i="2"/>
  <c r="S231" i="2"/>
  <c r="R231" i="2"/>
  <c r="Q231" i="2"/>
  <c r="P231" i="2"/>
  <c r="O231" i="2"/>
  <c r="N231" i="2"/>
  <c r="M231" i="2"/>
  <c r="L231" i="2"/>
  <c r="K231" i="2"/>
  <c r="J231" i="2"/>
  <c r="T230" i="2"/>
  <c r="S230" i="2"/>
  <c r="R230" i="2"/>
  <c r="Q230" i="2"/>
  <c r="P230" i="2"/>
  <c r="O230" i="2"/>
  <c r="N230" i="2"/>
  <c r="M230" i="2"/>
  <c r="L230" i="2"/>
  <c r="K230" i="2"/>
  <c r="J230" i="2"/>
  <c r="T229" i="2"/>
  <c r="S229" i="2"/>
  <c r="R229" i="2"/>
  <c r="Q229" i="2"/>
  <c r="P229" i="2"/>
  <c r="O229" i="2"/>
  <c r="N229" i="2"/>
  <c r="M229" i="2"/>
  <c r="L229" i="2"/>
  <c r="K229" i="2"/>
  <c r="J229" i="2"/>
  <c r="T228" i="2"/>
  <c r="S228" i="2"/>
  <c r="R228" i="2"/>
  <c r="Q228" i="2"/>
  <c r="P228" i="2"/>
  <c r="O228" i="2"/>
  <c r="N228" i="2"/>
  <c r="M228" i="2"/>
  <c r="L228" i="2"/>
  <c r="K228" i="2"/>
  <c r="J228" i="2"/>
  <c r="T227" i="2"/>
  <c r="S227" i="2"/>
  <c r="R227" i="2"/>
  <c r="Q227" i="2"/>
  <c r="P227" i="2"/>
  <c r="O227" i="2"/>
  <c r="N227" i="2"/>
  <c r="M227" i="2"/>
  <c r="L227" i="2"/>
  <c r="K227" i="2"/>
  <c r="J227" i="2"/>
  <c r="T226" i="2"/>
  <c r="S226" i="2"/>
  <c r="R226" i="2"/>
  <c r="Q226" i="2"/>
  <c r="P226" i="2"/>
  <c r="O226" i="2"/>
  <c r="N226" i="2"/>
  <c r="M226" i="2"/>
  <c r="L226" i="2"/>
  <c r="K226" i="2"/>
  <c r="J226" i="2"/>
  <c r="T225" i="2"/>
  <c r="S225" i="2"/>
  <c r="R225" i="2"/>
  <c r="Q225" i="2"/>
  <c r="P225" i="2"/>
  <c r="O225" i="2"/>
  <c r="N225" i="2"/>
  <c r="M225" i="2"/>
  <c r="L225" i="2"/>
  <c r="K225" i="2"/>
  <c r="J225" i="2"/>
  <c r="T223" i="2"/>
  <c r="S223" i="2"/>
  <c r="R223" i="2"/>
  <c r="Q223" i="2"/>
  <c r="P223" i="2"/>
  <c r="O223" i="2"/>
  <c r="N223" i="2"/>
  <c r="M223" i="2"/>
  <c r="L223" i="2"/>
  <c r="K223" i="2"/>
  <c r="J223" i="2"/>
  <c r="T222" i="2"/>
  <c r="S222" i="2"/>
  <c r="R222" i="2"/>
  <c r="Q222" i="2"/>
  <c r="P222" i="2"/>
  <c r="O222" i="2"/>
  <c r="N222" i="2"/>
  <c r="M222" i="2"/>
  <c r="L222" i="2"/>
  <c r="K222" i="2"/>
  <c r="J222" i="2"/>
  <c r="T221" i="2"/>
  <c r="S221" i="2"/>
  <c r="R221" i="2"/>
  <c r="Q221" i="2"/>
  <c r="P221" i="2"/>
  <c r="O221" i="2"/>
  <c r="N221" i="2"/>
  <c r="M221" i="2"/>
  <c r="L221" i="2"/>
  <c r="K221" i="2"/>
  <c r="J221" i="2"/>
  <c r="T220" i="2"/>
  <c r="S220" i="2"/>
  <c r="R220" i="2"/>
  <c r="Q220" i="2"/>
  <c r="P220" i="2"/>
  <c r="O220" i="2"/>
  <c r="N220" i="2"/>
  <c r="M220" i="2"/>
  <c r="L220" i="2"/>
  <c r="K220" i="2"/>
  <c r="J220" i="2"/>
  <c r="T219" i="2"/>
  <c r="S219" i="2"/>
  <c r="R219" i="2"/>
  <c r="Q219" i="2"/>
  <c r="P219" i="2"/>
  <c r="O219" i="2"/>
  <c r="N219" i="2"/>
  <c r="M219" i="2"/>
  <c r="L219" i="2"/>
  <c r="K219" i="2"/>
  <c r="J219" i="2"/>
  <c r="T218" i="2"/>
  <c r="S218" i="2"/>
  <c r="R218" i="2"/>
  <c r="Q218" i="2"/>
  <c r="P218" i="2"/>
  <c r="O218" i="2"/>
  <c r="N218" i="2"/>
  <c r="M218" i="2"/>
  <c r="L218" i="2"/>
  <c r="K218" i="2"/>
  <c r="J218" i="2"/>
  <c r="T217" i="2"/>
  <c r="S217" i="2"/>
  <c r="R217" i="2"/>
  <c r="Q217" i="2"/>
  <c r="P217" i="2"/>
  <c r="O217" i="2"/>
  <c r="N217" i="2"/>
  <c r="M217" i="2"/>
  <c r="L217" i="2"/>
  <c r="K217" i="2"/>
  <c r="J217" i="2"/>
  <c r="T216" i="2"/>
  <c r="S216" i="2"/>
  <c r="R216" i="2"/>
  <c r="Q216" i="2"/>
  <c r="P216" i="2"/>
  <c r="O216" i="2"/>
  <c r="N216" i="2"/>
  <c r="M216" i="2"/>
  <c r="L216" i="2"/>
  <c r="K216" i="2"/>
  <c r="J216" i="2"/>
  <c r="T214" i="2"/>
  <c r="S214" i="2"/>
  <c r="R214" i="2"/>
  <c r="Q214" i="2"/>
  <c r="P214" i="2"/>
  <c r="O214" i="2"/>
  <c r="N214" i="2"/>
  <c r="M214" i="2"/>
  <c r="L214" i="2"/>
  <c r="K214" i="2"/>
  <c r="J214" i="2"/>
  <c r="T213" i="2"/>
  <c r="S213" i="2"/>
  <c r="R213" i="2"/>
  <c r="Q213" i="2"/>
  <c r="P213" i="2"/>
  <c r="O213" i="2"/>
  <c r="N213" i="2"/>
  <c r="M213" i="2"/>
  <c r="L213" i="2"/>
  <c r="K213" i="2"/>
  <c r="J213" i="2"/>
  <c r="T212" i="2"/>
  <c r="S212" i="2"/>
  <c r="R212" i="2"/>
  <c r="Q212" i="2"/>
  <c r="P212" i="2"/>
  <c r="O212" i="2"/>
  <c r="N212" i="2"/>
  <c r="M212" i="2"/>
  <c r="L212" i="2"/>
  <c r="K212" i="2"/>
  <c r="J212" i="2"/>
  <c r="T211" i="2"/>
  <c r="S211" i="2"/>
  <c r="R211" i="2"/>
  <c r="Q211" i="2"/>
  <c r="P211" i="2"/>
  <c r="O211" i="2"/>
  <c r="N211" i="2"/>
  <c r="M211" i="2"/>
  <c r="L211" i="2"/>
  <c r="K211" i="2"/>
  <c r="J211" i="2"/>
  <c r="T210" i="2"/>
  <c r="S210" i="2"/>
  <c r="R210" i="2"/>
  <c r="Q210" i="2"/>
  <c r="P210" i="2"/>
  <c r="O210" i="2"/>
  <c r="N210" i="2"/>
  <c r="M210" i="2"/>
  <c r="L210" i="2"/>
  <c r="K210" i="2"/>
  <c r="J210" i="2"/>
  <c r="T208" i="2"/>
  <c r="S208" i="2"/>
  <c r="R208" i="2"/>
  <c r="Q208" i="2"/>
  <c r="P208" i="2"/>
  <c r="O208" i="2"/>
  <c r="N208" i="2"/>
  <c r="M208" i="2"/>
  <c r="L208" i="2"/>
  <c r="K208" i="2"/>
  <c r="J208" i="2"/>
  <c r="T207" i="2"/>
  <c r="S207" i="2"/>
  <c r="R207" i="2"/>
  <c r="Q207" i="2"/>
  <c r="P207" i="2"/>
  <c r="O207" i="2"/>
  <c r="N207" i="2"/>
  <c r="M207" i="2"/>
  <c r="L207" i="2"/>
  <c r="K207" i="2"/>
  <c r="J207" i="2"/>
  <c r="T206" i="2"/>
  <c r="S206" i="2"/>
  <c r="R206" i="2"/>
  <c r="Q206" i="2"/>
  <c r="P206" i="2"/>
  <c r="O206" i="2"/>
  <c r="N206" i="2"/>
  <c r="M206" i="2"/>
  <c r="L206" i="2"/>
  <c r="K206" i="2"/>
  <c r="J206" i="2"/>
  <c r="T205" i="2"/>
  <c r="S205" i="2"/>
  <c r="R205" i="2"/>
  <c r="Q205" i="2"/>
  <c r="P205" i="2"/>
  <c r="O205" i="2"/>
  <c r="N205" i="2"/>
  <c r="M205" i="2"/>
  <c r="L205" i="2"/>
  <c r="K205" i="2"/>
  <c r="J205" i="2"/>
  <c r="T203" i="2"/>
  <c r="S203" i="2"/>
  <c r="R203" i="2"/>
  <c r="Q203" i="2"/>
  <c r="P203" i="2"/>
  <c r="O203" i="2"/>
  <c r="N203" i="2"/>
  <c r="M203" i="2"/>
  <c r="L203" i="2"/>
  <c r="K203" i="2"/>
  <c r="J203" i="2"/>
  <c r="T202" i="2"/>
  <c r="S202" i="2"/>
  <c r="R202" i="2"/>
  <c r="Q202" i="2"/>
  <c r="P202" i="2"/>
  <c r="O202" i="2"/>
  <c r="N202" i="2"/>
  <c r="M202" i="2"/>
  <c r="L202" i="2"/>
  <c r="K202" i="2"/>
  <c r="J202" i="2"/>
  <c r="T201" i="2"/>
  <c r="S201" i="2"/>
  <c r="R201" i="2"/>
  <c r="Q201" i="2"/>
  <c r="P201" i="2"/>
  <c r="O201" i="2"/>
  <c r="N201" i="2"/>
  <c r="M201" i="2"/>
  <c r="L201" i="2"/>
  <c r="K201" i="2"/>
  <c r="J201" i="2"/>
  <c r="T200" i="2"/>
  <c r="S200" i="2"/>
  <c r="R200" i="2"/>
  <c r="Q200" i="2"/>
  <c r="P200" i="2"/>
  <c r="O200" i="2"/>
  <c r="N200" i="2"/>
  <c r="M200" i="2"/>
  <c r="L200" i="2"/>
  <c r="K200" i="2"/>
  <c r="J200" i="2"/>
  <c r="T199" i="2"/>
  <c r="S199" i="2"/>
  <c r="R199" i="2"/>
  <c r="Q199" i="2"/>
  <c r="P199" i="2"/>
  <c r="O199" i="2"/>
  <c r="N199" i="2"/>
  <c r="M199" i="2"/>
  <c r="L199" i="2"/>
  <c r="K199" i="2"/>
  <c r="J199" i="2"/>
  <c r="T198" i="2"/>
  <c r="S198" i="2"/>
  <c r="R198" i="2"/>
  <c r="Q198" i="2"/>
  <c r="P198" i="2"/>
  <c r="O198" i="2"/>
  <c r="N198" i="2"/>
  <c r="M198" i="2"/>
  <c r="L198" i="2"/>
  <c r="K198" i="2"/>
  <c r="J198" i="2"/>
  <c r="T173" i="2"/>
  <c r="S173" i="2"/>
  <c r="R173" i="2"/>
  <c r="Q173" i="2"/>
  <c r="P173" i="2"/>
  <c r="O173" i="2"/>
  <c r="N173" i="2"/>
  <c r="M173" i="2"/>
  <c r="L173" i="2"/>
  <c r="K173" i="2"/>
  <c r="J173" i="2"/>
  <c r="T172" i="2"/>
  <c r="S172" i="2"/>
  <c r="R172" i="2"/>
  <c r="Q172" i="2"/>
  <c r="P172" i="2"/>
  <c r="O172" i="2"/>
  <c r="N172" i="2"/>
  <c r="M172" i="2"/>
  <c r="L172" i="2"/>
  <c r="K172" i="2"/>
  <c r="J172" i="2"/>
  <c r="T171" i="2"/>
  <c r="S171" i="2"/>
  <c r="R171" i="2"/>
  <c r="Q171" i="2"/>
  <c r="P171" i="2"/>
  <c r="O171" i="2"/>
  <c r="N171" i="2"/>
  <c r="M171" i="2"/>
  <c r="L171" i="2"/>
  <c r="K171" i="2"/>
  <c r="J171" i="2"/>
  <c r="T170" i="2"/>
  <c r="S170" i="2"/>
  <c r="R170" i="2"/>
  <c r="Q170" i="2"/>
  <c r="P170" i="2"/>
  <c r="O170" i="2"/>
  <c r="N170" i="2"/>
  <c r="M170" i="2"/>
  <c r="L170" i="2"/>
  <c r="K170" i="2"/>
  <c r="J170" i="2"/>
  <c r="T169" i="2"/>
  <c r="S169" i="2"/>
  <c r="R169" i="2"/>
  <c r="Q169" i="2"/>
  <c r="P169" i="2"/>
  <c r="O169" i="2"/>
  <c r="N169" i="2"/>
  <c r="M169" i="2"/>
  <c r="L169" i="2"/>
  <c r="K169" i="2"/>
  <c r="J169" i="2"/>
  <c r="T128" i="2"/>
  <c r="S128" i="2"/>
  <c r="R128" i="2"/>
  <c r="Q128" i="2"/>
  <c r="P128" i="2"/>
  <c r="O128" i="2"/>
  <c r="N128" i="2"/>
  <c r="M128" i="2"/>
  <c r="L128" i="2"/>
  <c r="K128" i="2"/>
  <c r="J128" i="2"/>
  <c r="T127" i="2"/>
  <c r="S127" i="2"/>
  <c r="R127" i="2"/>
  <c r="Q127" i="2"/>
  <c r="P127" i="2"/>
  <c r="O127" i="2"/>
  <c r="N127" i="2"/>
  <c r="M127" i="2"/>
  <c r="L127" i="2"/>
  <c r="K127" i="2"/>
  <c r="J127" i="2"/>
  <c r="T126" i="2"/>
  <c r="S126" i="2"/>
  <c r="R126" i="2"/>
  <c r="Q126" i="2"/>
  <c r="P126" i="2"/>
  <c r="O126" i="2"/>
  <c r="N126" i="2"/>
  <c r="M126" i="2"/>
  <c r="L126" i="2"/>
  <c r="K126" i="2"/>
  <c r="J126" i="2"/>
  <c r="T112" i="2"/>
  <c r="S112" i="2"/>
  <c r="R112" i="2"/>
  <c r="Q112" i="2"/>
  <c r="P112" i="2"/>
  <c r="O112" i="2"/>
  <c r="N112" i="2"/>
  <c r="M112" i="2"/>
  <c r="L112" i="2"/>
  <c r="K112" i="2"/>
  <c r="J112" i="2"/>
  <c r="T111" i="2"/>
  <c r="S111" i="2"/>
  <c r="R111" i="2"/>
  <c r="Q111" i="2"/>
  <c r="P111" i="2"/>
  <c r="O111" i="2"/>
  <c r="N111" i="2"/>
  <c r="M111" i="2"/>
  <c r="L111" i="2"/>
  <c r="K111" i="2"/>
  <c r="J111" i="2"/>
  <c r="T110" i="2"/>
  <c r="S110" i="2"/>
  <c r="R110" i="2"/>
  <c r="Q110" i="2"/>
  <c r="P110" i="2"/>
  <c r="O110" i="2"/>
  <c r="N110" i="2"/>
  <c r="M110" i="2"/>
  <c r="L110" i="2"/>
  <c r="K110" i="2"/>
  <c r="J110" i="2"/>
  <c r="T109" i="2"/>
  <c r="S109" i="2"/>
  <c r="R109" i="2"/>
  <c r="Q109" i="2"/>
  <c r="P109" i="2"/>
  <c r="O109" i="2"/>
  <c r="N109" i="2"/>
  <c r="M109" i="2"/>
  <c r="L109" i="2"/>
  <c r="K109" i="2"/>
  <c r="J109" i="2"/>
  <c r="T108" i="2"/>
  <c r="S108" i="2"/>
  <c r="R108" i="2"/>
  <c r="Q108" i="2"/>
  <c r="P108" i="2"/>
  <c r="O108" i="2"/>
  <c r="N108" i="2"/>
  <c r="M108" i="2"/>
  <c r="L108" i="2"/>
  <c r="K108" i="2"/>
  <c r="J108" i="2"/>
  <c r="T107" i="2"/>
  <c r="S107" i="2"/>
  <c r="R107" i="2"/>
  <c r="Q107" i="2"/>
  <c r="P107" i="2"/>
  <c r="O107" i="2"/>
  <c r="N107" i="2"/>
  <c r="M107" i="2"/>
  <c r="L107" i="2"/>
  <c r="K107" i="2"/>
  <c r="J107" i="2"/>
  <c r="T106" i="2"/>
  <c r="S106" i="2"/>
  <c r="R106" i="2"/>
  <c r="Q106" i="2"/>
  <c r="P106" i="2"/>
  <c r="O106" i="2"/>
  <c r="N106" i="2"/>
  <c r="M106" i="2"/>
  <c r="L106" i="2"/>
  <c r="K106" i="2"/>
  <c r="J106" i="2"/>
  <c r="T104" i="2"/>
  <c r="S104" i="2"/>
  <c r="R104" i="2"/>
  <c r="Q104" i="2"/>
  <c r="P104" i="2"/>
  <c r="O104" i="2"/>
  <c r="N104" i="2"/>
  <c r="M104" i="2"/>
  <c r="L104" i="2"/>
  <c r="K104" i="2"/>
  <c r="J104" i="2"/>
  <c r="T103" i="2"/>
  <c r="S103" i="2"/>
  <c r="R103" i="2"/>
  <c r="Q103" i="2"/>
  <c r="P103" i="2"/>
  <c r="O103" i="2"/>
  <c r="N103" i="2"/>
  <c r="M103" i="2"/>
  <c r="L103" i="2"/>
  <c r="K103" i="2"/>
  <c r="J103" i="2"/>
  <c r="T102" i="2"/>
  <c r="S102" i="2"/>
  <c r="R102" i="2"/>
  <c r="Q102" i="2"/>
  <c r="P102" i="2"/>
  <c r="O102" i="2"/>
  <c r="N102" i="2"/>
  <c r="M102" i="2"/>
  <c r="L102" i="2"/>
  <c r="K102" i="2"/>
  <c r="J102" i="2"/>
  <c r="T101" i="2"/>
  <c r="S101" i="2"/>
  <c r="R101" i="2"/>
  <c r="Q101" i="2"/>
  <c r="P101" i="2"/>
  <c r="O101" i="2"/>
  <c r="N101" i="2"/>
  <c r="M101" i="2"/>
  <c r="L101" i="2"/>
  <c r="K101" i="2"/>
  <c r="J101" i="2"/>
  <c r="T100" i="2"/>
  <c r="S100" i="2"/>
  <c r="R100" i="2"/>
  <c r="Q100" i="2"/>
  <c r="P100" i="2"/>
  <c r="O100" i="2"/>
  <c r="N100" i="2"/>
  <c r="M100" i="2"/>
  <c r="L100" i="2"/>
  <c r="K100" i="2"/>
  <c r="J100" i="2"/>
  <c r="T99" i="2"/>
  <c r="S99" i="2"/>
  <c r="R99" i="2"/>
  <c r="Q99" i="2"/>
  <c r="P99" i="2"/>
  <c r="O99" i="2"/>
  <c r="N99" i="2"/>
  <c r="M99" i="2"/>
  <c r="L99" i="2"/>
  <c r="K99" i="2"/>
  <c r="J99" i="2"/>
  <c r="T98" i="2"/>
  <c r="S98" i="2"/>
  <c r="R98" i="2"/>
  <c r="Q98" i="2"/>
  <c r="P98" i="2"/>
  <c r="O98" i="2"/>
  <c r="N98" i="2"/>
  <c r="M98" i="2"/>
  <c r="L98" i="2"/>
  <c r="K98" i="2"/>
  <c r="J98" i="2"/>
  <c r="T64" i="2"/>
  <c r="S64" i="2"/>
  <c r="R64" i="2"/>
  <c r="Q64" i="2"/>
  <c r="P64" i="2"/>
  <c r="O64" i="2"/>
  <c r="N64" i="2"/>
  <c r="M64" i="2"/>
  <c r="L64" i="2"/>
  <c r="K64" i="2"/>
  <c r="J64" i="2"/>
  <c r="T15" i="2"/>
  <c r="U15" i="2"/>
  <c r="T3" i="2"/>
  <c r="S3" i="2"/>
  <c r="R3" i="2"/>
  <c r="Q3" i="2"/>
  <c r="P3" i="2"/>
  <c r="O3" i="2"/>
  <c r="N3" i="2"/>
  <c r="M3" i="2"/>
  <c r="L3" i="2"/>
  <c r="K3" i="2"/>
  <c r="J3" i="2"/>
  <c r="I236" i="2"/>
  <c r="I235" i="2"/>
  <c r="I234" i="2"/>
  <c r="I232" i="2"/>
  <c r="I231" i="2"/>
  <c r="I230" i="2"/>
  <c r="I229" i="2"/>
  <c r="I228" i="2"/>
  <c r="I227" i="2"/>
  <c r="I226" i="2"/>
  <c r="I225" i="2"/>
  <c r="I223" i="2"/>
  <c r="I222" i="2"/>
  <c r="I221" i="2"/>
  <c r="I220" i="2"/>
  <c r="I219" i="2"/>
  <c r="I218" i="2"/>
  <c r="I217" i="2"/>
  <c r="I216" i="2"/>
  <c r="I214" i="2"/>
  <c r="I213" i="2"/>
  <c r="I212" i="2"/>
  <c r="I211" i="2"/>
  <c r="I210" i="2"/>
  <c r="I208" i="2"/>
  <c r="I207" i="2"/>
  <c r="I206" i="2"/>
  <c r="I205" i="2"/>
  <c r="I203" i="2"/>
  <c r="I202" i="2"/>
  <c r="I201" i="2"/>
  <c r="I200" i="2"/>
  <c r="I199" i="2"/>
  <c r="I198" i="2"/>
  <c r="I173" i="2"/>
  <c r="I172" i="2"/>
  <c r="I171" i="2"/>
  <c r="I170" i="2"/>
  <c r="I169" i="2"/>
  <c r="I128" i="2"/>
  <c r="I127" i="2"/>
  <c r="I126" i="2"/>
  <c r="I112" i="2"/>
  <c r="I111" i="2"/>
  <c r="I110" i="2"/>
  <c r="I109" i="2"/>
  <c r="I108" i="2"/>
  <c r="I107" i="2"/>
  <c r="I106" i="2"/>
  <c r="I104" i="2"/>
  <c r="I103" i="2"/>
  <c r="I102" i="2"/>
  <c r="I101" i="2"/>
  <c r="I100" i="2"/>
  <c r="I99" i="2"/>
  <c r="I98" i="2"/>
  <c r="I64" i="2"/>
  <c r="I4" i="2"/>
  <c r="U4" i="2"/>
  <c r="I3" i="2"/>
  <c r="U127" i="2"/>
  <c r="V127" i="2"/>
  <c r="W127" i="2"/>
  <c r="U205" i="2"/>
  <c r="V205" i="2"/>
  <c r="W205" i="2"/>
  <c r="U214" i="2"/>
  <c r="V214" i="2"/>
  <c r="W214" i="2"/>
  <c r="Z214" i="2"/>
  <c r="U223" i="2"/>
  <c r="V223" i="2"/>
  <c r="W223" i="2"/>
  <c r="Z223" i="2"/>
  <c r="V164" i="2"/>
  <c r="W164" i="2"/>
  <c r="X164" i="2"/>
  <c r="U98" i="2"/>
  <c r="V98" i="2"/>
  <c r="W98" i="2"/>
  <c r="U128" i="2"/>
  <c r="V128" i="2"/>
  <c r="W128" i="2"/>
  <c r="U206" i="2"/>
  <c r="V206" i="2"/>
  <c r="W206" i="2"/>
  <c r="U234" i="2"/>
  <c r="V234" i="2"/>
  <c r="W234" i="2"/>
  <c r="Z234" i="2"/>
  <c r="U106" i="2"/>
  <c r="V106" i="2"/>
  <c r="W106" i="2"/>
  <c r="U107" i="2"/>
  <c r="V107" i="2"/>
  <c r="W107" i="2"/>
  <c r="U216" i="2"/>
  <c r="V216" i="2"/>
  <c r="W216" i="2"/>
  <c r="U225" i="2"/>
  <c r="V225" i="2"/>
  <c r="W225" i="2"/>
  <c r="U99" i="2"/>
  <c r="V99" i="2"/>
  <c r="W99" i="2"/>
  <c r="U198" i="2"/>
  <c r="V198" i="2"/>
  <c r="W198" i="2"/>
  <c r="Z198" i="2"/>
  <c r="U207" i="2"/>
  <c r="V207" i="2"/>
  <c r="W207" i="2"/>
  <c r="U217" i="2"/>
  <c r="V217" i="2"/>
  <c r="W217" i="2"/>
  <c r="U226" i="2"/>
  <c r="V226" i="2"/>
  <c r="W226" i="2"/>
  <c r="U235" i="2"/>
  <c r="V235" i="2"/>
  <c r="W235" i="2"/>
  <c r="Z235" i="2"/>
  <c r="U100" i="2"/>
  <c r="V100" i="2"/>
  <c r="W100" i="2"/>
  <c r="U169" i="2"/>
  <c r="V169" i="2"/>
  <c r="U199" i="2"/>
  <c r="V199" i="2"/>
  <c r="W199" i="2"/>
  <c r="Z199" i="2"/>
  <c r="U208" i="2"/>
  <c r="V208" i="2"/>
  <c r="W208" i="2"/>
  <c r="U218" i="2"/>
  <c r="V218" i="2"/>
  <c r="W218" i="2"/>
  <c r="Z218" i="2"/>
  <c r="U227" i="2"/>
  <c r="V227" i="2"/>
  <c r="W227" i="2"/>
  <c r="Z227" i="2"/>
  <c r="U236" i="2"/>
  <c r="V236" i="2"/>
  <c r="W236" i="2"/>
  <c r="Z236" i="2"/>
  <c r="U108" i="2"/>
  <c r="V108" i="2"/>
  <c r="W108" i="2"/>
  <c r="Z108" i="2"/>
  <c r="U109" i="2"/>
  <c r="V109" i="2"/>
  <c r="W109" i="2"/>
  <c r="Z109" i="2"/>
  <c r="U101" i="2"/>
  <c r="V101" i="2"/>
  <c r="W101" i="2"/>
  <c r="Z101" i="2"/>
  <c r="U110" i="2"/>
  <c r="V110" i="2"/>
  <c r="W110" i="2"/>
  <c r="Z110" i="2"/>
  <c r="U170" i="2"/>
  <c r="V170" i="2"/>
  <c r="W170" i="2"/>
  <c r="U200" i="2"/>
  <c r="V200" i="2"/>
  <c r="W200" i="2"/>
  <c r="Z200" i="2"/>
  <c r="U210" i="2"/>
  <c r="V210" i="2"/>
  <c r="W210" i="2"/>
  <c r="Z210" i="2"/>
  <c r="U219" i="2"/>
  <c r="V219" i="2"/>
  <c r="W219" i="2"/>
  <c r="Z219" i="2"/>
  <c r="U228" i="2"/>
  <c r="V228" i="2"/>
  <c r="W228" i="2"/>
  <c r="Z228" i="2"/>
  <c r="U102" i="2"/>
  <c r="V102" i="2"/>
  <c r="W102" i="2"/>
  <c r="Z102" i="2"/>
  <c r="U111" i="2"/>
  <c r="V111" i="2"/>
  <c r="W111" i="2"/>
  <c r="Z111" i="2"/>
  <c r="U171" i="2"/>
  <c r="V171" i="2"/>
  <c r="W171" i="2"/>
  <c r="U201" i="2"/>
  <c r="V201" i="2"/>
  <c r="W201" i="2"/>
  <c r="Z201" i="2"/>
  <c r="U211" i="2"/>
  <c r="V211" i="2"/>
  <c r="W211" i="2"/>
  <c r="Z211" i="2"/>
  <c r="U220" i="2"/>
  <c r="V220" i="2"/>
  <c r="W220" i="2"/>
  <c r="Z220" i="2"/>
  <c r="U229" i="2"/>
  <c r="V229" i="2"/>
  <c r="W229" i="2"/>
  <c r="Z229" i="2"/>
  <c r="U103" i="2"/>
  <c r="V103" i="2"/>
  <c r="W103" i="2"/>
  <c r="Z103" i="2"/>
  <c r="U112" i="2"/>
  <c r="V112" i="2"/>
  <c r="W112" i="2"/>
  <c r="Z112" i="2"/>
  <c r="U172" i="2"/>
  <c r="V172" i="2"/>
  <c r="W172" i="2"/>
  <c r="U202" i="2"/>
  <c r="V202" i="2"/>
  <c r="W202" i="2"/>
  <c r="Z202" i="2"/>
  <c r="U212" i="2"/>
  <c r="V212" i="2"/>
  <c r="W212" i="2"/>
  <c r="Z212" i="2"/>
  <c r="U221" i="2"/>
  <c r="V221" i="2"/>
  <c r="W221" i="2"/>
  <c r="Z221" i="2"/>
  <c r="U230" i="2"/>
  <c r="U104" i="2"/>
  <c r="V104" i="2"/>
  <c r="W104" i="2"/>
  <c r="Z104" i="2"/>
  <c r="U126" i="2"/>
  <c r="U173" i="2"/>
  <c r="V173" i="2"/>
  <c r="W173" i="2"/>
  <c r="Z173" i="2"/>
  <c r="U203" i="2"/>
  <c r="V203" i="2"/>
  <c r="W203" i="2"/>
  <c r="Z203" i="2"/>
  <c r="U213" i="2"/>
  <c r="V213" i="2"/>
  <c r="W213" i="2"/>
  <c r="Z213" i="2"/>
  <c r="U222" i="2"/>
  <c r="U231" i="2"/>
  <c r="V231" i="2"/>
  <c r="W231" i="2"/>
  <c r="Z231" i="2"/>
  <c r="U232" i="2"/>
  <c r="V232" i="2"/>
  <c r="W232" i="2"/>
  <c r="Z232" i="2"/>
  <c r="V152" i="2"/>
  <c r="W152" i="2"/>
  <c r="Z152" i="2"/>
  <c r="U3" i="2"/>
  <c r="V3" i="2"/>
  <c r="W3" i="2"/>
  <c r="Y3" i="2"/>
  <c r="U64" i="2"/>
  <c r="V64" i="2"/>
  <c r="W64" i="2"/>
  <c r="Y64" i="2"/>
  <c r="W209" i="2"/>
  <c r="V140" i="2"/>
  <c r="W140" i="2"/>
  <c r="Z140" i="2"/>
  <c r="V125" i="2"/>
  <c r="W125" i="2"/>
  <c r="V92" i="2"/>
  <c r="W92" i="2"/>
  <c r="Z92" i="2"/>
  <c r="V27" i="2"/>
  <c r="W27" i="2"/>
  <c r="Y27" i="2"/>
  <c r="V39" i="2"/>
  <c r="W39" i="2"/>
  <c r="Y39" i="2"/>
  <c r="V51" i="2"/>
  <c r="W51" i="2"/>
  <c r="Y51" i="2"/>
  <c r="V63" i="2"/>
  <c r="W63" i="2"/>
  <c r="Y63" i="2"/>
  <c r="V76" i="2"/>
  <c r="W76" i="2"/>
  <c r="V88" i="2"/>
  <c r="W88" i="2"/>
  <c r="Z88" i="2"/>
  <c r="V89" i="2"/>
  <c r="W89" i="2"/>
  <c r="Z89" i="2"/>
  <c r="V90" i="2"/>
  <c r="W90" i="2"/>
  <c r="Z90" i="2"/>
  <c r="V91" i="2"/>
  <c r="W91" i="2"/>
  <c r="Z91" i="2"/>
  <c r="V93" i="2"/>
  <c r="W93" i="2"/>
  <c r="Z93" i="2"/>
  <c r="V94" i="2"/>
  <c r="W94" i="2"/>
  <c r="Z94" i="2"/>
  <c r="V15" i="2"/>
  <c r="W15" i="2"/>
  <c r="Y15" i="2"/>
  <c r="X127" i="2"/>
  <c r="Z127" i="2"/>
  <c r="X100" i="2"/>
  <c r="Z100" i="2"/>
  <c r="X226" i="2"/>
  <c r="Z226" i="2"/>
  <c r="X217" i="2"/>
  <c r="Z217" i="2"/>
  <c r="X209" i="2"/>
  <c r="X107" i="2"/>
  <c r="Z107" i="2"/>
  <c r="X197" i="2"/>
  <c r="Z197" i="2"/>
  <c r="Z164" i="2"/>
  <c r="X172" i="2"/>
  <c r="Z172" i="2"/>
  <c r="X76" i="2"/>
  <c r="Z76" i="2"/>
  <c r="U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<sst xmlns="http://schemas.openxmlformats.org/spreadsheetml/2006/main" count="4135" uniqueCount="401">
  <si>
    <t>StartDate</t>
  </si>
  <si>
    <t>EndDate</t>
  </si>
  <si>
    <t>PayerName</t>
  </si>
  <si>
    <t>PlanName</t>
  </si>
  <si>
    <t>CampusName</t>
  </si>
  <si>
    <t>LevelOfCareName</t>
  </si>
  <si>
    <t>BuildingName</t>
  </si>
  <si>
    <t>BudgetPlanDays</t>
  </si>
  <si>
    <t>PRIVATE PAY</t>
  </si>
  <si>
    <t>PPM IL</t>
  </si>
  <si>
    <t>ASBURY METHODIST VILLAGE</t>
  </si>
  <si>
    <t>AMV INDEPENDENT LIVING</t>
  </si>
  <si>
    <t>VILLAS</t>
  </si>
  <si>
    <t>COURTYARD HOMES</t>
  </si>
  <si>
    <t>TROTT APARTMENTS</t>
  </si>
  <si>
    <t>DIAMOND APARTMENTS</t>
  </si>
  <si>
    <t>WALLACE APARTMENTS</t>
  </si>
  <si>
    <t>PARK VIEW APARTMENTS</t>
  </si>
  <si>
    <t>EDWARDS-FISHER APARTMENTS</t>
  </si>
  <si>
    <t>MUND APARTMENTS</t>
  </si>
  <si>
    <t>PPM AL</t>
  </si>
  <si>
    <t>AMV ASSISTED LIVING</t>
  </si>
  <si>
    <t>KINDLEY</t>
  </si>
  <si>
    <t>Hospice</t>
  </si>
  <si>
    <t>Hospice - Private Pay</t>
  </si>
  <si>
    <t>SKILLED NURSING</t>
  </si>
  <si>
    <t>AMV - WILSON HEALTH CARE CENTER</t>
  </si>
  <si>
    <t>ASBURY SOLOMONS</t>
  </si>
  <si>
    <t>AS INDEPENDENT LIVING</t>
  </si>
  <si>
    <t>IL COTTAGES</t>
  </si>
  <si>
    <t>IL NORTH APARTMENTS</t>
  </si>
  <si>
    <t>IL SOUTH APARTMENTS</t>
  </si>
  <si>
    <t>AS ASSISTED LIVING</t>
  </si>
  <si>
    <t>ASSISTED LIVING</t>
  </si>
  <si>
    <t>MEDICAREA/MC HMO</t>
  </si>
  <si>
    <t>MEDICARE A HIGHMARK</t>
  </si>
  <si>
    <t>ASBURY SOLOMONS SKILLED NURSING</t>
  </si>
  <si>
    <t>MEDICAID</t>
  </si>
  <si>
    <t>MARYLAND MEDICAID</t>
  </si>
  <si>
    <t>SPRINGHILL</t>
  </si>
  <si>
    <t>SPH INDEPENDENT LIVING</t>
  </si>
  <si>
    <t>SPH RL GH</t>
  </si>
  <si>
    <t>SPH Personal Care</t>
  </si>
  <si>
    <t>SPH PC APTS</t>
  </si>
  <si>
    <t>Forest View</t>
  </si>
  <si>
    <t>Medicare Advantage</t>
  </si>
  <si>
    <t>Med Adv HMO A</t>
  </si>
  <si>
    <t>PA MEDICAID</t>
  </si>
  <si>
    <t>SPH RL APTS</t>
  </si>
  <si>
    <t>BETHANY VILLAGE</t>
  </si>
  <si>
    <t>BV INDEPENDENT LIVING</t>
  </si>
  <si>
    <t>COTTAGE EAST</t>
  </si>
  <si>
    <t>COTTAGE WEST</t>
  </si>
  <si>
    <t>CENTER APARTMENTS</t>
  </si>
  <si>
    <t>COURT APARTMENTS</t>
  </si>
  <si>
    <t>WEST APARTMENTS</t>
  </si>
  <si>
    <t>BV ASSISTED LIVING</t>
  </si>
  <si>
    <t>MAPLEWOOD</t>
  </si>
  <si>
    <t>BETHANY VILLAGE - THE OAKS</t>
  </si>
  <si>
    <t>Riverwoods</t>
  </si>
  <si>
    <t>RIVERWOODS INDEPENDENT LIVING</t>
  </si>
  <si>
    <t>GC</t>
  </si>
  <si>
    <t>RC APT</t>
  </si>
  <si>
    <t>RIVERWOODS ASSISTED LIVING</t>
  </si>
  <si>
    <t>RW PC</t>
  </si>
  <si>
    <t>RIVERWOODS SKILLED NURSING FACILITY</t>
  </si>
  <si>
    <t>MANAGED CARE</t>
  </si>
  <si>
    <t>MGCARE LEVEL OF CARE</t>
  </si>
  <si>
    <t>Normandie Ridge</t>
  </si>
  <si>
    <t>NORMANDIE RIDGE IL</t>
  </si>
  <si>
    <t>Garden Cottages</t>
  </si>
  <si>
    <t>MANCHESTER APTS</t>
  </si>
  <si>
    <t>NORMANDIE RIDGE AL</t>
  </si>
  <si>
    <t>NR PC</t>
  </si>
  <si>
    <t>NORMANDIE RIDGE SNF</t>
  </si>
  <si>
    <t>Asbury Place Maryville</t>
  </si>
  <si>
    <t>Asbury Place At Maryville Independent Living</t>
  </si>
  <si>
    <t>IL Cottages</t>
  </si>
  <si>
    <t>Tremont</t>
  </si>
  <si>
    <t>Appalachian</t>
  </si>
  <si>
    <t>Tellico</t>
  </si>
  <si>
    <t>Asbury Place At Maryville Assisted Living</t>
  </si>
  <si>
    <t>AL Asbury Place Maryville</t>
  </si>
  <si>
    <t>Alpine</t>
  </si>
  <si>
    <t>Beech</t>
  </si>
  <si>
    <t>MedicareA/MC HMO</t>
  </si>
  <si>
    <t>Medicare A Highmark</t>
  </si>
  <si>
    <t>Skilled Nursing</t>
  </si>
  <si>
    <t>SNF APM</t>
  </si>
  <si>
    <t>Medicaid</t>
  </si>
  <si>
    <t>Medicaid Americhoice L1 &amp; L2</t>
  </si>
  <si>
    <t>Private Pay</t>
  </si>
  <si>
    <t>SNF APM HOUSEHOLD CHESTNUT</t>
  </si>
  <si>
    <t>Asbury Place Kingsport</t>
  </si>
  <si>
    <t>IL Asbury Place Baysmont</t>
  </si>
  <si>
    <t>Independent Living Villas at AP Kingsport Baysmont</t>
  </si>
  <si>
    <t>Independent Living</t>
  </si>
  <si>
    <t>Independent Living Asbury Place Steadman</t>
  </si>
  <si>
    <t>AL Asbury Place Steadman</t>
  </si>
  <si>
    <t>Assisted Living Asbury Place Steadman</t>
  </si>
  <si>
    <t>Household</t>
  </si>
  <si>
    <t>Independent Living Asbury Place Kingsport Baysmont</t>
  </si>
  <si>
    <t>Skilled Nursing Asbury Kingsport Baysmont</t>
  </si>
  <si>
    <t>2ND PERSON FEE</t>
  </si>
  <si>
    <t>HIwassee</t>
  </si>
  <si>
    <t>Riverwoods Independent Living</t>
  </si>
  <si>
    <t>Chandler Estates</t>
  </si>
  <si>
    <t>CE Assisted Living</t>
  </si>
  <si>
    <t>CE PC Units</t>
  </si>
  <si>
    <t>CE Independent Living</t>
  </si>
  <si>
    <t>Cottage Units</t>
  </si>
  <si>
    <t>Garden Units</t>
  </si>
  <si>
    <t>Jan</t>
  </si>
  <si>
    <t>Feb</t>
  </si>
  <si>
    <t>March</t>
  </si>
  <si>
    <t>April</t>
  </si>
  <si>
    <t>May</t>
  </si>
  <si>
    <t>June</t>
  </si>
  <si>
    <t>July</t>
  </si>
  <si>
    <t>August</t>
  </si>
  <si>
    <t>Sept</t>
  </si>
  <si>
    <t>Oct</t>
  </si>
  <si>
    <t>Nov</t>
  </si>
  <si>
    <t>Dec</t>
  </si>
  <si>
    <t>Assumptions File</t>
  </si>
  <si>
    <t>Variance</t>
  </si>
  <si>
    <t>Total IL</t>
  </si>
  <si>
    <t>AL</t>
  </si>
  <si>
    <t>Med A</t>
  </si>
  <si>
    <t>Insurance</t>
  </si>
  <si>
    <t>Private</t>
  </si>
  <si>
    <t>VALIDATION TO ASSUMPTIONS</t>
  </si>
  <si>
    <t>Recalculation</t>
  </si>
  <si>
    <t>Medicare A</t>
  </si>
  <si>
    <t>Existing</t>
  </si>
  <si>
    <t>Meidcare Advantage</t>
  </si>
  <si>
    <t>IL Cottage</t>
  </si>
  <si>
    <t>IL Garden</t>
  </si>
  <si>
    <t>No separate memory care</t>
  </si>
  <si>
    <t>validated ties to assumptions</t>
  </si>
  <si>
    <t>Validated against Adaptive CCRC Unit Info Sheet</t>
  </si>
  <si>
    <t>Break out Hiwassee which has 12 units. Should be 11.52 at each</t>
  </si>
  <si>
    <t>This includes 2 Hospice payers - can this be broken out to a separate payer?</t>
  </si>
  <si>
    <t>NEW LINE</t>
  </si>
  <si>
    <t>EAST APARTMENTS</t>
  </si>
  <si>
    <t>SKILLED NURSING - Household</t>
  </si>
  <si>
    <t>84221d58-7537-44f4-90dc-604bd307e526</t>
  </si>
  <si>
    <t>Jan-2024-Budget 2024</t>
  </si>
  <si>
    <t>Feb-2024-Budget 2024</t>
  </si>
  <si>
    <t>Mar-2024-Budget 2024</t>
  </si>
  <si>
    <t>Apr-2024-Budget 2024</t>
  </si>
  <si>
    <t>May-2024-Budget 2024</t>
  </si>
  <si>
    <t>Jun-2024-Budget 2024</t>
  </si>
  <si>
    <t>Jul-2024-Budget 2024</t>
  </si>
  <si>
    <t>Aug-2024-Budget 2024</t>
  </si>
  <si>
    <t>Sep-2024-Budget 2024</t>
  </si>
  <si>
    <t>Oct-2024-Budget 2024</t>
  </si>
  <si>
    <t>Nov-2024-Budget 2024</t>
  </si>
  <si>
    <t>Dec-2024-Budget 2024</t>
  </si>
  <si>
    <t>Office Connect Data</t>
  </si>
  <si>
    <t>Formula</t>
  </si>
  <si>
    <t>LUT</t>
  </si>
  <si>
    <t>Top Level (Consolidated)-Days in Month</t>
  </si>
  <si>
    <t>Year</t>
  </si>
  <si>
    <t>Month</t>
  </si>
  <si>
    <t>Month #</t>
  </si>
  <si>
    <t>Date Format</t>
  </si>
  <si>
    <t>Adaptive</t>
  </si>
  <si>
    <t>Jan-2022-Budget 2022</t>
  </si>
  <si>
    <t>Feb-2022-Budget 2022</t>
  </si>
  <si>
    <t>Mar-2022-Budget 2022</t>
  </si>
  <si>
    <t>Mar</t>
  </si>
  <si>
    <t>Apr-2022-Budget 2022</t>
  </si>
  <si>
    <t>Apr</t>
  </si>
  <si>
    <t>May-2022-Budget 2022</t>
  </si>
  <si>
    <t>Jun-2022-Budget 2022</t>
  </si>
  <si>
    <t>Jun</t>
  </si>
  <si>
    <t>Jul-2022-Budget 2022</t>
  </si>
  <si>
    <t>Jul</t>
  </si>
  <si>
    <t>Aug-2022-Budget 2022</t>
  </si>
  <si>
    <t>Aug</t>
  </si>
  <si>
    <t>Sep-2022-Budget 2022</t>
  </si>
  <si>
    <t>Sep</t>
  </si>
  <si>
    <t>Oct-2022-Budget 2022</t>
  </si>
  <si>
    <t>Nov-2022-Budget 2022</t>
  </si>
  <si>
    <t>Dec-2022-Budget 2022</t>
  </si>
  <si>
    <t>Jan-2023-Budget 2023</t>
  </si>
  <si>
    <t>Feb-2023-Budget 2023</t>
  </si>
  <si>
    <t>Mar-2023-Budget 2023</t>
  </si>
  <si>
    <t>Apr-2023-Budget 2023</t>
  </si>
  <si>
    <t>May-2023-Budget 2023</t>
  </si>
  <si>
    <t>Jun-2023-Budget 2023</t>
  </si>
  <si>
    <t>Jul-2023-Budget 2023</t>
  </si>
  <si>
    <t>Aug-2023-Budget 2023</t>
  </si>
  <si>
    <t>Sep-2023-Budget 2023</t>
  </si>
  <si>
    <t>Oct-2023-Budget 2023</t>
  </si>
  <si>
    <t>Nov-2023-Budget 2023</t>
  </si>
  <si>
    <t>Dec-2023-Budget 2023</t>
  </si>
  <si>
    <t>53db68a9-4703-4f32-b1c0-58314592b1f6</t>
  </si>
  <si>
    <t>100-61 Skilled Nursing Facility</t>
  </si>
  <si>
    <t>Rev_Asm_SNF_Payer_Mix.SNF_Ancillary_Medicare_A</t>
  </si>
  <si>
    <t>Rev_Asm_SNF_Payer_Mix.SNF_Ancillary_Medicare_Adv</t>
  </si>
  <si>
    <t>Rev_Asm_SNF_Payer_Mix.SNF_Ancillary_Medicaid</t>
  </si>
  <si>
    <t>Rev_Asm_SNF_Payer_Mix.SNF_Ancillary_Insurance</t>
  </si>
  <si>
    <t>Rev_Asm_SNF_Payer_Mix.SNF_Ancillary_Private_Pay</t>
  </si>
  <si>
    <t>Rev_Asm_SNF_Payer_Mix.SNF_Ancillary_Hospice</t>
  </si>
  <si>
    <t>Top Level (Consolidated)</t>
  </si>
  <si>
    <t>100-62 Skilled Nursing - TCU</t>
  </si>
  <si>
    <t>200-61 Skilled Nursing Facility</t>
  </si>
  <si>
    <t>324-61 Skilled Nursing Facility</t>
  </si>
  <si>
    <t>810-61 Skilled Nursing Facility</t>
  </si>
  <si>
    <t>835-61 Skilled Nursing Facility</t>
  </si>
  <si>
    <t>840-61 Skilled Nursing Facility</t>
  </si>
  <si>
    <t>27bafa95-35d5-46f4-a19f-bec473f489f7</t>
  </si>
  <si>
    <t>Forecasted Resident Days</t>
  </si>
  <si>
    <t>Asbury (Consolidated)</t>
  </si>
  <si>
    <t>Albright (Consolidated)</t>
  </si>
  <si>
    <t>MFA McFarlin (Consolidated)</t>
  </si>
  <si>
    <t>Asbury</t>
  </si>
  <si>
    <t>100 Asbury Methodist Village</t>
  </si>
  <si>
    <t>200 Asbury Solomons</t>
  </si>
  <si>
    <t>324 Springhill</t>
  </si>
  <si>
    <t>350 Grace Park</t>
  </si>
  <si>
    <t>360 Ivy Gables</t>
  </si>
  <si>
    <t>650 Asbury Place Maryville</t>
  </si>
  <si>
    <t>660 Asbury Place Kingsport</t>
  </si>
  <si>
    <t>810 Bethany Village</t>
  </si>
  <si>
    <t>925 Chandler Estate</t>
  </si>
  <si>
    <t>925-21 Villas/Cottages</t>
  </si>
  <si>
    <t>925-31 Apartment A (AMV=Trott, BV=Center, All others)</t>
  </si>
  <si>
    <t>925-51 AL/PCA A</t>
  </si>
  <si>
    <t>810-21 Villas/Cottages</t>
  </si>
  <si>
    <t>810-22 Villas/Cottages B (AMV=Courtyard Homes, BV=BV West, APKS=Patio Homes)</t>
  </si>
  <si>
    <t>810-31 Apartment A (AMV=Trott, BV=Center, All others)</t>
  </si>
  <si>
    <t>810-32 Apartment B (AMV=Diamond, BV=Court)</t>
  </si>
  <si>
    <t>810-33 Apartment C (AMV=419 Wallace, BV=BVWest)</t>
  </si>
  <si>
    <t>810-51 AL/PC A</t>
  </si>
  <si>
    <t>360-51 AL/PC A</t>
  </si>
  <si>
    <t>360-52 AL B/APM Memory Support</t>
  </si>
  <si>
    <t>350-21 Villas/Cottages</t>
  </si>
  <si>
    <t>350-51 AL/PC A</t>
  </si>
  <si>
    <t>350-52 AL B/APM Memory Support</t>
  </si>
  <si>
    <t>324-21 Villas/Cottages</t>
  </si>
  <si>
    <t>324-31 Apartment A (AMV=Trott, BV=Center, All others)</t>
  </si>
  <si>
    <t>324-51 AL/PC A</t>
  </si>
  <si>
    <t>200-21 Villas/Cottages</t>
  </si>
  <si>
    <t>200-31 Apartment A (AMV=Trott, BV=Center, AS=North Apts.)</t>
  </si>
  <si>
    <t>200-32 Apartment B (AS=South Apts.)</t>
  </si>
  <si>
    <t>200-51 AL/PC A</t>
  </si>
  <si>
    <t>100-21 Villas/Cottages</t>
  </si>
  <si>
    <t>100-22 Villas/Cottages B (AMV=Courtyard Homes, BV=BV West, APKS=Patio Homes)</t>
  </si>
  <si>
    <t>100-31 Apartment A (AMV=Trott, BV=Center, All others)</t>
  </si>
  <si>
    <t>100-32 Apartment B (AMV=Diamond, BV=Court)</t>
  </si>
  <si>
    <t>100-33 Apartment C (AMV=419 Wallace, BV=BVWest)</t>
  </si>
  <si>
    <t>100-34 Apartment D (AMV=ParkView)</t>
  </si>
  <si>
    <t>100-35 Apartment E (AMV=Edwards Fisher)</t>
  </si>
  <si>
    <t>100-36 Apartment F (AMV=Mund)</t>
  </si>
  <si>
    <t>100-51 AL/PC A</t>
  </si>
  <si>
    <t>Albright</t>
  </si>
  <si>
    <t>835 Riverwoods</t>
  </si>
  <si>
    <t>840 Normandie Ridge</t>
  </si>
  <si>
    <t>835-21 Villas/Cottages</t>
  </si>
  <si>
    <t>835-31 Apartment A (AMV=Trott, BV=Center, RW=Ridgecrest Court, NR= Manchester, All others)</t>
  </si>
  <si>
    <t>835-51 AL/PC A (AMV=333,  RW= Riverwood Manor, All others)</t>
  </si>
  <si>
    <t>840-21 Villas/Cottages</t>
  </si>
  <si>
    <t>840-31 Apartment A (AMV=Trott, BV=Center, RW=Ridgecrest Court, NR=Manchester, All others)</t>
  </si>
  <si>
    <t>840-51 AL/PC A (AMV=333,  RW= Riverwood Manor, All others)</t>
  </si>
  <si>
    <t>840-52 AL/PC B (AL/PC B, NR=Dementia Care)</t>
  </si>
  <si>
    <t>620 MFA Maryville Opco, LLC</t>
  </si>
  <si>
    <t>630 MFA Baysmont Opco, LLC</t>
  </si>
  <si>
    <t>635 MFA Steadman Opco, LLC</t>
  </si>
  <si>
    <t>620-21 Villas/Cottages</t>
  </si>
  <si>
    <t>620-31 Apartment A (AMV=Trott, BV=Center, All others)</t>
  </si>
  <si>
    <t>620-51 AL/PC A</t>
  </si>
  <si>
    <t>620-52 AL B/APM Memory Support</t>
  </si>
  <si>
    <t>630-21 Villas/Cottages</t>
  </si>
  <si>
    <t>630-22 Villas/Cottages B (AMV=Courtyard Homes, BV=BV West, APKS=Patio Homes)</t>
  </si>
  <si>
    <t>630-31 Apartment A (AMV=Trott, BV=Center, All others)</t>
  </si>
  <si>
    <t>635-52 AL B/APM Memory Support</t>
  </si>
  <si>
    <t>OC Level</t>
  </si>
  <si>
    <t>Skilled Nursing Facility</t>
  </si>
  <si>
    <t>Assisted Living (Memory Care)</t>
  </si>
  <si>
    <t>OC SNF Payer Mix</t>
  </si>
  <si>
    <t>exclude for now - allocate to McFarlin entities?</t>
  </si>
  <si>
    <t>840-51/52</t>
  </si>
  <si>
    <t>non-SNF</t>
  </si>
  <si>
    <t>Notes1</t>
  </si>
  <si>
    <t>Notes2</t>
  </si>
  <si>
    <t>Days in Month</t>
  </si>
  <si>
    <t>SNF Anc Days</t>
  </si>
  <si>
    <t>Res Days</t>
  </si>
  <si>
    <t>Delta</t>
  </si>
  <si>
    <t>Delta %</t>
  </si>
  <si>
    <t>Check SNF Facilities - SNF Ancillary Days (SNF Pmix Cube) vs Resident Days (Occ FC Cube)</t>
  </si>
  <si>
    <t>Forecasted Census (Entry)</t>
  </si>
  <si>
    <t>Check</t>
  </si>
  <si>
    <t>Ent</t>
  </si>
  <si>
    <t>Fac</t>
  </si>
  <si>
    <t>EntityCode</t>
  </si>
  <si>
    <t>FacilityCode</t>
  </si>
  <si>
    <t>FullOrgDesc</t>
  </si>
  <si>
    <t>BudgetAvailablePerDay</t>
  </si>
  <si>
    <t>BudgetResidentDaysPerDay</t>
  </si>
  <si>
    <t>AComm\AComm LTC\MD\AMV\IL AMV\Villas</t>
  </si>
  <si>
    <t>AComm\AComm LTC\MD\AMV\IL AMV\CH</t>
  </si>
  <si>
    <t>AComm\AComm LTC\MD\AMV\IL AMV\Trott Apt</t>
  </si>
  <si>
    <t>AComm\AComm LTC\MD\AMV\IL AMV\DM Apt</t>
  </si>
  <si>
    <t>AComm\AComm LTC\MD\AMV\IL AMV\Wallace Apt</t>
  </si>
  <si>
    <t>AComm\AComm LTC\MD\AMV\IL AMV\PV Apt</t>
  </si>
  <si>
    <t>AComm\AComm LTC\MD\AMV\IL AMV\EF Apt</t>
  </si>
  <si>
    <t>AComm\AComm LTC\MD\AMV\IL AMV\Mund Apt</t>
  </si>
  <si>
    <t>AComm\AComm LTC\MD\AMV\AL AMV\Kindley</t>
  </si>
  <si>
    <t>AComm\AComm LTC\MD\AS\IL AS\IL Cottages</t>
  </si>
  <si>
    <t>AComm\AComm LTC\MD\AS\IL AS\IL North Apt</t>
  </si>
  <si>
    <t>AComm\AComm LTC\MD\AS\IL AS\IL South Apt</t>
  </si>
  <si>
    <t>AComm\AComm LTC\MD\AS\AL AS\AL</t>
  </si>
  <si>
    <t>AComm\AComm LTC\PA\SPH\IL SPH\SPH RL GH</t>
  </si>
  <si>
    <t>AComm\AComm LTC\PA\SPH\IL SPH\SPH RL Apts</t>
  </si>
  <si>
    <t>AComm\AComm LTC\PA\SPH\AL SPH\SPH PC Apts</t>
  </si>
  <si>
    <t>AComm\AComm LTC\PA\BV\IL BV\Cottage East</t>
  </si>
  <si>
    <t>AComm\AComm LTC\PA\BV\IL BV\Cottage West</t>
  </si>
  <si>
    <t>AComm\AComm LTC\PA\BV\IL BV\Center Apartments</t>
  </si>
  <si>
    <t>AComm\AComm LTC\PA\BV\IL BV\Court Apartments</t>
  </si>
  <si>
    <t>AComm\AComm LTC\PA\BV\IL BV\West Apartments</t>
  </si>
  <si>
    <t>AComm\AComm LTC\PA\BV\AL BV\Maplewood</t>
  </si>
  <si>
    <t>AComm\TAG Services\PA\CE\IL CE\Cottage Units</t>
  </si>
  <si>
    <t>AComm\TAG Services\PA\CE\IL CE\Garden Units</t>
  </si>
  <si>
    <t>AComm\TAG Services\PA\CE\AL CE\CE PC Units</t>
  </si>
  <si>
    <t>AComm\AComm LTC\PA\RW\IL RW\GC</t>
  </si>
  <si>
    <t>AComm\AComm LTC\PA\RW\IL RW\RC APT</t>
  </si>
  <si>
    <t>AComm\AComm LTC\PA\RW\AL RW\RW PC</t>
  </si>
  <si>
    <t>AComm\AComm LTC\PA\NR\IL NR\Garden Cottages</t>
  </si>
  <si>
    <t>AComm\AComm LTC\PA\NR\IL NR\Manchester Apts</t>
  </si>
  <si>
    <t>AComm\AComm LTC\PA\NR\AL NR\NR PC</t>
  </si>
  <si>
    <t>Copy/Paste from 2024 CCRC Budget Occupancy.xlsx &gt; 2024 Load tab &gt; Filtered to exclude facilities 61 and 62</t>
  </si>
  <si>
    <t>Ent-Fac</t>
  </si>
  <si>
    <t>APM/APK - Excluded for now</t>
  </si>
  <si>
    <t>Qlik Load</t>
  </si>
  <si>
    <t>f(x)</t>
  </si>
  <si>
    <t>notes</t>
  </si>
  <si>
    <t>combine 51 and 52</t>
  </si>
  <si>
    <t>Grace Park</t>
  </si>
  <si>
    <t>Ivy Gables</t>
  </si>
  <si>
    <t>GP Assisted Living</t>
  </si>
  <si>
    <t>GP Independent Living</t>
  </si>
  <si>
    <t>IG Assisted Living</t>
  </si>
  <si>
    <t>GP PC</t>
  </si>
  <si>
    <t>IG PC</t>
  </si>
  <si>
    <t>GP Cottages</t>
  </si>
  <si>
    <t>Census</t>
  </si>
  <si>
    <t>Processing</t>
  </si>
  <si>
    <t>Include?</t>
  </si>
  <si>
    <t>Census -Start Date</t>
  </si>
  <si>
    <t>Census - End Date</t>
  </si>
  <si>
    <t>Start REF</t>
  </si>
  <si>
    <t>End REF</t>
  </si>
  <si>
    <t>Start Date Row Counts</t>
  </si>
  <si>
    <t>End Date Row Counts</t>
  </si>
  <si>
    <t>Conc</t>
  </si>
  <si>
    <t>Added SNF Payer Mix Combos</t>
  </si>
  <si>
    <t>Row Counts</t>
  </si>
  <si>
    <t>Should be</t>
  </si>
  <si>
    <t>Is</t>
  </si>
  <si>
    <t># Ent-Fac-PMix</t>
  </si>
  <si>
    <t>PMix</t>
  </si>
  <si>
    <t>Ent-Fac-PMix</t>
  </si>
  <si>
    <t>Entity</t>
  </si>
  <si>
    <t>Jan-2025-Budget 2025</t>
  </si>
  <si>
    <t>Feb-2025-Budget 2025</t>
  </si>
  <si>
    <t>Mar-2025-Budget 2025</t>
  </si>
  <si>
    <t>Apr-2025-Budget 2025</t>
  </si>
  <si>
    <t>May-2025-Budget 2025</t>
  </si>
  <si>
    <t>Jun-2025-Budget 2025</t>
  </si>
  <si>
    <t>Jul-2025-Budget 2025</t>
  </si>
  <si>
    <t>Aug-2025-Budget 2025</t>
  </si>
  <si>
    <t>Sep-2025-Budget 2025</t>
  </si>
  <si>
    <t>Oct-2025-Budget 2025</t>
  </si>
  <si>
    <t>Nov-2025-Budget 2025</t>
  </si>
  <si>
    <t>Dec-2025-Budget 2025</t>
  </si>
  <si>
    <t>Budget 2025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</si>
  <si>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</si>
  <si>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</si>
  <si>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</si>
  <si>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</si>
  <si>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</si>
  <si>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</si>
  <si>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</si>
  <si>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</si>
  <si>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</si>
  <si>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</si>
  <si>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</si>
  <si>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</si>
  <si>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AComm\AComm LTC\MD\AMV\SNF AMV</t>
  </si>
  <si>
    <t>AComm\AComm LTC\MD\AMV\SNF AMV H</t>
  </si>
  <si>
    <t>AComm\AComm LTC\MD\AS\SNF AS</t>
  </si>
  <si>
    <t>AComm\AComm LTC\PA\SPH\SNF SPH</t>
  </si>
  <si>
    <t>AComm\AComm LTC\PA\BV\SNF BV</t>
  </si>
  <si>
    <t>AComm\AComm LTC\PA\RW\SNF RW</t>
  </si>
  <si>
    <t>AComm\AComm LTC\PA\GP\AL GP\GP PC</t>
  </si>
  <si>
    <t>AComm\AComm LTC\DE\IG\AL IG\IG AL</t>
  </si>
  <si>
    <t>AComm\AComm LTC\PA\GP\IL GP\GP Cottage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</si>
</sst>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mmm\-yy;@"/>
    <numFmt numFmtId="167" formatCode="_(* #,##0.0_);_(* \(#,##0.0\);_(* &quot;-&quot;?_);_(@_)"/>
    <numFmt numFmtId="168" formatCode="_(* #,##0.00000_);_(* \(#,##0.000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4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0070C0"/>
      <name val="Calibri"/>
      <family val="2"/>
      <scheme val="minor"/>
    </font>
    <font>
      <i/>
      <sz val="11"/>
      <color rgb="FFC0000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/>
    <xf numFmtId="0" fontId="23" fillId="0" borderId="0"/>
    <xf numFmtId="9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3" fillId="0" borderId="0"/>
    <xf numFmtId="9" fontId="23" fillId="0" borderId="0" applyFont="0" applyFill="0" applyBorder="0" applyAlignment="0" applyProtection="0"/>
  </cellStyleXfs>
  <cellXfs count="109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43" fontId="0" fillId="0" borderId="0" xfId="42" applyFont="1"/>
    <xf numFmtId="165" fontId="0" fillId="0" borderId="0" xfId="42" applyNumberFormat="1" applyFont="1"/>
    <xf numFmtId="165" fontId="0" fillId="0" borderId="0" xfId="0" applyNumberFormat="1"/>
    <xf numFmtId="43" fontId="0" fillId="0" borderId="0" xfId="0" applyNumberFormat="1"/>
    <xf numFmtId="0" fontId="14" fillId="0" borderId="0" xfId="0" applyFont="1"/>
    <xf numFmtId="0" fontId="18" fillId="0" borderId="0" xfId="0" applyFont="1"/>
    <xf numFmtId="164" fontId="0" fillId="0" borderId="0" xfId="0" applyNumberFormat="1"/>
    <xf numFmtId="0" fontId="0" fillId="33" borderId="0" xfId="0" applyFill="1"/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0" xfId="0" applyFont="1"/>
    <xf numFmtId="43" fontId="0" fillId="33" borderId="0" xfId="0" applyNumberFormat="1" applyFill="1"/>
    <xf numFmtId="43" fontId="14" fillId="0" borderId="0" xfId="0" applyNumberFormat="1" applyFont="1"/>
    <xf numFmtId="14" fontId="0" fillId="35" borderId="0" xfId="0" applyNumberFormat="1" applyFill="1"/>
    <xf numFmtId="0" fontId="0" fillId="35" borderId="0" xfId="0" applyFill="1"/>
    <xf numFmtId="165" fontId="0" fillId="35" borderId="0" xfId="42" applyNumberFormat="1" applyFont="1" applyFill="1"/>
    <xf numFmtId="165" fontId="0" fillId="35" borderId="0" xfId="0" applyNumberFormat="1" applyFill="1"/>
    <xf numFmtId="43" fontId="0" fillId="35" borderId="0" xfId="0" applyNumberFormat="1" applyFill="1"/>
    <xf numFmtId="165" fontId="0" fillId="0" borderId="0" xfId="42" applyNumberFormat="1" applyFont="1" applyFill="1"/>
    <xf numFmtId="43" fontId="21" fillId="0" borderId="0" xfId="0" applyNumberFormat="1" applyFont="1"/>
    <xf numFmtId="0" fontId="19" fillId="0" borderId="0" xfId="0" applyFont="1" applyAlignment="1">
      <alignment horizontal="center"/>
    </xf>
    <xf numFmtId="0" fontId="22" fillId="0" borderId="0" xfId="0" applyFont="1"/>
    <xf numFmtId="43" fontId="0" fillId="36" borderId="0" xfId="0" applyNumberFormat="1" applyFill="1"/>
    <xf numFmtId="0" fontId="0" fillId="36" borderId="0" xfId="0" applyFill="1"/>
    <xf numFmtId="43" fontId="0" fillId="33" borderId="0" xfId="42" applyFont="1" applyFill="1"/>
    <xf numFmtId="0" fontId="0" fillId="37" borderId="0" xfId="0" applyFill="1"/>
    <xf numFmtId="14" fontId="0" fillId="37" borderId="0" xfId="0" applyNumberFormat="1" applyFill="1"/>
    <xf numFmtId="0" fontId="21" fillId="0" borderId="0" xfId="0" applyFont="1"/>
    <xf numFmtId="43" fontId="21" fillId="0" borderId="0" xfId="42" applyFont="1"/>
    <xf numFmtId="14" fontId="0" fillId="38" borderId="0" xfId="0" applyNumberFormat="1" applyFill="1"/>
    <xf numFmtId="0" fontId="0" fillId="38" borderId="0" xfId="0" applyFill="1"/>
    <xf numFmtId="0" fontId="0" fillId="38" borderId="0" xfId="0" applyFill="1" applyAlignment="1">
      <alignment horizontal="center"/>
    </xf>
    <xf numFmtId="0" fontId="14" fillId="38" borderId="0" xfId="0" applyFont="1" applyFill="1"/>
    <xf numFmtId="14" fontId="0" fillId="39" borderId="0" xfId="0" applyNumberFormat="1" applyFill="1"/>
    <xf numFmtId="0" fontId="0" fillId="39" borderId="0" xfId="0" applyFill="1"/>
    <xf numFmtId="165" fontId="0" fillId="39" borderId="0" xfId="42" applyNumberFormat="1" applyFont="1" applyFill="1"/>
    <xf numFmtId="165" fontId="0" fillId="39" borderId="0" xfId="0" applyNumberFormat="1" applyFill="1"/>
    <xf numFmtId="43" fontId="0" fillId="39" borderId="0" xfId="0" applyNumberFormat="1" applyFill="1"/>
    <xf numFmtId="0" fontId="0" fillId="40" borderId="0" xfId="0" applyFill="1"/>
    <xf numFmtId="0" fontId="0" fillId="0" borderId="0" xfId="0" quotePrefix="1"/>
    <xf numFmtId="0" fontId="24" fillId="38" borderId="11" xfId="43" applyFont="1" applyFill="1" applyBorder="1"/>
    <xf numFmtId="0" fontId="23" fillId="38" borderId="12" xfId="43" applyFill="1" applyBorder="1"/>
    <xf numFmtId="0" fontId="24" fillId="41" borderId="0" xfId="43" applyFont="1" applyFill="1"/>
    <xf numFmtId="0" fontId="23" fillId="41" borderId="0" xfId="43" applyFill="1"/>
    <xf numFmtId="0" fontId="23" fillId="0" borderId="0" xfId="43"/>
    <xf numFmtId="0" fontId="24" fillId="42" borderId="0" xfId="43" applyFont="1" applyFill="1"/>
    <xf numFmtId="0" fontId="23" fillId="42" borderId="0" xfId="43" applyFill="1"/>
    <xf numFmtId="0" fontId="23" fillId="0" borderId="13" xfId="43" applyBorder="1"/>
    <xf numFmtId="0" fontId="23" fillId="0" borderId="14" xfId="43" applyBorder="1" applyAlignment="1">
      <alignment horizontal="center" vertical="center" wrapText="1"/>
    </xf>
    <xf numFmtId="0" fontId="23" fillId="0" borderId="0" xfId="43" applyAlignment="1">
      <alignment horizontal="center" vertical="center" wrapText="1"/>
    </xf>
    <xf numFmtId="0" fontId="23" fillId="0" borderId="13" xfId="43" applyBorder="1" applyAlignment="1">
      <alignment horizontal="left" indent="1"/>
    </xf>
    <xf numFmtId="0" fontId="23" fillId="0" borderId="14" xfId="43" applyBorder="1"/>
    <xf numFmtId="166" fontId="23" fillId="0" borderId="0" xfId="43" applyNumberFormat="1"/>
    <xf numFmtId="0" fontId="23" fillId="0" borderId="15" xfId="43" applyBorder="1" applyAlignment="1">
      <alignment horizontal="left" indent="1"/>
    </xf>
    <xf numFmtId="0" fontId="23" fillId="0" borderId="16" xfId="43" applyBorder="1"/>
    <xf numFmtId="0" fontId="0" fillId="43" borderId="0" xfId="0" quotePrefix="1" applyFill="1"/>
    <xf numFmtId="0" fontId="0" fillId="44" borderId="0" xfId="0" quotePrefix="1" applyFill="1"/>
    <xf numFmtId="0" fontId="0" fillId="0" borderId="0" xfId="0" quotePrefix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164" fontId="0" fillId="0" borderId="0" xfId="42" applyNumberFormat="1" applyFont="1"/>
    <xf numFmtId="0" fontId="0" fillId="0" borderId="0" xfId="0" quotePrefix="1" applyAlignment="1">
      <alignment horizontal="left" indent="4"/>
    </xf>
    <xf numFmtId="0" fontId="0" fillId="0" borderId="0" xfId="0" quotePrefix="1" applyAlignment="1">
      <alignment horizontal="left" indent="3"/>
    </xf>
    <xf numFmtId="0" fontId="0" fillId="0" borderId="0" xfId="0" quotePrefix="1" applyAlignment="1">
      <alignment horizontal="left" indent="2"/>
    </xf>
    <xf numFmtId="0" fontId="0" fillId="0" borderId="0" xfId="0" quotePrefix="1" applyAlignment="1">
      <alignment horizontal="left" indent="1"/>
    </xf>
    <xf numFmtId="0" fontId="16" fillId="0" borderId="0" xfId="0" applyFont="1"/>
    <xf numFmtId="0" fontId="25" fillId="0" borderId="0" xfId="0" applyFont="1"/>
    <xf numFmtId="0" fontId="21" fillId="47" borderId="0" xfId="0" applyFont="1" applyFill="1"/>
    <xf numFmtId="0" fontId="19" fillId="0" borderId="0" xfId="0" applyFont="1" applyAlignment="1">
      <alignment horizontal="center" vertical="center"/>
    </xf>
    <xf numFmtId="0" fontId="21" fillId="48" borderId="0" xfId="0" applyFont="1" applyFill="1"/>
    <xf numFmtId="168" fontId="0" fillId="0" borderId="0" xfId="42" applyNumberFormat="1" applyFont="1"/>
    <xf numFmtId="0" fontId="26" fillId="0" borderId="0" xfId="0" applyFont="1"/>
    <xf numFmtId="167" fontId="0" fillId="0" borderId="0" xfId="0" applyNumberFormat="1"/>
    <xf numFmtId="14" fontId="16" fillId="0" borderId="0" xfId="0" applyNumberFormat="1" applyFont="1"/>
    <xf numFmtId="0" fontId="0" fillId="47" borderId="0" xfId="0" applyFill="1"/>
    <xf numFmtId="0" fontId="19" fillId="49" borderId="0" xfId="0" applyFont="1" applyFill="1"/>
    <xf numFmtId="0" fontId="19" fillId="44" borderId="0" xfId="0" applyFont="1" applyFill="1"/>
    <xf numFmtId="0" fontId="0" fillId="44" borderId="0" xfId="0" applyFill="1"/>
    <xf numFmtId="0" fontId="0" fillId="41" borderId="0" xfId="0" applyFill="1"/>
    <xf numFmtId="0" fontId="0" fillId="0" borderId="0" xfId="42" applyNumberFormat="1" applyFont="1"/>
    <xf numFmtId="0" fontId="19" fillId="38" borderId="0" xfId="0" applyFont="1" applyFill="1"/>
    <xf numFmtId="0" fontId="0" fillId="0" borderId="0" xfId="0" applyAlignment="1">
      <alignment horizontal="center" vertical="center" wrapText="1"/>
    </xf>
    <xf numFmtId="14" fontId="0" fillId="50" borderId="0" xfId="0" applyNumberFormat="1" applyFill="1"/>
    <xf numFmtId="14" fontId="0" fillId="46" borderId="0" xfId="0" applyNumberFormat="1" applyFill="1"/>
    <xf numFmtId="14" fontId="0" fillId="44" borderId="0" xfId="0" applyNumberFormat="1" applyFill="1"/>
    <xf numFmtId="14" fontId="0" fillId="36" borderId="0" xfId="0" applyNumberFormat="1" applyFill="1"/>
    <xf numFmtId="14" fontId="0" fillId="49" borderId="0" xfId="0" applyNumberFormat="1" applyFill="1"/>
    <xf numFmtId="14" fontId="0" fillId="43" borderId="0" xfId="0" applyNumberFormat="1" applyFill="1"/>
    <xf numFmtId="0" fontId="27" fillId="0" borderId="0" xfId="0" applyFont="1"/>
    <xf numFmtId="43" fontId="0" fillId="51" borderId="0" xfId="0" applyNumberFormat="1" applyFill="1"/>
    <xf numFmtId="0" fontId="0" fillId="46" borderId="0" xfId="0" applyFill="1"/>
    <xf numFmtId="0" fontId="0" fillId="52" borderId="0" xfId="0" applyFill="1"/>
    <xf numFmtId="0" fontId="0" fillId="43" borderId="0" xfId="0" applyFill="1"/>
    <xf numFmtId="0" fontId="17" fillId="48" borderId="0" xfId="0" applyFont="1" applyFill="1"/>
    <xf numFmtId="0" fontId="19" fillId="43" borderId="0" xfId="0" applyFont="1" applyFill="1"/>
    <xf numFmtId="0" fontId="19" fillId="41" borderId="0" xfId="0" applyFont="1" applyFill="1"/>
    <xf numFmtId="165" fontId="27" fillId="0" borderId="0" xfId="42" applyNumberFormat="1" applyFont="1"/>
    <xf numFmtId="0" fontId="0" fillId="53" borderId="0" xfId="0" applyFill="1"/>
    <xf numFmtId="14" fontId="0" fillId="47" borderId="0" xfId="0" applyNumberFormat="1" applyFill="1"/>
    <xf numFmtId="14" fontId="0" fillId="45" borderId="0" xfId="0" applyNumberFormat="1" applyFill="1"/>
    <xf numFmtId="14" fontId="0" fillId="33" borderId="0" xfId="0" applyNumberFormat="1" applyFill="1"/>
    <xf numFmtId="0" fontId="20" fillId="33" borderId="10" xfId="0" applyFont="1" applyFill="1" applyBorder="1" applyAlignment="1">
      <alignment horizontal="center"/>
    </xf>
    <xf numFmtId="0" fontId="20" fillId="34" borderId="0" xfId="0" applyFont="1" applyFill="1" applyAlignment="1">
      <alignment horizontal="center"/>
    </xf>
    <xf numFmtId="0" fontId="0" fillId="54" borderId="0" xfId="0" applyFill="1"/>
    <xf numFmtId="0" fontId="0" fillId="49" borderId="0" xfId="0" applyFill="1"/>
  </cellXfs>
  <cellStyles count="50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Comma 2" xfId="46" xr:uid="{93A205F1-2D42-4E43-B83B-3C049D0D24A6}"/>
    <cellStyle name="Currency 2" xfId="47" xr:uid="{C57628C6-A71F-4DCC-935B-70F22824BE80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3" xr:uid="{91712C5F-6DBA-401C-8432-2E139A66BCB9}"/>
    <cellStyle name="Normal 2 2 2" xfId="44" xr:uid="{DBF98A4D-7D2C-44B8-B98D-4AC55FEEE250}"/>
    <cellStyle name="Normal 7" xfId="48" xr:uid="{D5920437-E999-444E-BD33-54C581ABEDEB}"/>
    <cellStyle name="Note" xfId="15" builtinId="10" customBuiltin="1"/>
    <cellStyle name="Output" xfId="10" builtinId="21" customBuiltin="1"/>
    <cellStyle name="Percent 2" xfId="45" xr:uid="{D311EC65-DE73-4798-BD3A-2F2D26064F34}"/>
    <cellStyle name="Percent 2 2 2" xfId="49" xr:uid="{1C9ECF8C-4388-4CC1-BB76-F1CAD0EEF2A9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CC"/>
      <color rgb="FF99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sburyalign-my.sharepoint.com/personal/jmullen_asbury_org/Documents/Desktop/2024%20Budget%20Assumptions%2007242023.xlsx" TargetMode="External"/><Relationship Id="rId1" Type="http://schemas.openxmlformats.org/officeDocument/2006/relationships/externalLinkPath" Target="https://asburyalign-my.sharepoint.com/personal/jmullen_asbury_org/Documents/Desktop/2024%20Budget%20Assumptions%200724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SBURY%20AMERICA\FINANCE\BUDGET%20REPORTS\2024\Budget%20Support\Budget%20Assumptions\2024%20Budget%20Assumptions%20Oct%202023.xlsx" TargetMode="External"/><Relationship Id="rId1" Type="http://schemas.openxmlformats.org/officeDocument/2006/relationships/externalLinkPath" Target="/ASBURY%20AMERICA/FINANCE/BUDGET%20REPORTS/2024/Budget%20Support/Budget%20Assumptions/2024%20Budget%20Assumptions%20Oc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ssfireHiddenWorksheet"/>
      <sheetName val="OfficeConnectCellHighlights"/>
      <sheetName val="Assumptions Summary"/>
      <sheetName val="Edit History"/>
      <sheetName val="AMV"/>
      <sheetName val="AMV Apt Fill (2024)"/>
      <sheetName val="AS"/>
      <sheetName val="SH"/>
      <sheetName val="BV"/>
      <sheetName val="CE"/>
      <sheetName val="RW"/>
      <sheetName val="NR"/>
      <sheetName val="APM"/>
      <sheetName val="APM AL MC (2024)"/>
      <sheetName val="APK"/>
      <sheetName val="APK Apts (2024)"/>
      <sheetName val="APK SNF Fill (2024)"/>
      <sheetName val="Pay Mix "/>
      <sheetName val="Qlik Pay Mix"/>
      <sheetName val="Pennsylvania MA "/>
      <sheetName val="Maryland MA"/>
      <sheetName val="Medicare A (Notes)"/>
      <sheetName val="Adaptive Uploads &gt;&gt;&gt;"/>
      <sheetName val="Rate Increase"/>
      <sheetName val="Census"/>
      <sheetName val="SNF Cube Rate"/>
      <sheetName val="SNF PP Rates"/>
      <sheetName val="SNF Cube %"/>
      <sheetName val="Available Unit"/>
      <sheetName val="HQ"/>
      <sheetName val="Repository"/>
      <sheetName val="OC-Main"/>
      <sheetName val="OC-SNF Rates"/>
      <sheetName val="OC-Summ"/>
      <sheetName val="OC-Raise"/>
      <sheetName val="OC-Days"/>
      <sheetName val="OC-SNF Fill"/>
      <sheetName val="OC-Fill"/>
      <sheetName val="QLK-AMV Rentals"/>
      <sheetName val="QLK-AMV Rentals Piv"/>
      <sheetName val="REF"/>
      <sheetName val="Notes"/>
      <sheetName val="2023B &gt;&gt;&gt;"/>
      <sheetName val="Edit History (2)"/>
      <sheetName val="AMV (2)"/>
      <sheetName val="AMV Apts &amp; AL Fill (2023)"/>
      <sheetName val="AS (2)"/>
      <sheetName val="AMV SNF Fill (2023)"/>
      <sheetName val="SH Apts Fill (2022)"/>
      <sheetName val="SH SNF Fill (2022)"/>
      <sheetName val="SH (2)"/>
      <sheetName val="FV HCC - PA DHS"/>
      <sheetName val="BV Apts Fill (2023)"/>
      <sheetName val="BV (2)"/>
      <sheetName val="RW SNF Fill (2023)"/>
      <sheetName val="CE (2)"/>
      <sheetName val="RW (2)"/>
      <sheetName val="NR (2)"/>
      <sheetName val="APM SNF Fill (2022)"/>
      <sheetName val="APM (2)"/>
      <sheetName val="APM AL MC (2023)"/>
      <sheetName val="APK (2)"/>
      <sheetName val="APK Apts (2023)"/>
      <sheetName val="APK SNF Fill (2023)"/>
      <sheetName val="depre"/>
      <sheetName val="dep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9">
          <cell r="B19">
            <v>2023</v>
          </cell>
        </row>
        <row r="20">
          <cell r="B20" t="str">
            <v>6+6</v>
          </cell>
        </row>
        <row r="21">
          <cell r="B21">
            <v>2024</v>
          </cell>
        </row>
      </sheetData>
      <sheetData sheetId="30" refreshError="1"/>
      <sheetData sheetId="31">
        <row r="1">
          <cell r="B1" t="str">
            <v>2023BudgetForecasted Census (Entry)</v>
          </cell>
          <cell r="C1" t="str">
            <v>2023Budget# of Actual Available Units (Entry)</v>
          </cell>
          <cell r="D1" t="str">
            <v>2023BudgetForecasted Resident Days</v>
          </cell>
          <cell r="E1" t="str">
            <v>2023BudgetMaximum Resident Days</v>
          </cell>
          <cell r="F1" t="str">
            <v>2023BudgetForecasted Occ. % - Actual Available Units</v>
          </cell>
          <cell r="G1" t="str">
            <v>2023BudgetForecasted Occ. %  - Budget Available Units</v>
          </cell>
          <cell r="H1" t="str">
            <v>2023BudgetResident Rate Increase %</v>
          </cell>
          <cell r="I1" t="str">
            <v>2023BudgetOperating Ratio (New)</v>
          </cell>
          <cell r="J1" t="str">
            <v>2023BudgetSNF Census - Medicare A</v>
          </cell>
          <cell r="K1" t="str">
            <v>2023BudgetSNF Census - Medicare Advantage</v>
          </cell>
          <cell r="L1" t="str">
            <v>2023BudgetSNF Census - Medicaid</v>
          </cell>
          <cell r="M1" t="str">
            <v>2023BudgetSNF Census - Insurance</v>
          </cell>
          <cell r="N1" t="str">
            <v>2023BudgetSNF Census - Private Pay</v>
          </cell>
          <cell r="O1" t="str">
            <v>2023BudgetSNF Census - Hospice</v>
          </cell>
          <cell r="P1" t="str">
            <v>2023BudgetReimbursement Rate - Medicare A</v>
          </cell>
          <cell r="Q1" t="str">
            <v>2023BudgetReimbursement Rate - Medicare Advantage</v>
          </cell>
          <cell r="R1" t="str">
            <v>2023BudgetReimbursement Rate - Medicaid</v>
          </cell>
          <cell r="S1" t="str">
            <v>2023BudgetReimbursement Rate - Insurance</v>
          </cell>
          <cell r="T1" t="str">
            <v>2023BudgetReimbursement Rate - Private Pay</v>
          </cell>
          <cell r="U1" t="str">
            <v>2023BudgetReimbursement Rate - Hospice</v>
          </cell>
          <cell r="W1" t="str">
            <v>2023FC 6+6Forecasted Census (Entry)</v>
          </cell>
          <cell r="X1" t="str">
            <v>2023FC 6+6# of Actual Available Units (Entry)</v>
          </cell>
          <cell r="Y1" t="str">
            <v>2023FC 6+6Forecasted Resident Days</v>
          </cell>
          <cell r="Z1" t="str">
            <v>2023FC 6+6Maximum Resident Days</v>
          </cell>
          <cell r="AA1" t="str">
            <v>2023FC 6+6Forecasted Occ. % - Actual Available Units</v>
          </cell>
          <cell r="AB1" t="str">
            <v>2023FC 6+6Forecasted Occ. %  - Budget Available Units</v>
          </cell>
          <cell r="AC1" t="str">
            <v>2023FC 6+6Resident Rate Increase %</v>
          </cell>
          <cell r="AD1" t="str">
            <v>2023FC 6+6Operating Ratio (New)</v>
          </cell>
          <cell r="AE1" t="str">
            <v>2023FC 6+6SNF Census - Medicare A</v>
          </cell>
          <cell r="AF1" t="str">
            <v>2023FC 6+6SNF Census - Medicare Advantage</v>
          </cell>
          <cell r="AG1" t="str">
            <v>2023FC 6+6SNF Census - Medicaid</v>
          </cell>
          <cell r="AH1" t="str">
            <v>2023FC 6+6SNF Census - Insurance</v>
          </cell>
          <cell r="AI1" t="str">
            <v>2023FC 6+6SNF Census - Private Pay</v>
          </cell>
          <cell r="AJ1" t="str">
            <v>2023FC 6+6SNF Census - Hospice</v>
          </cell>
          <cell r="AK1" t="str">
            <v>2023FC 6+6Reimbursement Rate - Medicare A</v>
          </cell>
          <cell r="AL1" t="str">
            <v>2023FC 6+6Reimbursement Rate - Medicare Advantage</v>
          </cell>
          <cell r="AM1" t="str">
            <v>2023FC 6+6Reimbursement Rate - Medicaid</v>
          </cell>
          <cell r="AN1" t="str">
            <v>2023FC 6+6Reimbursement Rate - Insurance</v>
          </cell>
          <cell r="AO1" t="str">
            <v>2023FC 6+6Reimbursement Rate - Private Pay</v>
          </cell>
          <cell r="AP1" t="str">
            <v>2023FC 6+6Reimbursement Rate - Hospice</v>
          </cell>
          <cell r="AR1" t="str">
            <v>2024BudgetForecasted Census (Entry)</v>
          </cell>
          <cell r="AS1" t="str">
            <v>2024Budget# of Actual Available Units (Entry)</v>
          </cell>
          <cell r="AT1" t="str">
            <v>2024BudgetForecasted Resident Days</v>
          </cell>
          <cell r="AU1" t="str">
            <v>2024BudgetMaximum Resident Days</v>
          </cell>
          <cell r="AV1" t="str">
            <v>2024BudgetForecasted Occ. % - Actual Available Units</v>
          </cell>
          <cell r="AW1" t="str">
            <v>2024BudgetForecasted Occ. %  - Budget Available Units</v>
          </cell>
          <cell r="AX1" t="str">
            <v>2024BudgetResident Rate Increase %</v>
          </cell>
          <cell r="AY1" t="str">
            <v>2024BudgetOperating Ratio (New)</v>
          </cell>
          <cell r="AZ1" t="str">
            <v>2024BudgetSNF Census - Medicare A</v>
          </cell>
          <cell r="BA1" t="str">
            <v>2024BudgetSNF Census - Medicare Advantage</v>
          </cell>
          <cell r="BB1" t="str">
            <v>2024BudgetSNF Census - Medicaid</v>
          </cell>
          <cell r="BC1" t="str">
            <v>2024BudgetSNF Census - Insurance</v>
          </cell>
          <cell r="BD1" t="str">
            <v>2024BudgetSNF Census - Private Pay</v>
          </cell>
          <cell r="BE1" t="str">
            <v>2024BudgetSNF Census - Hospice</v>
          </cell>
          <cell r="BF1" t="str">
            <v>2024BudgetReimbursement Rate - Medicare A</v>
          </cell>
          <cell r="BG1" t="str">
            <v>2024BudgetReimbursement Rate - Medicare Advantage</v>
          </cell>
          <cell r="BH1" t="str">
            <v>2024BudgetReimbursement Rate - Medicaid</v>
          </cell>
          <cell r="BI1" t="str">
            <v>2024BudgetReimbursement Rate - Insurance</v>
          </cell>
          <cell r="BJ1" t="str">
            <v>2024BudgetReimbursement Rate - Private Pay</v>
          </cell>
          <cell r="BK1" t="str">
            <v>2024BudgetReimbursement Rate - Hospice</v>
          </cell>
          <cell r="DC1" t="str">
            <v>2023BudgetTotal AL/IL Second Persons</v>
          </cell>
          <cell r="EU1" t="str">
            <v>2023FC 6+6Total AL/IL Second Persons</v>
          </cell>
          <cell r="GM1" t="str">
            <v>2024BudgetTotal AL/IL Second Persons</v>
          </cell>
          <cell r="HB1" t="str">
            <v>2023BudgetTotal AL/IL Rental Units</v>
          </cell>
          <cell r="HQ1" t="str">
            <v>2023FC 6+6Total AL/IL Rental Units</v>
          </cell>
          <cell r="IF1" t="str">
            <v>2024BudgetTotal AL/IL Rental Units</v>
          </cell>
          <cell r="IR1" t="str">
            <v>2023Budget835/840-31 Alcove 2nd Person</v>
          </cell>
          <cell r="IS1" t="str">
            <v>2023Budget835/840-31 Apartment 2nd Person</v>
          </cell>
          <cell r="IT1" t="str">
            <v>2023Budget835/840-31 Alcove Units</v>
          </cell>
          <cell r="IU1" t="str">
            <v>2023Budget835/840-31 Apartment Units</v>
          </cell>
          <cell r="JG1" t="str">
            <v>2023FC 6+6835/840-31 Alcove 2nd Person</v>
          </cell>
          <cell r="JH1" t="str">
            <v>2023FC 6+6835/840-31 Apartment 2nd Person</v>
          </cell>
          <cell r="JI1" t="str">
            <v>2023FC 6+6835/840-31 Alcove Units</v>
          </cell>
          <cell r="JJ1" t="str">
            <v>2023FC 6+6835/840-31 Apartment Units</v>
          </cell>
          <cell r="JV1" t="str">
            <v>2024Budget835/840-31 Alcove 2nd Person</v>
          </cell>
          <cell r="JW1" t="str">
            <v>2024Budget835/840-31 Apartment 2nd Person</v>
          </cell>
          <cell r="JX1" t="str">
            <v>2024Budget835/840-31 Alcove Units</v>
          </cell>
          <cell r="JY1" t="str">
            <v>2024Budget835/840-31 Apartment Units</v>
          </cell>
          <cell r="KG1" t="str">
            <v>2023Budget650-21 Duplexes Units</v>
          </cell>
          <cell r="KH1" t="str">
            <v>2023Budget650-21 Original Units</v>
          </cell>
          <cell r="KI1" t="str">
            <v>2023Budget650-21 Townhomes Units</v>
          </cell>
          <cell r="KQ1" t="str">
            <v>2023FC 6+6650-21 Duplexes Units</v>
          </cell>
          <cell r="KR1" t="str">
            <v>2023FC 6+6650-21 Original Units</v>
          </cell>
          <cell r="KS1" t="str">
            <v>2023FC 6+6650-21 Townhomes Units</v>
          </cell>
          <cell r="LA1" t="str">
            <v>2024Budget650-21 Duplexes Units</v>
          </cell>
          <cell r="LB1" t="str">
            <v>2024Budget650-21 Original Units</v>
          </cell>
          <cell r="LC1" t="str">
            <v>2024Budget650-21 Townhomes Units</v>
          </cell>
        </row>
        <row r="9">
          <cell r="B9">
            <v>72.8</v>
          </cell>
          <cell r="C9">
            <v>74</v>
          </cell>
          <cell r="D9">
            <v>26571.999999999996</v>
          </cell>
          <cell r="E9">
            <v>27010</v>
          </cell>
          <cell r="F9">
            <v>0.98378378378378362</v>
          </cell>
          <cell r="G9">
            <v>0.98378378378378362</v>
          </cell>
          <cell r="H9">
            <v>0.05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W9">
            <v>72.673972602739724</v>
          </cell>
          <cell r="X9">
            <v>74</v>
          </cell>
          <cell r="Y9">
            <v>26526</v>
          </cell>
          <cell r="Z9">
            <v>27010</v>
          </cell>
          <cell r="AA9">
            <v>0.98208071084783399</v>
          </cell>
          <cell r="AB9">
            <v>0.98208071084783399</v>
          </cell>
          <cell r="AC9">
            <v>0.05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R9">
            <v>71.41</v>
          </cell>
          <cell r="AS9">
            <v>74</v>
          </cell>
          <cell r="AT9">
            <v>26136.05999999999</v>
          </cell>
          <cell r="AU9">
            <v>27084</v>
          </cell>
          <cell r="AV9">
            <v>0.96499999999999964</v>
          </cell>
          <cell r="AW9">
            <v>0.96499999999999964</v>
          </cell>
          <cell r="AX9">
            <v>3.0000000000000009E-2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C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U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D9">
            <v>0</v>
          </cell>
          <cell r="FE9">
            <v>0</v>
          </cell>
          <cell r="FF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M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0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B9">
            <v>0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Q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F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R9">
            <v>0</v>
          </cell>
          <cell r="IS9">
            <v>0</v>
          </cell>
          <cell r="IT9">
            <v>0</v>
          </cell>
          <cell r="IU9">
            <v>0</v>
          </cell>
          <cell r="IW9">
            <v>0</v>
          </cell>
          <cell r="IX9">
            <v>0</v>
          </cell>
          <cell r="IY9">
            <v>0</v>
          </cell>
          <cell r="IZ9">
            <v>0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L9">
            <v>0</v>
          </cell>
          <cell r="JM9">
            <v>0</v>
          </cell>
          <cell r="JN9">
            <v>0</v>
          </cell>
          <cell r="JO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JV9">
            <v>0</v>
          </cell>
          <cell r="JW9">
            <v>0</v>
          </cell>
          <cell r="JX9">
            <v>0</v>
          </cell>
          <cell r="JY9">
            <v>0</v>
          </cell>
          <cell r="KA9">
            <v>0</v>
          </cell>
          <cell r="KB9">
            <v>0</v>
          </cell>
          <cell r="KC9">
            <v>0</v>
          </cell>
          <cell r="KE9">
            <v>0</v>
          </cell>
          <cell r="KG9">
            <v>0</v>
          </cell>
          <cell r="KH9">
            <v>0</v>
          </cell>
          <cell r="KI9">
            <v>0</v>
          </cell>
          <cell r="KK9">
            <v>0</v>
          </cell>
          <cell r="KL9">
            <v>0</v>
          </cell>
          <cell r="KM9">
            <v>0</v>
          </cell>
          <cell r="KO9">
            <v>0</v>
          </cell>
          <cell r="KQ9">
            <v>0</v>
          </cell>
          <cell r="KR9">
            <v>0</v>
          </cell>
          <cell r="KS9">
            <v>0</v>
          </cell>
          <cell r="KU9">
            <v>0</v>
          </cell>
          <cell r="KV9">
            <v>0</v>
          </cell>
          <cell r="KW9">
            <v>0</v>
          </cell>
          <cell r="KY9">
            <v>0</v>
          </cell>
          <cell r="LA9">
            <v>0</v>
          </cell>
          <cell r="LB9">
            <v>0</v>
          </cell>
          <cell r="LC9">
            <v>0</v>
          </cell>
          <cell r="LE9" t="str">
            <v>100-21</v>
          </cell>
        </row>
        <row r="10">
          <cell r="B10">
            <v>42.139999999999993</v>
          </cell>
          <cell r="C10">
            <v>43</v>
          </cell>
          <cell r="D10">
            <v>15381.100000000002</v>
          </cell>
          <cell r="E10">
            <v>15695</v>
          </cell>
          <cell r="F10">
            <v>0.98</v>
          </cell>
          <cell r="G10">
            <v>0.98</v>
          </cell>
          <cell r="H10">
            <v>0.05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42.013698630136986</v>
          </cell>
          <cell r="X10">
            <v>43</v>
          </cell>
          <cell r="Y10">
            <v>15335</v>
          </cell>
          <cell r="Z10">
            <v>15695</v>
          </cell>
          <cell r="AA10">
            <v>0.97706275884039517</v>
          </cell>
          <cell r="AB10">
            <v>0.97706275884039517</v>
          </cell>
          <cell r="AC10">
            <v>0.05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R10">
            <v>41.28</v>
          </cell>
          <cell r="AS10">
            <v>43</v>
          </cell>
          <cell r="AT10">
            <v>15108.48</v>
          </cell>
          <cell r="AU10">
            <v>15738</v>
          </cell>
          <cell r="AV10">
            <v>0.96</v>
          </cell>
          <cell r="AW10">
            <v>0.96</v>
          </cell>
          <cell r="AX10">
            <v>3.0000000000000009E-2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C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U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M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0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B10">
            <v>0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Q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F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R10">
            <v>0</v>
          </cell>
          <cell r="IS10">
            <v>0</v>
          </cell>
          <cell r="IT10">
            <v>0</v>
          </cell>
          <cell r="IU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KA10">
            <v>0</v>
          </cell>
          <cell r="KB10">
            <v>0</v>
          </cell>
          <cell r="KC10">
            <v>0</v>
          </cell>
          <cell r="KE10">
            <v>0</v>
          </cell>
          <cell r="KG10">
            <v>0</v>
          </cell>
          <cell r="KH10">
            <v>0</v>
          </cell>
          <cell r="KI10">
            <v>0</v>
          </cell>
          <cell r="KK10">
            <v>0</v>
          </cell>
          <cell r="KL10">
            <v>0</v>
          </cell>
          <cell r="KM10">
            <v>0</v>
          </cell>
          <cell r="KO10">
            <v>0</v>
          </cell>
          <cell r="KQ10">
            <v>0</v>
          </cell>
          <cell r="KR10">
            <v>0</v>
          </cell>
          <cell r="KS10">
            <v>0</v>
          </cell>
          <cell r="KU10">
            <v>0</v>
          </cell>
          <cell r="KV10">
            <v>0</v>
          </cell>
          <cell r="KW10">
            <v>0</v>
          </cell>
          <cell r="KY10">
            <v>0</v>
          </cell>
          <cell r="LA10">
            <v>0</v>
          </cell>
          <cell r="LB10">
            <v>0</v>
          </cell>
          <cell r="LC10">
            <v>0</v>
          </cell>
          <cell r="LE10" t="str">
            <v>100-22</v>
          </cell>
        </row>
        <row r="11">
          <cell r="B11">
            <v>77.010958904109586</v>
          </cell>
          <cell r="C11">
            <v>109</v>
          </cell>
          <cell r="D11">
            <v>28109</v>
          </cell>
          <cell r="E11">
            <v>39785</v>
          </cell>
          <cell r="F11">
            <v>0.70652255875329895</v>
          </cell>
          <cell r="G11">
            <v>0.70652255875329895</v>
          </cell>
          <cell r="H11">
            <v>0.05</v>
          </cell>
          <cell r="I11">
            <v>5.3725422127731504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69.353424657534248</v>
          </cell>
          <cell r="X11">
            <v>109</v>
          </cell>
          <cell r="Y11">
            <v>25314</v>
          </cell>
          <cell r="Z11">
            <v>39785</v>
          </cell>
          <cell r="AA11">
            <v>0.6362699509865527</v>
          </cell>
          <cell r="AB11">
            <v>0.6362699509865527</v>
          </cell>
          <cell r="AC11">
            <v>0.05</v>
          </cell>
          <cell r="AD11">
            <v>5.7436406442432029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R11">
            <v>71.76229508196721</v>
          </cell>
          <cell r="AS11">
            <v>109</v>
          </cell>
          <cell r="AT11">
            <v>26265</v>
          </cell>
          <cell r="AU11">
            <v>39894</v>
          </cell>
          <cell r="AV11">
            <v>0.6583696796510754</v>
          </cell>
          <cell r="AW11">
            <v>0.6583696796510754</v>
          </cell>
          <cell r="AX11">
            <v>3.0000000000000009E-2</v>
          </cell>
          <cell r="AY11">
            <v>5.4979813296114166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9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C11">
            <v>9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9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U11">
            <v>9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8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M11">
            <v>8</v>
          </cell>
          <cell r="GO11">
            <v>2</v>
          </cell>
          <cell r="GP11">
            <v>4</v>
          </cell>
          <cell r="GQ11">
            <v>3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B11">
            <v>9</v>
          </cell>
          <cell r="HD11">
            <v>2</v>
          </cell>
          <cell r="HE11">
            <v>4</v>
          </cell>
          <cell r="HF11">
            <v>3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Q11">
            <v>9</v>
          </cell>
          <cell r="HS11">
            <v>2</v>
          </cell>
          <cell r="HT11">
            <v>4</v>
          </cell>
          <cell r="HU11">
            <v>3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F11">
            <v>9</v>
          </cell>
          <cell r="IH11">
            <v>0</v>
          </cell>
          <cell r="II11">
            <v>0</v>
          </cell>
          <cell r="IJ11">
            <v>0</v>
          </cell>
          <cell r="IK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R11">
            <v>0</v>
          </cell>
          <cell r="IS11">
            <v>0</v>
          </cell>
          <cell r="IT11">
            <v>0</v>
          </cell>
          <cell r="IU11">
            <v>0</v>
          </cell>
          <cell r="IW11">
            <v>0</v>
          </cell>
          <cell r="IX11">
            <v>0</v>
          </cell>
          <cell r="IY11">
            <v>0</v>
          </cell>
          <cell r="IZ11">
            <v>0</v>
          </cell>
          <cell r="JB11">
            <v>0</v>
          </cell>
          <cell r="JC11">
            <v>0</v>
          </cell>
          <cell r="JD11">
            <v>0</v>
          </cell>
          <cell r="JE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</v>
          </cell>
          <cell r="JL11">
            <v>0</v>
          </cell>
          <cell r="JM11">
            <v>0</v>
          </cell>
          <cell r="JN11">
            <v>0</v>
          </cell>
          <cell r="JO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KA11">
            <v>0</v>
          </cell>
          <cell r="KB11">
            <v>0</v>
          </cell>
          <cell r="KC11">
            <v>0</v>
          </cell>
          <cell r="KE11">
            <v>0</v>
          </cell>
          <cell r="KG11">
            <v>0</v>
          </cell>
          <cell r="KH11">
            <v>0</v>
          </cell>
          <cell r="KI11">
            <v>0</v>
          </cell>
          <cell r="KK11">
            <v>0</v>
          </cell>
          <cell r="KL11">
            <v>0</v>
          </cell>
          <cell r="KM11">
            <v>0</v>
          </cell>
          <cell r="KO11">
            <v>0</v>
          </cell>
          <cell r="KQ11">
            <v>0</v>
          </cell>
          <cell r="KR11">
            <v>0</v>
          </cell>
          <cell r="KS11">
            <v>0</v>
          </cell>
          <cell r="KU11">
            <v>0</v>
          </cell>
          <cell r="KV11">
            <v>0</v>
          </cell>
          <cell r="KW11">
            <v>0</v>
          </cell>
          <cell r="KY11">
            <v>0</v>
          </cell>
          <cell r="LA11">
            <v>0</v>
          </cell>
          <cell r="LB11">
            <v>0</v>
          </cell>
          <cell r="LC11">
            <v>0</v>
          </cell>
          <cell r="LE11" t="str">
            <v>100-31</v>
          </cell>
        </row>
        <row r="12">
          <cell r="B12">
            <v>168.31095890410958</v>
          </cell>
          <cell r="C12">
            <v>184</v>
          </cell>
          <cell r="D12">
            <v>61433.5</v>
          </cell>
          <cell r="E12">
            <v>67160</v>
          </cell>
          <cell r="F12">
            <v>0.9147334723049434</v>
          </cell>
          <cell r="G12">
            <v>0.9147334723049434</v>
          </cell>
          <cell r="H12">
            <v>0.05</v>
          </cell>
          <cell r="I12">
            <v>0.32616643504356596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161.72191780821919</v>
          </cell>
          <cell r="X12">
            <v>184</v>
          </cell>
          <cell r="Y12">
            <v>59028.5</v>
          </cell>
          <cell r="Z12">
            <v>67160</v>
          </cell>
          <cell r="AA12">
            <v>0.8789234663490173</v>
          </cell>
          <cell r="AB12">
            <v>0.8789234663490173</v>
          </cell>
          <cell r="AC12">
            <v>0.05</v>
          </cell>
          <cell r="AD12">
            <v>0.32838617902540629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R12">
            <v>166</v>
          </cell>
          <cell r="AS12">
            <v>184</v>
          </cell>
          <cell r="AT12">
            <v>60756</v>
          </cell>
          <cell r="AU12">
            <v>67344</v>
          </cell>
          <cell r="AV12">
            <v>0.90217391304347838</v>
          </cell>
          <cell r="AW12">
            <v>0.90217391304347838</v>
          </cell>
          <cell r="AX12">
            <v>3.0000000000000009E-2</v>
          </cell>
          <cell r="AY12">
            <v>0.32502432750388738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32.000000000000007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C12">
            <v>32.000000000000007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32.000000000000007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U12">
            <v>32.000000000000007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27.999999999999989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M12">
            <v>27.999999999999989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B12">
            <v>0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Q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F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R12">
            <v>0</v>
          </cell>
          <cell r="IS12">
            <v>0</v>
          </cell>
          <cell r="IT12">
            <v>0</v>
          </cell>
          <cell r="IU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KA12">
            <v>0</v>
          </cell>
          <cell r="KB12">
            <v>0</v>
          </cell>
          <cell r="KC12">
            <v>0</v>
          </cell>
          <cell r="KE12">
            <v>0</v>
          </cell>
          <cell r="KG12">
            <v>0</v>
          </cell>
          <cell r="KH12">
            <v>0</v>
          </cell>
          <cell r="KI12">
            <v>0</v>
          </cell>
          <cell r="KK12">
            <v>0</v>
          </cell>
          <cell r="KL12">
            <v>0</v>
          </cell>
          <cell r="KM12">
            <v>0</v>
          </cell>
          <cell r="KO12">
            <v>0</v>
          </cell>
          <cell r="KQ12">
            <v>0</v>
          </cell>
          <cell r="KR12">
            <v>0</v>
          </cell>
          <cell r="KS12">
            <v>0</v>
          </cell>
          <cell r="KU12">
            <v>0</v>
          </cell>
          <cell r="KV12">
            <v>0</v>
          </cell>
          <cell r="KW12">
            <v>0</v>
          </cell>
          <cell r="KY12">
            <v>0</v>
          </cell>
          <cell r="LA12">
            <v>0</v>
          </cell>
          <cell r="LB12">
            <v>0</v>
          </cell>
          <cell r="LC12">
            <v>0</v>
          </cell>
          <cell r="LE12" t="str">
            <v>100-32</v>
          </cell>
        </row>
        <row r="13">
          <cell r="B13">
            <v>88.439726027397256</v>
          </cell>
          <cell r="C13">
            <v>99</v>
          </cell>
          <cell r="D13">
            <v>32280.5</v>
          </cell>
          <cell r="E13">
            <v>36135</v>
          </cell>
          <cell r="F13">
            <v>0.89333056593330562</v>
          </cell>
          <cell r="G13">
            <v>0.89333056593330562</v>
          </cell>
          <cell r="H13">
            <v>0.05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84.746849315068488</v>
          </cell>
          <cell r="X13">
            <v>99</v>
          </cell>
          <cell r="Y13">
            <v>30932.6</v>
          </cell>
          <cell r="Z13">
            <v>36135</v>
          </cell>
          <cell r="AA13">
            <v>0.85602878096028778</v>
          </cell>
          <cell r="AB13">
            <v>0.85602878096028778</v>
          </cell>
          <cell r="AC13">
            <v>0.05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R13">
            <v>86</v>
          </cell>
          <cell r="AS13">
            <v>99</v>
          </cell>
          <cell r="AT13">
            <v>31476</v>
          </cell>
          <cell r="AU13">
            <v>36234</v>
          </cell>
          <cell r="AV13">
            <v>0.86868686868686873</v>
          </cell>
          <cell r="AW13">
            <v>0.86868686868686873</v>
          </cell>
          <cell r="AX13">
            <v>3.0000000000000009E-2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33.999999999999993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C13">
            <v>33.999999999999993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33.999999999999993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U13">
            <v>33.999999999999993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35.000000000000007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M13">
            <v>35.000000000000007</v>
          </cell>
          <cell r="GO13">
            <v>0</v>
          </cell>
          <cell r="GP13">
            <v>0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B13">
            <v>0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Q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F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R13">
            <v>0</v>
          </cell>
          <cell r="IS13">
            <v>0</v>
          </cell>
          <cell r="IT13">
            <v>0</v>
          </cell>
          <cell r="IU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KA13">
            <v>0</v>
          </cell>
          <cell r="KB13">
            <v>0</v>
          </cell>
          <cell r="KC13">
            <v>0</v>
          </cell>
          <cell r="KE13">
            <v>0</v>
          </cell>
          <cell r="KG13">
            <v>0</v>
          </cell>
          <cell r="KH13">
            <v>0</v>
          </cell>
          <cell r="KI13">
            <v>0</v>
          </cell>
          <cell r="KK13">
            <v>0</v>
          </cell>
          <cell r="KL13">
            <v>0</v>
          </cell>
          <cell r="KM13">
            <v>0</v>
          </cell>
          <cell r="KO13">
            <v>0</v>
          </cell>
          <cell r="KQ13">
            <v>0</v>
          </cell>
          <cell r="KR13">
            <v>0</v>
          </cell>
          <cell r="KS13">
            <v>0</v>
          </cell>
          <cell r="KU13">
            <v>0</v>
          </cell>
          <cell r="KV13">
            <v>0</v>
          </cell>
          <cell r="KW13">
            <v>0</v>
          </cell>
          <cell r="KY13">
            <v>0</v>
          </cell>
          <cell r="LA13">
            <v>0</v>
          </cell>
          <cell r="LB13">
            <v>0</v>
          </cell>
          <cell r="LC13">
            <v>0</v>
          </cell>
          <cell r="LE13" t="str">
            <v>100-33</v>
          </cell>
        </row>
        <row r="14">
          <cell r="B14">
            <v>56.636986301369866</v>
          </cell>
          <cell r="C14">
            <v>65</v>
          </cell>
          <cell r="D14">
            <v>20672.5</v>
          </cell>
          <cell r="E14">
            <v>23725</v>
          </cell>
          <cell r="F14">
            <v>0.87133825079030558</v>
          </cell>
          <cell r="G14">
            <v>0.87133825079030558</v>
          </cell>
          <cell r="H14">
            <v>0.05</v>
          </cell>
          <cell r="I14">
            <v>0.12343432967447028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53.5013698630137</v>
          </cell>
          <cell r="X14">
            <v>65</v>
          </cell>
          <cell r="Y14">
            <v>19528</v>
          </cell>
          <cell r="Z14">
            <v>23725</v>
          </cell>
          <cell r="AA14">
            <v>0.82309799789251847</v>
          </cell>
          <cell r="AB14">
            <v>0.82309799789251847</v>
          </cell>
          <cell r="AC14">
            <v>0.05</v>
          </cell>
          <cell r="AD14">
            <v>0.13128208032124816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R14">
            <v>55</v>
          </cell>
          <cell r="AS14">
            <v>65</v>
          </cell>
          <cell r="AT14">
            <v>20130</v>
          </cell>
          <cell r="AU14">
            <v>23790</v>
          </cell>
          <cell r="AV14">
            <v>0.84615384615384615</v>
          </cell>
          <cell r="AW14">
            <v>0.84615384615384615</v>
          </cell>
          <cell r="AX14">
            <v>3.0000000000000009E-2</v>
          </cell>
          <cell r="AY14">
            <v>0.12198234163432406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20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C14">
            <v>20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20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U14">
            <v>20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21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0</v>
          </cell>
          <cell r="GK14">
            <v>0</v>
          </cell>
          <cell r="GM14">
            <v>21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B14">
            <v>0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Q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F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R14">
            <v>0</v>
          </cell>
          <cell r="IS14">
            <v>0</v>
          </cell>
          <cell r="IT14">
            <v>0</v>
          </cell>
          <cell r="IU14">
            <v>0</v>
          </cell>
          <cell r="IW14">
            <v>0</v>
          </cell>
          <cell r="IX14">
            <v>0</v>
          </cell>
          <cell r="IY14">
            <v>0</v>
          </cell>
          <cell r="IZ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G14">
            <v>0</v>
          </cell>
          <cell r="JH14">
            <v>0</v>
          </cell>
          <cell r="JI14">
            <v>0</v>
          </cell>
          <cell r="JJ14">
            <v>0</v>
          </cell>
          <cell r="JL14">
            <v>0</v>
          </cell>
          <cell r="JM14">
            <v>0</v>
          </cell>
          <cell r="JN14">
            <v>0</v>
          </cell>
          <cell r="JO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KA14">
            <v>0</v>
          </cell>
          <cell r="KB14">
            <v>0</v>
          </cell>
          <cell r="KC14">
            <v>0</v>
          </cell>
          <cell r="KE14">
            <v>0</v>
          </cell>
          <cell r="KG14">
            <v>0</v>
          </cell>
          <cell r="KH14">
            <v>0</v>
          </cell>
          <cell r="KI14">
            <v>0</v>
          </cell>
          <cell r="KK14">
            <v>0</v>
          </cell>
          <cell r="KL14">
            <v>0</v>
          </cell>
          <cell r="KM14">
            <v>0</v>
          </cell>
          <cell r="KO14">
            <v>0</v>
          </cell>
          <cell r="KQ14">
            <v>0</v>
          </cell>
          <cell r="KR14">
            <v>0</v>
          </cell>
          <cell r="KS14">
            <v>0</v>
          </cell>
          <cell r="KU14">
            <v>0</v>
          </cell>
          <cell r="KV14">
            <v>0</v>
          </cell>
          <cell r="KW14">
            <v>0</v>
          </cell>
          <cell r="KY14">
            <v>0</v>
          </cell>
          <cell r="LA14">
            <v>0</v>
          </cell>
          <cell r="LB14">
            <v>0</v>
          </cell>
          <cell r="LC14">
            <v>0</v>
          </cell>
          <cell r="LE14" t="str">
            <v>100-34</v>
          </cell>
        </row>
        <row r="15">
          <cell r="B15">
            <v>102.92876712328768</v>
          </cell>
          <cell r="C15">
            <v>126</v>
          </cell>
          <cell r="D15">
            <v>37569</v>
          </cell>
          <cell r="E15">
            <v>45990</v>
          </cell>
          <cell r="F15">
            <v>0.81689497716894977</v>
          </cell>
          <cell r="G15">
            <v>0.81689497716894977</v>
          </cell>
          <cell r="H15">
            <v>0.05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99.599452054794526</v>
          </cell>
          <cell r="X15">
            <v>126</v>
          </cell>
          <cell r="Y15">
            <v>36353.800000000003</v>
          </cell>
          <cell r="Z15">
            <v>45990</v>
          </cell>
          <cell r="AA15">
            <v>0.79047184170471851</v>
          </cell>
          <cell r="AB15">
            <v>0.79047184170471851</v>
          </cell>
          <cell r="AC15">
            <v>0.05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R15">
            <v>104</v>
          </cell>
          <cell r="AS15">
            <v>126</v>
          </cell>
          <cell r="AT15">
            <v>38064</v>
          </cell>
          <cell r="AU15">
            <v>46116</v>
          </cell>
          <cell r="AV15">
            <v>0.82539682539682535</v>
          </cell>
          <cell r="AW15">
            <v>0.82539682539682535</v>
          </cell>
          <cell r="AX15">
            <v>3.0000000000000009E-2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19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C15">
            <v>19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19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U15">
            <v>19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21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M15">
            <v>21</v>
          </cell>
          <cell r="GO15">
            <v>0</v>
          </cell>
          <cell r="GP15">
            <v>0</v>
          </cell>
          <cell r="GQ15">
            <v>0</v>
          </cell>
          <cell r="GR15">
            <v>2</v>
          </cell>
          <cell r="GS15">
            <v>1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B15">
            <v>3</v>
          </cell>
          <cell r="HD15">
            <v>0</v>
          </cell>
          <cell r="HE15">
            <v>0</v>
          </cell>
          <cell r="HF15">
            <v>0</v>
          </cell>
          <cell r="HG15">
            <v>2</v>
          </cell>
          <cell r="HH15">
            <v>1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Q15">
            <v>3</v>
          </cell>
          <cell r="HS15">
            <v>0</v>
          </cell>
          <cell r="HT15">
            <v>0</v>
          </cell>
          <cell r="HU15">
            <v>0</v>
          </cell>
          <cell r="HV15">
            <v>2</v>
          </cell>
          <cell r="HW15">
            <v>1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F15">
            <v>3</v>
          </cell>
          <cell r="IH15">
            <v>0</v>
          </cell>
          <cell r="II15">
            <v>0</v>
          </cell>
          <cell r="IJ15">
            <v>0</v>
          </cell>
          <cell r="IK15">
            <v>0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R15">
            <v>0</v>
          </cell>
          <cell r="IS15">
            <v>0</v>
          </cell>
          <cell r="IT15">
            <v>0</v>
          </cell>
          <cell r="IU15">
            <v>0</v>
          </cell>
          <cell r="IW15">
            <v>0</v>
          </cell>
          <cell r="IX15">
            <v>0</v>
          </cell>
          <cell r="IY15">
            <v>0</v>
          </cell>
          <cell r="IZ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0</v>
          </cell>
          <cell r="JG15">
            <v>0</v>
          </cell>
          <cell r="JH15">
            <v>0</v>
          </cell>
          <cell r="JI15">
            <v>0</v>
          </cell>
          <cell r="JJ15">
            <v>0</v>
          </cell>
          <cell r="JL15">
            <v>0</v>
          </cell>
          <cell r="JM15">
            <v>0</v>
          </cell>
          <cell r="JN15">
            <v>0</v>
          </cell>
          <cell r="JO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KA15">
            <v>0</v>
          </cell>
          <cell r="KB15">
            <v>0</v>
          </cell>
          <cell r="KC15">
            <v>0</v>
          </cell>
          <cell r="KE15">
            <v>0</v>
          </cell>
          <cell r="KG15">
            <v>0</v>
          </cell>
          <cell r="KH15">
            <v>0</v>
          </cell>
          <cell r="KI15">
            <v>0</v>
          </cell>
          <cell r="KK15">
            <v>0</v>
          </cell>
          <cell r="KL15">
            <v>0</v>
          </cell>
          <cell r="KM15">
            <v>0</v>
          </cell>
          <cell r="KO15">
            <v>0</v>
          </cell>
          <cell r="KQ15">
            <v>0</v>
          </cell>
          <cell r="KR15">
            <v>0</v>
          </cell>
          <cell r="KS15">
            <v>0</v>
          </cell>
          <cell r="KU15">
            <v>0</v>
          </cell>
          <cell r="KV15">
            <v>0</v>
          </cell>
          <cell r="KW15">
            <v>0</v>
          </cell>
          <cell r="KY15">
            <v>0</v>
          </cell>
          <cell r="LA15">
            <v>0</v>
          </cell>
          <cell r="LB15">
            <v>0</v>
          </cell>
          <cell r="LC15">
            <v>0</v>
          </cell>
          <cell r="LE15" t="str">
            <v>100-35</v>
          </cell>
        </row>
        <row r="16">
          <cell r="B16">
            <v>90.183561643835617</v>
          </cell>
          <cell r="C16">
            <v>126</v>
          </cell>
          <cell r="D16">
            <v>32917</v>
          </cell>
          <cell r="E16">
            <v>45990</v>
          </cell>
          <cell r="F16">
            <v>0.71574255272885412</v>
          </cell>
          <cell r="G16">
            <v>0.71574255272885412</v>
          </cell>
          <cell r="H16">
            <v>0.05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80.910958904109592</v>
          </cell>
          <cell r="X16">
            <v>126</v>
          </cell>
          <cell r="Y16">
            <v>29532.5</v>
          </cell>
          <cell r="Z16">
            <v>45990</v>
          </cell>
          <cell r="AA16">
            <v>0.64215046749293325</v>
          </cell>
          <cell r="AB16">
            <v>0.64215046749293325</v>
          </cell>
          <cell r="AC16">
            <v>0.05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R16">
            <v>81</v>
          </cell>
          <cell r="AS16">
            <v>126</v>
          </cell>
          <cell r="AT16">
            <v>29646</v>
          </cell>
          <cell r="AU16">
            <v>46116</v>
          </cell>
          <cell r="AV16">
            <v>0.6428571428571429</v>
          </cell>
          <cell r="AW16">
            <v>0.6428571428571429</v>
          </cell>
          <cell r="AX16">
            <v>3.0000000000000009E-2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9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C16">
            <v>9</v>
          </cell>
          <cell r="DE16">
            <v>0</v>
          </cell>
          <cell r="DF16">
            <v>0</v>
          </cell>
          <cell r="DG16">
            <v>0</v>
          </cell>
          <cell r="DH16">
            <v>0</v>
          </cell>
          <cell r="DI16">
            <v>0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9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U16">
            <v>9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D16">
            <v>0</v>
          </cell>
          <cell r="FE16">
            <v>0</v>
          </cell>
          <cell r="FF16">
            <v>0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12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M16">
            <v>12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2</v>
          </cell>
          <cell r="GU16">
            <v>2</v>
          </cell>
          <cell r="GV16">
            <v>1</v>
          </cell>
          <cell r="GW16">
            <v>3</v>
          </cell>
          <cell r="GX16">
            <v>1</v>
          </cell>
          <cell r="GY16">
            <v>0</v>
          </cell>
          <cell r="GZ16">
            <v>0</v>
          </cell>
          <cell r="HB16">
            <v>9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2</v>
          </cell>
          <cell r="HJ16">
            <v>2</v>
          </cell>
          <cell r="HK16">
            <v>1</v>
          </cell>
          <cell r="HL16">
            <v>3</v>
          </cell>
          <cell r="HM16">
            <v>1</v>
          </cell>
          <cell r="HN16">
            <v>0</v>
          </cell>
          <cell r="HO16">
            <v>0</v>
          </cell>
          <cell r="HQ16">
            <v>9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2</v>
          </cell>
          <cell r="HY16">
            <v>2</v>
          </cell>
          <cell r="HZ16">
            <v>1</v>
          </cell>
          <cell r="IA16">
            <v>3</v>
          </cell>
          <cell r="IB16">
            <v>1</v>
          </cell>
          <cell r="IC16">
            <v>0</v>
          </cell>
          <cell r="ID16">
            <v>0</v>
          </cell>
          <cell r="IF16">
            <v>9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M16">
            <v>0</v>
          </cell>
          <cell r="IN16">
            <v>0</v>
          </cell>
          <cell r="IO16">
            <v>0</v>
          </cell>
          <cell r="IP16">
            <v>0</v>
          </cell>
          <cell r="IR16">
            <v>0</v>
          </cell>
          <cell r="IS16">
            <v>0</v>
          </cell>
          <cell r="IT16">
            <v>0</v>
          </cell>
          <cell r="IU16">
            <v>0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KA16">
            <v>0</v>
          </cell>
          <cell r="KB16">
            <v>0</v>
          </cell>
          <cell r="KC16">
            <v>0</v>
          </cell>
          <cell r="KE16">
            <v>0</v>
          </cell>
          <cell r="KG16">
            <v>0</v>
          </cell>
          <cell r="KH16">
            <v>0</v>
          </cell>
          <cell r="KI16">
            <v>0</v>
          </cell>
          <cell r="KK16">
            <v>0</v>
          </cell>
          <cell r="KL16">
            <v>0</v>
          </cell>
          <cell r="KM16">
            <v>0</v>
          </cell>
          <cell r="KO16">
            <v>0</v>
          </cell>
          <cell r="KQ16">
            <v>0</v>
          </cell>
          <cell r="KR16">
            <v>0</v>
          </cell>
          <cell r="KS16">
            <v>0</v>
          </cell>
          <cell r="KU16">
            <v>0</v>
          </cell>
          <cell r="KV16">
            <v>0</v>
          </cell>
          <cell r="KW16">
            <v>0</v>
          </cell>
          <cell r="KY16">
            <v>0</v>
          </cell>
          <cell r="LA16">
            <v>0</v>
          </cell>
          <cell r="LB16">
            <v>0</v>
          </cell>
          <cell r="LC16">
            <v>0</v>
          </cell>
          <cell r="LE16" t="str">
            <v>100-36</v>
          </cell>
        </row>
        <row r="17">
          <cell r="B17">
            <v>124.95479452054796</v>
          </cell>
          <cell r="C17">
            <v>133</v>
          </cell>
          <cell r="D17">
            <v>45608.5</v>
          </cell>
          <cell r="E17">
            <v>48545</v>
          </cell>
          <cell r="F17">
            <v>0.93950973323720244</v>
          </cell>
          <cell r="G17">
            <v>0.93950973323720244</v>
          </cell>
          <cell r="H17">
            <v>3.9999999999999994E-2</v>
          </cell>
          <cell r="I17">
            <v>0.71308821925923027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112.18904109589042</v>
          </cell>
          <cell r="X17">
            <v>133</v>
          </cell>
          <cell r="Y17">
            <v>40949</v>
          </cell>
          <cell r="Z17">
            <v>48545</v>
          </cell>
          <cell r="AA17">
            <v>0.84352662478113094</v>
          </cell>
          <cell r="AB17">
            <v>0.84352662478113094</v>
          </cell>
          <cell r="AC17">
            <v>3.9999999999999994E-2</v>
          </cell>
          <cell r="AD17">
            <v>0.77254483955927911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R17">
            <v>120</v>
          </cell>
          <cell r="AS17">
            <v>133</v>
          </cell>
          <cell r="AT17">
            <v>43920</v>
          </cell>
          <cell r="AU17">
            <v>48678</v>
          </cell>
          <cell r="AV17">
            <v>0.90225563909774442</v>
          </cell>
          <cell r="AW17">
            <v>0.90225563909774442</v>
          </cell>
          <cell r="AX17">
            <v>3.0000000000000009E-2</v>
          </cell>
          <cell r="AY17">
            <v>0.71188099488222267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6.9999999999999991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C17">
            <v>6.9999999999999991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6.9999999999999991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U17">
            <v>6.9999999999999991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9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M17">
            <v>9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B17">
            <v>0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Q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F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R17">
            <v>0</v>
          </cell>
          <cell r="IS17">
            <v>0</v>
          </cell>
          <cell r="IT17">
            <v>0</v>
          </cell>
          <cell r="IU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G17">
            <v>0</v>
          </cell>
          <cell r="JH17">
            <v>0</v>
          </cell>
          <cell r="JI17">
            <v>0</v>
          </cell>
          <cell r="JJ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KA17">
            <v>0</v>
          </cell>
          <cell r="KB17">
            <v>0</v>
          </cell>
          <cell r="KC17">
            <v>0</v>
          </cell>
          <cell r="KE17">
            <v>0</v>
          </cell>
          <cell r="KG17">
            <v>0</v>
          </cell>
          <cell r="KH17">
            <v>0</v>
          </cell>
          <cell r="KI17">
            <v>0</v>
          </cell>
          <cell r="KK17">
            <v>0</v>
          </cell>
          <cell r="KL17">
            <v>0</v>
          </cell>
          <cell r="KM17">
            <v>0</v>
          </cell>
          <cell r="KO17">
            <v>0</v>
          </cell>
          <cell r="KQ17">
            <v>0</v>
          </cell>
          <cell r="KR17">
            <v>0</v>
          </cell>
          <cell r="KS17">
            <v>0</v>
          </cell>
          <cell r="KU17">
            <v>0</v>
          </cell>
          <cell r="KV17">
            <v>0</v>
          </cell>
          <cell r="KW17">
            <v>0</v>
          </cell>
          <cell r="KY17">
            <v>0</v>
          </cell>
          <cell r="LA17">
            <v>0</v>
          </cell>
          <cell r="LB17">
            <v>0</v>
          </cell>
          <cell r="LC17">
            <v>0</v>
          </cell>
          <cell r="LE17" t="str">
            <v>100-51</v>
          </cell>
        </row>
        <row r="18">
          <cell r="B18">
            <v>143.71</v>
          </cell>
          <cell r="C18">
            <v>147</v>
          </cell>
          <cell r="D18">
            <v>52454.150000000009</v>
          </cell>
          <cell r="E18">
            <v>53655</v>
          </cell>
          <cell r="F18">
            <v>0.97761904761904783</v>
          </cell>
          <cell r="G18">
            <v>0.97761904761904783</v>
          </cell>
          <cell r="H18">
            <v>0.05</v>
          </cell>
          <cell r="I18">
            <v>1.5674072424363517</v>
          </cell>
          <cell r="J18">
            <v>9.8211414000000001</v>
          </cell>
          <cell r="K18">
            <v>0.40281913000000008</v>
          </cell>
          <cell r="L18">
            <v>91.191324210000005</v>
          </cell>
          <cell r="M18">
            <v>1.6161626600000003</v>
          </cell>
          <cell r="N18">
            <v>38.507238210000011</v>
          </cell>
          <cell r="O18">
            <v>2.1714580999999997</v>
          </cell>
          <cell r="P18">
            <v>618.24999999999989</v>
          </cell>
          <cell r="Q18">
            <v>538.04999999999995</v>
          </cell>
          <cell r="R18">
            <v>292.33999999999992</v>
          </cell>
          <cell r="S18">
            <v>464.29999999999984</v>
          </cell>
          <cell r="T18">
            <v>553.09</v>
          </cell>
          <cell r="U18">
            <v>268.50999999999988</v>
          </cell>
          <cell r="W18">
            <v>142.64446488048824</v>
          </cell>
          <cell r="X18">
            <v>146.89353884091733</v>
          </cell>
          <cell r="Y18">
            <v>52065.5</v>
          </cell>
          <cell r="Z18">
            <v>53616</v>
          </cell>
          <cell r="AA18">
            <v>0.9710813936138466</v>
          </cell>
          <cell r="AB18">
            <v>0.97037554747926558</v>
          </cell>
          <cell r="AC18">
            <v>0.05</v>
          </cell>
          <cell r="AD18">
            <v>1.4819446581271365</v>
          </cell>
          <cell r="AE18">
            <v>6.4714667997951905</v>
          </cell>
          <cell r="AF18">
            <v>0.78743970948539255</v>
          </cell>
          <cell r="AG18">
            <v>89.048665467869924</v>
          </cell>
          <cell r="AH18">
            <v>0.76049881093189475</v>
          </cell>
          <cell r="AI18">
            <v>42.324413772529454</v>
          </cell>
          <cell r="AJ18">
            <v>3.2326434139784919</v>
          </cell>
          <cell r="AK18">
            <v>603.93406888397271</v>
          </cell>
          <cell r="AL18">
            <v>485.98186432871722</v>
          </cell>
          <cell r="AM18">
            <v>310.80766326666463</v>
          </cell>
          <cell r="AN18">
            <v>357.02548105920687</v>
          </cell>
          <cell r="AO18">
            <v>535.35649756948851</v>
          </cell>
          <cell r="AP18">
            <v>288.80381669775528</v>
          </cell>
          <cell r="AR18">
            <v>141.44000000000003</v>
          </cell>
          <cell r="AS18">
            <v>147</v>
          </cell>
          <cell r="AT18">
            <v>51767.039999999994</v>
          </cell>
          <cell r="AU18">
            <v>53802</v>
          </cell>
          <cell r="AV18">
            <v>0.96217687074829916</v>
          </cell>
          <cell r="AW18">
            <v>0.96217687074829916</v>
          </cell>
          <cell r="AX18">
            <v>3.0000000000000009E-2</v>
          </cell>
          <cell r="AY18">
            <v>1.562454541803086</v>
          </cell>
          <cell r="AZ18">
            <v>2.7891967999999996</v>
          </cell>
          <cell r="BA18">
            <v>0.6972991999999999</v>
          </cell>
          <cell r="BB18">
            <v>89.008191999999994</v>
          </cell>
          <cell r="BC18">
            <v>1.7835584000000002</v>
          </cell>
          <cell r="BD18">
            <v>44.495609599999987</v>
          </cell>
          <cell r="BE18">
            <v>2.6675584000000003</v>
          </cell>
          <cell r="BF18">
            <v>645.33999999999992</v>
          </cell>
          <cell r="BG18">
            <v>514.07999999999981</v>
          </cell>
          <cell r="BH18">
            <v>301.02499999999986</v>
          </cell>
          <cell r="BI18">
            <v>466.33</v>
          </cell>
          <cell r="BJ18">
            <v>569.32999999999993</v>
          </cell>
          <cell r="BK18">
            <v>288.38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C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U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D18">
            <v>0</v>
          </cell>
          <cell r="FE18">
            <v>0</v>
          </cell>
          <cell r="FF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M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B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Q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F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R18">
            <v>0</v>
          </cell>
          <cell r="IS18">
            <v>0</v>
          </cell>
          <cell r="IT18">
            <v>0</v>
          </cell>
          <cell r="IU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KA18">
            <v>0</v>
          </cell>
          <cell r="KB18">
            <v>0</v>
          </cell>
          <cell r="KC18">
            <v>0</v>
          </cell>
          <cell r="KE18">
            <v>0</v>
          </cell>
          <cell r="KG18">
            <v>0</v>
          </cell>
          <cell r="KH18">
            <v>0</v>
          </cell>
          <cell r="KI18">
            <v>0</v>
          </cell>
          <cell r="KK18">
            <v>0</v>
          </cell>
          <cell r="KL18">
            <v>0</v>
          </cell>
          <cell r="KM18">
            <v>0</v>
          </cell>
          <cell r="KO18">
            <v>0</v>
          </cell>
          <cell r="KQ18">
            <v>0</v>
          </cell>
          <cell r="KR18">
            <v>0</v>
          </cell>
          <cell r="KS18">
            <v>0</v>
          </cell>
          <cell r="KU18">
            <v>0</v>
          </cell>
          <cell r="KV18">
            <v>0</v>
          </cell>
          <cell r="KW18">
            <v>0</v>
          </cell>
          <cell r="KY18">
            <v>0</v>
          </cell>
          <cell r="LA18">
            <v>0</v>
          </cell>
          <cell r="LB18">
            <v>0</v>
          </cell>
          <cell r="LC18">
            <v>0</v>
          </cell>
          <cell r="LE18" t="str">
            <v>100-61</v>
          </cell>
        </row>
        <row r="19">
          <cell r="B19">
            <v>34.58</v>
          </cell>
          <cell r="C19">
            <v>38</v>
          </cell>
          <cell r="D19">
            <v>12621.699999999995</v>
          </cell>
          <cell r="E19">
            <v>13870</v>
          </cell>
          <cell r="F19">
            <v>0.90999999999999981</v>
          </cell>
          <cell r="G19">
            <v>0.90999999999999981</v>
          </cell>
          <cell r="H19">
            <v>0.05</v>
          </cell>
          <cell r="I19">
            <v>0</v>
          </cell>
          <cell r="J19">
            <v>27.663999999999991</v>
          </cell>
          <cell r="K19">
            <v>6.9159999999999977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618.25</v>
          </cell>
          <cell r="Q19">
            <v>538.05000000000007</v>
          </cell>
          <cell r="R19">
            <v>0</v>
          </cell>
          <cell r="S19">
            <v>0</v>
          </cell>
          <cell r="T19">
            <v>799.33000000000015</v>
          </cell>
          <cell r="U19">
            <v>0</v>
          </cell>
          <cell r="W19">
            <v>35.741382130964823</v>
          </cell>
          <cell r="X19">
            <v>38.141550979297151</v>
          </cell>
          <cell r="Y19">
            <v>13045.5</v>
          </cell>
          <cell r="Z19">
            <v>13921</v>
          </cell>
          <cell r="AA19">
            <v>0.93710940306012502</v>
          </cell>
          <cell r="AB19">
            <v>0.94055515501081477</v>
          </cell>
          <cell r="AC19">
            <v>0.05</v>
          </cell>
          <cell r="AD19">
            <v>0</v>
          </cell>
          <cell r="AE19">
            <v>26.552554421479456</v>
          </cell>
          <cell r="AF19">
            <v>7.2565204999833499</v>
          </cell>
          <cell r="AG19">
            <v>0</v>
          </cell>
          <cell r="AH19">
            <v>1.6901307877025735</v>
          </cell>
          <cell r="AI19">
            <v>0.24201932923706951</v>
          </cell>
          <cell r="AJ19">
            <v>0</v>
          </cell>
          <cell r="AK19">
            <v>607.24332752777798</v>
          </cell>
          <cell r="AL19">
            <v>527.90301865749791</v>
          </cell>
          <cell r="AM19">
            <v>0</v>
          </cell>
          <cell r="AN19">
            <v>331.47686763440186</v>
          </cell>
          <cell r="AO19">
            <v>588.842683684029</v>
          </cell>
          <cell r="AP19">
            <v>0</v>
          </cell>
          <cell r="AR19">
            <v>36.564</v>
          </cell>
          <cell r="AS19">
            <v>38</v>
          </cell>
          <cell r="AT19">
            <v>13382.424000000005</v>
          </cell>
          <cell r="AU19">
            <v>13908</v>
          </cell>
          <cell r="AV19">
            <v>0.96221052631578963</v>
          </cell>
          <cell r="AW19">
            <v>0.96221052631578963</v>
          </cell>
          <cell r="AX19">
            <v>3.0000000000000009E-2</v>
          </cell>
          <cell r="AY19">
            <v>0</v>
          </cell>
          <cell r="AZ19">
            <v>29.251199999999997</v>
          </cell>
          <cell r="BA19">
            <v>7.3127999999999993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645.33999999999992</v>
          </cell>
          <cell r="BG19">
            <v>514.07999999999993</v>
          </cell>
          <cell r="BH19">
            <v>0</v>
          </cell>
          <cell r="BI19">
            <v>0</v>
          </cell>
          <cell r="BJ19">
            <v>823.52999999999963</v>
          </cell>
          <cell r="BK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C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U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M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B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Q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F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R19">
            <v>0</v>
          </cell>
          <cell r="IS19">
            <v>0</v>
          </cell>
          <cell r="IT19">
            <v>0</v>
          </cell>
          <cell r="IU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KA19">
            <v>0</v>
          </cell>
          <cell r="KB19">
            <v>0</v>
          </cell>
          <cell r="KC19">
            <v>0</v>
          </cell>
          <cell r="KE19">
            <v>0</v>
          </cell>
          <cell r="KG19">
            <v>0</v>
          </cell>
          <cell r="KH19">
            <v>0</v>
          </cell>
          <cell r="KI19">
            <v>0</v>
          </cell>
          <cell r="KK19">
            <v>0</v>
          </cell>
          <cell r="KL19">
            <v>0</v>
          </cell>
          <cell r="KM19">
            <v>0</v>
          </cell>
          <cell r="KO19">
            <v>0</v>
          </cell>
          <cell r="KQ19">
            <v>0</v>
          </cell>
          <cell r="KR19">
            <v>0</v>
          </cell>
          <cell r="KS19">
            <v>0</v>
          </cell>
          <cell r="KU19">
            <v>0</v>
          </cell>
          <cell r="KV19">
            <v>0</v>
          </cell>
          <cell r="KW19">
            <v>0</v>
          </cell>
          <cell r="KY19">
            <v>0</v>
          </cell>
          <cell r="LA19">
            <v>0</v>
          </cell>
          <cell r="LB19">
            <v>0</v>
          </cell>
          <cell r="LC19">
            <v>0</v>
          </cell>
          <cell r="LE19" t="str">
            <v>100-62</v>
          </cell>
        </row>
        <row r="20">
          <cell r="B20">
            <v>1001.6957534246576</v>
          </cell>
          <cell r="C20">
            <v>1144</v>
          </cell>
          <cell r="D20">
            <v>365618.95000000007</v>
          </cell>
          <cell r="E20">
            <v>417560</v>
          </cell>
          <cell r="F20">
            <v>0.87560817607050501</v>
          </cell>
          <cell r="G20">
            <v>0.87560817607050501</v>
          </cell>
          <cell r="H20">
            <v>4.9090909090909081E-2</v>
          </cell>
          <cell r="I20">
            <v>0.9832340435377056</v>
          </cell>
          <cell r="J20">
            <v>37.485141400000003</v>
          </cell>
          <cell r="K20">
            <v>7.3188191299999987</v>
          </cell>
          <cell r="L20">
            <v>91.191324210000005</v>
          </cell>
          <cell r="M20">
            <v>1.6161626600000003</v>
          </cell>
          <cell r="N20">
            <v>38.507238210000011</v>
          </cell>
          <cell r="O20">
            <v>2.1714580999999997</v>
          </cell>
          <cell r="P20">
            <v>1236.5</v>
          </cell>
          <cell r="Q20">
            <v>1076.0999999999999</v>
          </cell>
          <cell r="R20">
            <v>292.33999999999986</v>
          </cell>
          <cell r="S20">
            <v>464.3</v>
          </cell>
          <cell r="T20">
            <v>1352.4199999999998</v>
          </cell>
          <cell r="U20">
            <v>268.50999999999993</v>
          </cell>
          <cell r="W20">
            <v>955.09659715370435</v>
          </cell>
          <cell r="X20">
            <v>1144.0328821124556</v>
          </cell>
          <cell r="Y20">
            <v>348610.4</v>
          </cell>
          <cell r="Z20">
            <v>417572</v>
          </cell>
          <cell r="AA20">
            <v>0.83485099575642052</v>
          </cell>
          <cell r="AB20">
            <v>0.83487498802567306</v>
          </cell>
          <cell r="AC20">
            <v>4.9090909090909081E-2</v>
          </cell>
          <cell r="AD20">
            <v>0.99700518325699261</v>
          </cell>
          <cell r="AE20">
            <v>33.024021221274651</v>
          </cell>
          <cell r="AF20">
            <v>8.043960209468743</v>
          </cell>
          <cell r="AG20">
            <v>89.048665467869924</v>
          </cell>
          <cell r="AH20">
            <v>2.4506295986344679</v>
          </cell>
          <cell r="AI20">
            <v>42.566433101766528</v>
          </cell>
          <cell r="AJ20">
            <v>3.2326434139784919</v>
          </cell>
          <cell r="AK20">
            <v>1211.0558047303291</v>
          </cell>
          <cell r="AL20">
            <v>1014.0373877900548</v>
          </cell>
          <cell r="AM20">
            <v>310.80067850813128</v>
          </cell>
          <cell r="AN20">
            <v>688.73926225173034</v>
          </cell>
          <cell r="AO20">
            <v>1124.2509270441765</v>
          </cell>
          <cell r="AP20">
            <v>288.82884570882521</v>
          </cell>
          <cell r="AR20">
            <v>974.4562950819668</v>
          </cell>
          <cell r="AS20">
            <v>1144</v>
          </cell>
          <cell r="AT20">
            <v>356651.00400000002</v>
          </cell>
          <cell r="AU20">
            <v>418704</v>
          </cell>
          <cell r="AV20">
            <v>0.85179746073598539</v>
          </cell>
          <cell r="AW20">
            <v>0.85179746073598539</v>
          </cell>
          <cell r="AX20">
            <v>3.0000000000000009E-2</v>
          </cell>
          <cell r="AY20">
            <v>0.9741956796392448</v>
          </cell>
          <cell r="AZ20">
            <v>32.040396800000003</v>
          </cell>
          <cell r="BA20">
            <v>8.0100992000000009</v>
          </cell>
          <cell r="BB20">
            <v>89.008191999999994</v>
          </cell>
          <cell r="BC20">
            <v>1.7835584000000002</v>
          </cell>
          <cell r="BD20">
            <v>44.495609599999987</v>
          </cell>
          <cell r="BE20">
            <v>2.6675584000000003</v>
          </cell>
          <cell r="BF20">
            <v>1290.68</v>
          </cell>
          <cell r="BG20">
            <v>1028.1600000000001</v>
          </cell>
          <cell r="BH20">
            <v>301.02500000000003</v>
          </cell>
          <cell r="BI20">
            <v>466.33</v>
          </cell>
          <cell r="BJ20">
            <v>1392.86</v>
          </cell>
          <cell r="BK20">
            <v>288.38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32.000000000000007</v>
          </cell>
          <cell r="CC20">
            <v>19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6.9999999999999991</v>
          </cell>
          <cell r="CI20">
            <v>9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20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9</v>
          </cell>
          <cell r="CV20">
            <v>33.999999999999993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C20">
            <v>130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32.000000000000007</v>
          </cell>
          <cell r="DU20">
            <v>19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6.9999999999999991</v>
          </cell>
          <cell r="EA20">
            <v>9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20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9</v>
          </cell>
          <cell r="EN20">
            <v>33.999999999999993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U20">
            <v>130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27.999999999999989</v>
          </cell>
          <cell r="FM20">
            <v>21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9</v>
          </cell>
          <cell r="FS20">
            <v>12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21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GE20">
            <v>8</v>
          </cell>
          <cell r="GF20">
            <v>35.000000000000007</v>
          </cell>
          <cell r="GG20">
            <v>0</v>
          </cell>
          <cell r="GH20">
            <v>0</v>
          </cell>
          <cell r="GI20">
            <v>0</v>
          </cell>
          <cell r="GJ20">
            <v>0</v>
          </cell>
          <cell r="GK20">
            <v>0</v>
          </cell>
          <cell r="GM20">
            <v>134</v>
          </cell>
          <cell r="GO20">
            <v>2</v>
          </cell>
          <cell r="GP20">
            <v>4</v>
          </cell>
          <cell r="GQ20">
            <v>3</v>
          </cell>
          <cell r="GR20">
            <v>2</v>
          </cell>
          <cell r="GS20">
            <v>1</v>
          </cell>
          <cell r="GT20">
            <v>2</v>
          </cell>
          <cell r="GU20">
            <v>2</v>
          </cell>
          <cell r="GV20">
            <v>1</v>
          </cell>
          <cell r="GW20">
            <v>3</v>
          </cell>
          <cell r="GX20">
            <v>1</v>
          </cell>
          <cell r="GY20">
            <v>0</v>
          </cell>
          <cell r="GZ20">
            <v>0</v>
          </cell>
          <cell r="HB20">
            <v>21</v>
          </cell>
          <cell r="HD20">
            <v>2</v>
          </cell>
          <cell r="HE20">
            <v>4</v>
          </cell>
          <cell r="HF20">
            <v>3</v>
          </cell>
          <cell r="HG20">
            <v>2</v>
          </cell>
          <cell r="HH20">
            <v>1</v>
          </cell>
          <cell r="HI20">
            <v>2</v>
          </cell>
          <cell r="HJ20">
            <v>2</v>
          </cell>
          <cell r="HK20">
            <v>1</v>
          </cell>
          <cell r="HL20">
            <v>3</v>
          </cell>
          <cell r="HM20">
            <v>1</v>
          </cell>
          <cell r="HN20">
            <v>0</v>
          </cell>
          <cell r="HO20">
            <v>0</v>
          </cell>
          <cell r="HQ20">
            <v>21</v>
          </cell>
          <cell r="HS20">
            <v>2</v>
          </cell>
          <cell r="HT20">
            <v>4</v>
          </cell>
          <cell r="HU20">
            <v>3</v>
          </cell>
          <cell r="HV20">
            <v>2</v>
          </cell>
          <cell r="HW20">
            <v>1</v>
          </cell>
          <cell r="HX20">
            <v>2</v>
          </cell>
          <cell r="HY20">
            <v>2</v>
          </cell>
          <cell r="HZ20">
            <v>1</v>
          </cell>
          <cell r="IA20">
            <v>3</v>
          </cell>
          <cell r="IB20">
            <v>1</v>
          </cell>
          <cell r="IC20">
            <v>0</v>
          </cell>
          <cell r="ID20">
            <v>0</v>
          </cell>
          <cell r="IF20">
            <v>21</v>
          </cell>
          <cell r="IH20">
            <v>0</v>
          </cell>
          <cell r="II20">
            <v>0</v>
          </cell>
          <cell r="IJ20">
            <v>0</v>
          </cell>
          <cell r="IK20">
            <v>0</v>
          </cell>
          <cell r="IM20">
            <v>0</v>
          </cell>
          <cell r="IN20">
            <v>0</v>
          </cell>
          <cell r="IO20">
            <v>0</v>
          </cell>
          <cell r="IP20">
            <v>0</v>
          </cell>
          <cell r="IR20">
            <v>0</v>
          </cell>
          <cell r="IS20">
            <v>0</v>
          </cell>
          <cell r="IT20">
            <v>0</v>
          </cell>
          <cell r="IU20">
            <v>0</v>
          </cell>
          <cell r="IW20">
            <v>0</v>
          </cell>
          <cell r="IX20">
            <v>0</v>
          </cell>
          <cell r="IY20">
            <v>0</v>
          </cell>
          <cell r="IZ20">
            <v>0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0</v>
          </cell>
          <cell r="JL20">
            <v>0</v>
          </cell>
          <cell r="JM20">
            <v>0</v>
          </cell>
          <cell r="JN20">
            <v>0</v>
          </cell>
          <cell r="JO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KA20">
            <v>0</v>
          </cell>
          <cell r="KB20">
            <v>0</v>
          </cell>
          <cell r="KC20">
            <v>0</v>
          </cell>
          <cell r="KE20">
            <v>0</v>
          </cell>
          <cell r="KG20">
            <v>0</v>
          </cell>
          <cell r="KH20">
            <v>0</v>
          </cell>
          <cell r="KI20">
            <v>0</v>
          </cell>
          <cell r="KK20">
            <v>0</v>
          </cell>
          <cell r="KL20">
            <v>0</v>
          </cell>
          <cell r="KM20">
            <v>0</v>
          </cell>
          <cell r="KO20">
            <v>0</v>
          </cell>
          <cell r="KQ20">
            <v>0</v>
          </cell>
          <cell r="KR20">
            <v>0</v>
          </cell>
          <cell r="KS20">
            <v>0</v>
          </cell>
          <cell r="KU20">
            <v>0</v>
          </cell>
          <cell r="KV20">
            <v>0</v>
          </cell>
          <cell r="KW20">
            <v>0</v>
          </cell>
          <cell r="KY20">
            <v>0</v>
          </cell>
          <cell r="LA20">
            <v>0</v>
          </cell>
          <cell r="LB20">
            <v>0</v>
          </cell>
          <cell r="LC20">
            <v>0</v>
          </cell>
          <cell r="LE20" t="str">
            <v>100-Entity</v>
          </cell>
        </row>
        <row r="21">
          <cell r="B21">
            <v>69.839999999999989</v>
          </cell>
          <cell r="C21">
            <v>72</v>
          </cell>
          <cell r="D21">
            <v>25491.600000000009</v>
          </cell>
          <cell r="E21">
            <v>26280</v>
          </cell>
          <cell r="F21">
            <v>0.9700000000000002</v>
          </cell>
          <cell r="G21">
            <v>0.9700000000000002</v>
          </cell>
          <cell r="H21">
            <v>4.8999999999999995E-2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70.553424657534251</v>
          </cell>
          <cell r="X21">
            <v>72</v>
          </cell>
          <cell r="Y21">
            <v>25752</v>
          </cell>
          <cell r="Z21">
            <v>26280</v>
          </cell>
          <cell r="AA21">
            <v>0.9799086757990868</v>
          </cell>
          <cell r="AB21">
            <v>0.9799086757990868</v>
          </cell>
          <cell r="AC21">
            <v>4.8999999999999995E-2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R21">
            <v>70</v>
          </cell>
          <cell r="AS21">
            <v>72</v>
          </cell>
          <cell r="AT21">
            <v>25620</v>
          </cell>
          <cell r="AU21">
            <v>26352</v>
          </cell>
          <cell r="AV21">
            <v>0.97222222222222221</v>
          </cell>
          <cell r="AW21">
            <v>0.97222222222222221</v>
          </cell>
          <cell r="AX21">
            <v>3.0000000000000009E-2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36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C21">
            <v>36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36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U21">
            <v>36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36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M21">
            <v>36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B21">
            <v>0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Q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F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R21">
            <v>0</v>
          </cell>
          <cell r="IS21">
            <v>0</v>
          </cell>
          <cell r="IT21">
            <v>0</v>
          </cell>
          <cell r="IU21">
            <v>0</v>
          </cell>
          <cell r="IW21">
            <v>0</v>
          </cell>
          <cell r="IX21">
            <v>0</v>
          </cell>
          <cell r="IY21">
            <v>0</v>
          </cell>
          <cell r="IZ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KA21">
            <v>0</v>
          </cell>
          <cell r="KB21">
            <v>0</v>
          </cell>
          <cell r="KC21">
            <v>0</v>
          </cell>
          <cell r="KE21">
            <v>0</v>
          </cell>
          <cell r="KG21">
            <v>0</v>
          </cell>
          <cell r="KH21">
            <v>0</v>
          </cell>
          <cell r="KI21">
            <v>0</v>
          </cell>
          <cell r="KK21">
            <v>0</v>
          </cell>
          <cell r="KL21">
            <v>0</v>
          </cell>
          <cell r="KM21">
            <v>0</v>
          </cell>
          <cell r="KO21">
            <v>0</v>
          </cell>
          <cell r="KQ21">
            <v>0</v>
          </cell>
          <cell r="KR21">
            <v>0</v>
          </cell>
          <cell r="KS21">
            <v>0</v>
          </cell>
          <cell r="KU21">
            <v>0</v>
          </cell>
          <cell r="KV21">
            <v>0</v>
          </cell>
          <cell r="KW21">
            <v>0</v>
          </cell>
          <cell r="KY21">
            <v>0</v>
          </cell>
          <cell r="LA21">
            <v>0</v>
          </cell>
          <cell r="LB21">
            <v>0</v>
          </cell>
          <cell r="LC21">
            <v>0</v>
          </cell>
          <cell r="LE21" t="str">
            <v>200-21</v>
          </cell>
        </row>
        <row r="22">
          <cell r="B22">
            <v>131</v>
          </cell>
          <cell r="C22">
            <v>142</v>
          </cell>
          <cell r="D22">
            <v>47815</v>
          </cell>
          <cell r="E22">
            <v>51830</v>
          </cell>
          <cell r="F22">
            <v>0.92253521126760563</v>
          </cell>
          <cell r="G22">
            <v>0.92253521126760563</v>
          </cell>
          <cell r="H22">
            <v>4.8999999999999995E-2</v>
          </cell>
          <cell r="I22">
            <v>2.0065130281447936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127.61643835616438</v>
          </cell>
          <cell r="X22">
            <v>142</v>
          </cell>
          <cell r="Y22">
            <v>46580</v>
          </cell>
          <cell r="Z22">
            <v>51830</v>
          </cell>
          <cell r="AA22">
            <v>0.89870731236735479</v>
          </cell>
          <cell r="AB22">
            <v>0.89870731236735479</v>
          </cell>
          <cell r="AC22">
            <v>4.8999999999999995E-2</v>
          </cell>
          <cell r="AD22">
            <v>1.9778853149077396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R22">
            <v>127.8</v>
          </cell>
          <cell r="AS22">
            <v>142</v>
          </cell>
          <cell r="AT22">
            <v>46774.8</v>
          </cell>
          <cell r="AU22">
            <v>51972</v>
          </cell>
          <cell r="AV22">
            <v>0.9</v>
          </cell>
          <cell r="AW22">
            <v>0.9</v>
          </cell>
          <cell r="AX22">
            <v>3.0000000000000009E-2</v>
          </cell>
          <cell r="AY22">
            <v>2.000792516680483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24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C22">
            <v>24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24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U22">
            <v>24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24.999999999999989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M22">
            <v>24.999999999999989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B22">
            <v>0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Q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F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R22">
            <v>0</v>
          </cell>
          <cell r="IS22">
            <v>0</v>
          </cell>
          <cell r="IT22">
            <v>0</v>
          </cell>
          <cell r="IU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KA22">
            <v>0</v>
          </cell>
          <cell r="KB22">
            <v>0</v>
          </cell>
          <cell r="KC22">
            <v>0</v>
          </cell>
          <cell r="KE22">
            <v>0</v>
          </cell>
          <cell r="KG22">
            <v>0</v>
          </cell>
          <cell r="KH22">
            <v>0</v>
          </cell>
          <cell r="KI22">
            <v>0</v>
          </cell>
          <cell r="KK22">
            <v>0</v>
          </cell>
          <cell r="KL22">
            <v>0</v>
          </cell>
          <cell r="KM22">
            <v>0</v>
          </cell>
          <cell r="KO22">
            <v>0</v>
          </cell>
          <cell r="KQ22">
            <v>0</v>
          </cell>
          <cell r="KR22">
            <v>0</v>
          </cell>
          <cell r="KS22">
            <v>0</v>
          </cell>
          <cell r="KU22">
            <v>0</v>
          </cell>
          <cell r="KV22">
            <v>0</v>
          </cell>
          <cell r="KW22">
            <v>0</v>
          </cell>
          <cell r="KY22">
            <v>0</v>
          </cell>
          <cell r="LA22">
            <v>0</v>
          </cell>
          <cell r="LB22">
            <v>0</v>
          </cell>
          <cell r="LC22">
            <v>0</v>
          </cell>
          <cell r="LE22" t="str">
            <v>200-31</v>
          </cell>
        </row>
        <row r="23">
          <cell r="B23">
            <v>82.56</v>
          </cell>
          <cell r="C23">
            <v>86</v>
          </cell>
          <cell r="D23">
            <v>30134.400000000001</v>
          </cell>
          <cell r="E23">
            <v>31390</v>
          </cell>
          <cell r="F23">
            <v>0.96</v>
          </cell>
          <cell r="G23">
            <v>0.96</v>
          </cell>
          <cell r="H23">
            <v>4.8999999999999995E-2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82.0054794520548</v>
          </cell>
          <cell r="X23">
            <v>86</v>
          </cell>
          <cell r="Y23">
            <v>29932</v>
          </cell>
          <cell r="Z23">
            <v>31390</v>
          </cell>
          <cell r="AA23">
            <v>0.95355208665180002</v>
          </cell>
          <cell r="AB23">
            <v>0.95355208665180002</v>
          </cell>
          <cell r="AC23">
            <v>4.8999999999999995E-2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81.7</v>
          </cell>
          <cell r="AS23">
            <v>86</v>
          </cell>
          <cell r="AT23">
            <v>29902.200000000004</v>
          </cell>
          <cell r="AU23">
            <v>31476</v>
          </cell>
          <cell r="AV23">
            <v>0.95000000000000018</v>
          </cell>
          <cell r="AW23">
            <v>0.95000000000000018</v>
          </cell>
          <cell r="AX23">
            <v>3.0000000000000009E-2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30.999999999999996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C23">
            <v>30.999999999999996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30.999999999999996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U23">
            <v>30.999999999999996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30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M23">
            <v>30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B23">
            <v>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Q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F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R23">
            <v>0</v>
          </cell>
          <cell r="IS23">
            <v>0</v>
          </cell>
          <cell r="IT23">
            <v>0</v>
          </cell>
          <cell r="IU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KA23">
            <v>0</v>
          </cell>
          <cell r="KB23">
            <v>0</v>
          </cell>
          <cell r="KC23">
            <v>0</v>
          </cell>
          <cell r="KE23">
            <v>0</v>
          </cell>
          <cell r="KG23">
            <v>0</v>
          </cell>
          <cell r="KH23">
            <v>0</v>
          </cell>
          <cell r="KI23">
            <v>0</v>
          </cell>
          <cell r="KK23">
            <v>0</v>
          </cell>
          <cell r="KL23">
            <v>0</v>
          </cell>
          <cell r="KM23">
            <v>0</v>
          </cell>
          <cell r="KO23">
            <v>0</v>
          </cell>
          <cell r="KQ23">
            <v>0</v>
          </cell>
          <cell r="KR23">
            <v>0</v>
          </cell>
          <cell r="KS23">
            <v>0</v>
          </cell>
          <cell r="KU23">
            <v>0</v>
          </cell>
          <cell r="KV23">
            <v>0</v>
          </cell>
          <cell r="KW23">
            <v>0</v>
          </cell>
          <cell r="KY23">
            <v>0</v>
          </cell>
          <cell r="LA23">
            <v>0</v>
          </cell>
          <cell r="LB23">
            <v>0</v>
          </cell>
          <cell r="LC23">
            <v>0</v>
          </cell>
          <cell r="LE23" t="str">
            <v>200-32</v>
          </cell>
        </row>
        <row r="24">
          <cell r="B24">
            <v>23.52</v>
          </cell>
          <cell r="C24">
            <v>24</v>
          </cell>
          <cell r="D24">
            <v>8584.8000000000011</v>
          </cell>
          <cell r="E24">
            <v>8760</v>
          </cell>
          <cell r="F24">
            <v>0.98</v>
          </cell>
          <cell r="G24">
            <v>0.98</v>
          </cell>
          <cell r="H24">
            <v>4.8999999999999995E-2</v>
          </cell>
          <cell r="I24">
            <v>0.86478964531717706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23.797917808219179</v>
          </cell>
          <cell r="X24">
            <v>24</v>
          </cell>
          <cell r="Y24">
            <v>8686.24</v>
          </cell>
          <cell r="Z24">
            <v>8760</v>
          </cell>
          <cell r="AA24">
            <v>0.99157990867579904</v>
          </cell>
          <cell r="AB24">
            <v>0.99157990867579904</v>
          </cell>
          <cell r="AC24">
            <v>4.8999999999999995E-2</v>
          </cell>
          <cell r="AD24">
            <v>0.75561604295871154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R24">
            <v>23.520000000000003</v>
          </cell>
          <cell r="AS24">
            <v>24</v>
          </cell>
          <cell r="AT24">
            <v>8608.3200000000015</v>
          </cell>
          <cell r="AU24">
            <v>8784</v>
          </cell>
          <cell r="AV24">
            <v>0.9800000000000002</v>
          </cell>
          <cell r="AW24">
            <v>0.9800000000000002</v>
          </cell>
          <cell r="AX24">
            <v>3.0000000000000009E-2</v>
          </cell>
          <cell r="AY24">
            <v>0.83973483907331681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C24">
            <v>1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1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U24">
            <v>1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1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M24">
            <v>1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B24">
            <v>0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Q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F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R24">
            <v>0</v>
          </cell>
          <cell r="IS24">
            <v>0</v>
          </cell>
          <cell r="IT24">
            <v>0</v>
          </cell>
          <cell r="IU24">
            <v>0</v>
          </cell>
          <cell r="IW24">
            <v>0</v>
          </cell>
          <cell r="IX24">
            <v>0</v>
          </cell>
          <cell r="IY24">
            <v>0</v>
          </cell>
          <cell r="IZ24">
            <v>0</v>
          </cell>
          <cell r="JB24">
            <v>0</v>
          </cell>
          <cell r="JC24">
            <v>0</v>
          </cell>
          <cell r="JD24">
            <v>0</v>
          </cell>
          <cell r="JE24">
            <v>0</v>
          </cell>
          <cell r="JG24">
            <v>0</v>
          </cell>
          <cell r="JH24">
            <v>0</v>
          </cell>
          <cell r="JI24">
            <v>0</v>
          </cell>
          <cell r="JJ24">
            <v>0</v>
          </cell>
          <cell r="JL24">
            <v>0</v>
          </cell>
          <cell r="JM24">
            <v>0</v>
          </cell>
          <cell r="JN24">
            <v>0</v>
          </cell>
          <cell r="JO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V24">
            <v>0</v>
          </cell>
          <cell r="JW24">
            <v>0</v>
          </cell>
          <cell r="JX24">
            <v>0</v>
          </cell>
          <cell r="JY24">
            <v>0</v>
          </cell>
          <cell r="KA24">
            <v>0</v>
          </cell>
          <cell r="KB24">
            <v>0</v>
          </cell>
          <cell r="KC24">
            <v>0</v>
          </cell>
          <cell r="KE24">
            <v>0</v>
          </cell>
          <cell r="KG24">
            <v>0</v>
          </cell>
          <cell r="KH24">
            <v>0</v>
          </cell>
          <cell r="KI24">
            <v>0</v>
          </cell>
          <cell r="KK24">
            <v>0</v>
          </cell>
          <cell r="KL24">
            <v>0</v>
          </cell>
          <cell r="KM24">
            <v>0</v>
          </cell>
          <cell r="KO24">
            <v>0</v>
          </cell>
          <cell r="KQ24">
            <v>0</v>
          </cell>
          <cell r="KR24">
            <v>0</v>
          </cell>
          <cell r="KS24">
            <v>0</v>
          </cell>
          <cell r="KU24">
            <v>0</v>
          </cell>
          <cell r="KV24">
            <v>0</v>
          </cell>
          <cell r="KW24">
            <v>0</v>
          </cell>
          <cell r="KY24">
            <v>0</v>
          </cell>
          <cell r="LA24">
            <v>0</v>
          </cell>
          <cell r="LB24">
            <v>0</v>
          </cell>
          <cell r="LC24">
            <v>0</v>
          </cell>
          <cell r="LE24" t="str">
            <v>200-51</v>
          </cell>
        </row>
        <row r="25">
          <cell r="B25">
            <v>43.6</v>
          </cell>
          <cell r="C25">
            <v>48</v>
          </cell>
          <cell r="D25">
            <v>15914.000000000002</v>
          </cell>
          <cell r="E25">
            <v>17520</v>
          </cell>
          <cell r="F25">
            <v>0.90833333333333344</v>
          </cell>
          <cell r="G25">
            <v>0.90833333333333344</v>
          </cell>
          <cell r="H25">
            <v>4.8999999999999995E-2</v>
          </cell>
          <cell r="I25">
            <v>0.98932012927376922</v>
          </cell>
          <cell r="J25">
            <v>5.3999907999999985</v>
          </cell>
          <cell r="K25">
            <v>0</v>
          </cell>
          <cell r="L25">
            <v>12.999993999999999</v>
          </cell>
          <cell r="M25">
            <v>0</v>
          </cell>
          <cell r="N25">
            <v>25.200015199999999</v>
          </cell>
          <cell r="O25">
            <v>0</v>
          </cell>
          <cell r="P25">
            <v>600.03000000000009</v>
          </cell>
          <cell r="Q25">
            <v>0</v>
          </cell>
          <cell r="R25">
            <v>263.34999999999997</v>
          </cell>
          <cell r="S25">
            <v>0</v>
          </cell>
          <cell r="T25">
            <v>494.07999999999981</v>
          </cell>
          <cell r="U25">
            <v>0</v>
          </cell>
          <cell r="W25">
            <v>41.171506849315072</v>
          </cell>
          <cell r="X25">
            <v>48</v>
          </cell>
          <cell r="Y25">
            <v>15027.6</v>
          </cell>
          <cell r="Z25">
            <v>17520</v>
          </cell>
          <cell r="AA25">
            <v>0.85773972602739723</v>
          </cell>
          <cell r="AB25">
            <v>0.85773972602739723</v>
          </cell>
          <cell r="AC25">
            <v>4.8999999999999995E-2</v>
          </cell>
          <cell r="AD25">
            <v>0.97821286812962316</v>
          </cell>
          <cell r="AE25">
            <v>3.9889545233998951</v>
          </cell>
          <cell r="AF25">
            <v>1.190476190476235E-2</v>
          </cell>
          <cell r="AG25">
            <v>14.209577256016388</v>
          </cell>
          <cell r="AH25">
            <v>0</v>
          </cell>
          <cell r="AI25">
            <v>22.981614366001025</v>
          </cell>
          <cell r="AJ25">
            <v>0</v>
          </cell>
          <cell r="AK25">
            <v>603.58182285036412</v>
          </cell>
          <cell r="AL25">
            <v>30.190919894854883</v>
          </cell>
          <cell r="AM25">
            <v>254.79303042917951</v>
          </cell>
          <cell r="AN25">
            <v>0</v>
          </cell>
          <cell r="AO25">
            <v>499.77857503501679</v>
          </cell>
          <cell r="AP25">
            <v>0</v>
          </cell>
          <cell r="AR25">
            <v>42.48</v>
          </cell>
          <cell r="AS25">
            <v>48</v>
          </cell>
          <cell r="AT25">
            <v>15547.679999999997</v>
          </cell>
          <cell r="AU25">
            <v>17568</v>
          </cell>
          <cell r="AV25">
            <v>0.88499999999999968</v>
          </cell>
          <cell r="AW25">
            <v>0.88499999999999968</v>
          </cell>
          <cell r="AX25">
            <v>3.0000000000000009E-2</v>
          </cell>
          <cell r="AY25">
            <v>1.0095513842984751</v>
          </cell>
          <cell r="AZ25">
            <v>4.4519039999999999</v>
          </cell>
          <cell r="BA25">
            <v>0</v>
          </cell>
          <cell r="BB25">
            <v>13.958927999999997</v>
          </cell>
          <cell r="BC25">
            <v>0</v>
          </cell>
          <cell r="BD25">
            <v>24.069167999999991</v>
          </cell>
          <cell r="BE25">
            <v>0</v>
          </cell>
          <cell r="BF25">
            <v>628.99000000000012</v>
          </cell>
          <cell r="BG25">
            <v>0</v>
          </cell>
          <cell r="BH25">
            <v>251.40500000000009</v>
          </cell>
          <cell r="BI25">
            <v>0</v>
          </cell>
          <cell r="BJ25">
            <v>509.00000000000011</v>
          </cell>
          <cell r="BK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C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U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M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B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Q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F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R25">
            <v>0</v>
          </cell>
          <cell r="IS25">
            <v>0</v>
          </cell>
          <cell r="IT25">
            <v>0</v>
          </cell>
          <cell r="IU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KA25">
            <v>0</v>
          </cell>
          <cell r="KB25">
            <v>0</v>
          </cell>
          <cell r="KC25">
            <v>0</v>
          </cell>
          <cell r="KE25">
            <v>0</v>
          </cell>
          <cell r="KG25">
            <v>0</v>
          </cell>
          <cell r="KH25">
            <v>0</v>
          </cell>
          <cell r="KI25">
            <v>0</v>
          </cell>
          <cell r="KK25">
            <v>0</v>
          </cell>
          <cell r="KL25">
            <v>0</v>
          </cell>
          <cell r="KM25">
            <v>0</v>
          </cell>
          <cell r="KO25">
            <v>0</v>
          </cell>
          <cell r="KQ25">
            <v>0</v>
          </cell>
          <cell r="KR25">
            <v>0</v>
          </cell>
          <cell r="KS25">
            <v>0</v>
          </cell>
          <cell r="KU25">
            <v>0</v>
          </cell>
          <cell r="KV25">
            <v>0</v>
          </cell>
          <cell r="KW25">
            <v>0</v>
          </cell>
          <cell r="KY25">
            <v>0</v>
          </cell>
          <cell r="LA25">
            <v>0</v>
          </cell>
          <cell r="LB25">
            <v>0</v>
          </cell>
          <cell r="LC25">
            <v>0</v>
          </cell>
          <cell r="LE25" t="str">
            <v>200-61</v>
          </cell>
        </row>
        <row r="26">
          <cell r="B26">
            <v>350.52000000000004</v>
          </cell>
          <cell r="C26">
            <v>372</v>
          </cell>
          <cell r="D26">
            <v>127939.8</v>
          </cell>
          <cell r="E26">
            <v>135780</v>
          </cell>
          <cell r="F26">
            <v>0.94225806451612903</v>
          </cell>
          <cell r="G26">
            <v>0.94225806451612903</v>
          </cell>
          <cell r="H26">
            <v>4.8999999999999995E-2</v>
          </cell>
          <cell r="I26">
            <v>0.94205864461200695</v>
          </cell>
          <cell r="J26">
            <v>5.3999907999999985</v>
          </cell>
          <cell r="K26">
            <v>0</v>
          </cell>
          <cell r="L26">
            <v>12.999993999999999</v>
          </cell>
          <cell r="M26">
            <v>0</v>
          </cell>
          <cell r="N26">
            <v>25.200015199999999</v>
          </cell>
          <cell r="O26">
            <v>0</v>
          </cell>
          <cell r="P26">
            <v>600.03000000000009</v>
          </cell>
          <cell r="Q26">
            <v>0</v>
          </cell>
          <cell r="R26">
            <v>263.34999999999997</v>
          </cell>
          <cell r="S26">
            <v>0</v>
          </cell>
          <cell r="T26">
            <v>494.07999999999981</v>
          </cell>
          <cell r="U26">
            <v>0</v>
          </cell>
          <cell r="W26">
            <v>345.14476712328769</v>
          </cell>
          <cell r="X26">
            <v>372</v>
          </cell>
          <cell r="Y26">
            <v>125977.84</v>
          </cell>
          <cell r="Z26">
            <v>135780</v>
          </cell>
          <cell r="AA26">
            <v>0.9278085137722788</v>
          </cell>
          <cell r="AB26">
            <v>0.9278085137722788</v>
          </cell>
          <cell r="AC26">
            <v>4.8999999999999995E-2</v>
          </cell>
          <cell r="AD26">
            <v>0.90062389455618541</v>
          </cell>
          <cell r="AE26">
            <v>3.9889545233998951</v>
          </cell>
          <cell r="AF26">
            <v>1.190476190476235E-2</v>
          </cell>
          <cell r="AG26">
            <v>14.209577256016388</v>
          </cell>
          <cell r="AH26">
            <v>0</v>
          </cell>
          <cell r="AI26">
            <v>22.981614366001025</v>
          </cell>
          <cell r="AJ26">
            <v>0</v>
          </cell>
          <cell r="AK26">
            <v>603.58182285036412</v>
          </cell>
          <cell r="AL26">
            <v>30.190919894854883</v>
          </cell>
          <cell r="AM26">
            <v>254.79303042917951</v>
          </cell>
          <cell r="AN26">
            <v>0</v>
          </cell>
          <cell r="AO26">
            <v>499.77857503501679</v>
          </cell>
          <cell r="AP26">
            <v>0</v>
          </cell>
          <cell r="AR26">
            <v>345.5</v>
          </cell>
          <cell r="AS26">
            <v>372</v>
          </cell>
          <cell r="AT26">
            <v>126453</v>
          </cell>
          <cell r="AU26">
            <v>136152</v>
          </cell>
          <cell r="AV26">
            <v>0.92876344086021501</v>
          </cell>
          <cell r="AW26">
            <v>0.92876344086021501</v>
          </cell>
          <cell r="AX26">
            <v>3.0000000000000009E-2</v>
          </cell>
          <cell r="AY26">
            <v>0.93937147010397204</v>
          </cell>
          <cell r="AZ26">
            <v>4.4519039999999999</v>
          </cell>
          <cell r="BA26">
            <v>0</v>
          </cell>
          <cell r="BB26">
            <v>13.958927999999997</v>
          </cell>
          <cell r="BC26">
            <v>0</v>
          </cell>
          <cell r="BD26">
            <v>24.069167999999991</v>
          </cell>
          <cell r="BE26">
            <v>0</v>
          </cell>
          <cell r="BF26">
            <v>628.99000000000012</v>
          </cell>
          <cell r="BG26">
            <v>0</v>
          </cell>
          <cell r="BH26">
            <v>251.40500000000009</v>
          </cell>
          <cell r="BI26">
            <v>0</v>
          </cell>
          <cell r="BJ26">
            <v>509.00000000000011</v>
          </cell>
          <cell r="BK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55.000000000000021</v>
          </cell>
          <cell r="BX26">
            <v>36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C26">
            <v>92.000000000000028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1</v>
          </cell>
          <cell r="DO26">
            <v>55.000000000000021</v>
          </cell>
          <cell r="DP26">
            <v>36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U26">
            <v>92.000000000000028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1</v>
          </cell>
          <cell r="FG26">
            <v>55.000000000000007</v>
          </cell>
          <cell r="FH26">
            <v>36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M26">
            <v>92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B26">
            <v>0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Q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F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R26">
            <v>0</v>
          </cell>
          <cell r="IS26">
            <v>0</v>
          </cell>
          <cell r="IT26">
            <v>0</v>
          </cell>
          <cell r="IU26">
            <v>0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KA26">
            <v>0</v>
          </cell>
          <cell r="KB26">
            <v>0</v>
          </cell>
          <cell r="KC26">
            <v>0</v>
          </cell>
          <cell r="KE26">
            <v>0</v>
          </cell>
          <cell r="KG26">
            <v>0</v>
          </cell>
          <cell r="KH26">
            <v>0</v>
          </cell>
          <cell r="KI26">
            <v>0</v>
          </cell>
          <cell r="KK26">
            <v>0</v>
          </cell>
          <cell r="KL26">
            <v>0</v>
          </cell>
          <cell r="KM26">
            <v>0</v>
          </cell>
          <cell r="KO26">
            <v>0</v>
          </cell>
          <cell r="KQ26">
            <v>0</v>
          </cell>
          <cell r="KR26">
            <v>0</v>
          </cell>
          <cell r="KS26">
            <v>0</v>
          </cell>
          <cell r="KU26">
            <v>0</v>
          </cell>
          <cell r="KV26">
            <v>0</v>
          </cell>
          <cell r="KW26">
            <v>0</v>
          </cell>
          <cell r="KY26">
            <v>0</v>
          </cell>
          <cell r="LA26">
            <v>0</v>
          </cell>
          <cell r="LB26">
            <v>0</v>
          </cell>
          <cell r="LC26">
            <v>0</v>
          </cell>
          <cell r="LE26" t="str">
            <v>200-Entity</v>
          </cell>
        </row>
        <row r="27">
          <cell r="B27">
            <v>35</v>
          </cell>
          <cell r="C27">
            <v>36</v>
          </cell>
          <cell r="D27">
            <v>12775</v>
          </cell>
          <cell r="E27">
            <v>13140</v>
          </cell>
          <cell r="F27">
            <v>0.97222222222222221</v>
          </cell>
          <cell r="G27">
            <v>0.97222222222222221</v>
          </cell>
          <cell r="H27">
            <v>0.05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35.123287671232873</v>
          </cell>
          <cell r="X27">
            <v>36</v>
          </cell>
          <cell r="Y27">
            <v>12820</v>
          </cell>
          <cell r="Z27">
            <v>13140</v>
          </cell>
          <cell r="AA27">
            <v>0.9756468797564688</v>
          </cell>
          <cell r="AB27">
            <v>0.9756468797564688</v>
          </cell>
          <cell r="AC27">
            <v>0.05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R27">
            <v>35</v>
          </cell>
          <cell r="AS27">
            <v>36</v>
          </cell>
          <cell r="AT27">
            <v>12810</v>
          </cell>
          <cell r="AU27">
            <v>13176</v>
          </cell>
          <cell r="AV27">
            <v>0.97222222222222221</v>
          </cell>
          <cell r="AW27">
            <v>0.97222222222222221</v>
          </cell>
          <cell r="AX27">
            <v>3.0000000000000009E-2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C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U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M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0</v>
          </cell>
          <cell r="GZ27">
            <v>0</v>
          </cell>
          <cell r="HB27">
            <v>0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Q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F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R27">
            <v>0</v>
          </cell>
          <cell r="IS27">
            <v>0</v>
          </cell>
          <cell r="IT27">
            <v>0</v>
          </cell>
          <cell r="IU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KA27">
            <v>0</v>
          </cell>
          <cell r="KB27">
            <v>0</v>
          </cell>
          <cell r="KC27">
            <v>0</v>
          </cell>
          <cell r="KE27">
            <v>0</v>
          </cell>
          <cell r="KG27">
            <v>0</v>
          </cell>
          <cell r="KH27">
            <v>0</v>
          </cell>
          <cell r="KI27">
            <v>0</v>
          </cell>
          <cell r="KK27">
            <v>0</v>
          </cell>
          <cell r="KL27">
            <v>0</v>
          </cell>
          <cell r="KM27">
            <v>0</v>
          </cell>
          <cell r="KO27">
            <v>0</v>
          </cell>
          <cell r="KQ27">
            <v>0</v>
          </cell>
          <cell r="KR27">
            <v>0</v>
          </cell>
          <cell r="KS27">
            <v>0</v>
          </cell>
          <cell r="KU27">
            <v>0</v>
          </cell>
          <cell r="KV27">
            <v>0</v>
          </cell>
          <cell r="KW27">
            <v>0</v>
          </cell>
          <cell r="KY27">
            <v>0</v>
          </cell>
          <cell r="LA27">
            <v>0</v>
          </cell>
          <cell r="LB27">
            <v>0</v>
          </cell>
          <cell r="LC27">
            <v>0</v>
          </cell>
          <cell r="LE27" t="str">
            <v>324-21</v>
          </cell>
        </row>
        <row r="28">
          <cell r="B28">
            <v>117.5</v>
          </cell>
          <cell r="C28">
            <v>123</v>
          </cell>
          <cell r="D28">
            <v>42887.5</v>
          </cell>
          <cell r="E28">
            <v>44895</v>
          </cell>
          <cell r="F28">
            <v>0.95528455284552838</v>
          </cell>
          <cell r="G28">
            <v>0.95528455284552838</v>
          </cell>
          <cell r="H28">
            <v>0.05</v>
          </cell>
          <cell r="I28">
            <v>1.1073828996987918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111.27671232876712</v>
          </cell>
          <cell r="X28">
            <v>123</v>
          </cell>
          <cell r="Y28">
            <v>40616</v>
          </cell>
          <cell r="Z28">
            <v>44895</v>
          </cell>
          <cell r="AA28">
            <v>0.90468871812005802</v>
          </cell>
          <cell r="AB28">
            <v>0.90468871812005802</v>
          </cell>
          <cell r="AC28">
            <v>0.05</v>
          </cell>
          <cell r="AD28">
            <v>1.1140695400841307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R28">
            <v>111.93</v>
          </cell>
          <cell r="AS28">
            <v>123</v>
          </cell>
          <cell r="AT28">
            <v>40966.380000000012</v>
          </cell>
          <cell r="AU28">
            <v>45018</v>
          </cell>
          <cell r="AV28">
            <v>0.91000000000000036</v>
          </cell>
          <cell r="AW28">
            <v>0.91000000000000036</v>
          </cell>
          <cell r="AX28">
            <v>3.0000000000000009E-2</v>
          </cell>
          <cell r="AY28">
            <v>1.1421201566538928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1</v>
          </cell>
          <cell r="CY28">
            <v>0</v>
          </cell>
          <cell r="CZ28">
            <v>0</v>
          </cell>
          <cell r="DA28">
            <v>13.999999999999998</v>
          </cell>
          <cell r="DC28">
            <v>14.999999999999998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1</v>
          </cell>
          <cell r="EQ28">
            <v>0</v>
          </cell>
          <cell r="ER28">
            <v>0</v>
          </cell>
          <cell r="ES28">
            <v>13.999999999999998</v>
          </cell>
          <cell r="EU28">
            <v>14.999999999999998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10.999999999999998</v>
          </cell>
          <cell r="GM28">
            <v>10.999999999999998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0</v>
          </cell>
          <cell r="HB28">
            <v>0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Q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F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R28">
            <v>0</v>
          </cell>
          <cell r="IS28">
            <v>0</v>
          </cell>
          <cell r="IT28">
            <v>0</v>
          </cell>
          <cell r="IU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KA28">
            <v>0</v>
          </cell>
          <cell r="KB28">
            <v>0</v>
          </cell>
          <cell r="KC28">
            <v>0</v>
          </cell>
          <cell r="KE28">
            <v>0</v>
          </cell>
          <cell r="KG28">
            <v>0</v>
          </cell>
          <cell r="KH28">
            <v>0</v>
          </cell>
          <cell r="KI28">
            <v>0</v>
          </cell>
          <cell r="KK28">
            <v>0</v>
          </cell>
          <cell r="KL28">
            <v>0</v>
          </cell>
          <cell r="KM28">
            <v>0</v>
          </cell>
          <cell r="KO28">
            <v>0</v>
          </cell>
          <cell r="KQ28">
            <v>0</v>
          </cell>
          <cell r="KR28">
            <v>0</v>
          </cell>
          <cell r="KS28">
            <v>0</v>
          </cell>
          <cell r="KU28">
            <v>0</v>
          </cell>
          <cell r="KV28">
            <v>0</v>
          </cell>
          <cell r="KW28">
            <v>0</v>
          </cell>
          <cell r="KY28">
            <v>0</v>
          </cell>
          <cell r="LA28">
            <v>0</v>
          </cell>
          <cell r="LB28">
            <v>0</v>
          </cell>
          <cell r="LC28">
            <v>0</v>
          </cell>
          <cell r="LE28" t="str">
            <v>324-31</v>
          </cell>
        </row>
        <row r="29">
          <cell r="B29">
            <v>32.549999999999997</v>
          </cell>
          <cell r="C29">
            <v>35</v>
          </cell>
          <cell r="D29">
            <v>11880.749999999998</v>
          </cell>
          <cell r="E29">
            <v>12775</v>
          </cell>
          <cell r="F29">
            <v>0.92999999999999983</v>
          </cell>
          <cell r="G29">
            <v>0.92999999999999983</v>
          </cell>
          <cell r="H29">
            <v>0.05</v>
          </cell>
          <cell r="I29">
            <v>1.2325119953115329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33.441095890410956</v>
          </cell>
          <cell r="X29">
            <v>35</v>
          </cell>
          <cell r="Y29">
            <v>12206</v>
          </cell>
          <cell r="Z29">
            <v>12775</v>
          </cell>
          <cell r="AA29">
            <v>0.95545988258317038</v>
          </cell>
          <cell r="AB29">
            <v>0.95545988258317038</v>
          </cell>
          <cell r="AC29">
            <v>0.05</v>
          </cell>
          <cell r="AD29">
            <v>1.1612715145804271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R29">
            <v>33</v>
          </cell>
          <cell r="AS29">
            <v>35</v>
          </cell>
          <cell r="AT29">
            <v>12078</v>
          </cell>
          <cell r="AU29">
            <v>12810</v>
          </cell>
          <cell r="AV29">
            <v>0.94285714285714284</v>
          </cell>
          <cell r="AW29">
            <v>0.94285714285714284</v>
          </cell>
          <cell r="AX29">
            <v>3.0000000000000009E-2</v>
          </cell>
          <cell r="AY29">
            <v>1.1761179337711969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C29">
            <v>1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1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U29">
            <v>1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M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B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Q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F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R29">
            <v>0</v>
          </cell>
          <cell r="IS29">
            <v>0</v>
          </cell>
          <cell r="IT29">
            <v>0</v>
          </cell>
          <cell r="IU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KA29">
            <v>0</v>
          </cell>
          <cell r="KB29">
            <v>0</v>
          </cell>
          <cell r="KC29">
            <v>0</v>
          </cell>
          <cell r="KE29">
            <v>0</v>
          </cell>
          <cell r="KG29">
            <v>0</v>
          </cell>
          <cell r="KH29">
            <v>0</v>
          </cell>
          <cell r="KI29">
            <v>0</v>
          </cell>
          <cell r="KK29">
            <v>0</v>
          </cell>
          <cell r="KL29">
            <v>0</v>
          </cell>
          <cell r="KM29">
            <v>0</v>
          </cell>
          <cell r="KO29">
            <v>0</v>
          </cell>
          <cell r="KQ29">
            <v>0</v>
          </cell>
          <cell r="KR29">
            <v>0</v>
          </cell>
          <cell r="KS29">
            <v>0</v>
          </cell>
          <cell r="KU29">
            <v>0</v>
          </cell>
          <cell r="KV29">
            <v>0</v>
          </cell>
          <cell r="KW29">
            <v>0</v>
          </cell>
          <cell r="KY29">
            <v>0</v>
          </cell>
          <cell r="LA29">
            <v>0</v>
          </cell>
          <cell r="LB29">
            <v>0</v>
          </cell>
          <cell r="LC29">
            <v>0</v>
          </cell>
          <cell r="LE29" t="str">
            <v>324-51</v>
          </cell>
        </row>
        <row r="30">
          <cell r="B30">
            <v>70.5</v>
          </cell>
          <cell r="C30">
            <v>76</v>
          </cell>
          <cell r="D30">
            <v>25732.5</v>
          </cell>
          <cell r="E30">
            <v>27740</v>
          </cell>
          <cell r="F30">
            <v>0.92763157894736836</v>
          </cell>
          <cell r="G30">
            <v>0.92763157894736836</v>
          </cell>
          <cell r="H30">
            <v>0.05</v>
          </cell>
          <cell r="I30">
            <v>1.0141507438089989</v>
          </cell>
          <cell r="J30">
            <v>4.0000289999999987</v>
          </cell>
          <cell r="K30">
            <v>2.0000144999999994</v>
          </cell>
          <cell r="L30">
            <v>24.000032999999998</v>
          </cell>
          <cell r="M30">
            <v>0</v>
          </cell>
          <cell r="N30">
            <v>40.499994000000008</v>
          </cell>
          <cell r="O30">
            <v>0</v>
          </cell>
          <cell r="P30">
            <v>509.62999999999988</v>
          </cell>
          <cell r="Q30">
            <v>419.99999999999994</v>
          </cell>
          <cell r="R30">
            <v>249.99999999999997</v>
          </cell>
          <cell r="S30">
            <v>0</v>
          </cell>
          <cell r="T30">
            <v>403.00999999999988</v>
          </cell>
          <cell r="U30">
            <v>0</v>
          </cell>
          <cell r="W30">
            <v>72.190626756604829</v>
          </cell>
          <cell r="X30">
            <v>78.034851039910066</v>
          </cell>
          <cell r="Y30">
            <v>26339.5</v>
          </cell>
          <cell r="Z30">
            <v>28464</v>
          </cell>
          <cell r="AA30">
            <v>0.92536186059584036</v>
          </cell>
          <cell r="AB30">
            <v>0.94951333813987038</v>
          </cell>
          <cell r="AC30">
            <v>0.05</v>
          </cell>
          <cell r="AD30">
            <v>0.95274320469745022</v>
          </cell>
          <cell r="AE30">
            <v>2.4194894162826359</v>
          </cell>
          <cell r="AF30">
            <v>1.8276303236047069</v>
          </cell>
          <cell r="AG30">
            <v>28.631273405017922</v>
          </cell>
          <cell r="AH30">
            <v>0.10253456221198344</v>
          </cell>
          <cell r="AI30">
            <v>39.188275156170008</v>
          </cell>
          <cell r="AJ30">
            <v>0</v>
          </cell>
          <cell r="AK30">
            <v>494.9852101477033</v>
          </cell>
          <cell r="AL30">
            <v>391.43258830205122</v>
          </cell>
          <cell r="AM30">
            <v>272.4514948133197</v>
          </cell>
          <cell r="AN30">
            <v>257.09355263951659</v>
          </cell>
          <cell r="AO30">
            <v>408.88412331631673</v>
          </cell>
          <cell r="AP30">
            <v>0</v>
          </cell>
          <cell r="AR30">
            <v>72.199999999999989</v>
          </cell>
          <cell r="AS30">
            <v>76</v>
          </cell>
          <cell r="AT30">
            <v>26425.200000000004</v>
          </cell>
          <cell r="AU30">
            <v>27816</v>
          </cell>
          <cell r="AV30">
            <v>0.95000000000000018</v>
          </cell>
          <cell r="AW30">
            <v>0.95000000000000018</v>
          </cell>
          <cell r="AX30">
            <v>3.0000000000000009E-2</v>
          </cell>
          <cell r="AY30">
            <v>0.97795726244426839</v>
          </cell>
          <cell r="AZ30">
            <v>2.4547999999999996</v>
          </cell>
          <cell r="BA30">
            <v>1.9782800000000005</v>
          </cell>
          <cell r="BB30">
            <v>28.002770000000002</v>
          </cell>
          <cell r="BC30">
            <v>0</v>
          </cell>
          <cell r="BD30">
            <v>39.764149999999994</v>
          </cell>
          <cell r="BE30">
            <v>0</v>
          </cell>
          <cell r="BF30">
            <v>523.21999999999991</v>
          </cell>
          <cell r="BG30">
            <v>446.87999999999988</v>
          </cell>
          <cell r="BH30">
            <v>272.29999999999995</v>
          </cell>
          <cell r="BI30">
            <v>292.39521857923489</v>
          </cell>
          <cell r="BJ30">
            <v>415.33999999999986</v>
          </cell>
          <cell r="BK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C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U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M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B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Q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F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R30">
            <v>0</v>
          </cell>
          <cell r="IS30">
            <v>0</v>
          </cell>
          <cell r="IT30">
            <v>0</v>
          </cell>
          <cell r="IU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KA30">
            <v>0</v>
          </cell>
          <cell r="KB30">
            <v>0</v>
          </cell>
          <cell r="KC30">
            <v>0</v>
          </cell>
          <cell r="KE30">
            <v>0</v>
          </cell>
          <cell r="KG30">
            <v>0</v>
          </cell>
          <cell r="KH30">
            <v>0</v>
          </cell>
          <cell r="KI30">
            <v>0</v>
          </cell>
          <cell r="KK30">
            <v>0</v>
          </cell>
          <cell r="KL30">
            <v>0</v>
          </cell>
          <cell r="KM30">
            <v>0</v>
          </cell>
          <cell r="KO30">
            <v>0</v>
          </cell>
          <cell r="KQ30">
            <v>0</v>
          </cell>
          <cell r="KR30">
            <v>0</v>
          </cell>
          <cell r="KS30">
            <v>0</v>
          </cell>
          <cell r="KU30">
            <v>0</v>
          </cell>
          <cell r="KV30">
            <v>0</v>
          </cell>
          <cell r="KW30">
            <v>0</v>
          </cell>
          <cell r="KY30">
            <v>0</v>
          </cell>
          <cell r="LA30">
            <v>0</v>
          </cell>
          <cell r="LB30">
            <v>0</v>
          </cell>
          <cell r="LC30">
            <v>0</v>
          </cell>
          <cell r="LE30" t="str">
            <v>324-61</v>
          </cell>
        </row>
        <row r="31">
          <cell r="B31">
            <v>255.55</v>
          </cell>
          <cell r="C31">
            <v>270</v>
          </cell>
          <cell r="D31">
            <v>93275.75</v>
          </cell>
          <cell r="E31">
            <v>98550</v>
          </cell>
          <cell r="F31">
            <v>0.94648148148148159</v>
          </cell>
          <cell r="G31">
            <v>0.94648148148148159</v>
          </cell>
          <cell r="H31">
            <v>0.05</v>
          </cell>
          <cell r="I31">
            <v>1.0074429367544899</v>
          </cell>
          <cell r="J31">
            <v>4.0000289999999987</v>
          </cell>
          <cell r="K31">
            <v>2.0000144999999994</v>
          </cell>
          <cell r="L31">
            <v>24.000032999999998</v>
          </cell>
          <cell r="M31">
            <v>0</v>
          </cell>
          <cell r="N31">
            <v>40.499994000000008</v>
          </cell>
          <cell r="O31">
            <v>0</v>
          </cell>
          <cell r="P31">
            <v>509.62999999999988</v>
          </cell>
          <cell r="Q31">
            <v>419.99999999999994</v>
          </cell>
          <cell r="R31">
            <v>249.99999999999997</v>
          </cell>
          <cell r="S31">
            <v>0</v>
          </cell>
          <cell r="T31">
            <v>403.00999999999988</v>
          </cell>
          <cell r="U31">
            <v>0</v>
          </cell>
          <cell r="W31">
            <v>252.01334689848295</v>
          </cell>
          <cell r="X31">
            <v>271.99826742147997</v>
          </cell>
          <cell r="Y31">
            <v>91981.5</v>
          </cell>
          <cell r="Z31">
            <v>99274</v>
          </cell>
          <cell r="AA31">
            <v>0.92654169268892161</v>
          </cell>
          <cell r="AB31">
            <v>0.9333485540334856</v>
          </cell>
          <cell r="AC31">
            <v>0.05</v>
          </cell>
          <cell r="AD31">
            <v>0.96906071967082996</v>
          </cell>
          <cell r="AE31">
            <v>2.4194894162826359</v>
          </cell>
          <cell r="AF31">
            <v>1.8276303236047069</v>
          </cell>
          <cell r="AG31">
            <v>28.631273405017922</v>
          </cell>
          <cell r="AH31">
            <v>0.10253456221198344</v>
          </cell>
          <cell r="AI31">
            <v>39.188275156170008</v>
          </cell>
          <cell r="AJ31">
            <v>0</v>
          </cell>
          <cell r="AK31">
            <v>494.9852101477033</v>
          </cell>
          <cell r="AL31">
            <v>391.43258830205122</v>
          </cell>
          <cell r="AM31">
            <v>272.4514948133197</v>
          </cell>
          <cell r="AN31">
            <v>257.09355263951659</v>
          </cell>
          <cell r="AO31">
            <v>408.88412331631673</v>
          </cell>
          <cell r="AP31">
            <v>0</v>
          </cell>
          <cell r="AR31">
            <v>252.13</v>
          </cell>
          <cell r="AS31">
            <v>270</v>
          </cell>
          <cell r="AT31">
            <v>92279.58</v>
          </cell>
          <cell r="AU31">
            <v>98820</v>
          </cell>
          <cell r="AV31">
            <v>0.93381481481481476</v>
          </cell>
          <cell r="AW31">
            <v>0.93381481481481476</v>
          </cell>
          <cell r="AX31">
            <v>3.0000000000000009E-2</v>
          </cell>
          <cell r="AY31">
            <v>0.989231193022438</v>
          </cell>
          <cell r="AZ31">
            <v>2.4547999999999996</v>
          </cell>
          <cell r="BA31">
            <v>1.9782800000000005</v>
          </cell>
          <cell r="BB31">
            <v>28.002770000000002</v>
          </cell>
          <cell r="BC31">
            <v>0</v>
          </cell>
          <cell r="BD31">
            <v>39.764149999999994</v>
          </cell>
          <cell r="BE31">
            <v>0</v>
          </cell>
          <cell r="BF31">
            <v>523.21999999999991</v>
          </cell>
          <cell r="BG31">
            <v>446.87999999999988</v>
          </cell>
          <cell r="BH31">
            <v>272.29999999999995</v>
          </cell>
          <cell r="BI31">
            <v>292.39521857923489</v>
          </cell>
          <cell r="BJ31">
            <v>415.33999999999986</v>
          </cell>
          <cell r="BK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1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1</v>
          </cell>
          <cell r="CY31">
            <v>0</v>
          </cell>
          <cell r="CZ31">
            <v>0</v>
          </cell>
          <cell r="DA31">
            <v>13.999999999999998</v>
          </cell>
          <cell r="DC31">
            <v>15.999999999999998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1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1</v>
          </cell>
          <cell r="EQ31">
            <v>0</v>
          </cell>
          <cell r="ER31">
            <v>0</v>
          </cell>
          <cell r="ES31">
            <v>13.999999999999998</v>
          </cell>
          <cell r="EU31">
            <v>15.999999999999998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10.999999999999998</v>
          </cell>
          <cell r="GM31">
            <v>10.999999999999998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0</v>
          </cell>
          <cell r="GZ31">
            <v>0</v>
          </cell>
          <cell r="HB31">
            <v>0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Q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F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R31">
            <v>0</v>
          </cell>
          <cell r="IS31">
            <v>0</v>
          </cell>
          <cell r="IT31">
            <v>0</v>
          </cell>
          <cell r="IU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KA31">
            <v>0</v>
          </cell>
          <cell r="KB31">
            <v>0</v>
          </cell>
          <cell r="KC31">
            <v>0</v>
          </cell>
          <cell r="KE31">
            <v>0</v>
          </cell>
          <cell r="KG31">
            <v>0</v>
          </cell>
          <cell r="KH31">
            <v>0</v>
          </cell>
          <cell r="KI31">
            <v>0</v>
          </cell>
          <cell r="KK31">
            <v>0</v>
          </cell>
          <cell r="KL31">
            <v>0</v>
          </cell>
          <cell r="KM31">
            <v>0</v>
          </cell>
          <cell r="KO31">
            <v>0</v>
          </cell>
          <cell r="KQ31">
            <v>0</v>
          </cell>
          <cell r="KR31">
            <v>0</v>
          </cell>
          <cell r="KS31">
            <v>0</v>
          </cell>
          <cell r="KU31">
            <v>0</v>
          </cell>
          <cell r="KV31">
            <v>0</v>
          </cell>
          <cell r="KW31">
            <v>0</v>
          </cell>
          <cell r="KY31">
            <v>0</v>
          </cell>
          <cell r="LA31">
            <v>0</v>
          </cell>
          <cell r="LB31">
            <v>0</v>
          </cell>
          <cell r="LC31">
            <v>0</v>
          </cell>
          <cell r="LE31" t="str">
            <v>324-Entity</v>
          </cell>
        </row>
        <row r="32">
          <cell r="B32">
            <v>35.520000000000003</v>
          </cell>
          <cell r="C32">
            <v>37</v>
          </cell>
          <cell r="D32">
            <v>12964.800000000005</v>
          </cell>
          <cell r="E32">
            <v>13505</v>
          </cell>
          <cell r="F32">
            <v>0.96000000000000019</v>
          </cell>
          <cell r="G32">
            <v>0.96000000000000019</v>
          </cell>
          <cell r="H32">
            <v>7.9999999999999988E-2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35.789041095890411</v>
          </cell>
          <cell r="X32">
            <v>37</v>
          </cell>
          <cell r="Y32">
            <v>13063</v>
          </cell>
          <cell r="Z32">
            <v>13505</v>
          </cell>
          <cell r="AA32">
            <v>0.9672713809700112</v>
          </cell>
          <cell r="AB32">
            <v>0.9672713809700112</v>
          </cell>
          <cell r="AC32">
            <v>7.9999999999999988E-2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35.334999999999994</v>
          </cell>
          <cell r="AS32">
            <v>37</v>
          </cell>
          <cell r="AT32">
            <v>12932.61</v>
          </cell>
          <cell r="AU32">
            <v>13542</v>
          </cell>
          <cell r="AV32">
            <v>0.95499999999999996</v>
          </cell>
          <cell r="AW32">
            <v>0.95499999999999996</v>
          </cell>
          <cell r="AX32">
            <v>3.0000000000000009E-2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19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C32">
            <v>19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19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U32">
            <v>19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21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0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M32">
            <v>21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B32">
            <v>0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Q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F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R32">
            <v>0</v>
          </cell>
          <cell r="IS32">
            <v>0</v>
          </cell>
          <cell r="IT32">
            <v>0</v>
          </cell>
          <cell r="IU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G32">
            <v>0</v>
          </cell>
          <cell r="JH32">
            <v>0</v>
          </cell>
          <cell r="JI32">
            <v>0</v>
          </cell>
          <cell r="JJ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KA32">
            <v>10.999999999999998</v>
          </cell>
          <cell r="KB32">
            <v>39.000000000000007</v>
          </cell>
          <cell r="KC32">
            <v>6</v>
          </cell>
          <cell r="KE32">
            <v>19</v>
          </cell>
          <cell r="KG32">
            <v>10.999999999999998</v>
          </cell>
          <cell r="KH32">
            <v>20.000000000000007</v>
          </cell>
          <cell r="KI32">
            <v>6</v>
          </cell>
          <cell r="KK32">
            <v>10.999999999999998</v>
          </cell>
          <cell r="KL32">
            <v>39.000000000000007</v>
          </cell>
          <cell r="KM32">
            <v>6</v>
          </cell>
          <cell r="KO32">
            <v>19</v>
          </cell>
          <cell r="KQ32">
            <v>10.999999999999998</v>
          </cell>
          <cell r="KR32">
            <v>20.000000000000007</v>
          </cell>
          <cell r="KS32">
            <v>6</v>
          </cell>
          <cell r="KU32">
            <v>10.999999999999998</v>
          </cell>
          <cell r="KV32">
            <v>41.000000000000014</v>
          </cell>
          <cell r="KW32">
            <v>6</v>
          </cell>
          <cell r="KY32">
            <v>21</v>
          </cell>
          <cell r="LA32">
            <v>10.999999999999998</v>
          </cell>
          <cell r="LB32">
            <v>20.000000000000014</v>
          </cell>
          <cell r="LC32">
            <v>6</v>
          </cell>
          <cell r="LE32" t="str">
            <v>650-21</v>
          </cell>
        </row>
        <row r="33">
          <cell r="B33">
            <v>34.560000000000009</v>
          </cell>
          <cell r="C33">
            <v>36</v>
          </cell>
          <cell r="D33">
            <v>12614.4</v>
          </cell>
          <cell r="E33">
            <v>13140</v>
          </cell>
          <cell r="F33">
            <v>0.96</v>
          </cell>
          <cell r="G33">
            <v>0.96</v>
          </cell>
          <cell r="H33">
            <v>7.9999999999999988E-2</v>
          </cell>
          <cell r="I33">
            <v>3.538471467610699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34.778082191780825</v>
          </cell>
          <cell r="X33">
            <v>36</v>
          </cell>
          <cell r="Y33">
            <v>12694</v>
          </cell>
          <cell r="Z33">
            <v>13140</v>
          </cell>
          <cell r="AA33">
            <v>0.96605783866057837</v>
          </cell>
          <cell r="AB33">
            <v>0.96605783866057837</v>
          </cell>
          <cell r="AC33">
            <v>7.9999999999999988E-2</v>
          </cell>
          <cell r="AD33">
            <v>3.4574188844680078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34.523999999999987</v>
          </cell>
          <cell r="AS33">
            <v>36</v>
          </cell>
          <cell r="AT33">
            <v>12635.784</v>
          </cell>
          <cell r="AU33">
            <v>13176</v>
          </cell>
          <cell r="AV33">
            <v>0.95899999999999996</v>
          </cell>
          <cell r="AW33">
            <v>0.95899999999999996</v>
          </cell>
          <cell r="AX33">
            <v>3.0000000000000009E-2</v>
          </cell>
          <cell r="AY33">
            <v>3.536855725315676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8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C33">
            <v>8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8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U33">
            <v>8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6.9999999999999991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M33">
            <v>6.9999999999999991</v>
          </cell>
          <cell r="GO33">
            <v>0</v>
          </cell>
          <cell r="GP33">
            <v>0</v>
          </cell>
          <cell r="GQ33">
            <v>0</v>
          </cell>
          <cell r="GR33">
            <v>0</v>
          </cell>
          <cell r="GS33">
            <v>0</v>
          </cell>
          <cell r="GT33">
            <v>0</v>
          </cell>
          <cell r="GU33">
            <v>0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B33">
            <v>0</v>
          </cell>
          <cell r="HD33">
            <v>0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Q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F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R33">
            <v>0</v>
          </cell>
          <cell r="IS33">
            <v>0</v>
          </cell>
          <cell r="IT33">
            <v>0</v>
          </cell>
          <cell r="IU33">
            <v>0</v>
          </cell>
          <cell r="IW33">
            <v>0</v>
          </cell>
          <cell r="IX33">
            <v>0</v>
          </cell>
          <cell r="IY33">
            <v>0</v>
          </cell>
          <cell r="IZ33">
            <v>0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0</v>
          </cell>
          <cell r="JL33">
            <v>0</v>
          </cell>
          <cell r="JM33">
            <v>0</v>
          </cell>
          <cell r="JN33">
            <v>0</v>
          </cell>
          <cell r="JO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KA33">
            <v>0</v>
          </cell>
          <cell r="KB33">
            <v>0</v>
          </cell>
          <cell r="KC33">
            <v>0</v>
          </cell>
          <cell r="KE33">
            <v>0</v>
          </cell>
          <cell r="KG33">
            <v>0</v>
          </cell>
          <cell r="KH33">
            <v>0</v>
          </cell>
          <cell r="KI33">
            <v>0</v>
          </cell>
          <cell r="KK33">
            <v>0</v>
          </cell>
          <cell r="KL33">
            <v>0</v>
          </cell>
          <cell r="KM33">
            <v>0</v>
          </cell>
          <cell r="KO33">
            <v>0</v>
          </cell>
          <cell r="KQ33">
            <v>0</v>
          </cell>
          <cell r="KR33">
            <v>0</v>
          </cell>
          <cell r="KS33">
            <v>0</v>
          </cell>
          <cell r="KU33">
            <v>0</v>
          </cell>
          <cell r="KV33">
            <v>0</v>
          </cell>
          <cell r="KW33">
            <v>0</v>
          </cell>
          <cell r="KY33">
            <v>0</v>
          </cell>
          <cell r="LA33">
            <v>0</v>
          </cell>
          <cell r="LB33">
            <v>0</v>
          </cell>
          <cell r="LC33">
            <v>0</v>
          </cell>
          <cell r="LE33" t="str">
            <v>650-31</v>
          </cell>
        </row>
        <row r="34">
          <cell r="B34">
            <v>64.240000000000009</v>
          </cell>
          <cell r="C34">
            <v>73</v>
          </cell>
          <cell r="D34">
            <v>23447.599999999999</v>
          </cell>
          <cell r="E34">
            <v>26645</v>
          </cell>
          <cell r="F34">
            <v>0.87999999999999989</v>
          </cell>
          <cell r="G34">
            <v>0.87999999999999989</v>
          </cell>
          <cell r="H34">
            <v>7.9999999999999988E-2</v>
          </cell>
          <cell r="I34">
            <v>1.4567744529699995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57.602739726027394</v>
          </cell>
          <cell r="X34">
            <v>73</v>
          </cell>
          <cell r="Y34">
            <v>21025</v>
          </cell>
          <cell r="Z34">
            <v>26645</v>
          </cell>
          <cell r="AA34">
            <v>0.789078626383937</v>
          </cell>
          <cell r="AB34">
            <v>0.789078626383937</v>
          </cell>
          <cell r="AC34">
            <v>7.9999999999999988E-2</v>
          </cell>
          <cell r="AD34">
            <v>1.3742104479015071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62.05</v>
          </cell>
          <cell r="AS34">
            <v>73</v>
          </cell>
          <cell r="AT34">
            <v>22710.299999999996</v>
          </cell>
          <cell r="AU34">
            <v>26718</v>
          </cell>
          <cell r="AV34">
            <v>0.84999999999999987</v>
          </cell>
          <cell r="AW34">
            <v>0.84999999999999987</v>
          </cell>
          <cell r="AX34">
            <v>3.0000000000000009E-2</v>
          </cell>
          <cell r="AY34">
            <v>1.4579186901663568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1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C34">
            <v>1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1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U34">
            <v>1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1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M34">
            <v>1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B34">
            <v>0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Q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F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R34">
            <v>0</v>
          </cell>
          <cell r="IS34">
            <v>0</v>
          </cell>
          <cell r="IT34">
            <v>0</v>
          </cell>
          <cell r="IU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KA34">
            <v>0</v>
          </cell>
          <cell r="KB34">
            <v>0</v>
          </cell>
          <cell r="KC34">
            <v>0</v>
          </cell>
          <cell r="KE34">
            <v>0</v>
          </cell>
          <cell r="KG34">
            <v>0</v>
          </cell>
          <cell r="KH34">
            <v>0</v>
          </cell>
          <cell r="KI34">
            <v>0</v>
          </cell>
          <cell r="KK34">
            <v>0</v>
          </cell>
          <cell r="KL34">
            <v>0</v>
          </cell>
          <cell r="KM34">
            <v>0</v>
          </cell>
          <cell r="KO34">
            <v>0</v>
          </cell>
          <cell r="KQ34">
            <v>0</v>
          </cell>
          <cell r="KR34">
            <v>0</v>
          </cell>
          <cell r="KS34">
            <v>0</v>
          </cell>
          <cell r="KU34">
            <v>0</v>
          </cell>
          <cell r="KV34">
            <v>0</v>
          </cell>
          <cell r="KW34">
            <v>0</v>
          </cell>
          <cell r="KY34">
            <v>0</v>
          </cell>
          <cell r="LA34">
            <v>0</v>
          </cell>
          <cell r="LB34">
            <v>0</v>
          </cell>
          <cell r="LC34">
            <v>0</v>
          </cell>
          <cell r="LE34" t="str">
            <v>650-51</v>
          </cell>
        </row>
        <row r="35">
          <cell r="B35">
            <v>36.780821917808218</v>
          </cell>
          <cell r="C35">
            <v>44</v>
          </cell>
          <cell r="D35">
            <v>13425</v>
          </cell>
          <cell r="E35">
            <v>16060</v>
          </cell>
          <cell r="F35">
            <v>0.83592777085927772</v>
          </cell>
          <cell r="G35">
            <v>0.83592777085927772</v>
          </cell>
          <cell r="H35">
            <v>7.9999999999999988E-2</v>
          </cell>
          <cell r="I35">
            <v>0.5765973113922882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18.772602739726029</v>
          </cell>
          <cell r="X35">
            <v>44</v>
          </cell>
          <cell r="Y35">
            <v>6852</v>
          </cell>
          <cell r="Z35">
            <v>16060</v>
          </cell>
          <cell r="AA35">
            <v>0.4266500622665006</v>
          </cell>
          <cell r="AB35">
            <v>0.4266500622665006</v>
          </cell>
          <cell r="AC35">
            <v>7.9999999999999988E-2</v>
          </cell>
          <cell r="AD35">
            <v>0.9490544931107322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26.4</v>
          </cell>
          <cell r="AS35">
            <v>44</v>
          </cell>
          <cell r="AT35">
            <v>9662.4</v>
          </cell>
          <cell r="AU35">
            <v>16104</v>
          </cell>
          <cell r="AV35">
            <v>0.6</v>
          </cell>
          <cell r="AW35">
            <v>0.6</v>
          </cell>
          <cell r="AX35">
            <v>3.0000000000000009E-2</v>
          </cell>
          <cell r="AY35">
            <v>0.79597820460048008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M35">
            <v>0</v>
          </cell>
          <cell r="BN35">
            <v>1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C35">
            <v>1</v>
          </cell>
          <cell r="DE35">
            <v>0</v>
          </cell>
          <cell r="DF35">
            <v>1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U35">
            <v>1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M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B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Q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F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R35">
            <v>0</v>
          </cell>
          <cell r="IS35">
            <v>0</v>
          </cell>
          <cell r="IT35">
            <v>0</v>
          </cell>
          <cell r="IU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KA35">
            <v>0</v>
          </cell>
          <cell r="KB35">
            <v>0</v>
          </cell>
          <cell r="KC35">
            <v>0</v>
          </cell>
          <cell r="KE35">
            <v>0</v>
          </cell>
          <cell r="KG35">
            <v>0</v>
          </cell>
          <cell r="KH35">
            <v>0</v>
          </cell>
          <cell r="KI35">
            <v>0</v>
          </cell>
          <cell r="KK35">
            <v>0</v>
          </cell>
          <cell r="KL35">
            <v>0</v>
          </cell>
          <cell r="KM35">
            <v>0</v>
          </cell>
          <cell r="KO35">
            <v>0</v>
          </cell>
          <cell r="KQ35">
            <v>0</v>
          </cell>
          <cell r="KR35">
            <v>0</v>
          </cell>
          <cell r="KS35">
            <v>0</v>
          </cell>
          <cell r="KU35">
            <v>0</v>
          </cell>
          <cell r="KV35">
            <v>0</v>
          </cell>
          <cell r="KW35">
            <v>0</v>
          </cell>
          <cell r="KY35">
            <v>0</v>
          </cell>
          <cell r="LA35">
            <v>0</v>
          </cell>
          <cell r="LB35">
            <v>0</v>
          </cell>
          <cell r="LC35">
            <v>0</v>
          </cell>
          <cell r="LE35" t="str">
            <v>650-52</v>
          </cell>
        </row>
        <row r="36">
          <cell r="B36">
            <v>87.300000000000011</v>
          </cell>
          <cell r="C36">
            <v>97</v>
          </cell>
          <cell r="D36">
            <v>31864.499999999996</v>
          </cell>
          <cell r="E36">
            <v>35405</v>
          </cell>
          <cell r="F36">
            <v>0.89999999999999991</v>
          </cell>
          <cell r="G36">
            <v>0.89999999999999991</v>
          </cell>
          <cell r="H36">
            <v>7.9999999999999988E-2</v>
          </cell>
          <cell r="I36">
            <v>1.616439831896753</v>
          </cell>
          <cell r="J36">
            <v>9.0000189000000006</v>
          </cell>
          <cell r="K36">
            <v>10.0000404</v>
          </cell>
          <cell r="L36">
            <v>61.000002000000002</v>
          </cell>
          <cell r="M36">
            <v>0</v>
          </cell>
          <cell r="N36">
            <v>5.2999829999999992</v>
          </cell>
          <cell r="O36">
            <v>1.9991699999999997</v>
          </cell>
          <cell r="P36">
            <v>482.57</v>
          </cell>
          <cell r="Q36">
            <v>334.43000000000012</v>
          </cell>
          <cell r="R36">
            <v>219.58000000000004</v>
          </cell>
          <cell r="S36">
            <v>330</v>
          </cell>
          <cell r="T36">
            <v>312.53000000000003</v>
          </cell>
          <cell r="U36">
            <v>220.55000000000007</v>
          </cell>
          <cell r="W36">
            <v>75.545205479452051</v>
          </cell>
          <cell r="X36">
            <v>97</v>
          </cell>
          <cell r="Y36">
            <v>27574</v>
          </cell>
          <cell r="Z36">
            <v>35405</v>
          </cell>
          <cell r="AA36">
            <v>0.77881655133455729</v>
          </cell>
          <cell r="AB36">
            <v>0.77881655133455729</v>
          </cell>
          <cell r="AC36">
            <v>7.9999999999999988E-2</v>
          </cell>
          <cell r="AD36">
            <v>1.8309336644635976</v>
          </cell>
          <cell r="AE36">
            <v>4.1394734064260099</v>
          </cell>
          <cell r="AF36">
            <v>5.2098663312851974</v>
          </cell>
          <cell r="AG36">
            <v>50.952564421402961</v>
          </cell>
          <cell r="AH36">
            <v>0.17813620071684941</v>
          </cell>
          <cell r="AI36">
            <v>9.6667158973374239</v>
          </cell>
          <cell r="AJ36">
            <v>5.3741931003584211</v>
          </cell>
          <cell r="AK36">
            <v>499.56562551678496</v>
          </cell>
          <cell r="AL36">
            <v>397.9941998369128</v>
          </cell>
          <cell r="AM36">
            <v>220.51920494109956</v>
          </cell>
          <cell r="AN36">
            <v>319.04873001909363</v>
          </cell>
          <cell r="AO36">
            <v>308.19242639383185</v>
          </cell>
          <cell r="AP36">
            <v>226.36941083667051</v>
          </cell>
          <cell r="AR36">
            <v>77.600000000000009</v>
          </cell>
          <cell r="AS36">
            <v>97</v>
          </cell>
          <cell r="AT36">
            <v>28401.599999999995</v>
          </cell>
          <cell r="AU36">
            <v>35502</v>
          </cell>
          <cell r="AV36">
            <v>0.79999999999999982</v>
          </cell>
          <cell r="AW36">
            <v>0.79999999999999982</v>
          </cell>
          <cell r="AX36">
            <v>3.0000000000000009E-2</v>
          </cell>
          <cell r="AY36">
            <v>1.955094341753689</v>
          </cell>
          <cell r="AZ36">
            <v>5.1068559999999996</v>
          </cell>
          <cell r="BA36">
            <v>4.0026080000000004</v>
          </cell>
          <cell r="BB36">
            <v>60.006838399999992</v>
          </cell>
          <cell r="BC36">
            <v>0</v>
          </cell>
          <cell r="BD36">
            <v>3.4358176</v>
          </cell>
          <cell r="BE36">
            <v>5.0481127999999993</v>
          </cell>
          <cell r="BF36">
            <v>518.17999999999995</v>
          </cell>
          <cell r="BG36">
            <v>416.84000000000009</v>
          </cell>
          <cell r="BH36">
            <v>220.00000000000003</v>
          </cell>
          <cell r="BI36">
            <v>0</v>
          </cell>
          <cell r="BJ36">
            <v>312.48000000000013</v>
          </cell>
          <cell r="BK36">
            <v>220.00000000000003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C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U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M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B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Q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F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R36">
            <v>0</v>
          </cell>
          <cell r="IS36">
            <v>0</v>
          </cell>
          <cell r="IT36">
            <v>0</v>
          </cell>
          <cell r="IU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KA36">
            <v>0</v>
          </cell>
          <cell r="KB36">
            <v>0</v>
          </cell>
          <cell r="KC36">
            <v>0</v>
          </cell>
          <cell r="KE36">
            <v>0</v>
          </cell>
          <cell r="KG36">
            <v>0</v>
          </cell>
          <cell r="KH36">
            <v>0</v>
          </cell>
          <cell r="KI36">
            <v>0</v>
          </cell>
          <cell r="KK36">
            <v>0</v>
          </cell>
          <cell r="KL36">
            <v>0</v>
          </cell>
          <cell r="KM36">
            <v>0</v>
          </cell>
          <cell r="KO36">
            <v>0</v>
          </cell>
          <cell r="KQ36">
            <v>0</v>
          </cell>
          <cell r="KR36">
            <v>0</v>
          </cell>
          <cell r="KS36">
            <v>0</v>
          </cell>
          <cell r="KU36">
            <v>0</v>
          </cell>
          <cell r="KV36">
            <v>0</v>
          </cell>
          <cell r="KW36">
            <v>0</v>
          </cell>
          <cell r="KY36">
            <v>0</v>
          </cell>
          <cell r="LA36">
            <v>0</v>
          </cell>
          <cell r="LB36">
            <v>0</v>
          </cell>
          <cell r="LC36">
            <v>0</v>
          </cell>
          <cell r="LE36" t="str">
            <v>650-61</v>
          </cell>
        </row>
        <row r="37">
          <cell r="B37">
            <v>17.600000000000001</v>
          </cell>
          <cell r="C37">
            <v>22</v>
          </cell>
          <cell r="D37">
            <v>6424.0000000000009</v>
          </cell>
          <cell r="E37">
            <v>8030</v>
          </cell>
          <cell r="F37">
            <v>0.80000000000000016</v>
          </cell>
          <cell r="G37">
            <v>0.80000000000000016</v>
          </cell>
          <cell r="H37">
            <v>7.9999999999999988E-2</v>
          </cell>
          <cell r="I37">
            <v>0.27427025218287843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17.599999999999998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367.2</v>
          </cell>
          <cell r="U37">
            <v>0</v>
          </cell>
          <cell r="W37">
            <v>12.421917808219176</v>
          </cell>
          <cell r="X37">
            <v>22</v>
          </cell>
          <cell r="Y37">
            <v>4534</v>
          </cell>
          <cell r="Z37">
            <v>8030</v>
          </cell>
          <cell r="AA37">
            <v>0.56463262764632627</v>
          </cell>
          <cell r="AB37">
            <v>0.56463262764632627</v>
          </cell>
          <cell r="AC37">
            <v>7.9999999999999988E-2</v>
          </cell>
          <cell r="AD37">
            <v>0.138159750989755</v>
          </cell>
          <cell r="AE37">
            <v>1.5112775217613923</v>
          </cell>
          <cell r="AF37">
            <v>0.47542242703533094</v>
          </cell>
          <cell r="AG37">
            <v>0</v>
          </cell>
          <cell r="AH37">
            <v>8.3429339477727363E-2</v>
          </cell>
          <cell r="AI37">
            <v>10.339240911418331</v>
          </cell>
          <cell r="AJ37">
            <v>0</v>
          </cell>
          <cell r="AK37">
            <v>462.40803394866879</v>
          </cell>
          <cell r="AL37">
            <v>442.92784530968203</v>
          </cell>
          <cell r="AM37">
            <v>0</v>
          </cell>
          <cell r="AN37">
            <v>87.689666380331118</v>
          </cell>
          <cell r="AO37">
            <v>355.39859629512438</v>
          </cell>
          <cell r="AP37">
            <v>0</v>
          </cell>
          <cell r="AR37">
            <v>14.300000000000002</v>
          </cell>
          <cell r="AS37">
            <v>22</v>
          </cell>
          <cell r="AT37">
            <v>5233.8</v>
          </cell>
          <cell r="AU37">
            <v>8052</v>
          </cell>
          <cell r="AV37">
            <v>0.65</v>
          </cell>
          <cell r="AW37">
            <v>0.65</v>
          </cell>
          <cell r="AX37">
            <v>3.0000000000000009E-2</v>
          </cell>
          <cell r="AY37">
            <v>0.38983666070789791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14.300000000000002</v>
          </cell>
          <cell r="BE37">
            <v>0</v>
          </cell>
          <cell r="BF37">
            <v>518.18000000000006</v>
          </cell>
          <cell r="BG37">
            <v>416.84</v>
          </cell>
          <cell r="BH37">
            <v>0</v>
          </cell>
          <cell r="BI37">
            <v>0</v>
          </cell>
          <cell r="BJ37">
            <v>367.00000000000006</v>
          </cell>
          <cell r="BK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C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U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M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B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Q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F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R37">
            <v>0</v>
          </cell>
          <cell r="IS37">
            <v>0</v>
          </cell>
          <cell r="IT37">
            <v>0</v>
          </cell>
          <cell r="IU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KA37">
            <v>0</v>
          </cell>
          <cell r="KB37">
            <v>0</v>
          </cell>
          <cell r="KC37">
            <v>0</v>
          </cell>
          <cell r="KE37">
            <v>0</v>
          </cell>
          <cell r="KG37">
            <v>0</v>
          </cell>
          <cell r="KH37">
            <v>0</v>
          </cell>
          <cell r="KI37">
            <v>0</v>
          </cell>
          <cell r="KK37">
            <v>0</v>
          </cell>
          <cell r="KL37">
            <v>0</v>
          </cell>
          <cell r="KM37">
            <v>0</v>
          </cell>
          <cell r="KO37">
            <v>0</v>
          </cell>
          <cell r="KQ37">
            <v>0</v>
          </cell>
          <cell r="KR37">
            <v>0</v>
          </cell>
          <cell r="KS37">
            <v>0</v>
          </cell>
          <cell r="KU37">
            <v>0</v>
          </cell>
          <cell r="KV37">
            <v>0</v>
          </cell>
          <cell r="KW37">
            <v>0</v>
          </cell>
          <cell r="KY37">
            <v>0</v>
          </cell>
          <cell r="LA37">
            <v>0</v>
          </cell>
          <cell r="LB37">
            <v>0</v>
          </cell>
          <cell r="LC37">
            <v>0</v>
          </cell>
          <cell r="LE37" t="str">
            <v>650-62</v>
          </cell>
        </row>
        <row r="38">
          <cell r="B38">
            <v>276.0008219178082</v>
          </cell>
          <cell r="C38">
            <v>309</v>
          </cell>
          <cell r="D38">
            <v>100740.30000000002</v>
          </cell>
          <cell r="E38">
            <v>112785</v>
          </cell>
          <cell r="F38">
            <v>0.89320654342332773</v>
          </cell>
          <cell r="G38">
            <v>0.89320654342332773</v>
          </cell>
          <cell r="H38">
            <v>7.9999999999999988E-2</v>
          </cell>
          <cell r="I38">
            <v>1.3106923585869272</v>
          </cell>
          <cell r="J38">
            <v>9.0000189000000006</v>
          </cell>
          <cell r="K38">
            <v>10.0000404</v>
          </cell>
          <cell r="L38">
            <v>61.000002000000002</v>
          </cell>
          <cell r="M38">
            <v>0</v>
          </cell>
          <cell r="N38">
            <v>22.899982999999995</v>
          </cell>
          <cell r="O38">
            <v>1.9991699999999997</v>
          </cell>
          <cell r="P38">
            <v>482.56999999999994</v>
          </cell>
          <cell r="Q38">
            <v>334.42999999999995</v>
          </cell>
          <cell r="R38">
            <v>219.58</v>
          </cell>
          <cell r="S38">
            <v>329.99999999999994</v>
          </cell>
          <cell r="T38">
            <v>679.73</v>
          </cell>
          <cell r="U38">
            <v>220.55</v>
          </cell>
          <cell r="W38">
            <v>234.9095890410959</v>
          </cell>
          <cell r="X38">
            <v>309</v>
          </cell>
          <cell r="Y38">
            <v>85742</v>
          </cell>
          <cell r="Z38">
            <v>112785</v>
          </cell>
          <cell r="AA38">
            <v>0.76022520725273746</v>
          </cell>
          <cell r="AB38">
            <v>0.76022520725273746</v>
          </cell>
          <cell r="AC38">
            <v>7.9999999999999988E-2</v>
          </cell>
          <cell r="AD38">
            <v>1.5603849449278349</v>
          </cell>
          <cell r="AE38">
            <v>5.650750928187402</v>
          </cell>
          <cell r="AF38">
            <v>5.685288758320528</v>
          </cell>
          <cell r="AG38">
            <v>50.952564421402961</v>
          </cell>
          <cell r="AH38">
            <v>0.26156554019457673</v>
          </cell>
          <cell r="AI38">
            <v>20.005956808755755</v>
          </cell>
          <cell r="AJ38">
            <v>5.3741931003584211</v>
          </cell>
          <cell r="AK38">
            <v>962.52384104125042</v>
          </cell>
          <cell r="AL38">
            <v>836.97393244373075</v>
          </cell>
          <cell r="AM38">
            <v>220.50980384119771</v>
          </cell>
          <cell r="AN38">
            <v>413.79451087215159</v>
          </cell>
          <cell r="AO38">
            <v>663.49938609826984</v>
          </cell>
          <cell r="AP38">
            <v>226.42149457530104</v>
          </cell>
          <cell r="AR38">
            <v>250.209</v>
          </cell>
          <cell r="AS38">
            <v>309</v>
          </cell>
          <cell r="AT38">
            <v>91576.494000000021</v>
          </cell>
          <cell r="AU38">
            <v>113094</v>
          </cell>
          <cell r="AV38">
            <v>0.80973786407767012</v>
          </cell>
          <cell r="AW38">
            <v>0.80973786407767012</v>
          </cell>
          <cell r="AX38">
            <v>3.0000000000000009E-2</v>
          </cell>
          <cell r="AY38">
            <v>1.5301885630169696</v>
          </cell>
          <cell r="AZ38">
            <v>5.1068559999999996</v>
          </cell>
          <cell r="BA38">
            <v>4.0026080000000004</v>
          </cell>
          <cell r="BB38">
            <v>60.006838399999992</v>
          </cell>
          <cell r="BC38">
            <v>0</v>
          </cell>
          <cell r="BD38">
            <v>17.735817599999997</v>
          </cell>
          <cell r="BE38">
            <v>5.0481127999999993</v>
          </cell>
          <cell r="BF38">
            <v>1036.3599999999999</v>
          </cell>
          <cell r="BG38">
            <v>833.68000000000029</v>
          </cell>
          <cell r="BH38">
            <v>220.00000000000009</v>
          </cell>
          <cell r="BI38">
            <v>0</v>
          </cell>
          <cell r="BJ38">
            <v>679.48000000000025</v>
          </cell>
          <cell r="BK38">
            <v>220.00000000000009</v>
          </cell>
          <cell r="BM38">
            <v>0</v>
          </cell>
          <cell r="BN38">
            <v>1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1</v>
          </cell>
          <cell r="BU38">
            <v>19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8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C38">
            <v>29</v>
          </cell>
          <cell r="DE38">
            <v>0</v>
          </cell>
          <cell r="DF38">
            <v>1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1</v>
          </cell>
          <cell r="DM38">
            <v>19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8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U38">
            <v>29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1</v>
          </cell>
          <cell r="FE38">
            <v>21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6.9999999999999991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M38">
            <v>29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B38">
            <v>0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Q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F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R38">
            <v>0</v>
          </cell>
          <cell r="IS38">
            <v>0</v>
          </cell>
          <cell r="IT38">
            <v>0</v>
          </cell>
          <cell r="IU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KA38">
            <v>10.999999999999998</v>
          </cell>
          <cell r="KB38">
            <v>39.000000000000007</v>
          </cell>
          <cell r="KC38">
            <v>6</v>
          </cell>
          <cell r="KE38">
            <v>19</v>
          </cell>
          <cell r="KG38">
            <v>10.999999999999998</v>
          </cell>
          <cell r="KH38">
            <v>20.000000000000007</v>
          </cell>
          <cell r="KI38">
            <v>6</v>
          </cell>
          <cell r="KK38">
            <v>10.999999999999998</v>
          </cell>
          <cell r="KL38">
            <v>39.000000000000007</v>
          </cell>
          <cell r="KM38">
            <v>6</v>
          </cell>
          <cell r="KO38">
            <v>19</v>
          </cell>
          <cell r="KQ38">
            <v>10.999999999999998</v>
          </cell>
          <cell r="KR38">
            <v>20.000000000000007</v>
          </cell>
          <cell r="KS38">
            <v>6</v>
          </cell>
          <cell r="KU38">
            <v>10.999999999999998</v>
          </cell>
          <cell r="KV38">
            <v>41.000000000000014</v>
          </cell>
          <cell r="KW38">
            <v>6</v>
          </cell>
          <cell r="KY38">
            <v>21</v>
          </cell>
          <cell r="LA38">
            <v>10.999999999999998</v>
          </cell>
          <cell r="LB38">
            <v>20.000000000000014</v>
          </cell>
          <cell r="LC38">
            <v>6</v>
          </cell>
          <cell r="LE38" t="str">
            <v>650-Entity</v>
          </cell>
        </row>
        <row r="39">
          <cell r="B39">
            <v>24.25</v>
          </cell>
          <cell r="C39">
            <v>25</v>
          </cell>
          <cell r="D39">
            <v>8851.25</v>
          </cell>
          <cell r="E39">
            <v>9125</v>
          </cell>
          <cell r="F39">
            <v>0.97</v>
          </cell>
          <cell r="G39">
            <v>0.97</v>
          </cell>
          <cell r="H39">
            <v>7.9999999999999988E-2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24.257534246575343</v>
          </cell>
          <cell r="X39">
            <v>25</v>
          </cell>
          <cell r="Y39">
            <v>8854</v>
          </cell>
          <cell r="Z39">
            <v>9125</v>
          </cell>
          <cell r="AA39">
            <v>0.97030136986301363</v>
          </cell>
          <cell r="AB39">
            <v>0.97030136986301363</v>
          </cell>
          <cell r="AC39">
            <v>7.9999999999999988E-2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23.75</v>
          </cell>
          <cell r="AS39">
            <v>25</v>
          </cell>
          <cell r="AT39">
            <v>8692.5</v>
          </cell>
          <cell r="AU39">
            <v>9150</v>
          </cell>
          <cell r="AV39">
            <v>0.95</v>
          </cell>
          <cell r="AW39">
            <v>0.95</v>
          </cell>
          <cell r="AX39">
            <v>3.0000000000000009E-2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16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C39">
            <v>16</v>
          </cell>
          <cell r="DE39">
            <v>0</v>
          </cell>
          <cell r="DF39">
            <v>0</v>
          </cell>
          <cell r="DG39">
            <v>0</v>
          </cell>
          <cell r="DH39">
            <v>0</v>
          </cell>
          <cell r="DI39">
            <v>0</v>
          </cell>
          <cell r="DJ39">
            <v>16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U39">
            <v>16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16</v>
          </cell>
          <cell r="FC39">
            <v>0</v>
          </cell>
          <cell r="FD39">
            <v>0</v>
          </cell>
          <cell r="FE39">
            <v>0</v>
          </cell>
          <cell r="FF39">
            <v>0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M39">
            <v>16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B39">
            <v>0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Q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F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R39">
            <v>0</v>
          </cell>
          <cell r="IS39">
            <v>0</v>
          </cell>
          <cell r="IT39">
            <v>0</v>
          </cell>
          <cell r="IU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KA39">
            <v>0</v>
          </cell>
          <cell r="KB39">
            <v>0</v>
          </cell>
          <cell r="KC39">
            <v>0</v>
          </cell>
          <cell r="KE39">
            <v>0</v>
          </cell>
          <cell r="KG39">
            <v>0</v>
          </cell>
          <cell r="KH39">
            <v>0</v>
          </cell>
          <cell r="KI39">
            <v>0</v>
          </cell>
          <cell r="KK39">
            <v>0</v>
          </cell>
          <cell r="KL39">
            <v>0</v>
          </cell>
          <cell r="KM39">
            <v>0</v>
          </cell>
          <cell r="KO39">
            <v>0</v>
          </cell>
          <cell r="KQ39">
            <v>0</v>
          </cell>
          <cell r="KR39">
            <v>0</v>
          </cell>
          <cell r="KS39">
            <v>0</v>
          </cell>
          <cell r="KU39">
            <v>0</v>
          </cell>
          <cell r="KV39">
            <v>0</v>
          </cell>
          <cell r="KW39">
            <v>0</v>
          </cell>
          <cell r="KY39">
            <v>0</v>
          </cell>
          <cell r="LA39">
            <v>0</v>
          </cell>
          <cell r="LB39">
            <v>0</v>
          </cell>
          <cell r="LC39">
            <v>0</v>
          </cell>
          <cell r="LE39" t="str">
            <v>660-21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7.9999999999999988E-2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7.9999999999999988E-2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3.0000000000000009E-2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C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U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M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B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Q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F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R40">
            <v>0</v>
          </cell>
          <cell r="IS40">
            <v>0</v>
          </cell>
          <cell r="IT40">
            <v>0</v>
          </cell>
          <cell r="IU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KA40">
            <v>0</v>
          </cell>
          <cell r="KB40">
            <v>0</v>
          </cell>
          <cell r="KC40">
            <v>0</v>
          </cell>
          <cell r="KE40">
            <v>0</v>
          </cell>
          <cell r="KG40">
            <v>0</v>
          </cell>
          <cell r="KH40">
            <v>0</v>
          </cell>
          <cell r="KI40">
            <v>0</v>
          </cell>
          <cell r="KK40">
            <v>0</v>
          </cell>
          <cell r="KL40">
            <v>0</v>
          </cell>
          <cell r="KM40">
            <v>0</v>
          </cell>
          <cell r="KO40">
            <v>0</v>
          </cell>
          <cell r="KQ40">
            <v>0</v>
          </cell>
          <cell r="KR40">
            <v>0</v>
          </cell>
          <cell r="KS40">
            <v>0</v>
          </cell>
          <cell r="KU40">
            <v>0</v>
          </cell>
          <cell r="KV40">
            <v>0</v>
          </cell>
          <cell r="KW40">
            <v>0</v>
          </cell>
          <cell r="KY40">
            <v>0</v>
          </cell>
          <cell r="LA40">
            <v>0</v>
          </cell>
          <cell r="LB40">
            <v>0</v>
          </cell>
          <cell r="LC40">
            <v>0</v>
          </cell>
          <cell r="LE40" t="str">
            <v>660-22</v>
          </cell>
        </row>
        <row r="41">
          <cell r="B41">
            <v>73.268493150684932</v>
          </cell>
          <cell r="C41">
            <v>87</v>
          </cell>
          <cell r="D41">
            <v>26743</v>
          </cell>
          <cell r="E41">
            <v>31755</v>
          </cell>
          <cell r="F41">
            <v>0.84216658793890731</v>
          </cell>
          <cell r="G41">
            <v>0.84216658793890731</v>
          </cell>
          <cell r="H41">
            <v>7.9999999999999988E-2</v>
          </cell>
          <cell r="I41">
            <v>1.4721485044712663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63.016438356164386</v>
          </cell>
          <cell r="X41">
            <v>87</v>
          </cell>
          <cell r="Y41">
            <v>23001</v>
          </cell>
          <cell r="Z41">
            <v>31755</v>
          </cell>
          <cell r="AA41">
            <v>0.72432687765706183</v>
          </cell>
          <cell r="AB41">
            <v>0.72432687765706183</v>
          </cell>
          <cell r="AC41">
            <v>7.9999999999999988E-2</v>
          </cell>
          <cell r="AD41">
            <v>1.5986608913036895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64.38</v>
          </cell>
          <cell r="AS41">
            <v>87</v>
          </cell>
          <cell r="AT41">
            <v>23563.08</v>
          </cell>
          <cell r="AU41">
            <v>31842</v>
          </cell>
          <cell r="AV41">
            <v>0.74</v>
          </cell>
          <cell r="AW41">
            <v>0.74</v>
          </cell>
          <cell r="AX41">
            <v>3.0000000000000009E-2</v>
          </cell>
          <cell r="AY41">
            <v>1.668476750937923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9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C41">
            <v>9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9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U41">
            <v>9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9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M41">
            <v>9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B41">
            <v>0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Q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F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R41">
            <v>0</v>
          </cell>
          <cell r="IS41">
            <v>0</v>
          </cell>
          <cell r="IT41">
            <v>0</v>
          </cell>
          <cell r="IU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KA41">
            <v>0</v>
          </cell>
          <cell r="KB41">
            <v>0</v>
          </cell>
          <cell r="KC41">
            <v>0</v>
          </cell>
          <cell r="KE41">
            <v>0</v>
          </cell>
          <cell r="KG41">
            <v>0</v>
          </cell>
          <cell r="KH41">
            <v>0</v>
          </cell>
          <cell r="KI41">
            <v>0</v>
          </cell>
          <cell r="KK41">
            <v>0</v>
          </cell>
          <cell r="KL41">
            <v>0</v>
          </cell>
          <cell r="KM41">
            <v>0</v>
          </cell>
          <cell r="KO41">
            <v>0</v>
          </cell>
          <cell r="KQ41">
            <v>0</v>
          </cell>
          <cell r="KR41">
            <v>0</v>
          </cell>
          <cell r="KS41">
            <v>0</v>
          </cell>
          <cell r="KU41">
            <v>0</v>
          </cell>
          <cell r="KV41">
            <v>0</v>
          </cell>
          <cell r="KW41">
            <v>0</v>
          </cell>
          <cell r="KY41">
            <v>0</v>
          </cell>
          <cell r="LA41">
            <v>0</v>
          </cell>
          <cell r="LB41">
            <v>0</v>
          </cell>
          <cell r="LC41">
            <v>0</v>
          </cell>
          <cell r="LE41" t="str">
            <v>660-31</v>
          </cell>
        </row>
        <row r="42">
          <cell r="B42">
            <v>44.100000000000009</v>
          </cell>
          <cell r="C42">
            <v>49</v>
          </cell>
          <cell r="D42">
            <v>16096.500000000002</v>
          </cell>
          <cell r="E42">
            <v>17885</v>
          </cell>
          <cell r="F42">
            <v>0.90000000000000013</v>
          </cell>
          <cell r="G42">
            <v>0.90000000000000013</v>
          </cell>
          <cell r="H42">
            <v>7.9999999999999988E-2</v>
          </cell>
          <cell r="I42">
            <v>1.3405653407299545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42.42739726027397</v>
          </cell>
          <cell r="X42">
            <v>49</v>
          </cell>
          <cell r="Y42">
            <v>15486</v>
          </cell>
          <cell r="Z42">
            <v>17885</v>
          </cell>
          <cell r="AA42">
            <v>0.86586525020967287</v>
          </cell>
          <cell r="AB42">
            <v>0.86586525020967287</v>
          </cell>
          <cell r="AC42">
            <v>7.9999999999999988E-2</v>
          </cell>
          <cell r="AD42">
            <v>1.2802044329996674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44.100000000000009</v>
          </cell>
          <cell r="AS42">
            <v>49</v>
          </cell>
          <cell r="AT42">
            <v>16140.600000000002</v>
          </cell>
          <cell r="AU42">
            <v>17934</v>
          </cell>
          <cell r="AV42">
            <v>0.90000000000000013</v>
          </cell>
          <cell r="AW42">
            <v>0.90000000000000013</v>
          </cell>
          <cell r="AX42">
            <v>3.0000000000000009E-2</v>
          </cell>
          <cell r="AY42">
            <v>1.3370777172539989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C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U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0</v>
          </cell>
          <cell r="FF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M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B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Q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F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R42">
            <v>0</v>
          </cell>
          <cell r="IS42">
            <v>0</v>
          </cell>
          <cell r="IT42">
            <v>0</v>
          </cell>
          <cell r="IU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KA42">
            <v>0</v>
          </cell>
          <cell r="KB42">
            <v>0</v>
          </cell>
          <cell r="KC42">
            <v>0</v>
          </cell>
          <cell r="KE42">
            <v>0</v>
          </cell>
          <cell r="KG42">
            <v>0</v>
          </cell>
          <cell r="KH42">
            <v>0</v>
          </cell>
          <cell r="KI42">
            <v>0</v>
          </cell>
          <cell r="KK42">
            <v>0</v>
          </cell>
          <cell r="KL42">
            <v>0</v>
          </cell>
          <cell r="KM42">
            <v>0</v>
          </cell>
          <cell r="KO42">
            <v>0</v>
          </cell>
          <cell r="KQ42">
            <v>0</v>
          </cell>
          <cell r="KR42">
            <v>0</v>
          </cell>
          <cell r="KS42">
            <v>0</v>
          </cell>
          <cell r="KU42">
            <v>0</v>
          </cell>
          <cell r="KV42">
            <v>0</v>
          </cell>
          <cell r="KW42">
            <v>0</v>
          </cell>
          <cell r="KY42">
            <v>0</v>
          </cell>
          <cell r="LA42">
            <v>0</v>
          </cell>
          <cell r="LB42">
            <v>0</v>
          </cell>
          <cell r="LC42">
            <v>0</v>
          </cell>
          <cell r="LE42" t="str">
            <v>660-52</v>
          </cell>
        </row>
        <row r="43">
          <cell r="B43">
            <v>34.174520547945207</v>
          </cell>
          <cell r="C43">
            <v>45</v>
          </cell>
          <cell r="D43">
            <v>12473.7</v>
          </cell>
          <cell r="E43">
            <v>16425</v>
          </cell>
          <cell r="F43">
            <v>0.75943378995433775</v>
          </cell>
          <cell r="G43">
            <v>0.75943378995433775</v>
          </cell>
          <cell r="H43">
            <v>7.9999999999999988E-2</v>
          </cell>
          <cell r="I43">
            <v>1.3257466011252088</v>
          </cell>
          <cell r="J43">
            <v>5.2088349733333335</v>
          </cell>
          <cell r="K43">
            <v>18.752051759999997</v>
          </cell>
          <cell r="L43">
            <v>0</v>
          </cell>
          <cell r="M43">
            <v>0</v>
          </cell>
          <cell r="N43">
            <v>10.18581408</v>
          </cell>
          <cell r="O43">
            <v>0</v>
          </cell>
          <cell r="P43">
            <v>457.92</v>
          </cell>
          <cell r="Q43">
            <v>414.18999999999994</v>
          </cell>
          <cell r="R43">
            <v>0</v>
          </cell>
          <cell r="S43">
            <v>393</v>
          </cell>
          <cell r="T43">
            <v>343.84999999999997</v>
          </cell>
          <cell r="U43">
            <v>0</v>
          </cell>
          <cell r="W43">
            <v>22.005479452054793</v>
          </cell>
          <cell r="X43">
            <v>45</v>
          </cell>
          <cell r="Y43">
            <v>8032</v>
          </cell>
          <cell r="Z43">
            <v>16425</v>
          </cell>
          <cell r="AA43">
            <v>0.48901065449010656</v>
          </cell>
          <cell r="AB43">
            <v>0.48901065449010656</v>
          </cell>
          <cell r="AC43">
            <v>7.9999999999999988E-2</v>
          </cell>
          <cell r="AD43">
            <v>1.6439264348616212</v>
          </cell>
          <cell r="AE43">
            <v>4.2608510565796207</v>
          </cell>
          <cell r="AF43">
            <v>9.7843585299539182</v>
          </cell>
          <cell r="AG43">
            <v>0</v>
          </cell>
          <cell r="AH43">
            <v>8.1989247311827398E-2</v>
          </cell>
          <cell r="AI43">
            <v>7.8636598812083962</v>
          </cell>
          <cell r="AJ43">
            <v>0</v>
          </cell>
          <cell r="AK43">
            <v>503.89625225497525</v>
          </cell>
          <cell r="AL43">
            <v>440.92110044262421</v>
          </cell>
          <cell r="AM43">
            <v>0</v>
          </cell>
          <cell r="AN43">
            <v>354.597518996921</v>
          </cell>
          <cell r="AO43">
            <v>347.28590919162298</v>
          </cell>
          <cell r="AP43">
            <v>0</v>
          </cell>
          <cell r="AR43">
            <v>25</v>
          </cell>
          <cell r="AS43">
            <v>45</v>
          </cell>
          <cell r="AT43">
            <v>9150</v>
          </cell>
          <cell r="AU43">
            <v>16470</v>
          </cell>
          <cell r="AV43">
            <v>0.55555555555555558</v>
          </cell>
          <cell r="AW43">
            <v>0.55555555555555558</v>
          </cell>
          <cell r="AX43">
            <v>3.0000000000000009E-2</v>
          </cell>
          <cell r="AY43">
            <v>1.7024570271763275</v>
          </cell>
          <cell r="AZ43">
            <v>3.9504500000000018</v>
          </cell>
          <cell r="BA43">
            <v>9.5592249999999996</v>
          </cell>
          <cell r="BB43">
            <v>0</v>
          </cell>
          <cell r="BC43">
            <v>0</v>
          </cell>
          <cell r="BD43">
            <v>11.490550000000001</v>
          </cell>
          <cell r="BE43">
            <v>0</v>
          </cell>
          <cell r="BF43">
            <v>528.21999999999991</v>
          </cell>
          <cell r="BG43">
            <v>455.90999999999985</v>
          </cell>
          <cell r="BH43">
            <v>0</v>
          </cell>
          <cell r="BI43">
            <v>0</v>
          </cell>
          <cell r="BJ43">
            <v>343.41999999999996</v>
          </cell>
          <cell r="BK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C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U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D43">
            <v>0</v>
          </cell>
          <cell r="FE43">
            <v>0</v>
          </cell>
          <cell r="FF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M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B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Q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F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R43">
            <v>0</v>
          </cell>
          <cell r="IS43">
            <v>0</v>
          </cell>
          <cell r="IT43">
            <v>0</v>
          </cell>
          <cell r="IU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KA43">
            <v>0</v>
          </cell>
          <cell r="KB43">
            <v>0</v>
          </cell>
          <cell r="KC43">
            <v>0</v>
          </cell>
          <cell r="KE43">
            <v>0</v>
          </cell>
          <cell r="KG43">
            <v>0</v>
          </cell>
          <cell r="KH43">
            <v>0</v>
          </cell>
          <cell r="KI43">
            <v>0</v>
          </cell>
          <cell r="KK43">
            <v>0</v>
          </cell>
          <cell r="KL43">
            <v>0</v>
          </cell>
          <cell r="KM43">
            <v>0</v>
          </cell>
          <cell r="KO43">
            <v>0</v>
          </cell>
          <cell r="KQ43">
            <v>0</v>
          </cell>
          <cell r="KR43">
            <v>0</v>
          </cell>
          <cell r="KS43">
            <v>0</v>
          </cell>
          <cell r="KU43">
            <v>0</v>
          </cell>
          <cell r="KV43">
            <v>0</v>
          </cell>
          <cell r="KW43">
            <v>0</v>
          </cell>
          <cell r="KY43">
            <v>0</v>
          </cell>
          <cell r="LA43">
            <v>0</v>
          </cell>
          <cell r="LB43">
            <v>0</v>
          </cell>
          <cell r="LC43">
            <v>0</v>
          </cell>
          <cell r="LE43" t="str">
            <v>660-61</v>
          </cell>
        </row>
        <row r="44">
          <cell r="B44">
            <v>20.020000000000003</v>
          </cell>
          <cell r="C44">
            <v>22</v>
          </cell>
          <cell r="D44">
            <v>7307.3</v>
          </cell>
          <cell r="E44">
            <v>8030</v>
          </cell>
          <cell r="F44">
            <v>0.91</v>
          </cell>
          <cell r="G44">
            <v>0.91</v>
          </cell>
          <cell r="H44">
            <v>7.9999999999999988E-2</v>
          </cell>
          <cell r="I44">
            <v>0.3493970156625209</v>
          </cell>
          <cell r="J44">
            <v>1.9999980000000004</v>
          </cell>
          <cell r="K44">
            <v>3.9999960000000008</v>
          </cell>
          <cell r="L44">
            <v>0</v>
          </cell>
          <cell r="M44">
            <v>0</v>
          </cell>
          <cell r="N44">
            <v>14.020005999999997</v>
          </cell>
          <cell r="O44">
            <v>0</v>
          </cell>
          <cell r="P44">
            <v>457.92</v>
          </cell>
          <cell r="Q44">
            <v>414.19000000000005</v>
          </cell>
          <cell r="R44">
            <v>0</v>
          </cell>
          <cell r="S44">
            <v>0</v>
          </cell>
          <cell r="T44">
            <v>361.80000000000007</v>
          </cell>
          <cell r="U44">
            <v>0</v>
          </cell>
          <cell r="W44">
            <v>13.295890410958904</v>
          </cell>
          <cell r="X44">
            <v>22</v>
          </cell>
          <cell r="Y44">
            <v>4853</v>
          </cell>
          <cell r="Z44">
            <v>8030</v>
          </cell>
          <cell r="AA44">
            <v>0.60435865504358655</v>
          </cell>
          <cell r="AB44">
            <v>0.60435865504358655</v>
          </cell>
          <cell r="AC44">
            <v>7.9999999999999988E-2</v>
          </cell>
          <cell r="AD44">
            <v>0.31067748371493609</v>
          </cell>
          <cell r="AE44">
            <v>1.4220645801331298</v>
          </cell>
          <cell r="AF44">
            <v>3.1099829749103942</v>
          </cell>
          <cell r="AG44">
            <v>0</v>
          </cell>
          <cell r="AH44">
            <v>0</v>
          </cell>
          <cell r="AI44">
            <v>8.7763369815668195</v>
          </cell>
          <cell r="AJ44">
            <v>0</v>
          </cell>
          <cell r="AK44">
            <v>419.45596712275602</v>
          </cell>
          <cell r="AL44">
            <v>430.73080884505976</v>
          </cell>
          <cell r="AM44">
            <v>0</v>
          </cell>
          <cell r="AN44">
            <v>0</v>
          </cell>
          <cell r="AO44">
            <v>351.02509912699844</v>
          </cell>
          <cell r="AP44">
            <v>0</v>
          </cell>
          <cell r="AR44">
            <v>15</v>
          </cell>
          <cell r="AS44">
            <v>22</v>
          </cell>
          <cell r="AT44">
            <v>5490</v>
          </cell>
          <cell r="AU44">
            <v>8052</v>
          </cell>
          <cell r="AV44">
            <v>0.68181818181818166</v>
          </cell>
          <cell r="AW44">
            <v>0.68181818181818166</v>
          </cell>
          <cell r="AX44">
            <v>3.0000000000000009E-2</v>
          </cell>
          <cell r="AY44">
            <v>0.4599262653007361</v>
          </cell>
          <cell r="AZ44">
            <v>1.5</v>
          </cell>
          <cell r="BA44">
            <v>3</v>
          </cell>
          <cell r="BB44">
            <v>0</v>
          </cell>
          <cell r="BC44">
            <v>0</v>
          </cell>
          <cell r="BD44">
            <v>10.5</v>
          </cell>
          <cell r="BE44">
            <v>0</v>
          </cell>
          <cell r="BF44">
            <v>495</v>
          </cell>
          <cell r="BG44">
            <v>445</v>
          </cell>
          <cell r="BH44">
            <v>0</v>
          </cell>
          <cell r="BI44">
            <v>0</v>
          </cell>
          <cell r="BJ44">
            <v>362</v>
          </cell>
          <cell r="BK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C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U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D44">
            <v>0</v>
          </cell>
          <cell r="FE44">
            <v>0</v>
          </cell>
          <cell r="FF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M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B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Q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F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R44">
            <v>0</v>
          </cell>
          <cell r="IS44">
            <v>0</v>
          </cell>
          <cell r="IT44">
            <v>0</v>
          </cell>
          <cell r="IU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KA44">
            <v>0</v>
          </cell>
          <cell r="KB44">
            <v>0</v>
          </cell>
          <cell r="KC44">
            <v>0</v>
          </cell>
          <cell r="KE44">
            <v>0</v>
          </cell>
          <cell r="KG44">
            <v>0</v>
          </cell>
          <cell r="KH44">
            <v>0</v>
          </cell>
          <cell r="KI44">
            <v>0</v>
          </cell>
          <cell r="KK44">
            <v>0</v>
          </cell>
          <cell r="KL44">
            <v>0</v>
          </cell>
          <cell r="KM44">
            <v>0</v>
          </cell>
          <cell r="KO44">
            <v>0</v>
          </cell>
          <cell r="KQ44">
            <v>0</v>
          </cell>
          <cell r="KR44">
            <v>0</v>
          </cell>
          <cell r="KS44">
            <v>0</v>
          </cell>
          <cell r="KU44">
            <v>0</v>
          </cell>
          <cell r="KV44">
            <v>0</v>
          </cell>
          <cell r="KW44">
            <v>0</v>
          </cell>
          <cell r="KY44">
            <v>0</v>
          </cell>
          <cell r="LA44">
            <v>0</v>
          </cell>
          <cell r="LB44">
            <v>0</v>
          </cell>
          <cell r="LC44">
            <v>0</v>
          </cell>
          <cell r="LE44" t="str">
            <v>660-62</v>
          </cell>
        </row>
        <row r="45">
          <cell r="B45">
            <v>195.81301369863016</v>
          </cell>
          <cell r="C45">
            <v>228</v>
          </cell>
          <cell r="D45">
            <v>71471.75</v>
          </cell>
          <cell r="E45">
            <v>83220</v>
          </cell>
          <cell r="F45">
            <v>0.85882900745013213</v>
          </cell>
          <cell r="G45">
            <v>0.85882900745013213</v>
          </cell>
          <cell r="H45">
            <v>7.9999999999999988E-2</v>
          </cell>
          <cell r="I45">
            <v>1.0736627271878629</v>
          </cell>
          <cell r="J45">
            <v>7.2088329733333323</v>
          </cell>
          <cell r="K45">
            <v>22.752047759999996</v>
          </cell>
          <cell r="L45">
            <v>0</v>
          </cell>
          <cell r="M45">
            <v>0</v>
          </cell>
          <cell r="N45">
            <v>24.205820079999999</v>
          </cell>
          <cell r="O45">
            <v>0</v>
          </cell>
          <cell r="P45">
            <v>915.84</v>
          </cell>
          <cell r="Q45">
            <v>828.38000000000011</v>
          </cell>
          <cell r="R45">
            <v>0</v>
          </cell>
          <cell r="S45">
            <v>392.99999999999994</v>
          </cell>
          <cell r="T45">
            <v>705.65000000000009</v>
          </cell>
          <cell r="U45">
            <v>0</v>
          </cell>
          <cell r="W45">
            <v>165.00273972602739</v>
          </cell>
          <cell r="X45">
            <v>228</v>
          </cell>
          <cell r="Y45">
            <v>60226</v>
          </cell>
          <cell r="Z45">
            <v>83220</v>
          </cell>
          <cell r="AA45">
            <v>0.72369622686854118</v>
          </cell>
          <cell r="AB45">
            <v>0.72369622686854118</v>
          </cell>
          <cell r="AC45">
            <v>7.9999999999999988E-2</v>
          </cell>
          <cell r="AD45">
            <v>1.2073137207120996</v>
          </cell>
          <cell r="AE45">
            <v>5.6829156367127496</v>
          </cell>
          <cell r="AF45">
            <v>12.894341504864313</v>
          </cell>
          <cell r="AG45">
            <v>0</v>
          </cell>
          <cell r="AH45">
            <v>8.1989247311827398E-2</v>
          </cell>
          <cell r="AI45">
            <v>16.639996862775217</v>
          </cell>
          <cell r="AJ45">
            <v>0</v>
          </cell>
          <cell r="AK45">
            <v>929.96765673244875</v>
          </cell>
          <cell r="AL45">
            <v>870.54791014937575</v>
          </cell>
          <cell r="AM45">
            <v>0</v>
          </cell>
          <cell r="AN45">
            <v>345.54182135538133</v>
          </cell>
          <cell r="AO45">
            <v>698.26406784145649</v>
          </cell>
          <cell r="AP45">
            <v>0</v>
          </cell>
          <cell r="AR45">
            <v>172.23</v>
          </cell>
          <cell r="AS45">
            <v>228</v>
          </cell>
          <cell r="AT45">
            <v>63036.179999999993</v>
          </cell>
          <cell r="AU45">
            <v>83448</v>
          </cell>
          <cell r="AV45">
            <v>0.75539473684210523</v>
          </cell>
          <cell r="AW45">
            <v>0.75539473684210523</v>
          </cell>
          <cell r="AX45">
            <v>3.0000000000000009E-2</v>
          </cell>
          <cell r="AY45">
            <v>1.2552981960977194</v>
          </cell>
          <cell r="AZ45">
            <v>5.4504500000000009</v>
          </cell>
          <cell r="BA45">
            <v>12.559225</v>
          </cell>
          <cell r="BB45">
            <v>0</v>
          </cell>
          <cell r="BC45">
            <v>0</v>
          </cell>
          <cell r="BD45">
            <v>21.990549999999995</v>
          </cell>
          <cell r="BE45">
            <v>0</v>
          </cell>
          <cell r="BF45">
            <v>1023.2199999999996</v>
          </cell>
          <cell r="BG45">
            <v>900.91</v>
          </cell>
          <cell r="BH45">
            <v>0</v>
          </cell>
          <cell r="BI45">
            <v>0</v>
          </cell>
          <cell r="BJ45">
            <v>705.42</v>
          </cell>
          <cell r="BK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9</v>
          </cell>
          <cell r="BR45">
            <v>16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C45">
            <v>25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9</v>
          </cell>
          <cell r="DJ45">
            <v>16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U45">
            <v>25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9</v>
          </cell>
          <cell r="FB45">
            <v>16</v>
          </cell>
          <cell r="FC45">
            <v>0</v>
          </cell>
          <cell r="FD45">
            <v>0</v>
          </cell>
          <cell r="FE45">
            <v>0</v>
          </cell>
          <cell r="FF45">
            <v>0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M45">
            <v>25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B45">
            <v>0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Q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F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R45">
            <v>0</v>
          </cell>
          <cell r="IS45">
            <v>0</v>
          </cell>
          <cell r="IT45">
            <v>0</v>
          </cell>
          <cell r="IU45">
            <v>0</v>
          </cell>
          <cell r="IW45">
            <v>0</v>
          </cell>
          <cell r="IX45">
            <v>0</v>
          </cell>
          <cell r="IY45">
            <v>0</v>
          </cell>
          <cell r="IZ45">
            <v>0</v>
          </cell>
          <cell r="JB45">
            <v>0</v>
          </cell>
          <cell r="JC45">
            <v>0</v>
          </cell>
          <cell r="JD45">
            <v>0</v>
          </cell>
          <cell r="JE45">
            <v>0</v>
          </cell>
          <cell r="JG45">
            <v>0</v>
          </cell>
          <cell r="JH45">
            <v>0</v>
          </cell>
          <cell r="JI45">
            <v>0</v>
          </cell>
          <cell r="JJ45">
            <v>0</v>
          </cell>
          <cell r="JL45">
            <v>0</v>
          </cell>
          <cell r="JM45">
            <v>0</v>
          </cell>
          <cell r="JN45">
            <v>0</v>
          </cell>
          <cell r="JO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KA45">
            <v>0</v>
          </cell>
          <cell r="KB45">
            <v>0</v>
          </cell>
          <cell r="KC45">
            <v>0</v>
          </cell>
          <cell r="KE45">
            <v>0</v>
          </cell>
          <cell r="KG45">
            <v>0</v>
          </cell>
          <cell r="KH45">
            <v>0</v>
          </cell>
          <cell r="KI45">
            <v>0</v>
          </cell>
          <cell r="KK45">
            <v>0</v>
          </cell>
          <cell r="KL45">
            <v>0</v>
          </cell>
          <cell r="KM45">
            <v>0</v>
          </cell>
          <cell r="KO45">
            <v>0</v>
          </cell>
          <cell r="KQ45">
            <v>0</v>
          </cell>
          <cell r="KR45">
            <v>0</v>
          </cell>
          <cell r="KS45">
            <v>0</v>
          </cell>
          <cell r="KU45">
            <v>0</v>
          </cell>
          <cell r="KV45">
            <v>0</v>
          </cell>
          <cell r="KW45">
            <v>0</v>
          </cell>
          <cell r="KY45">
            <v>0</v>
          </cell>
          <cell r="LA45">
            <v>0</v>
          </cell>
          <cell r="LB45">
            <v>0</v>
          </cell>
          <cell r="LC45">
            <v>0</v>
          </cell>
          <cell r="LE45" t="str">
            <v>660-Entity</v>
          </cell>
        </row>
        <row r="46">
          <cell r="B46">
            <v>92.15</v>
          </cell>
          <cell r="C46">
            <v>95</v>
          </cell>
          <cell r="D46">
            <v>33634.750000000007</v>
          </cell>
          <cell r="E46">
            <v>34675</v>
          </cell>
          <cell r="F46">
            <v>0.9700000000000002</v>
          </cell>
          <cell r="G46">
            <v>0.9700000000000002</v>
          </cell>
          <cell r="H46">
            <v>0.05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93.317808219178076</v>
          </cell>
          <cell r="X46">
            <v>95</v>
          </cell>
          <cell r="Y46">
            <v>34061</v>
          </cell>
          <cell r="Z46">
            <v>34675</v>
          </cell>
          <cell r="AA46">
            <v>0.98229271809661123</v>
          </cell>
          <cell r="AB46">
            <v>0.98229271809661123</v>
          </cell>
          <cell r="AC46">
            <v>0.05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92.15</v>
          </cell>
          <cell r="AS46">
            <v>95</v>
          </cell>
          <cell r="AT46">
            <v>33726.9</v>
          </cell>
          <cell r="AU46">
            <v>34770</v>
          </cell>
          <cell r="AV46">
            <v>0.97</v>
          </cell>
          <cell r="AW46">
            <v>0.97</v>
          </cell>
          <cell r="AX46">
            <v>3.0000000000000009E-2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C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U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D46">
            <v>0</v>
          </cell>
          <cell r="FE46">
            <v>0</v>
          </cell>
          <cell r="FF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M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0</v>
          </cell>
          <cell r="GX46">
            <v>0</v>
          </cell>
          <cell r="GY46">
            <v>0</v>
          </cell>
          <cell r="GZ46">
            <v>0</v>
          </cell>
          <cell r="HB46">
            <v>0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Q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F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R46">
            <v>0</v>
          </cell>
          <cell r="IS46">
            <v>0</v>
          </cell>
          <cell r="IT46">
            <v>0</v>
          </cell>
          <cell r="IU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KA46">
            <v>0</v>
          </cell>
          <cell r="KB46">
            <v>0</v>
          </cell>
          <cell r="KC46">
            <v>0</v>
          </cell>
          <cell r="KE46">
            <v>0</v>
          </cell>
          <cell r="KG46">
            <v>0</v>
          </cell>
          <cell r="KH46">
            <v>0</v>
          </cell>
          <cell r="KI46">
            <v>0</v>
          </cell>
          <cell r="KK46">
            <v>0</v>
          </cell>
          <cell r="KL46">
            <v>0</v>
          </cell>
          <cell r="KM46">
            <v>0</v>
          </cell>
          <cell r="KO46">
            <v>0</v>
          </cell>
          <cell r="KQ46">
            <v>0</v>
          </cell>
          <cell r="KR46">
            <v>0</v>
          </cell>
          <cell r="KS46">
            <v>0</v>
          </cell>
          <cell r="KU46">
            <v>0</v>
          </cell>
          <cell r="KV46">
            <v>0</v>
          </cell>
          <cell r="KW46">
            <v>0</v>
          </cell>
          <cell r="KY46">
            <v>0</v>
          </cell>
          <cell r="LA46">
            <v>0</v>
          </cell>
          <cell r="LB46">
            <v>0</v>
          </cell>
          <cell r="LC46">
            <v>0</v>
          </cell>
          <cell r="LE46" t="str">
            <v>810-21</v>
          </cell>
        </row>
        <row r="47">
          <cell r="B47">
            <v>46.06</v>
          </cell>
          <cell r="C47">
            <v>47</v>
          </cell>
          <cell r="D47">
            <v>16811.900000000001</v>
          </cell>
          <cell r="E47">
            <v>17155</v>
          </cell>
          <cell r="F47">
            <v>0.98</v>
          </cell>
          <cell r="G47">
            <v>0.98</v>
          </cell>
          <cell r="H47">
            <v>0.05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46.317808219178083</v>
          </cell>
          <cell r="X47">
            <v>47</v>
          </cell>
          <cell r="Y47">
            <v>16906</v>
          </cell>
          <cell r="Z47">
            <v>17155</v>
          </cell>
          <cell r="AA47">
            <v>0.98548528125910817</v>
          </cell>
          <cell r="AB47">
            <v>0.98548528125910817</v>
          </cell>
          <cell r="AC47">
            <v>0.05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46.06</v>
          </cell>
          <cell r="AS47">
            <v>47</v>
          </cell>
          <cell r="AT47">
            <v>16857.960000000003</v>
          </cell>
          <cell r="AU47">
            <v>17202</v>
          </cell>
          <cell r="AV47">
            <v>0.9800000000000002</v>
          </cell>
          <cell r="AW47">
            <v>0.9800000000000002</v>
          </cell>
          <cell r="AX47">
            <v>3.0000000000000009E-2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C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U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D47">
            <v>0</v>
          </cell>
          <cell r="FE47">
            <v>0</v>
          </cell>
          <cell r="FF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M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0</v>
          </cell>
          <cell r="GY47">
            <v>0</v>
          </cell>
          <cell r="GZ47">
            <v>0</v>
          </cell>
          <cell r="HB47">
            <v>0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Q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F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R47">
            <v>0</v>
          </cell>
          <cell r="IS47">
            <v>0</v>
          </cell>
          <cell r="IT47">
            <v>0</v>
          </cell>
          <cell r="IU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KA47">
            <v>0</v>
          </cell>
          <cell r="KB47">
            <v>0</v>
          </cell>
          <cell r="KC47">
            <v>0</v>
          </cell>
          <cell r="KE47">
            <v>0</v>
          </cell>
          <cell r="KG47">
            <v>0</v>
          </cell>
          <cell r="KH47">
            <v>0</v>
          </cell>
          <cell r="KI47">
            <v>0</v>
          </cell>
          <cell r="KK47">
            <v>0</v>
          </cell>
          <cell r="KL47">
            <v>0</v>
          </cell>
          <cell r="KM47">
            <v>0</v>
          </cell>
          <cell r="KO47">
            <v>0</v>
          </cell>
          <cell r="KQ47">
            <v>0</v>
          </cell>
          <cell r="KR47">
            <v>0</v>
          </cell>
          <cell r="KS47">
            <v>0</v>
          </cell>
          <cell r="KU47">
            <v>0</v>
          </cell>
          <cell r="KV47">
            <v>0</v>
          </cell>
          <cell r="KW47">
            <v>0</v>
          </cell>
          <cell r="KY47">
            <v>0</v>
          </cell>
          <cell r="LA47">
            <v>0</v>
          </cell>
          <cell r="LB47">
            <v>0</v>
          </cell>
          <cell r="LC47">
            <v>0</v>
          </cell>
          <cell r="LE47" t="str">
            <v>810-22</v>
          </cell>
        </row>
        <row r="48">
          <cell r="B48">
            <v>16.489999999999998</v>
          </cell>
          <cell r="C48">
            <v>17</v>
          </cell>
          <cell r="D48">
            <v>6018.8499999999985</v>
          </cell>
          <cell r="E48">
            <v>6205</v>
          </cell>
          <cell r="F48">
            <v>0.96999999999999975</v>
          </cell>
          <cell r="G48">
            <v>0.96999999999999975</v>
          </cell>
          <cell r="H48">
            <v>0.05</v>
          </cell>
          <cell r="I48">
            <v>9.8637361146459099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16.449315068493149</v>
          </cell>
          <cell r="X48">
            <v>17</v>
          </cell>
          <cell r="Y48">
            <v>6004</v>
          </cell>
          <cell r="Z48">
            <v>6205</v>
          </cell>
          <cell r="AA48">
            <v>0.96760676873489115</v>
          </cell>
          <cell r="AB48">
            <v>0.96760676873489115</v>
          </cell>
          <cell r="AC48">
            <v>0.05</v>
          </cell>
          <cell r="AD48">
            <v>5.9687007018515041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16.32</v>
          </cell>
          <cell r="AS48">
            <v>17</v>
          </cell>
          <cell r="AT48">
            <v>5973.1200000000008</v>
          </cell>
          <cell r="AU48">
            <v>6222</v>
          </cell>
          <cell r="AV48">
            <v>0.96</v>
          </cell>
          <cell r="AW48">
            <v>0.96</v>
          </cell>
          <cell r="AX48">
            <v>3.0000000000000009E-2</v>
          </cell>
          <cell r="AY48">
            <v>9.889286337948084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1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C48">
            <v>1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1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U48">
            <v>1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D48">
            <v>0</v>
          </cell>
          <cell r="FE48">
            <v>0</v>
          </cell>
          <cell r="FF48">
            <v>0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M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13.999999999999998</v>
          </cell>
          <cell r="GZ48">
            <v>3</v>
          </cell>
          <cell r="HB48">
            <v>17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13.999999999999998</v>
          </cell>
          <cell r="HO48">
            <v>3</v>
          </cell>
          <cell r="HQ48">
            <v>17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13.999999999999998</v>
          </cell>
          <cell r="ID48">
            <v>3</v>
          </cell>
          <cell r="IF48">
            <v>17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R48">
            <v>0</v>
          </cell>
          <cell r="IS48">
            <v>0</v>
          </cell>
          <cell r="IT48">
            <v>0</v>
          </cell>
          <cell r="IU48">
            <v>0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KA48">
            <v>0</v>
          </cell>
          <cell r="KB48">
            <v>0</v>
          </cell>
          <cell r="KC48">
            <v>0</v>
          </cell>
          <cell r="KE48">
            <v>0</v>
          </cell>
          <cell r="KG48">
            <v>0</v>
          </cell>
          <cell r="KH48">
            <v>0</v>
          </cell>
          <cell r="KI48">
            <v>0</v>
          </cell>
          <cell r="KK48">
            <v>0</v>
          </cell>
          <cell r="KL48">
            <v>0</v>
          </cell>
          <cell r="KM48">
            <v>0</v>
          </cell>
          <cell r="KO48">
            <v>0</v>
          </cell>
          <cell r="KQ48">
            <v>0</v>
          </cell>
          <cell r="KR48">
            <v>0</v>
          </cell>
          <cell r="KS48">
            <v>0</v>
          </cell>
          <cell r="KU48">
            <v>0</v>
          </cell>
          <cell r="KV48">
            <v>0</v>
          </cell>
          <cell r="KW48">
            <v>0</v>
          </cell>
          <cell r="KY48">
            <v>0</v>
          </cell>
          <cell r="LA48">
            <v>0</v>
          </cell>
          <cell r="LB48">
            <v>0</v>
          </cell>
          <cell r="LC48">
            <v>0</v>
          </cell>
          <cell r="LE48" t="str">
            <v>810-31</v>
          </cell>
        </row>
        <row r="49">
          <cell r="B49">
            <v>87.419999999999973</v>
          </cell>
          <cell r="C49">
            <v>94</v>
          </cell>
          <cell r="D49">
            <v>31908.3</v>
          </cell>
          <cell r="E49">
            <v>34310</v>
          </cell>
          <cell r="F49">
            <v>0.93</v>
          </cell>
          <cell r="G49">
            <v>0.93</v>
          </cell>
          <cell r="H49">
            <v>0.05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W49">
            <v>91.312328767123276</v>
          </cell>
          <cell r="X49">
            <v>94</v>
          </cell>
          <cell r="Y49">
            <v>33329</v>
          </cell>
          <cell r="Z49">
            <v>34310</v>
          </cell>
          <cell r="AA49">
            <v>0.97140775284173719</v>
          </cell>
          <cell r="AB49">
            <v>0.97140775284173719</v>
          </cell>
          <cell r="AC49">
            <v>0.05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R49">
            <v>90</v>
          </cell>
          <cell r="AS49">
            <v>94</v>
          </cell>
          <cell r="AT49">
            <v>32940</v>
          </cell>
          <cell r="AU49">
            <v>34404</v>
          </cell>
          <cell r="AV49">
            <v>0.95744680851063835</v>
          </cell>
          <cell r="AW49">
            <v>0.95744680851063835</v>
          </cell>
          <cell r="AX49">
            <v>3.0000000000000009E-2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13.000000000000002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C49">
            <v>13.000000000000002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13.000000000000002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U49">
            <v>13.000000000000002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10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M49">
            <v>10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B49">
            <v>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Q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F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R49">
            <v>0</v>
          </cell>
          <cell r="IS49">
            <v>0</v>
          </cell>
          <cell r="IT49">
            <v>0</v>
          </cell>
          <cell r="IU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KA49">
            <v>0</v>
          </cell>
          <cell r="KB49">
            <v>0</v>
          </cell>
          <cell r="KC49">
            <v>0</v>
          </cell>
          <cell r="KE49">
            <v>0</v>
          </cell>
          <cell r="KG49">
            <v>0</v>
          </cell>
          <cell r="KH49">
            <v>0</v>
          </cell>
          <cell r="KI49">
            <v>0</v>
          </cell>
          <cell r="KK49">
            <v>0</v>
          </cell>
          <cell r="KL49">
            <v>0</v>
          </cell>
          <cell r="KM49">
            <v>0</v>
          </cell>
          <cell r="KO49">
            <v>0</v>
          </cell>
          <cell r="KQ49">
            <v>0</v>
          </cell>
          <cell r="KR49">
            <v>0</v>
          </cell>
          <cell r="KS49">
            <v>0</v>
          </cell>
          <cell r="KU49">
            <v>0</v>
          </cell>
          <cell r="KV49">
            <v>0</v>
          </cell>
          <cell r="KW49">
            <v>0</v>
          </cell>
          <cell r="KY49">
            <v>0</v>
          </cell>
          <cell r="LA49">
            <v>0</v>
          </cell>
          <cell r="LB49">
            <v>0</v>
          </cell>
          <cell r="LC49">
            <v>0</v>
          </cell>
          <cell r="LE49" t="str">
            <v>810-32</v>
          </cell>
        </row>
        <row r="50">
          <cell r="B50">
            <v>125.58000000000004</v>
          </cell>
          <cell r="C50">
            <v>138</v>
          </cell>
          <cell r="D50">
            <v>45836.7</v>
          </cell>
          <cell r="E50">
            <v>50370</v>
          </cell>
          <cell r="F50">
            <v>0.91</v>
          </cell>
          <cell r="G50">
            <v>0.91</v>
          </cell>
          <cell r="H50">
            <v>0.05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127.23287671232876</v>
          </cell>
          <cell r="X50">
            <v>138</v>
          </cell>
          <cell r="Y50">
            <v>46440</v>
          </cell>
          <cell r="Z50">
            <v>50370</v>
          </cell>
          <cell r="AA50">
            <v>0.92197736748064318</v>
          </cell>
          <cell r="AB50">
            <v>0.92197736748064318</v>
          </cell>
          <cell r="AC50">
            <v>0.05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R50">
            <v>125</v>
          </cell>
          <cell r="AS50">
            <v>138</v>
          </cell>
          <cell r="AT50">
            <v>45750</v>
          </cell>
          <cell r="AU50">
            <v>50508</v>
          </cell>
          <cell r="AV50">
            <v>0.90579710144927539</v>
          </cell>
          <cell r="AW50">
            <v>0.90579710144927539</v>
          </cell>
          <cell r="AX50">
            <v>3.0000000000000009E-2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38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C50">
            <v>38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38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U50">
            <v>38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38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M50">
            <v>38</v>
          </cell>
          <cell r="GO50">
            <v>0</v>
          </cell>
          <cell r="GP50">
            <v>0</v>
          </cell>
          <cell r="GQ50">
            <v>0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B50">
            <v>0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Q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F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R50">
            <v>0</v>
          </cell>
          <cell r="IS50">
            <v>0</v>
          </cell>
          <cell r="IT50">
            <v>0</v>
          </cell>
          <cell r="IU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KA50">
            <v>0</v>
          </cell>
          <cell r="KB50">
            <v>0</v>
          </cell>
          <cell r="KC50">
            <v>0</v>
          </cell>
          <cell r="KE50">
            <v>0</v>
          </cell>
          <cell r="KG50">
            <v>0</v>
          </cell>
          <cell r="KH50">
            <v>0</v>
          </cell>
          <cell r="KI50">
            <v>0</v>
          </cell>
          <cell r="KK50">
            <v>0</v>
          </cell>
          <cell r="KL50">
            <v>0</v>
          </cell>
          <cell r="KM50">
            <v>0</v>
          </cell>
          <cell r="KO50">
            <v>0</v>
          </cell>
          <cell r="KQ50">
            <v>0</v>
          </cell>
          <cell r="KR50">
            <v>0</v>
          </cell>
          <cell r="KS50">
            <v>0</v>
          </cell>
          <cell r="KU50">
            <v>0</v>
          </cell>
          <cell r="KV50">
            <v>0</v>
          </cell>
          <cell r="KW50">
            <v>0</v>
          </cell>
          <cell r="KY50">
            <v>0</v>
          </cell>
          <cell r="LA50">
            <v>0</v>
          </cell>
          <cell r="LB50">
            <v>0</v>
          </cell>
          <cell r="LC50">
            <v>0</v>
          </cell>
          <cell r="LE50" t="str">
            <v>810-33</v>
          </cell>
        </row>
        <row r="51">
          <cell r="B51">
            <v>97</v>
          </cell>
          <cell r="C51">
            <v>100</v>
          </cell>
          <cell r="D51">
            <v>35405</v>
          </cell>
          <cell r="E51">
            <v>36500</v>
          </cell>
          <cell r="F51">
            <v>0.97</v>
          </cell>
          <cell r="G51">
            <v>0.97</v>
          </cell>
          <cell r="H51">
            <v>6.0000000000000019E-2</v>
          </cell>
          <cell r="I51">
            <v>0.82997422156279954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W51">
            <v>95.976712328767121</v>
          </cell>
          <cell r="X51">
            <v>100</v>
          </cell>
          <cell r="Y51">
            <v>35031.5</v>
          </cell>
          <cell r="Z51">
            <v>36500</v>
          </cell>
          <cell r="AA51">
            <v>0.95976712328767122</v>
          </cell>
          <cell r="AB51">
            <v>0.95976712328767122</v>
          </cell>
          <cell r="AC51">
            <v>6.0000000000000019E-2</v>
          </cell>
          <cell r="AD51">
            <v>0.79495924787999817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R51">
            <v>96</v>
          </cell>
          <cell r="AS51">
            <v>100</v>
          </cell>
          <cell r="AT51">
            <v>35136</v>
          </cell>
          <cell r="AU51">
            <v>36600</v>
          </cell>
          <cell r="AV51">
            <v>0.96</v>
          </cell>
          <cell r="AW51">
            <v>0.96</v>
          </cell>
          <cell r="AX51">
            <v>3.0000000000000009E-2</v>
          </cell>
          <cell r="AY51">
            <v>0.80651762682564065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2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C51">
            <v>2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2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U51">
            <v>2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2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M51">
            <v>2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B51">
            <v>0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Q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F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R51">
            <v>0</v>
          </cell>
          <cell r="IS51">
            <v>0</v>
          </cell>
          <cell r="IT51">
            <v>0</v>
          </cell>
          <cell r="IU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KA51">
            <v>0</v>
          </cell>
          <cell r="KB51">
            <v>0</v>
          </cell>
          <cell r="KC51">
            <v>0</v>
          </cell>
          <cell r="KE51">
            <v>0</v>
          </cell>
          <cell r="KG51">
            <v>0</v>
          </cell>
          <cell r="KH51">
            <v>0</v>
          </cell>
          <cell r="KI51">
            <v>0</v>
          </cell>
          <cell r="KK51">
            <v>0</v>
          </cell>
          <cell r="KL51">
            <v>0</v>
          </cell>
          <cell r="KM51">
            <v>0</v>
          </cell>
          <cell r="KO51">
            <v>0</v>
          </cell>
          <cell r="KQ51">
            <v>0</v>
          </cell>
          <cell r="KR51">
            <v>0</v>
          </cell>
          <cell r="KS51">
            <v>0</v>
          </cell>
          <cell r="KU51">
            <v>0</v>
          </cell>
          <cell r="KV51">
            <v>0</v>
          </cell>
          <cell r="KW51">
            <v>0</v>
          </cell>
          <cell r="KY51">
            <v>0</v>
          </cell>
          <cell r="LA51">
            <v>0</v>
          </cell>
          <cell r="LB51">
            <v>0</v>
          </cell>
          <cell r="LC51">
            <v>0</v>
          </cell>
          <cell r="LE51" t="str">
            <v>810-51</v>
          </cell>
        </row>
        <row r="52">
          <cell r="B52">
            <v>66.03</v>
          </cell>
          <cell r="C52">
            <v>69</v>
          </cell>
          <cell r="D52">
            <v>24100.950000000004</v>
          </cell>
          <cell r="E52">
            <v>25185</v>
          </cell>
          <cell r="F52">
            <v>0.95695652173913059</v>
          </cell>
          <cell r="G52">
            <v>0.95695652173913059</v>
          </cell>
          <cell r="H52">
            <v>6.0000000000000019E-2</v>
          </cell>
          <cell r="I52">
            <v>0.96328232042174278</v>
          </cell>
          <cell r="J52">
            <v>4.9999896899999996</v>
          </cell>
          <cell r="K52">
            <v>2.5000278599999999</v>
          </cell>
          <cell r="L52">
            <v>18.500021279999999</v>
          </cell>
          <cell r="M52">
            <v>0</v>
          </cell>
          <cell r="N52">
            <v>40.030027199999999</v>
          </cell>
          <cell r="O52">
            <v>0</v>
          </cell>
          <cell r="P52">
            <v>585.92999999999984</v>
          </cell>
          <cell r="Q52">
            <v>397.63000000000005</v>
          </cell>
          <cell r="R52">
            <v>260.00000000000006</v>
          </cell>
          <cell r="S52">
            <v>0</v>
          </cell>
          <cell r="T52">
            <v>511.24000000000012</v>
          </cell>
          <cell r="U52">
            <v>0</v>
          </cell>
          <cell r="W52">
            <v>65.950684931506856</v>
          </cell>
          <cell r="X52">
            <v>69</v>
          </cell>
          <cell r="Y52">
            <v>24072</v>
          </cell>
          <cell r="Z52">
            <v>25185</v>
          </cell>
          <cell r="AA52">
            <v>0.95580702799285278</v>
          </cell>
          <cell r="AB52">
            <v>0.95580702799285278</v>
          </cell>
          <cell r="AC52">
            <v>6.0000000000000019E-2</v>
          </cell>
          <cell r="AD52">
            <v>0.89605184310259856</v>
          </cell>
          <cell r="AE52">
            <v>4.4006350625960016</v>
          </cell>
          <cell r="AF52">
            <v>2.270912268049154</v>
          </cell>
          <cell r="AG52">
            <v>19.222892450588844</v>
          </cell>
          <cell r="AH52">
            <v>0</v>
          </cell>
          <cell r="AI52">
            <v>40.04732922683052</v>
          </cell>
          <cell r="AJ52">
            <v>0</v>
          </cell>
          <cell r="AK52">
            <v>606.65128379073019</v>
          </cell>
          <cell r="AL52">
            <v>446.02548354189344</v>
          </cell>
          <cell r="AM52">
            <v>331.38537113937423</v>
          </cell>
          <cell r="AN52">
            <v>0</v>
          </cell>
          <cell r="AO52">
            <v>496.21136444608544</v>
          </cell>
          <cell r="AP52">
            <v>0</v>
          </cell>
          <cell r="AR52">
            <v>65.549999999999983</v>
          </cell>
          <cell r="AS52">
            <v>69</v>
          </cell>
          <cell r="AT52">
            <v>23991.299999999996</v>
          </cell>
          <cell r="AU52">
            <v>25254</v>
          </cell>
          <cell r="AV52">
            <v>0.94999999999999984</v>
          </cell>
          <cell r="AW52">
            <v>0.94999999999999984</v>
          </cell>
          <cell r="AX52">
            <v>3.0000000000000009E-2</v>
          </cell>
          <cell r="AY52">
            <v>0.91954121210827777</v>
          </cell>
          <cell r="AZ52">
            <v>4.1558699999999993</v>
          </cell>
          <cell r="BA52">
            <v>2.3925750000000003</v>
          </cell>
          <cell r="BB52">
            <v>19.527345</v>
          </cell>
          <cell r="BC52">
            <v>0</v>
          </cell>
          <cell r="BD52">
            <v>39.474209999999985</v>
          </cell>
          <cell r="BE52">
            <v>0</v>
          </cell>
          <cell r="BF52">
            <v>629.5200000000001</v>
          </cell>
          <cell r="BG52">
            <v>454.98</v>
          </cell>
          <cell r="BH52">
            <v>316.32</v>
          </cell>
          <cell r="BI52">
            <v>0</v>
          </cell>
          <cell r="BJ52">
            <v>526.41999999999996</v>
          </cell>
          <cell r="BK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C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U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M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B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Q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F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R52">
            <v>0</v>
          </cell>
          <cell r="IS52">
            <v>0</v>
          </cell>
          <cell r="IT52">
            <v>0</v>
          </cell>
          <cell r="IU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KA52">
            <v>0</v>
          </cell>
          <cell r="KB52">
            <v>0</v>
          </cell>
          <cell r="KC52">
            <v>0</v>
          </cell>
          <cell r="KE52">
            <v>0</v>
          </cell>
          <cell r="KG52">
            <v>0</v>
          </cell>
          <cell r="KH52">
            <v>0</v>
          </cell>
          <cell r="KI52">
            <v>0</v>
          </cell>
          <cell r="KK52">
            <v>0</v>
          </cell>
          <cell r="KL52">
            <v>0</v>
          </cell>
          <cell r="KM52">
            <v>0</v>
          </cell>
          <cell r="KO52">
            <v>0</v>
          </cell>
          <cell r="KQ52">
            <v>0</v>
          </cell>
          <cell r="KR52">
            <v>0</v>
          </cell>
          <cell r="KS52">
            <v>0</v>
          </cell>
          <cell r="KU52">
            <v>0</v>
          </cell>
          <cell r="KV52">
            <v>0</v>
          </cell>
          <cell r="KW52">
            <v>0</v>
          </cell>
          <cell r="KY52">
            <v>0</v>
          </cell>
          <cell r="LA52">
            <v>0</v>
          </cell>
          <cell r="LB52">
            <v>0</v>
          </cell>
          <cell r="LC52">
            <v>0</v>
          </cell>
          <cell r="LE52" t="str">
            <v>810-61</v>
          </cell>
        </row>
        <row r="53">
          <cell r="B53">
            <v>530.7299999999999</v>
          </cell>
          <cell r="C53">
            <v>560</v>
          </cell>
          <cell r="D53">
            <v>193716.45</v>
          </cell>
          <cell r="E53">
            <v>204400</v>
          </cell>
          <cell r="F53">
            <v>0.9477321428571428</v>
          </cell>
          <cell r="G53">
            <v>0.9477321428571428</v>
          </cell>
          <cell r="H53">
            <v>5.2857142857142859E-2</v>
          </cell>
          <cell r="I53">
            <v>0.9281992573179636</v>
          </cell>
          <cell r="J53">
            <v>4.9999896899999996</v>
          </cell>
          <cell r="K53">
            <v>2.5000278599999999</v>
          </cell>
          <cell r="L53">
            <v>18.500021279999999</v>
          </cell>
          <cell r="M53">
            <v>0</v>
          </cell>
          <cell r="N53">
            <v>40.030027199999999</v>
          </cell>
          <cell r="O53">
            <v>0</v>
          </cell>
          <cell r="P53">
            <v>585.92999999999984</v>
          </cell>
          <cell r="Q53">
            <v>397.63000000000005</v>
          </cell>
          <cell r="R53">
            <v>260.00000000000006</v>
          </cell>
          <cell r="S53">
            <v>0</v>
          </cell>
          <cell r="T53">
            <v>511.24000000000012</v>
          </cell>
          <cell r="U53">
            <v>0</v>
          </cell>
          <cell r="W53">
            <v>536.5575342465753</v>
          </cell>
          <cell r="X53">
            <v>560</v>
          </cell>
          <cell r="Y53">
            <v>195843.5</v>
          </cell>
          <cell r="Z53">
            <v>204400</v>
          </cell>
          <cell r="AA53">
            <v>0.95813845401174158</v>
          </cell>
          <cell r="AB53">
            <v>0.95813845401174158</v>
          </cell>
          <cell r="AC53">
            <v>5.2857142857142859E-2</v>
          </cell>
          <cell r="AD53">
            <v>0.87808759765852951</v>
          </cell>
          <cell r="AE53">
            <v>4.4006350625960016</v>
          </cell>
          <cell r="AF53">
            <v>2.270912268049154</v>
          </cell>
          <cell r="AG53">
            <v>19.222892450588844</v>
          </cell>
          <cell r="AH53">
            <v>0</v>
          </cell>
          <cell r="AI53">
            <v>40.04732922683052</v>
          </cell>
          <cell r="AJ53">
            <v>0</v>
          </cell>
          <cell r="AK53">
            <v>606.65128379073019</v>
          </cell>
          <cell r="AL53">
            <v>446.02548354189344</v>
          </cell>
          <cell r="AM53">
            <v>331.38537113937423</v>
          </cell>
          <cell r="AN53">
            <v>0</v>
          </cell>
          <cell r="AO53">
            <v>496.21136444608544</v>
          </cell>
          <cell r="AP53">
            <v>0</v>
          </cell>
          <cell r="AR53">
            <v>531.07999999999993</v>
          </cell>
          <cell r="AS53">
            <v>560</v>
          </cell>
          <cell r="AT53">
            <v>194375.28</v>
          </cell>
          <cell r="AU53">
            <v>204960</v>
          </cell>
          <cell r="AV53">
            <v>0.94835714285714279</v>
          </cell>
          <cell r="AW53">
            <v>0.94835714285714279</v>
          </cell>
          <cell r="AX53">
            <v>3.0000000000000009E-2</v>
          </cell>
          <cell r="AY53">
            <v>0.89776254793127741</v>
          </cell>
          <cell r="AZ53">
            <v>4.1558699999999993</v>
          </cell>
          <cell r="BA53">
            <v>2.3925750000000003</v>
          </cell>
          <cell r="BB53">
            <v>19.527345</v>
          </cell>
          <cell r="BC53">
            <v>0</v>
          </cell>
          <cell r="BD53">
            <v>39.474209999999985</v>
          </cell>
          <cell r="BE53">
            <v>0</v>
          </cell>
          <cell r="BF53">
            <v>629.5200000000001</v>
          </cell>
          <cell r="BG53">
            <v>454.98</v>
          </cell>
          <cell r="BH53">
            <v>316.32</v>
          </cell>
          <cell r="BI53">
            <v>0</v>
          </cell>
          <cell r="BJ53">
            <v>526.41999999999996</v>
          </cell>
          <cell r="BK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2</v>
          </cell>
          <cell r="BZ53">
            <v>1</v>
          </cell>
          <cell r="CA53">
            <v>13.000000000000002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38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C53">
            <v>54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2</v>
          </cell>
          <cell r="DR53">
            <v>1</v>
          </cell>
          <cell r="DS53">
            <v>13.000000000000002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38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U53">
            <v>54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D53">
            <v>0</v>
          </cell>
          <cell r="FE53">
            <v>0</v>
          </cell>
          <cell r="FF53">
            <v>0</v>
          </cell>
          <cell r="FG53">
            <v>0</v>
          </cell>
          <cell r="FH53">
            <v>0</v>
          </cell>
          <cell r="FI53">
            <v>2</v>
          </cell>
          <cell r="FJ53">
            <v>0</v>
          </cell>
          <cell r="FK53">
            <v>10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0</v>
          </cell>
          <cell r="FT53">
            <v>0</v>
          </cell>
          <cell r="FU53">
            <v>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38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M53">
            <v>50</v>
          </cell>
          <cell r="GO53">
            <v>0</v>
          </cell>
          <cell r="GP53">
            <v>0</v>
          </cell>
          <cell r="GQ53">
            <v>0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0</v>
          </cell>
          <cell r="GX53">
            <v>0</v>
          </cell>
          <cell r="GY53">
            <v>13.999999999999998</v>
          </cell>
          <cell r="GZ53">
            <v>3</v>
          </cell>
          <cell r="HB53">
            <v>17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13.999999999999998</v>
          </cell>
          <cell r="HO53">
            <v>3</v>
          </cell>
          <cell r="HQ53">
            <v>17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13.999999999999998</v>
          </cell>
          <cell r="ID53">
            <v>3</v>
          </cell>
          <cell r="IF53">
            <v>17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R53">
            <v>0</v>
          </cell>
          <cell r="IS53">
            <v>0</v>
          </cell>
          <cell r="IT53">
            <v>0</v>
          </cell>
          <cell r="IU53">
            <v>0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KA53">
            <v>0</v>
          </cell>
          <cell r="KB53">
            <v>0</v>
          </cell>
          <cell r="KC53">
            <v>0</v>
          </cell>
          <cell r="KE53">
            <v>0</v>
          </cell>
          <cell r="KG53">
            <v>0</v>
          </cell>
          <cell r="KH53">
            <v>0</v>
          </cell>
          <cell r="KI53">
            <v>0</v>
          </cell>
          <cell r="KK53">
            <v>0</v>
          </cell>
          <cell r="KL53">
            <v>0</v>
          </cell>
          <cell r="KM53">
            <v>0</v>
          </cell>
          <cell r="KO53">
            <v>0</v>
          </cell>
          <cell r="KQ53">
            <v>0</v>
          </cell>
          <cell r="KR53">
            <v>0</v>
          </cell>
          <cell r="KS53">
            <v>0</v>
          </cell>
          <cell r="KU53">
            <v>0</v>
          </cell>
          <cell r="KV53">
            <v>0</v>
          </cell>
          <cell r="KW53">
            <v>0</v>
          </cell>
          <cell r="KY53">
            <v>0</v>
          </cell>
          <cell r="LA53">
            <v>0</v>
          </cell>
          <cell r="LB53">
            <v>0</v>
          </cell>
          <cell r="LC53">
            <v>0</v>
          </cell>
          <cell r="LE53" t="str">
            <v>810-Entity</v>
          </cell>
        </row>
        <row r="54">
          <cell r="B54">
            <v>30</v>
          </cell>
          <cell r="C54">
            <v>31</v>
          </cell>
          <cell r="D54">
            <v>10950</v>
          </cell>
          <cell r="E54">
            <v>11315</v>
          </cell>
          <cell r="F54">
            <v>0.967741935483871</v>
          </cell>
          <cell r="G54">
            <v>0.967741935483871</v>
          </cell>
          <cell r="H54">
            <v>3.9999999999999994E-2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30.649315068493152</v>
          </cell>
          <cell r="X54">
            <v>31</v>
          </cell>
          <cell r="Y54">
            <v>11187</v>
          </cell>
          <cell r="Z54">
            <v>11315</v>
          </cell>
          <cell r="AA54">
            <v>0.98868758285461777</v>
          </cell>
          <cell r="AB54">
            <v>0.98868758285461777</v>
          </cell>
          <cell r="AC54">
            <v>3.9999999999999994E-2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30</v>
          </cell>
          <cell r="AS54">
            <v>31</v>
          </cell>
          <cell r="AT54">
            <v>10980</v>
          </cell>
          <cell r="AU54">
            <v>11346</v>
          </cell>
          <cell r="AV54">
            <v>0.967741935483871</v>
          </cell>
          <cell r="AW54">
            <v>0.967741935483871</v>
          </cell>
          <cell r="AX54">
            <v>3.0000000000000009E-2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C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U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D54">
            <v>0</v>
          </cell>
          <cell r="FE54">
            <v>0</v>
          </cell>
          <cell r="FF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M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B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Q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F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M54">
            <v>0</v>
          </cell>
          <cell r="IN54">
            <v>0</v>
          </cell>
          <cell r="IO54">
            <v>0</v>
          </cell>
          <cell r="IP54">
            <v>0</v>
          </cell>
          <cell r="IR54">
            <v>0</v>
          </cell>
          <cell r="IS54">
            <v>0</v>
          </cell>
          <cell r="IT54">
            <v>0</v>
          </cell>
          <cell r="IU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KA54">
            <v>0</v>
          </cell>
          <cell r="KB54">
            <v>0</v>
          </cell>
          <cell r="KC54">
            <v>0</v>
          </cell>
          <cell r="KE54">
            <v>0</v>
          </cell>
          <cell r="KG54">
            <v>0</v>
          </cell>
          <cell r="KH54">
            <v>0</v>
          </cell>
          <cell r="KI54">
            <v>0</v>
          </cell>
          <cell r="KK54">
            <v>0</v>
          </cell>
          <cell r="KL54">
            <v>0</v>
          </cell>
          <cell r="KM54">
            <v>0</v>
          </cell>
          <cell r="KO54">
            <v>0</v>
          </cell>
          <cell r="KQ54">
            <v>0</v>
          </cell>
          <cell r="KR54">
            <v>0</v>
          </cell>
          <cell r="KS54">
            <v>0</v>
          </cell>
          <cell r="KU54">
            <v>0</v>
          </cell>
          <cell r="KV54">
            <v>0</v>
          </cell>
          <cell r="KW54">
            <v>0</v>
          </cell>
          <cell r="KY54">
            <v>0</v>
          </cell>
          <cell r="LA54">
            <v>0</v>
          </cell>
          <cell r="LB54">
            <v>0</v>
          </cell>
          <cell r="LC54">
            <v>0</v>
          </cell>
          <cell r="LE54" t="str">
            <v>925-21</v>
          </cell>
        </row>
        <row r="55">
          <cell r="B55">
            <v>35</v>
          </cell>
          <cell r="C55">
            <v>36</v>
          </cell>
          <cell r="D55">
            <v>12775</v>
          </cell>
          <cell r="E55">
            <v>13140</v>
          </cell>
          <cell r="F55">
            <v>0.97222222222222221</v>
          </cell>
          <cell r="G55">
            <v>0.97222222222222221</v>
          </cell>
          <cell r="H55">
            <v>3.9999999999999994E-2</v>
          </cell>
          <cell r="I55">
            <v>1.3288950784761482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35.745205479452054</v>
          </cell>
          <cell r="X55">
            <v>36</v>
          </cell>
          <cell r="Y55">
            <v>13047</v>
          </cell>
          <cell r="Z55">
            <v>13140</v>
          </cell>
          <cell r="AA55">
            <v>0.9929223744292236</v>
          </cell>
          <cell r="AB55">
            <v>0.9929223744292236</v>
          </cell>
          <cell r="AC55">
            <v>3.9999999999999994E-2</v>
          </cell>
          <cell r="AD55">
            <v>1.1712177045396737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35</v>
          </cell>
          <cell r="AS55">
            <v>36</v>
          </cell>
          <cell r="AT55">
            <v>12810</v>
          </cell>
          <cell r="AU55">
            <v>13176</v>
          </cell>
          <cell r="AV55">
            <v>0.97222222222222221</v>
          </cell>
          <cell r="AW55">
            <v>0.97222222222222221</v>
          </cell>
          <cell r="AX55">
            <v>3.0000000000000009E-2</v>
          </cell>
          <cell r="AY55">
            <v>1.2554283686476939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C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U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D55">
            <v>0</v>
          </cell>
          <cell r="FE55">
            <v>0</v>
          </cell>
          <cell r="FF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M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B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Q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F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R55">
            <v>0</v>
          </cell>
          <cell r="IS55">
            <v>0</v>
          </cell>
          <cell r="IT55">
            <v>0</v>
          </cell>
          <cell r="IU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KA55">
            <v>0</v>
          </cell>
          <cell r="KB55">
            <v>0</v>
          </cell>
          <cell r="KC55">
            <v>0</v>
          </cell>
          <cell r="KE55">
            <v>0</v>
          </cell>
          <cell r="KG55">
            <v>0</v>
          </cell>
          <cell r="KH55">
            <v>0</v>
          </cell>
          <cell r="KI55">
            <v>0</v>
          </cell>
          <cell r="KK55">
            <v>0</v>
          </cell>
          <cell r="KL55">
            <v>0</v>
          </cell>
          <cell r="KM55">
            <v>0</v>
          </cell>
          <cell r="KO55">
            <v>0</v>
          </cell>
          <cell r="KQ55">
            <v>0</v>
          </cell>
          <cell r="KR55">
            <v>0</v>
          </cell>
          <cell r="KS55">
            <v>0</v>
          </cell>
          <cell r="KU55">
            <v>0</v>
          </cell>
          <cell r="KV55">
            <v>0</v>
          </cell>
          <cell r="KW55">
            <v>0</v>
          </cell>
          <cell r="KY55">
            <v>0</v>
          </cell>
          <cell r="LA55">
            <v>0</v>
          </cell>
          <cell r="LB55">
            <v>0</v>
          </cell>
          <cell r="LC55">
            <v>0</v>
          </cell>
          <cell r="LE55" t="str">
            <v>925-31</v>
          </cell>
        </row>
        <row r="56">
          <cell r="B56">
            <v>38</v>
          </cell>
          <cell r="C56">
            <v>39</v>
          </cell>
          <cell r="D56">
            <v>13870</v>
          </cell>
          <cell r="E56">
            <v>14235</v>
          </cell>
          <cell r="F56">
            <v>0.97435897435897445</v>
          </cell>
          <cell r="G56">
            <v>0.97435897435897445</v>
          </cell>
          <cell r="H56">
            <v>3.9999999999999994E-2</v>
          </cell>
          <cell r="I56">
            <v>0.94481658730529305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37.950684931506849</v>
          </cell>
          <cell r="X56">
            <v>39</v>
          </cell>
          <cell r="Y56">
            <v>13852</v>
          </cell>
          <cell r="Z56">
            <v>14235</v>
          </cell>
          <cell r="AA56">
            <v>0.97309448542325239</v>
          </cell>
          <cell r="AB56">
            <v>0.97309448542325239</v>
          </cell>
          <cell r="AC56">
            <v>3.9999999999999994E-2</v>
          </cell>
          <cell r="AD56">
            <v>0.87485580634784332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38</v>
          </cell>
          <cell r="AS56">
            <v>39</v>
          </cell>
          <cell r="AT56">
            <v>13908</v>
          </cell>
          <cell r="AU56">
            <v>14274</v>
          </cell>
          <cell r="AV56">
            <v>0.97435897435897445</v>
          </cell>
          <cell r="AW56">
            <v>0.97435897435897445</v>
          </cell>
          <cell r="AX56">
            <v>3.0000000000000009E-2</v>
          </cell>
          <cell r="AY56">
            <v>0.895605069134771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C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U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D56">
            <v>0</v>
          </cell>
          <cell r="FE56">
            <v>0</v>
          </cell>
          <cell r="FF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M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B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Q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F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R56">
            <v>0</v>
          </cell>
          <cell r="IS56">
            <v>0</v>
          </cell>
          <cell r="IT56">
            <v>0</v>
          </cell>
          <cell r="IU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KA56">
            <v>0</v>
          </cell>
          <cell r="KB56">
            <v>0</v>
          </cell>
          <cell r="KC56">
            <v>0</v>
          </cell>
          <cell r="KE56">
            <v>0</v>
          </cell>
          <cell r="KG56">
            <v>0</v>
          </cell>
          <cell r="KH56">
            <v>0</v>
          </cell>
          <cell r="KI56">
            <v>0</v>
          </cell>
          <cell r="KK56">
            <v>0</v>
          </cell>
          <cell r="KL56">
            <v>0</v>
          </cell>
          <cell r="KM56">
            <v>0</v>
          </cell>
          <cell r="KO56">
            <v>0</v>
          </cell>
          <cell r="KQ56">
            <v>0</v>
          </cell>
          <cell r="KR56">
            <v>0</v>
          </cell>
          <cell r="KS56">
            <v>0</v>
          </cell>
          <cell r="KU56">
            <v>0</v>
          </cell>
          <cell r="KV56">
            <v>0</v>
          </cell>
          <cell r="KW56">
            <v>0</v>
          </cell>
          <cell r="KY56">
            <v>0</v>
          </cell>
          <cell r="LA56">
            <v>0</v>
          </cell>
          <cell r="LB56">
            <v>0</v>
          </cell>
          <cell r="LC56">
            <v>0</v>
          </cell>
          <cell r="LE56" t="str">
            <v>925-51</v>
          </cell>
        </row>
        <row r="57">
          <cell r="B57">
            <v>103</v>
          </cell>
          <cell r="C57">
            <v>106</v>
          </cell>
          <cell r="D57">
            <v>37595</v>
          </cell>
          <cell r="E57">
            <v>38690</v>
          </cell>
          <cell r="F57">
            <v>0.97169811320754718</v>
          </cell>
          <cell r="G57">
            <v>0.97169811320754718</v>
          </cell>
          <cell r="H57">
            <v>3.9999999999999994E-2</v>
          </cell>
          <cell r="I57">
            <v>0.84281156608517804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104.34520547945203</v>
          </cell>
          <cell r="X57">
            <v>106</v>
          </cell>
          <cell r="Y57">
            <v>38086</v>
          </cell>
          <cell r="Z57">
            <v>38690</v>
          </cell>
          <cell r="AA57">
            <v>0.98438873093822699</v>
          </cell>
          <cell r="AB57">
            <v>0.98438873093822699</v>
          </cell>
          <cell r="AC57">
            <v>3.9999999999999994E-2</v>
          </cell>
          <cell r="AD57">
            <v>0.73987537948292781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103</v>
          </cell>
          <cell r="AS57">
            <v>106</v>
          </cell>
          <cell r="AT57">
            <v>37698</v>
          </cell>
          <cell r="AU57">
            <v>38796</v>
          </cell>
          <cell r="AV57">
            <v>0.97169811320754718</v>
          </cell>
          <cell r="AW57">
            <v>0.97169811320754718</v>
          </cell>
          <cell r="AX57">
            <v>3.0000000000000009E-2</v>
          </cell>
          <cell r="AY57">
            <v>0.79822688622356364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C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U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D57">
            <v>0</v>
          </cell>
          <cell r="FE57">
            <v>0</v>
          </cell>
          <cell r="FF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M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B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Q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F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R57">
            <v>0</v>
          </cell>
          <cell r="IS57">
            <v>0</v>
          </cell>
          <cell r="IT57">
            <v>0</v>
          </cell>
          <cell r="IU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KA57">
            <v>0</v>
          </cell>
          <cell r="KB57">
            <v>0</v>
          </cell>
          <cell r="KC57">
            <v>0</v>
          </cell>
          <cell r="KE57">
            <v>0</v>
          </cell>
          <cell r="KG57">
            <v>0</v>
          </cell>
          <cell r="KH57">
            <v>0</v>
          </cell>
          <cell r="KI57">
            <v>0</v>
          </cell>
          <cell r="KK57">
            <v>0</v>
          </cell>
          <cell r="KL57">
            <v>0</v>
          </cell>
          <cell r="KM57">
            <v>0</v>
          </cell>
          <cell r="KO57">
            <v>0</v>
          </cell>
          <cell r="KQ57">
            <v>0</v>
          </cell>
          <cell r="KR57">
            <v>0</v>
          </cell>
          <cell r="KS57">
            <v>0</v>
          </cell>
          <cell r="KU57">
            <v>0</v>
          </cell>
          <cell r="KV57">
            <v>0</v>
          </cell>
          <cell r="KW57">
            <v>0</v>
          </cell>
          <cell r="KY57">
            <v>0</v>
          </cell>
          <cell r="LA57">
            <v>0</v>
          </cell>
          <cell r="LB57">
            <v>0</v>
          </cell>
          <cell r="LC57">
            <v>0</v>
          </cell>
          <cell r="LE57" t="str">
            <v>925-Entity</v>
          </cell>
        </row>
        <row r="58">
          <cell r="B58">
            <v>2713.3095890410964</v>
          </cell>
          <cell r="C58">
            <v>2989</v>
          </cell>
          <cell r="D58">
            <v>990358</v>
          </cell>
          <cell r="E58">
            <v>1090985</v>
          </cell>
          <cell r="F58">
            <v>0.90776500135198923</v>
          </cell>
          <cell r="G58">
            <v>0.90776500135198923</v>
          </cell>
          <cell r="H58">
            <v>5.7976190476190487E-2</v>
          </cell>
          <cell r="I58">
            <v>0.9926275830643756</v>
          </cell>
          <cell r="J58">
            <v>68.094002763333336</v>
          </cell>
          <cell r="K58">
            <v>44.57094965000001</v>
          </cell>
          <cell r="L58">
            <v>207.69137448999996</v>
          </cell>
          <cell r="M58">
            <v>1.6161626600000003</v>
          </cell>
          <cell r="N58">
            <v>191.34307769</v>
          </cell>
          <cell r="O58">
            <v>4.1706281000000009</v>
          </cell>
          <cell r="P58">
            <v>4330.5000000000009</v>
          </cell>
          <cell r="Q58">
            <v>3056.5400000000004</v>
          </cell>
          <cell r="R58">
            <v>1285.27</v>
          </cell>
          <cell r="S58">
            <v>1187.3000000000002</v>
          </cell>
          <cell r="T58">
            <v>4146.130000000001</v>
          </cell>
          <cell r="U58">
            <v>489.06000000000012</v>
          </cell>
          <cell r="W58">
            <v>2593.0403595621092</v>
          </cell>
          <cell r="X58">
            <v>2991.0178219979848</v>
          </cell>
          <cell r="Y58">
            <v>946467.24</v>
          </cell>
          <cell r="Z58">
            <v>1091721</v>
          </cell>
          <cell r="AA58">
            <v>0.86694974265402969</v>
          </cell>
          <cell r="AB58">
            <v>0.86753460405046812</v>
          </cell>
          <cell r="AC58">
            <v>5.7976190476190487E-2</v>
          </cell>
          <cell r="AD58">
            <v>0.98745975169518085</v>
          </cell>
          <cell r="AE58">
            <v>55.166766788453323</v>
          </cell>
          <cell r="AF58">
            <v>30.734037826212202</v>
          </cell>
          <cell r="AG58">
            <v>202.06497300089609</v>
          </cell>
          <cell r="AH58">
            <v>2.8967189483528557</v>
          </cell>
          <cell r="AI58">
            <v>181.429605522299</v>
          </cell>
          <cell r="AJ58">
            <v>8.6068365143369121</v>
          </cell>
          <cell r="AK58">
            <v>4808.7625612229194</v>
          </cell>
          <cell r="AL58">
            <v>3590.6848702432062</v>
          </cell>
          <cell r="AM58">
            <v>1390.0939449968282</v>
          </cell>
          <cell r="AN58">
            <v>1709.8917181846105</v>
          </cell>
          <cell r="AO58">
            <v>3891.7824935255621</v>
          </cell>
          <cell r="AP58">
            <v>515.1841279230656</v>
          </cell>
          <cell r="AR58">
            <v>2628.6052950819676</v>
          </cell>
          <cell r="AS58">
            <v>2989</v>
          </cell>
          <cell r="AT58">
            <v>962069.53800000041</v>
          </cell>
          <cell r="AU58">
            <v>1093974</v>
          </cell>
          <cell r="AV58">
            <v>0.87942632823083577</v>
          </cell>
          <cell r="AW58">
            <v>0.87942632823083577</v>
          </cell>
          <cell r="AX58">
            <v>3.0000000000000023E-2</v>
          </cell>
          <cell r="AY58">
            <v>1.0045419588324636</v>
          </cell>
          <cell r="AZ58">
            <v>53.660276800000013</v>
          </cell>
          <cell r="BA58">
            <v>28.942787200000001</v>
          </cell>
          <cell r="BB58">
            <v>210.50407339999995</v>
          </cell>
          <cell r="BC58">
            <v>1.7835584000000002</v>
          </cell>
          <cell r="BD58">
            <v>187.52950519999999</v>
          </cell>
          <cell r="BE58">
            <v>7.7156712000000018</v>
          </cell>
          <cell r="BF58">
            <v>5131.99</v>
          </cell>
          <cell r="BG58">
            <v>3664.6100000000006</v>
          </cell>
          <cell r="BH58">
            <v>1361.0500000000004</v>
          </cell>
          <cell r="BI58">
            <v>758.72521857923516</v>
          </cell>
          <cell r="BJ58">
            <v>4228.5200000000023</v>
          </cell>
          <cell r="BK58">
            <v>508.38</v>
          </cell>
          <cell r="BM58">
            <v>0</v>
          </cell>
          <cell r="BN58">
            <v>1</v>
          </cell>
          <cell r="BO58">
            <v>0</v>
          </cell>
          <cell r="BP58">
            <v>0</v>
          </cell>
          <cell r="BQ58">
            <v>9</v>
          </cell>
          <cell r="BR58">
            <v>16</v>
          </cell>
          <cell r="BS58">
            <v>0</v>
          </cell>
          <cell r="BT58">
            <v>1</v>
          </cell>
          <cell r="BU58">
            <v>19</v>
          </cell>
          <cell r="BV58">
            <v>1</v>
          </cell>
          <cell r="BW58">
            <v>55.000000000000021</v>
          </cell>
          <cell r="BX58">
            <v>36</v>
          </cell>
          <cell r="BY58">
            <v>2</v>
          </cell>
          <cell r="BZ58">
            <v>1</v>
          </cell>
          <cell r="CA58">
            <v>13.000000000000002</v>
          </cell>
          <cell r="CB58">
            <v>32.000000000000007</v>
          </cell>
          <cell r="CC58">
            <v>19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6.9999999999999991</v>
          </cell>
          <cell r="CI58">
            <v>9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1</v>
          </cell>
          <cell r="CO58">
            <v>0</v>
          </cell>
          <cell r="CP58">
            <v>20</v>
          </cell>
          <cell r="CQ58">
            <v>0</v>
          </cell>
          <cell r="CR58">
            <v>0</v>
          </cell>
          <cell r="CS58">
            <v>0</v>
          </cell>
          <cell r="CT58">
            <v>8</v>
          </cell>
          <cell r="CU58">
            <v>9</v>
          </cell>
          <cell r="CV58">
            <v>33.999999999999993</v>
          </cell>
          <cell r="CW58">
            <v>38</v>
          </cell>
          <cell r="CX58">
            <v>1</v>
          </cell>
          <cell r="CY58">
            <v>0</v>
          </cell>
          <cell r="CZ58">
            <v>0</v>
          </cell>
          <cell r="DA58">
            <v>13.999999999999998</v>
          </cell>
          <cell r="DC58">
            <v>346</v>
          </cell>
          <cell r="DE58">
            <v>0</v>
          </cell>
          <cell r="DF58">
            <v>1</v>
          </cell>
          <cell r="DG58">
            <v>0</v>
          </cell>
          <cell r="DH58">
            <v>0</v>
          </cell>
          <cell r="DI58">
            <v>9</v>
          </cell>
          <cell r="DJ58">
            <v>16</v>
          </cell>
          <cell r="DK58">
            <v>0</v>
          </cell>
          <cell r="DL58">
            <v>1</v>
          </cell>
          <cell r="DM58">
            <v>19</v>
          </cell>
          <cell r="DN58">
            <v>1</v>
          </cell>
          <cell r="DO58">
            <v>55.000000000000021</v>
          </cell>
          <cell r="DP58">
            <v>36</v>
          </cell>
          <cell r="DQ58">
            <v>2</v>
          </cell>
          <cell r="DR58">
            <v>1</v>
          </cell>
          <cell r="DS58">
            <v>13.000000000000002</v>
          </cell>
          <cell r="DT58">
            <v>32.000000000000007</v>
          </cell>
          <cell r="DU58">
            <v>19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6.9999999999999991</v>
          </cell>
          <cell r="EA58">
            <v>9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1</v>
          </cell>
          <cell r="EG58">
            <v>0</v>
          </cell>
          <cell r="EH58">
            <v>20</v>
          </cell>
          <cell r="EI58">
            <v>0</v>
          </cell>
          <cell r="EJ58">
            <v>0</v>
          </cell>
          <cell r="EK58">
            <v>0</v>
          </cell>
          <cell r="EL58">
            <v>8</v>
          </cell>
          <cell r="EM58">
            <v>9</v>
          </cell>
          <cell r="EN58">
            <v>33.999999999999993</v>
          </cell>
          <cell r="EO58">
            <v>38</v>
          </cell>
          <cell r="EP58">
            <v>1</v>
          </cell>
          <cell r="EQ58">
            <v>0</v>
          </cell>
          <cell r="ER58">
            <v>0</v>
          </cell>
          <cell r="ES58">
            <v>13.999999999999998</v>
          </cell>
          <cell r="EU58">
            <v>346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9</v>
          </cell>
          <cell r="FB58">
            <v>16</v>
          </cell>
          <cell r="FC58">
            <v>0</v>
          </cell>
          <cell r="FD58">
            <v>1</v>
          </cell>
          <cell r="FE58">
            <v>21</v>
          </cell>
          <cell r="FF58">
            <v>1</v>
          </cell>
          <cell r="FG58">
            <v>55.000000000000007</v>
          </cell>
          <cell r="FH58">
            <v>36</v>
          </cell>
          <cell r="FI58">
            <v>2</v>
          </cell>
          <cell r="FJ58">
            <v>0</v>
          </cell>
          <cell r="FK58">
            <v>10</v>
          </cell>
          <cell r="FL58">
            <v>27.999999999999989</v>
          </cell>
          <cell r="FM58">
            <v>21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9</v>
          </cell>
          <cell r="FS58">
            <v>12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0</v>
          </cell>
          <cell r="FY58">
            <v>0</v>
          </cell>
          <cell r="FZ58">
            <v>21</v>
          </cell>
          <cell r="GA58">
            <v>0</v>
          </cell>
          <cell r="GB58">
            <v>0</v>
          </cell>
          <cell r="GC58">
            <v>0</v>
          </cell>
          <cell r="GD58">
            <v>6.9999999999999991</v>
          </cell>
          <cell r="GE58">
            <v>8</v>
          </cell>
          <cell r="GF58">
            <v>35.000000000000007</v>
          </cell>
          <cell r="GG58">
            <v>38</v>
          </cell>
          <cell r="GH58">
            <v>0</v>
          </cell>
          <cell r="GI58">
            <v>0</v>
          </cell>
          <cell r="GJ58">
            <v>0</v>
          </cell>
          <cell r="GK58">
            <v>10.999999999999998</v>
          </cell>
          <cell r="GM58">
            <v>341</v>
          </cell>
          <cell r="GO58">
            <v>2</v>
          </cell>
          <cell r="GP58">
            <v>4</v>
          </cell>
          <cell r="GQ58">
            <v>3</v>
          </cell>
          <cell r="GR58">
            <v>2</v>
          </cell>
          <cell r="GS58">
            <v>1</v>
          </cell>
          <cell r="GT58">
            <v>2</v>
          </cell>
          <cell r="GU58">
            <v>2</v>
          </cell>
          <cell r="GV58">
            <v>1</v>
          </cell>
          <cell r="GW58">
            <v>3</v>
          </cell>
          <cell r="GX58">
            <v>1</v>
          </cell>
          <cell r="GY58">
            <v>13.999999999999998</v>
          </cell>
          <cell r="GZ58">
            <v>3</v>
          </cell>
          <cell r="HB58">
            <v>38</v>
          </cell>
          <cell r="HD58">
            <v>2</v>
          </cell>
          <cell r="HE58">
            <v>4</v>
          </cell>
          <cell r="HF58">
            <v>3</v>
          </cell>
          <cell r="HG58">
            <v>2</v>
          </cell>
          <cell r="HH58">
            <v>1</v>
          </cell>
          <cell r="HI58">
            <v>2</v>
          </cell>
          <cell r="HJ58">
            <v>2</v>
          </cell>
          <cell r="HK58">
            <v>1</v>
          </cell>
          <cell r="HL58">
            <v>3</v>
          </cell>
          <cell r="HM58">
            <v>1</v>
          </cell>
          <cell r="HN58">
            <v>13.999999999999998</v>
          </cell>
          <cell r="HO58">
            <v>3</v>
          </cell>
          <cell r="HQ58">
            <v>38</v>
          </cell>
          <cell r="HS58">
            <v>2</v>
          </cell>
          <cell r="HT58">
            <v>4</v>
          </cell>
          <cell r="HU58">
            <v>3</v>
          </cell>
          <cell r="HV58">
            <v>2</v>
          </cell>
          <cell r="HW58">
            <v>1</v>
          </cell>
          <cell r="HX58">
            <v>2</v>
          </cell>
          <cell r="HY58">
            <v>2</v>
          </cell>
          <cell r="HZ58">
            <v>1</v>
          </cell>
          <cell r="IA58">
            <v>3</v>
          </cell>
          <cell r="IB58">
            <v>1</v>
          </cell>
          <cell r="IC58">
            <v>13.999999999999998</v>
          </cell>
          <cell r="ID58">
            <v>3</v>
          </cell>
          <cell r="IF58">
            <v>38</v>
          </cell>
          <cell r="IH58">
            <v>0</v>
          </cell>
          <cell r="II58">
            <v>0</v>
          </cell>
          <cell r="IJ58">
            <v>0</v>
          </cell>
          <cell r="IK58">
            <v>0</v>
          </cell>
          <cell r="IM58">
            <v>0</v>
          </cell>
          <cell r="IN58">
            <v>0</v>
          </cell>
          <cell r="IO58">
            <v>0</v>
          </cell>
          <cell r="IP58">
            <v>0</v>
          </cell>
          <cell r="IR58">
            <v>0</v>
          </cell>
          <cell r="IS58">
            <v>0</v>
          </cell>
          <cell r="IT58">
            <v>0</v>
          </cell>
          <cell r="IU58">
            <v>0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KA58">
            <v>10.999999999999998</v>
          </cell>
          <cell r="KB58">
            <v>39.000000000000007</v>
          </cell>
          <cell r="KC58">
            <v>6</v>
          </cell>
          <cell r="KE58">
            <v>19</v>
          </cell>
          <cell r="KG58">
            <v>10.999999999999998</v>
          </cell>
          <cell r="KH58">
            <v>20.000000000000007</v>
          </cell>
          <cell r="KI58">
            <v>6</v>
          </cell>
          <cell r="KK58">
            <v>10.999999999999998</v>
          </cell>
          <cell r="KL58">
            <v>39.000000000000007</v>
          </cell>
          <cell r="KM58">
            <v>6</v>
          </cell>
          <cell r="KO58">
            <v>19</v>
          </cell>
          <cell r="KQ58">
            <v>10.999999999999998</v>
          </cell>
          <cell r="KR58">
            <v>20.000000000000007</v>
          </cell>
          <cell r="KS58">
            <v>6</v>
          </cell>
          <cell r="KU58">
            <v>10.999999999999998</v>
          </cell>
          <cell r="KV58">
            <v>41.000000000000014</v>
          </cell>
          <cell r="KW58">
            <v>6</v>
          </cell>
          <cell r="KY58">
            <v>21</v>
          </cell>
          <cell r="LA58">
            <v>10.999999999999998</v>
          </cell>
          <cell r="LB58">
            <v>20.000000000000014</v>
          </cell>
          <cell r="LC58">
            <v>6</v>
          </cell>
          <cell r="LE58" t="str">
            <v>Asbury-Asbury</v>
          </cell>
        </row>
        <row r="59">
          <cell r="B59">
            <v>2713.3095890410964</v>
          </cell>
          <cell r="C59">
            <v>2989</v>
          </cell>
          <cell r="D59">
            <v>990358</v>
          </cell>
          <cell r="E59">
            <v>1090985</v>
          </cell>
          <cell r="F59">
            <v>0.90776500135198923</v>
          </cell>
          <cell r="G59">
            <v>0.90776500135198923</v>
          </cell>
          <cell r="H59">
            <v>5.7976190476190487E-2</v>
          </cell>
          <cell r="I59">
            <v>0.99112872043527001</v>
          </cell>
          <cell r="J59">
            <v>68.094002763333336</v>
          </cell>
          <cell r="K59">
            <v>44.57094965000001</v>
          </cell>
          <cell r="L59">
            <v>207.69137448999996</v>
          </cell>
          <cell r="M59">
            <v>1.6161626600000003</v>
          </cell>
          <cell r="N59">
            <v>191.34307769</v>
          </cell>
          <cell r="O59">
            <v>4.1706281000000009</v>
          </cell>
          <cell r="P59">
            <v>4330.5000000000009</v>
          </cell>
          <cell r="Q59">
            <v>3056.5400000000004</v>
          </cell>
          <cell r="R59">
            <v>1285.27</v>
          </cell>
          <cell r="S59">
            <v>1187.3000000000002</v>
          </cell>
          <cell r="T59">
            <v>4146.130000000001</v>
          </cell>
          <cell r="U59">
            <v>489.06000000000012</v>
          </cell>
          <cell r="W59">
            <v>2593.0403595621092</v>
          </cell>
          <cell r="X59">
            <v>2991.0178219979848</v>
          </cell>
          <cell r="Y59">
            <v>946467.24</v>
          </cell>
          <cell r="Z59">
            <v>1091721</v>
          </cell>
          <cell r="AA59">
            <v>0.86694974265402969</v>
          </cell>
          <cell r="AB59">
            <v>0.86753460405046812</v>
          </cell>
          <cell r="AC59">
            <v>5.7976190476190487E-2</v>
          </cell>
          <cell r="AD59">
            <v>0.98566846294121235</v>
          </cell>
          <cell r="AE59">
            <v>55.166766788453323</v>
          </cell>
          <cell r="AF59">
            <v>30.734037826212202</v>
          </cell>
          <cell r="AG59">
            <v>202.06497300089609</v>
          </cell>
          <cell r="AH59">
            <v>2.8967189483528557</v>
          </cell>
          <cell r="AI59">
            <v>181.429605522299</v>
          </cell>
          <cell r="AJ59">
            <v>8.6068365143369121</v>
          </cell>
          <cell r="AK59">
            <v>4808.7625612229194</v>
          </cell>
          <cell r="AL59">
            <v>3590.6848702432062</v>
          </cell>
          <cell r="AM59">
            <v>1390.0939449968282</v>
          </cell>
          <cell r="AN59">
            <v>1709.8917181846105</v>
          </cell>
          <cell r="AO59">
            <v>3891.7824935255621</v>
          </cell>
          <cell r="AP59">
            <v>515.1841279230656</v>
          </cell>
          <cell r="AR59">
            <v>2628.6052950819676</v>
          </cell>
          <cell r="AS59">
            <v>2989</v>
          </cell>
          <cell r="AT59">
            <v>962069.53800000041</v>
          </cell>
          <cell r="AU59">
            <v>1093974</v>
          </cell>
          <cell r="AV59">
            <v>0.87942632823083577</v>
          </cell>
          <cell r="AW59">
            <v>0.87942632823083577</v>
          </cell>
          <cell r="AX59">
            <v>3.0000000000000023E-2</v>
          </cell>
          <cell r="AY59">
            <v>1.006613439779688</v>
          </cell>
          <cell r="AZ59">
            <v>53.660276800000013</v>
          </cell>
          <cell r="BA59">
            <v>28.942787200000001</v>
          </cell>
          <cell r="BB59">
            <v>210.50407339999995</v>
          </cell>
          <cell r="BC59">
            <v>1.7835584000000002</v>
          </cell>
          <cell r="BD59">
            <v>187.52950519999999</v>
          </cell>
          <cell r="BE59">
            <v>7.7156712000000018</v>
          </cell>
          <cell r="BF59">
            <v>5131.99</v>
          </cell>
          <cell r="BG59">
            <v>3664.6100000000006</v>
          </cell>
          <cell r="BH59">
            <v>1361.0500000000004</v>
          </cell>
          <cell r="BI59">
            <v>758.72521857923516</v>
          </cell>
          <cell r="BJ59">
            <v>4228.5200000000023</v>
          </cell>
          <cell r="BK59">
            <v>508.38</v>
          </cell>
          <cell r="BM59">
            <v>0</v>
          </cell>
          <cell r="BN59">
            <v>1</v>
          </cell>
          <cell r="BO59">
            <v>0</v>
          </cell>
          <cell r="BP59">
            <v>0</v>
          </cell>
          <cell r="BQ59">
            <v>9</v>
          </cell>
          <cell r="BR59">
            <v>16</v>
          </cell>
          <cell r="BS59">
            <v>0</v>
          </cell>
          <cell r="BT59">
            <v>1</v>
          </cell>
          <cell r="BU59">
            <v>19</v>
          </cell>
          <cell r="BV59">
            <v>1</v>
          </cell>
          <cell r="BW59">
            <v>55.000000000000021</v>
          </cell>
          <cell r="BX59">
            <v>36</v>
          </cell>
          <cell r="BY59">
            <v>2</v>
          </cell>
          <cell r="BZ59">
            <v>1</v>
          </cell>
          <cell r="CA59">
            <v>13.000000000000002</v>
          </cell>
          <cell r="CB59">
            <v>32.000000000000007</v>
          </cell>
          <cell r="CC59">
            <v>19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6.9999999999999991</v>
          </cell>
          <cell r="CI59">
            <v>9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1</v>
          </cell>
          <cell r="CO59">
            <v>0</v>
          </cell>
          <cell r="CP59">
            <v>20</v>
          </cell>
          <cell r="CQ59">
            <v>0</v>
          </cell>
          <cell r="CR59">
            <v>0</v>
          </cell>
          <cell r="CS59">
            <v>0</v>
          </cell>
          <cell r="CT59">
            <v>8</v>
          </cell>
          <cell r="CU59">
            <v>9</v>
          </cell>
          <cell r="CV59">
            <v>33.999999999999993</v>
          </cell>
          <cell r="CW59">
            <v>38</v>
          </cell>
          <cell r="CX59">
            <v>1</v>
          </cell>
          <cell r="CY59">
            <v>0</v>
          </cell>
          <cell r="CZ59">
            <v>0</v>
          </cell>
          <cell r="DA59">
            <v>13.999999999999998</v>
          </cell>
          <cell r="DC59">
            <v>346</v>
          </cell>
          <cell r="DE59">
            <v>0</v>
          </cell>
          <cell r="DF59">
            <v>1</v>
          </cell>
          <cell r="DG59">
            <v>0</v>
          </cell>
          <cell r="DH59">
            <v>0</v>
          </cell>
          <cell r="DI59">
            <v>9</v>
          </cell>
          <cell r="DJ59">
            <v>16</v>
          </cell>
          <cell r="DK59">
            <v>0</v>
          </cell>
          <cell r="DL59">
            <v>1</v>
          </cell>
          <cell r="DM59">
            <v>19</v>
          </cell>
          <cell r="DN59">
            <v>1</v>
          </cell>
          <cell r="DO59">
            <v>55.000000000000021</v>
          </cell>
          <cell r="DP59">
            <v>36</v>
          </cell>
          <cell r="DQ59">
            <v>2</v>
          </cell>
          <cell r="DR59">
            <v>1</v>
          </cell>
          <cell r="DS59">
            <v>13.000000000000002</v>
          </cell>
          <cell r="DT59">
            <v>32.000000000000007</v>
          </cell>
          <cell r="DU59">
            <v>19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6.9999999999999991</v>
          </cell>
          <cell r="EA59">
            <v>9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1</v>
          </cell>
          <cell r="EG59">
            <v>0</v>
          </cell>
          <cell r="EH59">
            <v>20</v>
          </cell>
          <cell r="EI59">
            <v>0</v>
          </cell>
          <cell r="EJ59">
            <v>0</v>
          </cell>
          <cell r="EK59">
            <v>0</v>
          </cell>
          <cell r="EL59">
            <v>8</v>
          </cell>
          <cell r="EM59">
            <v>9</v>
          </cell>
          <cell r="EN59">
            <v>33.999999999999993</v>
          </cell>
          <cell r="EO59">
            <v>38</v>
          </cell>
          <cell r="EP59">
            <v>1</v>
          </cell>
          <cell r="EQ59">
            <v>0</v>
          </cell>
          <cell r="ER59">
            <v>0</v>
          </cell>
          <cell r="ES59">
            <v>13.999999999999998</v>
          </cell>
          <cell r="EU59">
            <v>346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9</v>
          </cell>
          <cell r="FB59">
            <v>16</v>
          </cell>
          <cell r="FC59">
            <v>0</v>
          </cell>
          <cell r="FD59">
            <v>1</v>
          </cell>
          <cell r="FE59">
            <v>21</v>
          </cell>
          <cell r="FF59">
            <v>1</v>
          </cell>
          <cell r="FG59">
            <v>55.000000000000007</v>
          </cell>
          <cell r="FH59">
            <v>36</v>
          </cell>
          <cell r="FI59">
            <v>2</v>
          </cell>
          <cell r="FJ59">
            <v>0</v>
          </cell>
          <cell r="FK59">
            <v>10</v>
          </cell>
          <cell r="FL59">
            <v>27.999999999999989</v>
          </cell>
          <cell r="FM59">
            <v>21</v>
          </cell>
          <cell r="FN59">
            <v>0</v>
          </cell>
          <cell r="FO59">
            <v>0</v>
          </cell>
          <cell r="FP59">
            <v>0</v>
          </cell>
          <cell r="FQ59">
            <v>0</v>
          </cell>
          <cell r="FR59">
            <v>9</v>
          </cell>
          <cell r="FS59">
            <v>12</v>
          </cell>
          <cell r="FT59">
            <v>0</v>
          </cell>
          <cell r="FU59">
            <v>0</v>
          </cell>
          <cell r="FV59">
            <v>0</v>
          </cell>
          <cell r="FW59">
            <v>0</v>
          </cell>
          <cell r="FX59">
            <v>0</v>
          </cell>
          <cell r="FY59">
            <v>0</v>
          </cell>
          <cell r="FZ59">
            <v>21</v>
          </cell>
          <cell r="GA59">
            <v>0</v>
          </cell>
          <cell r="GB59">
            <v>0</v>
          </cell>
          <cell r="GC59">
            <v>0</v>
          </cell>
          <cell r="GD59">
            <v>6.9999999999999991</v>
          </cell>
          <cell r="GE59">
            <v>8</v>
          </cell>
          <cell r="GF59">
            <v>35.000000000000007</v>
          </cell>
          <cell r="GG59">
            <v>38</v>
          </cell>
          <cell r="GH59">
            <v>0</v>
          </cell>
          <cell r="GI59">
            <v>0</v>
          </cell>
          <cell r="GJ59">
            <v>0</v>
          </cell>
          <cell r="GK59">
            <v>10.999999999999998</v>
          </cell>
          <cell r="GM59">
            <v>341</v>
          </cell>
          <cell r="GO59">
            <v>2</v>
          </cell>
          <cell r="GP59">
            <v>4</v>
          </cell>
          <cell r="GQ59">
            <v>3</v>
          </cell>
          <cell r="GR59">
            <v>2</v>
          </cell>
          <cell r="GS59">
            <v>1</v>
          </cell>
          <cell r="GT59">
            <v>2</v>
          </cell>
          <cell r="GU59">
            <v>2</v>
          </cell>
          <cell r="GV59">
            <v>1</v>
          </cell>
          <cell r="GW59">
            <v>3</v>
          </cell>
          <cell r="GX59">
            <v>1</v>
          </cell>
          <cell r="GY59">
            <v>13.999999999999998</v>
          </cell>
          <cell r="GZ59">
            <v>3</v>
          </cell>
          <cell r="HB59">
            <v>38</v>
          </cell>
          <cell r="HD59">
            <v>2</v>
          </cell>
          <cell r="HE59">
            <v>4</v>
          </cell>
          <cell r="HF59">
            <v>3</v>
          </cell>
          <cell r="HG59">
            <v>2</v>
          </cell>
          <cell r="HH59">
            <v>1</v>
          </cell>
          <cell r="HI59">
            <v>2</v>
          </cell>
          <cell r="HJ59">
            <v>2</v>
          </cell>
          <cell r="HK59">
            <v>1</v>
          </cell>
          <cell r="HL59">
            <v>3</v>
          </cell>
          <cell r="HM59">
            <v>1</v>
          </cell>
          <cell r="HN59">
            <v>13.999999999999998</v>
          </cell>
          <cell r="HO59">
            <v>3</v>
          </cell>
          <cell r="HQ59">
            <v>38</v>
          </cell>
          <cell r="HS59">
            <v>2</v>
          </cell>
          <cell r="HT59">
            <v>4</v>
          </cell>
          <cell r="HU59">
            <v>3</v>
          </cell>
          <cell r="HV59">
            <v>2</v>
          </cell>
          <cell r="HW59">
            <v>1</v>
          </cell>
          <cell r="HX59">
            <v>2</v>
          </cell>
          <cell r="HY59">
            <v>2</v>
          </cell>
          <cell r="HZ59">
            <v>1</v>
          </cell>
          <cell r="IA59">
            <v>3</v>
          </cell>
          <cell r="IB59">
            <v>1</v>
          </cell>
          <cell r="IC59">
            <v>13.999999999999998</v>
          </cell>
          <cell r="ID59">
            <v>3</v>
          </cell>
          <cell r="IF59">
            <v>38</v>
          </cell>
          <cell r="IH59">
            <v>0</v>
          </cell>
          <cell r="II59">
            <v>0</v>
          </cell>
          <cell r="IJ59">
            <v>0</v>
          </cell>
          <cell r="IK59">
            <v>0</v>
          </cell>
          <cell r="IM59">
            <v>0</v>
          </cell>
          <cell r="IN59">
            <v>0</v>
          </cell>
          <cell r="IO59">
            <v>0</v>
          </cell>
          <cell r="IP59">
            <v>0</v>
          </cell>
          <cell r="IR59">
            <v>0</v>
          </cell>
          <cell r="IS59">
            <v>0</v>
          </cell>
          <cell r="IT59">
            <v>0</v>
          </cell>
          <cell r="IU59">
            <v>0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KA59">
            <v>10.999999999999998</v>
          </cell>
          <cell r="KB59">
            <v>39.000000000000007</v>
          </cell>
          <cell r="KC59">
            <v>6</v>
          </cell>
          <cell r="KE59">
            <v>19</v>
          </cell>
          <cell r="KG59">
            <v>10.999999999999998</v>
          </cell>
          <cell r="KH59">
            <v>20.000000000000007</v>
          </cell>
          <cell r="KI59">
            <v>6</v>
          </cell>
          <cell r="KK59">
            <v>10.999999999999998</v>
          </cell>
          <cell r="KL59">
            <v>39.000000000000007</v>
          </cell>
          <cell r="KM59">
            <v>6</v>
          </cell>
          <cell r="KO59">
            <v>19</v>
          </cell>
          <cell r="KQ59">
            <v>10.999999999999998</v>
          </cell>
          <cell r="KR59">
            <v>20.000000000000007</v>
          </cell>
          <cell r="KS59">
            <v>6</v>
          </cell>
          <cell r="KU59">
            <v>10.999999999999998</v>
          </cell>
          <cell r="KV59">
            <v>41.000000000000014</v>
          </cell>
          <cell r="KW59">
            <v>6</v>
          </cell>
          <cell r="KY59">
            <v>21</v>
          </cell>
          <cell r="LA59">
            <v>10.999999999999998</v>
          </cell>
          <cell r="LB59">
            <v>20.000000000000014</v>
          </cell>
          <cell r="LC59">
            <v>6</v>
          </cell>
          <cell r="LE59" t="str">
            <v>Asbury (Consolidated)-Asbury (Consolidated)</v>
          </cell>
        </row>
        <row r="60">
          <cell r="B60">
            <v>48</v>
          </cell>
          <cell r="C60">
            <v>52</v>
          </cell>
          <cell r="D60">
            <v>17520</v>
          </cell>
          <cell r="E60">
            <v>18980</v>
          </cell>
          <cell r="F60">
            <v>0.92307692307692324</v>
          </cell>
          <cell r="G60">
            <v>0.92307692307692324</v>
          </cell>
          <cell r="H60">
            <v>7.9999999999999988E-2</v>
          </cell>
          <cell r="I60">
            <v>0.63737150903302131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W60">
            <v>49.841095890410962</v>
          </cell>
          <cell r="X60">
            <v>52</v>
          </cell>
          <cell r="Y60">
            <v>18192</v>
          </cell>
          <cell r="Z60">
            <v>18980</v>
          </cell>
          <cell r="AA60">
            <v>0.9584826132771338</v>
          </cell>
          <cell r="AB60">
            <v>0.9584826132771338</v>
          </cell>
          <cell r="AC60">
            <v>7.9999999999999988E-2</v>
          </cell>
          <cell r="AD60">
            <v>0.49054837299932225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50</v>
          </cell>
          <cell r="AS60">
            <v>52</v>
          </cell>
          <cell r="AT60">
            <v>18300</v>
          </cell>
          <cell r="AU60">
            <v>19032</v>
          </cell>
          <cell r="AV60">
            <v>0.96153846153846156</v>
          </cell>
          <cell r="AW60">
            <v>0.96153846153846156</v>
          </cell>
          <cell r="AX60">
            <v>3.0000000000000009E-2</v>
          </cell>
          <cell r="AY60">
            <v>0.54841623410876994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C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U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D60">
            <v>0</v>
          </cell>
          <cell r="FE60">
            <v>0</v>
          </cell>
          <cell r="FF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20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M60">
            <v>20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B60">
            <v>0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Q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F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R60">
            <v>0</v>
          </cell>
          <cell r="IS60">
            <v>0</v>
          </cell>
          <cell r="IT60">
            <v>0</v>
          </cell>
          <cell r="IU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KA60">
            <v>0</v>
          </cell>
          <cell r="KB60">
            <v>0</v>
          </cell>
          <cell r="KC60">
            <v>0</v>
          </cell>
          <cell r="KE60">
            <v>0</v>
          </cell>
          <cell r="KG60">
            <v>0</v>
          </cell>
          <cell r="KH60">
            <v>0</v>
          </cell>
          <cell r="KI60">
            <v>0</v>
          </cell>
          <cell r="KK60">
            <v>0</v>
          </cell>
          <cell r="KL60">
            <v>0</v>
          </cell>
          <cell r="KM60">
            <v>0</v>
          </cell>
          <cell r="KO60">
            <v>0</v>
          </cell>
          <cell r="KQ60">
            <v>0</v>
          </cell>
          <cell r="KR60">
            <v>0</v>
          </cell>
          <cell r="KS60">
            <v>0</v>
          </cell>
          <cell r="KU60">
            <v>0</v>
          </cell>
          <cell r="KV60">
            <v>0</v>
          </cell>
          <cell r="KW60">
            <v>0</v>
          </cell>
          <cell r="KY60">
            <v>0</v>
          </cell>
          <cell r="LA60">
            <v>0</v>
          </cell>
          <cell r="LB60">
            <v>0</v>
          </cell>
          <cell r="LC60">
            <v>0</v>
          </cell>
          <cell r="LE60" t="str">
            <v>835-21</v>
          </cell>
        </row>
        <row r="61">
          <cell r="B61">
            <v>72.929999999999993</v>
          </cell>
          <cell r="C61">
            <v>78</v>
          </cell>
          <cell r="D61">
            <v>26619.450000000008</v>
          </cell>
          <cell r="E61">
            <v>28470</v>
          </cell>
          <cell r="F61">
            <v>0.93500000000000039</v>
          </cell>
          <cell r="G61">
            <v>0.93500000000000039</v>
          </cell>
          <cell r="H61">
            <v>7.9999999999999988E-2</v>
          </cell>
          <cell r="I61">
            <v>2.4166115936996184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70.454219178082184</v>
          </cell>
          <cell r="X61">
            <v>78</v>
          </cell>
          <cell r="Y61">
            <v>25715.790000000008</v>
          </cell>
          <cell r="Z61">
            <v>28470</v>
          </cell>
          <cell r="AA61">
            <v>0.90325922023182315</v>
          </cell>
          <cell r="AB61">
            <v>0.90325922023182315</v>
          </cell>
          <cell r="AC61">
            <v>7.9999999999999988E-2</v>
          </cell>
          <cell r="AD61">
            <v>2.4869209885485279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71</v>
          </cell>
          <cell r="AS61">
            <v>78</v>
          </cell>
          <cell r="AT61">
            <v>25986</v>
          </cell>
          <cell r="AU61">
            <v>28548</v>
          </cell>
          <cell r="AV61">
            <v>0.91025641025641024</v>
          </cell>
          <cell r="AW61">
            <v>0.91025641025641024</v>
          </cell>
          <cell r="AX61">
            <v>3.0000000000000009E-2</v>
          </cell>
          <cell r="AY61">
            <v>2.4045069724633636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5</v>
          </cell>
          <cell r="CR61">
            <v>0</v>
          </cell>
          <cell r="CS61">
            <v>13.999999999999998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C61">
            <v>19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5</v>
          </cell>
          <cell r="EJ61">
            <v>0</v>
          </cell>
          <cell r="EK61">
            <v>13.999999999999998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U61">
            <v>19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D61">
            <v>0</v>
          </cell>
          <cell r="FE61">
            <v>0</v>
          </cell>
          <cell r="FF61">
            <v>0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4</v>
          </cell>
          <cell r="GB61">
            <v>0</v>
          </cell>
          <cell r="GC61">
            <v>12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0</v>
          </cell>
          <cell r="GM61">
            <v>16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B61">
            <v>0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Q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F61">
            <v>0</v>
          </cell>
          <cell r="IH61">
            <v>19</v>
          </cell>
          <cell r="II61">
            <v>78.000000000000014</v>
          </cell>
          <cell r="IJ61">
            <v>0</v>
          </cell>
          <cell r="IK61">
            <v>0</v>
          </cell>
          <cell r="IM61">
            <v>5</v>
          </cell>
          <cell r="IN61">
            <v>13.999999999999998</v>
          </cell>
          <cell r="IO61">
            <v>0</v>
          </cell>
          <cell r="IP61">
            <v>0</v>
          </cell>
          <cell r="IR61">
            <v>5</v>
          </cell>
          <cell r="IS61">
            <v>13.999999999999998</v>
          </cell>
          <cell r="IT61">
            <v>14</v>
          </cell>
          <cell r="IU61">
            <v>64.000000000000014</v>
          </cell>
          <cell r="IW61">
            <v>19</v>
          </cell>
          <cell r="IX61">
            <v>78.000000000000014</v>
          </cell>
          <cell r="IY61">
            <v>0</v>
          </cell>
          <cell r="IZ61">
            <v>0</v>
          </cell>
          <cell r="JB61">
            <v>5</v>
          </cell>
          <cell r="JC61">
            <v>13.999999999999998</v>
          </cell>
          <cell r="JD61">
            <v>0</v>
          </cell>
          <cell r="JE61">
            <v>0</v>
          </cell>
          <cell r="JG61">
            <v>5</v>
          </cell>
          <cell r="JH61">
            <v>13.999999999999998</v>
          </cell>
          <cell r="JI61">
            <v>14</v>
          </cell>
          <cell r="JJ61">
            <v>64.000000000000014</v>
          </cell>
          <cell r="JL61">
            <v>17.999999999999996</v>
          </cell>
          <cell r="JM61">
            <v>76</v>
          </cell>
          <cell r="JN61">
            <v>0</v>
          </cell>
          <cell r="JO61">
            <v>0</v>
          </cell>
          <cell r="JQ61">
            <v>4</v>
          </cell>
          <cell r="JR61">
            <v>12</v>
          </cell>
          <cell r="JS61">
            <v>0</v>
          </cell>
          <cell r="JT61">
            <v>0</v>
          </cell>
          <cell r="JV61">
            <v>4</v>
          </cell>
          <cell r="JW61">
            <v>12</v>
          </cell>
          <cell r="JX61">
            <v>13.999999999999996</v>
          </cell>
          <cell r="JY61">
            <v>64</v>
          </cell>
          <cell r="KA61">
            <v>0</v>
          </cell>
          <cell r="KB61">
            <v>0</v>
          </cell>
          <cell r="KC61">
            <v>0</v>
          </cell>
          <cell r="KE61">
            <v>0</v>
          </cell>
          <cell r="KG61">
            <v>0</v>
          </cell>
          <cell r="KH61">
            <v>0</v>
          </cell>
          <cell r="KI61">
            <v>0</v>
          </cell>
          <cell r="KK61">
            <v>0</v>
          </cell>
          <cell r="KL61">
            <v>0</v>
          </cell>
          <cell r="KM61">
            <v>0</v>
          </cell>
          <cell r="KO61">
            <v>0</v>
          </cell>
          <cell r="KQ61">
            <v>0</v>
          </cell>
          <cell r="KR61">
            <v>0</v>
          </cell>
          <cell r="KS61">
            <v>0</v>
          </cell>
          <cell r="KU61">
            <v>0</v>
          </cell>
          <cell r="KV61">
            <v>0</v>
          </cell>
          <cell r="KW61">
            <v>0</v>
          </cell>
          <cell r="KY61">
            <v>0</v>
          </cell>
          <cell r="LA61">
            <v>0</v>
          </cell>
          <cell r="LB61">
            <v>0</v>
          </cell>
          <cell r="LC61">
            <v>0</v>
          </cell>
          <cell r="LE61" t="str">
            <v>835-31</v>
          </cell>
        </row>
        <row r="62">
          <cell r="B62">
            <v>36</v>
          </cell>
          <cell r="C62">
            <v>38</v>
          </cell>
          <cell r="D62">
            <v>13140</v>
          </cell>
          <cell r="E62">
            <v>13870</v>
          </cell>
          <cell r="F62">
            <v>0.94736842105263164</v>
          </cell>
          <cell r="G62">
            <v>0.94736842105263164</v>
          </cell>
          <cell r="H62">
            <v>7.9999999999999988E-2</v>
          </cell>
          <cell r="I62">
            <v>0.93744776147366404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W62">
            <v>35.147945205479452</v>
          </cell>
          <cell r="X62">
            <v>38</v>
          </cell>
          <cell r="Y62">
            <v>12829</v>
          </cell>
          <cell r="Z62">
            <v>13870</v>
          </cell>
          <cell r="AA62">
            <v>0.92494592645998563</v>
          </cell>
          <cell r="AB62">
            <v>0.92494592645998563</v>
          </cell>
          <cell r="AC62">
            <v>7.9999999999999988E-2</v>
          </cell>
          <cell r="AD62">
            <v>0.91153543114727464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35.719999999999992</v>
          </cell>
          <cell r="AS62">
            <v>38</v>
          </cell>
          <cell r="AT62">
            <v>13073.52</v>
          </cell>
          <cell r="AU62">
            <v>13908</v>
          </cell>
          <cell r="AV62">
            <v>0.94</v>
          </cell>
          <cell r="AW62">
            <v>0.94</v>
          </cell>
          <cell r="AX62">
            <v>3.0000000000000009E-2</v>
          </cell>
          <cell r="AY62">
            <v>0.93938841088524716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M62">
            <v>0</v>
          </cell>
          <cell r="BN62">
            <v>0</v>
          </cell>
          <cell r="BO62">
            <v>3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C62">
            <v>3</v>
          </cell>
          <cell r="DE62">
            <v>0</v>
          </cell>
          <cell r="DF62">
            <v>0</v>
          </cell>
          <cell r="DG62">
            <v>3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U62">
            <v>3</v>
          </cell>
          <cell r="EW62">
            <v>0</v>
          </cell>
          <cell r="EX62">
            <v>0</v>
          </cell>
          <cell r="EY62">
            <v>1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D62">
            <v>0</v>
          </cell>
          <cell r="FE62">
            <v>0</v>
          </cell>
          <cell r="FF62">
            <v>0</v>
          </cell>
          <cell r="FG62">
            <v>0</v>
          </cell>
          <cell r="FH62">
            <v>0</v>
          </cell>
          <cell r="FI62">
            <v>0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M62">
            <v>1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B62">
            <v>0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Q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F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R62">
            <v>0</v>
          </cell>
          <cell r="IS62">
            <v>0</v>
          </cell>
          <cell r="IT62">
            <v>0</v>
          </cell>
          <cell r="IU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KA62">
            <v>0</v>
          </cell>
          <cell r="KB62">
            <v>0</v>
          </cell>
          <cell r="KC62">
            <v>0</v>
          </cell>
          <cell r="KE62">
            <v>0</v>
          </cell>
          <cell r="KG62">
            <v>0</v>
          </cell>
          <cell r="KH62">
            <v>0</v>
          </cell>
          <cell r="KI62">
            <v>0</v>
          </cell>
          <cell r="KK62">
            <v>0</v>
          </cell>
          <cell r="KL62">
            <v>0</v>
          </cell>
          <cell r="KM62">
            <v>0</v>
          </cell>
          <cell r="KO62">
            <v>0</v>
          </cell>
          <cell r="KQ62">
            <v>0</v>
          </cell>
          <cell r="KR62">
            <v>0</v>
          </cell>
          <cell r="KS62">
            <v>0</v>
          </cell>
          <cell r="KU62">
            <v>0</v>
          </cell>
          <cell r="KV62">
            <v>0</v>
          </cell>
          <cell r="KW62">
            <v>0</v>
          </cell>
          <cell r="KY62">
            <v>0</v>
          </cell>
          <cell r="LA62">
            <v>0</v>
          </cell>
          <cell r="LB62">
            <v>0</v>
          </cell>
          <cell r="LC62">
            <v>0</v>
          </cell>
          <cell r="LE62" t="str">
            <v>835-51</v>
          </cell>
        </row>
        <row r="63">
          <cell r="B63">
            <v>90</v>
          </cell>
          <cell r="C63">
            <v>119</v>
          </cell>
          <cell r="D63">
            <v>32850</v>
          </cell>
          <cell r="E63">
            <v>43435</v>
          </cell>
          <cell r="F63">
            <v>0.75630252100840334</v>
          </cell>
          <cell r="G63">
            <v>0.75630252100840334</v>
          </cell>
          <cell r="H63">
            <v>8.8999999999999982E-2</v>
          </cell>
          <cell r="I63">
            <v>1.2305812111559395</v>
          </cell>
          <cell r="J63">
            <v>8.0999999999999979</v>
          </cell>
          <cell r="K63">
            <v>4.5</v>
          </cell>
          <cell r="L63">
            <v>57.203999999999986</v>
          </cell>
          <cell r="M63">
            <v>0.999</v>
          </cell>
          <cell r="N63">
            <v>19.196999999999999</v>
          </cell>
          <cell r="O63">
            <v>0</v>
          </cell>
          <cell r="P63">
            <v>539.08000000000015</v>
          </cell>
          <cell r="Q63">
            <v>384.00000000000006</v>
          </cell>
          <cell r="R63">
            <v>206</v>
          </cell>
          <cell r="S63">
            <v>212.08000000000007</v>
          </cell>
          <cell r="T63">
            <v>456.7600000000001</v>
          </cell>
          <cell r="U63">
            <v>0</v>
          </cell>
          <cell r="W63">
            <v>93.986301369863</v>
          </cell>
          <cell r="X63">
            <v>119</v>
          </cell>
          <cell r="Y63">
            <v>34305</v>
          </cell>
          <cell r="Z63">
            <v>43435</v>
          </cell>
          <cell r="AA63">
            <v>0.7898008518475883</v>
          </cell>
          <cell r="AB63">
            <v>0.7898008518475883</v>
          </cell>
          <cell r="AC63">
            <v>8.8999999999999982E-2</v>
          </cell>
          <cell r="AD63">
            <v>1.0152106651275794</v>
          </cell>
          <cell r="AE63">
            <v>7.4922595953134818</v>
          </cell>
          <cell r="AF63">
            <v>8.0061815800137577</v>
          </cell>
          <cell r="AG63">
            <v>58.605584123921346</v>
          </cell>
          <cell r="AH63">
            <v>2.3220713891087779</v>
          </cell>
          <cell r="AI63">
            <v>17.57793556970714</v>
          </cell>
          <cell r="AJ63">
            <v>0</v>
          </cell>
          <cell r="AK63">
            <v>533.93248480942088</v>
          </cell>
          <cell r="AL63">
            <v>377.81289893505442</v>
          </cell>
          <cell r="AM63">
            <v>213.36227047119195</v>
          </cell>
          <cell r="AN63">
            <v>215.8455689570296</v>
          </cell>
          <cell r="AO63">
            <v>432.8695197383451</v>
          </cell>
          <cell r="AP63">
            <v>0</v>
          </cell>
          <cell r="AR63">
            <v>92</v>
          </cell>
          <cell r="AS63">
            <v>119</v>
          </cell>
          <cell r="AT63">
            <v>33672</v>
          </cell>
          <cell r="AU63">
            <v>43554</v>
          </cell>
          <cell r="AV63">
            <v>0.77310924369747902</v>
          </cell>
          <cell r="AW63">
            <v>0.77310924369747902</v>
          </cell>
          <cell r="AX63">
            <v>3.0000000000000009E-2</v>
          </cell>
          <cell r="AY63">
            <v>1.2136140882660549</v>
          </cell>
          <cell r="AZ63">
            <v>8.2799999999999994</v>
          </cell>
          <cell r="BA63">
            <v>6.7987999999999991</v>
          </cell>
          <cell r="BB63">
            <v>58.015200000000014</v>
          </cell>
          <cell r="BC63">
            <v>1.9319999999999995</v>
          </cell>
          <cell r="BD63">
            <v>16.973999999999997</v>
          </cell>
          <cell r="BE63">
            <v>0</v>
          </cell>
          <cell r="BF63">
            <v>554.65</v>
          </cell>
          <cell r="BG63">
            <v>391.26999999999992</v>
          </cell>
          <cell r="BH63">
            <v>211.38499999999996</v>
          </cell>
          <cell r="BI63">
            <v>215</v>
          </cell>
          <cell r="BJ63">
            <v>472.94</v>
          </cell>
          <cell r="BK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C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U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D63">
            <v>0</v>
          </cell>
          <cell r="FE63">
            <v>0</v>
          </cell>
          <cell r="FF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M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B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Q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F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R63">
            <v>0</v>
          </cell>
          <cell r="IS63">
            <v>0</v>
          </cell>
          <cell r="IT63">
            <v>0</v>
          </cell>
          <cell r="IU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KA63">
            <v>0</v>
          </cell>
          <cell r="KB63">
            <v>0</v>
          </cell>
          <cell r="KC63">
            <v>0</v>
          </cell>
          <cell r="KE63">
            <v>0</v>
          </cell>
          <cell r="KG63">
            <v>0</v>
          </cell>
          <cell r="KH63">
            <v>0</v>
          </cell>
          <cell r="KI63">
            <v>0</v>
          </cell>
          <cell r="KK63">
            <v>0</v>
          </cell>
          <cell r="KL63">
            <v>0</v>
          </cell>
          <cell r="KM63">
            <v>0</v>
          </cell>
          <cell r="KO63">
            <v>0</v>
          </cell>
          <cell r="KQ63">
            <v>0</v>
          </cell>
          <cell r="KR63">
            <v>0</v>
          </cell>
          <cell r="KS63">
            <v>0</v>
          </cell>
          <cell r="KU63">
            <v>0</v>
          </cell>
          <cell r="KV63">
            <v>0</v>
          </cell>
          <cell r="KW63">
            <v>0</v>
          </cell>
          <cell r="KY63">
            <v>0</v>
          </cell>
          <cell r="LA63">
            <v>0</v>
          </cell>
          <cell r="LB63">
            <v>0</v>
          </cell>
          <cell r="LC63">
            <v>0</v>
          </cell>
          <cell r="LE63" t="str">
            <v>835-61</v>
          </cell>
        </row>
        <row r="64">
          <cell r="B64">
            <v>246.93000000000009</v>
          </cell>
          <cell r="C64">
            <v>287</v>
          </cell>
          <cell r="D64">
            <v>90129.45</v>
          </cell>
          <cell r="E64">
            <v>104755</v>
          </cell>
          <cell r="F64">
            <v>0.86038327526132397</v>
          </cell>
          <cell r="G64">
            <v>0.86038327526132397</v>
          </cell>
          <cell r="H64">
            <v>8.2250000000000018E-2</v>
          </cell>
          <cell r="I64">
            <v>1.2712114879258003</v>
          </cell>
          <cell r="J64">
            <v>8.0999999999999979</v>
          </cell>
          <cell r="K64">
            <v>4.5</v>
          </cell>
          <cell r="L64">
            <v>57.203999999999986</v>
          </cell>
          <cell r="M64">
            <v>0.999</v>
          </cell>
          <cell r="N64">
            <v>19.196999999999999</v>
          </cell>
          <cell r="O64">
            <v>0</v>
          </cell>
          <cell r="P64">
            <v>539.08000000000015</v>
          </cell>
          <cell r="Q64">
            <v>384.00000000000006</v>
          </cell>
          <cell r="R64">
            <v>206</v>
          </cell>
          <cell r="S64">
            <v>212.08000000000007</v>
          </cell>
          <cell r="T64">
            <v>456.7600000000001</v>
          </cell>
          <cell r="U64">
            <v>0</v>
          </cell>
          <cell r="W64">
            <v>249.42956164383563</v>
          </cell>
          <cell r="X64">
            <v>287</v>
          </cell>
          <cell r="Y64">
            <v>91041.79</v>
          </cell>
          <cell r="Z64">
            <v>104755</v>
          </cell>
          <cell r="AA64">
            <v>0.86909254928165713</v>
          </cell>
          <cell r="AB64">
            <v>0.86909254928165713</v>
          </cell>
          <cell r="AC64">
            <v>8.2250000000000018E-2</v>
          </cell>
          <cell r="AD64">
            <v>1.1146987262555199</v>
          </cell>
          <cell r="AE64">
            <v>7.4922595953134818</v>
          </cell>
          <cell r="AF64">
            <v>8.0061815800137577</v>
          </cell>
          <cell r="AG64">
            <v>58.605584123921346</v>
          </cell>
          <cell r="AH64">
            <v>2.3220713891087779</v>
          </cell>
          <cell r="AI64">
            <v>17.57793556970714</v>
          </cell>
          <cell r="AJ64">
            <v>0</v>
          </cell>
          <cell r="AK64">
            <v>533.93248480942088</v>
          </cell>
          <cell r="AL64">
            <v>377.81289893505442</v>
          </cell>
          <cell r="AM64">
            <v>213.36227047119195</v>
          </cell>
          <cell r="AN64">
            <v>215.8455689570296</v>
          </cell>
          <cell r="AO64">
            <v>432.8695197383451</v>
          </cell>
          <cell r="AP64">
            <v>0</v>
          </cell>
          <cell r="AR64">
            <v>248.71999999999997</v>
          </cell>
          <cell r="AS64">
            <v>287</v>
          </cell>
          <cell r="AT64">
            <v>91031.520000000019</v>
          </cell>
          <cell r="AU64">
            <v>105042</v>
          </cell>
          <cell r="AV64">
            <v>0.86662020905923365</v>
          </cell>
          <cell r="AW64">
            <v>0.86662020905923365</v>
          </cell>
          <cell r="AX64">
            <v>3.0000000000000009E-2</v>
          </cell>
          <cell r="AY64">
            <v>1.2461695146847682</v>
          </cell>
          <cell r="AZ64">
            <v>8.2799999999999994</v>
          </cell>
          <cell r="BA64">
            <v>6.7987999999999991</v>
          </cell>
          <cell r="BB64">
            <v>58.015200000000014</v>
          </cell>
          <cell r="BC64">
            <v>1.9319999999999995</v>
          </cell>
          <cell r="BD64">
            <v>16.973999999999997</v>
          </cell>
          <cell r="BE64">
            <v>0</v>
          </cell>
          <cell r="BF64">
            <v>554.65</v>
          </cell>
          <cell r="BG64">
            <v>391.26999999999992</v>
          </cell>
          <cell r="BH64">
            <v>211.38499999999996</v>
          </cell>
          <cell r="BI64">
            <v>215</v>
          </cell>
          <cell r="BJ64">
            <v>472.94</v>
          </cell>
          <cell r="BK64">
            <v>0</v>
          </cell>
          <cell r="BM64">
            <v>0</v>
          </cell>
          <cell r="BN64">
            <v>0</v>
          </cell>
          <cell r="BO64">
            <v>3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5</v>
          </cell>
          <cell r="CR64">
            <v>0</v>
          </cell>
          <cell r="CS64">
            <v>13.999999999999998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C64">
            <v>22</v>
          </cell>
          <cell r="DE64">
            <v>0</v>
          </cell>
          <cell r="DF64">
            <v>0</v>
          </cell>
          <cell r="DG64">
            <v>3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5</v>
          </cell>
          <cell r="EJ64">
            <v>0</v>
          </cell>
          <cell r="EK64">
            <v>13.999999999999998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U64">
            <v>22</v>
          </cell>
          <cell r="EW64">
            <v>0</v>
          </cell>
          <cell r="EX64">
            <v>0</v>
          </cell>
          <cell r="EY64">
            <v>1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D64">
            <v>0</v>
          </cell>
          <cell r="FE64">
            <v>0</v>
          </cell>
          <cell r="FF64">
            <v>0</v>
          </cell>
          <cell r="FG64">
            <v>0</v>
          </cell>
          <cell r="FH64">
            <v>0</v>
          </cell>
          <cell r="FI64">
            <v>0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4</v>
          </cell>
          <cell r="GB64">
            <v>20</v>
          </cell>
          <cell r="GC64">
            <v>12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0</v>
          </cell>
          <cell r="GM64">
            <v>37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B64">
            <v>0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Q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F64">
            <v>0</v>
          </cell>
          <cell r="IH64">
            <v>19</v>
          </cell>
          <cell r="II64">
            <v>78.000000000000014</v>
          </cell>
          <cell r="IJ64">
            <v>0</v>
          </cell>
          <cell r="IK64">
            <v>0</v>
          </cell>
          <cell r="IM64">
            <v>5</v>
          </cell>
          <cell r="IN64">
            <v>13.999999999999998</v>
          </cell>
          <cell r="IO64">
            <v>0</v>
          </cell>
          <cell r="IP64">
            <v>0</v>
          </cell>
          <cell r="IR64">
            <v>5</v>
          </cell>
          <cell r="IS64">
            <v>13.999999999999998</v>
          </cell>
          <cell r="IT64">
            <v>14</v>
          </cell>
          <cell r="IU64">
            <v>64.000000000000014</v>
          </cell>
          <cell r="IW64">
            <v>19</v>
          </cell>
          <cell r="IX64">
            <v>78.000000000000014</v>
          </cell>
          <cell r="IY64">
            <v>0</v>
          </cell>
          <cell r="IZ64">
            <v>0</v>
          </cell>
          <cell r="JB64">
            <v>5</v>
          </cell>
          <cell r="JC64">
            <v>13.999999999999998</v>
          </cell>
          <cell r="JD64">
            <v>0</v>
          </cell>
          <cell r="JE64">
            <v>0</v>
          </cell>
          <cell r="JG64">
            <v>5</v>
          </cell>
          <cell r="JH64">
            <v>13.999999999999998</v>
          </cell>
          <cell r="JI64">
            <v>14</v>
          </cell>
          <cell r="JJ64">
            <v>64.000000000000014</v>
          </cell>
          <cell r="JL64">
            <v>17.999999999999996</v>
          </cell>
          <cell r="JM64">
            <v>76</v>
          </cell>
          <cell r="JN64">
            <v>0</v>
          </cell>
          <cell r="JO64">
            <v>0</v>
          </cell>
          <cell r="JQ64">
            <v>4</v>
          </cell>
          <cell r="JR64">
            <v>12</v>
          </cell>
          <cell r="JS64">
            <v>0</v>
          </cell>
          <cell r="JT64">
            <v>0</v>
          </cell>
          <cell r="JV64">
            <v>4</v>
          </cell>
          <cell r="JW64">
            <v>12</v>
          </cell>
          <cell r="JX64">
            <v>13.999999999999996</v>
          </cell>
          <cell r="JY64">
            <v>64</v>
          </cell>
          <cell r="KA64">
            <v>0</v>
          </cell>
          <cell r="KB64">
            <v>0</v>
          </cell>
          <cell r="KC64">
            <v>0</v>
          </cell>
          <cell r="KE64">
            <v>0</v>
          </cell>
          <cell r="KG64">
            <v>0</v>
          </cell>
          <cell r="KH64">
            <v>0</v>
          </cell>
          <cell r="KI64">
            <v>0</v>
          </cell>
          <cell r="KK64">
            <v>0</v>
          </cell>
          <cell r="KL64">
            <v>0</v>
          </cell>
          <cell r="KM64">
            <v>0</v>
          </cell>
          <cell r="KO64">
            <v>0</v>
          </cell>
          <cell r="KQ64">
            <v>0</v>
          </cell>
          <cell r="KR64">
            <v>0</v>
          </cell>
          <cell r="KS64">
            <v>0</v>
          </cell>
          <cell r="KU64">
            <v>0</v>
          </cell>
          <cell r="KV64">
            <v>0</v>
          </cell>
          <cell r="KW64">
            <v>0</v>
          </cell>
          <cell r="KY64">
            <v>0</v>
          </cell>
          <cell r="LA64">
            <v>0</v>
          </cell>
          <cell r="LB64">
            <v>0</v>
          </cell>
          <cell r="LC64">
            <v>0</v>
          </cell>
          <cell r="LE64" t="str">
            <v>835-Entity</v>
          </cell>
        </row>
        <row r="65">
          <cell r="B65">
            <v>62</v>
          </cell>
          <cell r="C65">
            <v>66</v>
          </cell>
          <cell r="D65">
            <v>22630</v>
          </cell>
          <cell r="E65">
            <v>24090</v>
          </cell>
          <cell r="F65">
            <v>0.93939393939393945</v>
          </cell>
          <cell r="G65">
            <v>0.93939393939393945</v>
          </cell>
          <cell r="H65">
            <v>7.9999999999999988E-2</v>
          </cell>
          <cell r="I65">
            <v>0.22985095953412235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62.049315068493151</v>
          </cell>
          <cell r="X65">
            <v>66</v>
          </cell>
          <cell r="Y65">
            <v>22648</v>
          </cell>
          <cell r="Z65">
            <v>24090</v>
          </cell>
          <cell r="AA65">
            <v>0.94014113740141136</v>
          </cell>
          <cell r="AB65">
            <v>0.94014113740141136</v>
          </cell>
          <cell r="AC65">
            <v>7.9999999999999988E-2</v>
          </cell>
          <cell r="AD65">
            <v>0.17848758686841348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62</v>
          </cell>
          <cell r="AS65">
            <v>66</v>
          </cell>
          <cell r="AT65">
            <v>22692</v>
          </cell>
          <cell r="AU65">
            <v>24156</v>
          </cell>
          <cell r="AV65">
            <v>0.93939393939393945</v>
          </cell>
          <cell r="AW65">
            <v>0.93939393939393945</v>
          </cell>
          <cell r="AX65">
            <v>3.0000000000000009E-2</v>
          </cell>
          <cell r="AY65">
            <v>0.22323096161337536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24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C65">
            <v>24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24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U65">
            <v>24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D65">
            <v>0</v>
          </cell>
          <cell r="FE65">
            <v>0</v>
          </cell>
          <cell r="FF65">
            <v>0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24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0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M65">
            <v>24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B65">
            <v>0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Q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F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  <cell r="IM65">
            <v>0</v>
          </cell>
          <cell r="IN65">
            <v>0</v>
          </cell>
          <cell r="IO65">
            <v>0</v>
          </cell>
          <cell r="IP65">
            <v>0</v>
          </cell>
          <cell r="IR65">
            <v>0</v>
          </cell>
          <cell r="IS65">
            <v>0</v>
          </cell>
          <cell r="IT65">
            <v>0</v>
          </cell>
          <cell r="IU65">
            <v>0</v>
          </cell>
          <cell r="IW65">
            <v>0</v>
          </cell>
          <cell r="IX65">
            <v>0</v>
          </cell>
          <cell r="IY65">
            <v>0</v>
          </cell>
          <cell r="IZ65">
            <v>0</v>
          </cell>
          <cell r="JB65">
            <v>0</v>
          </cell>
          <cell r="JC65">
            <v>0</v>
          </cell>
          <cell r="JD65">
            <v>0</v>
          </cell>
          <cell r="JE65">
            <v>0</v>
          </cell>
          <cell r="JG65">
            <v>0</v>
          </cell>
          <cell r="JH65">
            <v>0</v>
          </cell>
          <cell r="JI65">
            <v>0</v>
          </cell>
          <cell r="JJ65">
            <v>0</v>
          </cell>
          <cell r="JL65">
            <v>0</v>
          </cell>
          <cell r="JM65">
            <v>0</v>
          </cell>
          <cell r="JN65">
            <v>0</v>
          </cell>
          <cell r="JO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KA65">
            <v>0</v>
          </cell>
          <cell r="KB65">
            <v>0</v>
          </cell>
          <cell r="KC65">
            <v>0</v>
          </cell>
          <cell r="KE65">
            <v>0</v>
          </cell>
          <cell r="KG65">
            <v>0</v>
          </cell>
          <cell r="KH65">
            <v>0</v>
          </cell>
          <cell r="KI65">
            <v>0</v>
          </cell>
          <cell r="KK65">
            <v>0</v>
          </cell>
          <cell r="KL65">
            <v>0</v>
          </cell>
          <cell r="KM65">
            <v>0</v>
          </cell>
          <cell r="KO65">
            <v>0</v>
          </cell>
          <cell r="KQ65">
            <v>0</v>
          </cell>
          <cell r="KR65">
            <v>0</v>
          </cell>
          <cell r="KS65">
            <v>0</v>
          </cell>
          <cell r="KU65">
            <v>0</v>
          </cell>
          <cell r="KV65">
            <v>0</v>
          </cell>
          <cell r="KW65">
            <v>0</v>
          </cell>
          <cell r="KY65">
            <v>0</v>
          </cell>
          <cell r="LA65">
            <v>0</v>
          </cell>
          <cell r="LB65">
            <v>0</v>
          </cell>
          <cell r="LC65">
            <v>0</v>
          </cell>
          <cell r="LE65" t="str">
            <v>840-21</v>
          </cell>
        </row>
        <row r="66">
          <cell r="B66">
            <v>86.24</v>
          </cell>
          <cell r="C66">
            <v>88</v>
          </cell>
          <cell r="D66">
            <v>31477.599999999995</v>
          </cell>
          <cell r="E66">
            <v>32120</v>
          </cell>
          <cell r="F66">
            <v>0.98</v>
          </cell>
          <cell r="G66">
            <v>0.98</v>
          </cell>
          <cell r="H66">
            <v>7.9999999999999988E-2</v>
          </cell>
          <cell r="I66">
            <v>2.016101291839969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84.737205479452058</v>
          </cell>
          <cell r="X66">
            <v>88</v>
          </cell>
          <cell r="Y66">
            <v>30929.08</v>
          </cell>
          <cell r="Z66">
            <v>32120</v>
          </cell>
          <cell r="AA66">
            <v>0.96292278953922783</v>
          </cell>
          <cell r="AB66">
            <v>0.96292278953922783</v>
          </cell>
          <cell r="AC66">
            <v>7.9999999999999988E-2</v>
          </cell>
          <cell r="AD66">
            <v>2.1314235766777334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84.47999999999999</v>
          </cell>
          <cell r="AS66">
            <v>88</v>
          </cell>
          <cell r="AT66">
            <v>30919.680000000004</v>
          </cell>
          <cell r="AU66">
            <v>32208</v>
          </cell>
          <cell r="AV66">
            <v>0.96</v>
          </cell>
          <cell r="AW66">
            <v>0.96</v>
          </cell>
          <cell r="AX66">
            <v>3.0000000000000009E-2</v>
          </cell>
          <cell r="AY66">
            <v>2.0177559714618716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2</v>
          </cell>
          <cell r="CK66">
            <v>0</v>
          </cell>
          <cell r="CL66">
            <v>18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C66">
            <v>20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2</v>
          </cell>
          <cell r="EC66">
            <v>0</v>
          </cell>
          <cell r="ED66">
            <v>18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U66">
            <v>20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2</v>
          </cell>
          <cell r="FU66">
            <v>0</v>
          </cell>
          <cell r="FV66">
            <v>18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0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M66">
            <v>20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B66">
            <v>0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Q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F66">
            <v>0</v>
          </cell>
          <cell r="IH66">
            <v>0</v>
          </cell>
          <cell r="II66">
            <v>0</v>
          </cell>
          <cell r="IJ66">
            <v>15</v>
          </cell>
          <cell r="IK66">
            <v>93</v>
          </cell>
          <cell r="IM66">
            <v>0</v>
          </cell>
          <cell r="IN66">
            <v>0</v>
          </cell>
          <cell r="IO66">
            <v>2</v>
          </cell>
          <cell r="IP66">
            <v>18</v>
          </cell>
          <cell r="IR66">
            <v>2</v>
          </cell>
          <cell r="IS66">
            <v>18</v>
          </cell>
          <cell r="IT66">
            <v>13</v>
          </cell>
          <cell r="IU66">
            <v>75</v>
          </cell>
          <cell r="IW66">
            <v>0</v>
          </cell>
          <cell r="IX66">
            <v>0</v>
          </cell>
          <cell r="IY66">
            <v>15</v>
          </cell>
          <cell r="IZ66">
            <v>93</v>
          </cell>
          <cell r="JB66">
            <v>0</v>
          </cell>
          <cell r="JC66">
            <v>0</v>
          </cell>
          <cell r="JD66">
            <v>2</v>
          </cell>
          <cell r="JE66">
            <v>18</v>
          </cell>
          <cell r="JG66">
            <v>2</v>
          </cell>
          <cell r="JH66">
            <v>18</v>
          </cell>
          <cell r="JI66">
            <v>13</v>
          </cell>
          <cell r="JJ66">
            <v>75</v>
          </cell>
          <cell r="JL66">
            <v>0</v>
          </cell>
          <cell r="JM66">
            <v>0</v>
          </cell>
          <cell r="JN66">
            <v>15</v>
          </cell>
          <cell r="JO66">
            <v>93</v>
          </cell>
          <cell r="JQ66">
            <v>0</v>
          </cell>
          <cell r="JR66">
            <v>0</v>
          </cell>
          <cell r="JS66">
            <v>2</v>
          </cell>
          <cell r="JT66">
            <v>18</v>
          </cell>
          <cell r="JV66">
            <v>2</v>
          </cell>
          <cell r="JW66">
            <v>18</v>
          </cell>
          <cell r="JX66">
            <v>13</v>
          </cell>
          <cell r="JY66">
            <v>75</v>
          </cell>
          <cell r="KA66">
            <v>0</v>
          </cell>
          <cell r="KB66">
            <v>0</v>
          </cell>
          <cell r="KC66">
            <v>0</v>
          </cell>
          <cell r="KE66">
            <v>0</v>
          </cell>
          <cell r="KG66">
            <v>0</v>
          </cell>
          <cell r="KH66">
            <v>0</v>
          </cell>
          <cell r="KI66">
            <v>0</v>
          </cell>
          <cell r="KK66">
            <v>0</v>
          </cell>
          <cell r="KL66">
            <v>0</v>
          </cell>
          <cell r="KM66">
            <v>0</v>
          </cell>
          <cell r="KO66">
            <v>0</v>
          </cell>
          <cell r="KQ66">
            <v>0</v>
          </cell>
          <cell r="KR66">
            <v>0</v>
          </cell>
          <cell r="KS66">
            <v>0</v>
          </cell>
          <cell r="KU66">
            <v>0</v>
          </cell>
          <cell r="KV66">
            <v>0</v>
          </cell>
          <cell r="KW66">
            <v>0</v>
          </cell>
          <cell r="KY66">
            <v>0</v>
          </cell>
          <cell r="LA66">
            <v>0</v>
          </cell>
          <cell r="LB66">
            <v>0</v>
          </cell>
          <cell r="LC66">
            <v>0</v>
          </cell>
          <cell r="LE66" t="str">
            <v>840-31</v>
          </cell>
        </row>
        <row r="67">
          <cell r="B67">
            <v>7</v>
          </cell>
          <cell r="C67">
            <v>9</v>
          </cell>
          <cell r="D67">
            <v>2555</v>
          </cell>
          <cell r="E67">
            <v>3285</v>
          </cell>
          <cell r="F67">
            <v>0.77777777777777779</v>
          </cell>
          <cell r="G67">
            <v>0.77777777777777779</v>
          </cell>
          <cell r="H67">
            <v>7.9999999999999988E-2</v>
          </cell>
          <cell r="I67">
            <v>1.6052680845371972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8.7013698630136993</v>
          </cell>
          <cell r="X67">
            <v>9</v>
          </cell>
          <cell r="Y67">
            <v>3176</v>
          </cell>
          <cell r="Z67">
            <v>3285</v>
          </cell>
          <cell r="AA67">
            <v>0.96681887366818875</v>
          </cell>
          <cell r="AB67">
            <v>0.96681887366818875</v>
          </cell>
          <cell r="AC67">
            <v>7.9999999999999988E-2</v>
          </cell>
          <cell r="AD67">
            <v>1.3610846085576711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8</v>
          </cell>
          <cell r="AS67">
            <v>9</v>
          </cell>
          <cell r="AT67">
            <v>2928</v>
          </cell>
          <cell r="AU67">
            <v>3294</v>
          </cell>
          <cell r="AV67">
            <v>0.88888888888888884</v>
          </cell>
          <cell r="AW67">
            <v>0.88888888888888884</v>
          </cell>
          <cell r="AX67">
            <v>3.0000000000000009E-2</v>
          </cell>
          <cell r="AY67">
            <v>1.4724962826784109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1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C67">
            <v>1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1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U67">
            <v>1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D67">
            <v>0</v>
          </cell>
          <cell r="FE67">
            <v>0</v>
          </cell>
          <cell r="FF67">
            <v>0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1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M67">
            <v>1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B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Q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F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R67">
            <v>0</v>
          </cell>
          <cell r="IS67">
            <v>0</v>
          </cell>
          <cell r="IT67">
            <v>0</v>
          </cell>
          <cell r="IU67">
            <v>0</v>
          </cell>
          <cell r="IW67">
            <v>0</v>
          </cell>
          <cell r="IX67">
            <v>0</v>
          </cell>
          <cell r="IY67">
            <v>0</v>
          </cell>
          <cell r="IZ67">
            <v>0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G67">
            <v>0</v>
          </cell>
          <cell r="JH67">
            <v>0</v>
          </cell>
          <cell r="JI67">
            <v>0</v>
          </cell>
          <cell r="JJ67">
            <v>0</v>
          </cell>
          <cell r="JL67">
            <v>0</v>
          </cell>
          <cell r="JM67">
            <v>0</v>
          </cell>
          <cell r="JN67">
            <v>0</v>
          </cell>
          <cell r="JO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JV67">
            <v>0</v>
          </cell>
          <cell r="JW67">
            <v>0</v>
          </cell>
          <cell r="JX67">
            <v>0</v>
          </cell>
          <cell r="JY67">
            <v>0</v>
          </cell>
          <cell r="KA67">
            <v>0</v>
          </cell>
          <cell r="KB67">
            <v>0</v>
          </cell>
          <cell r="KC67">
            <v>0</v>
          </cell>
          <cell r="KE67">
            <v>0</v>
          </cell>
          <cell r="KG67">
            <v>0</v>
          </cell>
          <cell r="KH67">
            <v>0</v>
          </cell>
          <cell r="KI67">
            <v>0</v>
          </cell>
          <cell r="KK67">
            <v>0</v>
          </cell>
          <cell r="KL67">
            <v>0</v>
          </cell>
          <cell r="KM67">
            <v>0</v>
          </cell>
          <cell r="KO67">
            <v>0</v>
          </cell>
          <cell r="KQ67">
            <v>0</v>
          </cell>
          <cell r="KR67">
            <v>0</v>
          </cell>
          <cell r="KS67">
            <v>0</v>
          </cell>
          <cell r="KU67">
            <v>0</v>
          </cell>
          <cell r="KV67">
            <v>0</v>
          </cell>
          <cell r="KW67">
            <v>0</v>
          </cell>
          <cell r="KY67">
            <v>0</v>
          </cell>
          <cell r="LA67">
            <v>0</v>
          </cell>
          <cell r="LB67">
            <v>0</v>
          </cell>
          <cell r="LC67">
            <v>0</v>
          </cell>
          <cell r="LE67" t="str">
            <v>840-51</v>
          </cell>
        </row>
        <row r="68">
          <cell r="B68">
            <v>15.52</v>
          </cell>
          <cell r="C68">
            <v>16</v>
          </cell>
          <cell r="D68">
            <v>5664.8</v>
          </cell>
          <cell r="E68">
            <v>5840</v>
          </cell>
          <cell r="F68">
            <v>0.97</v>
          </cell>
          <cell r="G68">
            <v>0.97</v>
          </cell>
          <cell r="H68">
            <v>7.9999999999999988E-2</v>
          </cell>
          <cell r="I68">
            <v>0.45721733775451057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15.609424657534248</v>
          </cell>
          <cell r="X68">
            <v>16</v>
          </cell>
          <cell r="Y68">
            <v>5697.4400000000005</v>
          </cell>
          <cell r="Z68">
            <v>5840</v>
          </cell>
          <cell r="AA68">
            <v>0.9755890410958904</v>
          </cell>
          <cell r="AB68">
            <v>0.9755890410958904</v>
          </cell>
          <cell r="AC68">
            <v>7.9999999999999988E-2</v>
          </cell>
          <cell r="AD68">
            <v>0.50686815732598511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15</v>
          </cell>
          <cell r="AS68">
            <v>16</v>
          </cell>
          <cell r="AT68">
            <v>5490</v>
          </cell>
          <cell r="AU68">
            <v>5856</v>
          </cell>
          <cell r="AV68">
            <v>0.9375</v>
          </cell>
          <cell r="AW68">
            <v>0.9375</v>
          </cell>
          <cell r="AX68">
            <v>3.0000000000000009E-2</v>
          </cell>
          <cell r="AY68">
            <v>0.45655902152997557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M68">
            <v>1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C68">
            <v>1</v>
          </cell>
          <cell r="DE68">
            <v>1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U68">
            <v>1</v>
          </cell>
          <cell r="EW68">
            <v>1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D68">
            <v>0</v>
          </cell>
          <cell r="FE68">
            <v>0</v>
          </cell>
          <cell r="FF68">
            <v>0</v>
          </cell>
          <cell r="FG68">
            <v>0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M68">
            <v>1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B68">
            <v>0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Q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F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  <cell r="IM68">
            <v>0</v>
          </cell>
          <cell r="IN68">
            <v>0</v>
          </cell>
          <cell r="IO68">
            <v>0</v>
          </cell>
          <cell r="IP68">
            <v>0</v>
          </cell>
          <cell r="IR68">
            <v>0</v>
          </cell>
          <cell r="IS68">
            <v>0</v>
          </cell>
          <cell r="IT68">
            <v>0</v>
          </cell>
          <cell r="IU68">
            <v>0</v>
          </cell>
          <cell r="IW68">
            <v>0</v>
          </cell>
          <cell r="IX68">
            <v>0</v>
          </cell>
          <cell r="IY68">
            <v>0</v>
          </cell>
          <cell r="IZ68">
            <v>0</v>
          </cell>
          <cell r="JB68">
            <v>0</v>
          </cell>
          <cell r="JC68">
            <v>0</v>
          </cell>
          <cell r="JD68">
            <v>0</v>
          </cell>
          <cell r="JE68">
            <v>0</v>
          </cell>
          <cell r="JG68">
            <v>0</v>
          </cell>
          <cell r="JH68">
            <v>0</v>
          </cell>
          <cell r="JI68">
            <v>0</v>
          </cell>
          <cell r="JJ68">
            <v>0</v>
          </cell>
          <cell r="JL68">
            <v>0</v>
          </cell>
          <cell r="JM68">
            <v>0</v>
          </cell>
          <cell r="JN68">
            <v>0</v>
          </cell>
          <cell r="JO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JV68">
            <v>0</v>
          </cell>
          <cell r="JW68">
            <v>0</v>
          </cell>
          <cell r="JX68">
            <v>0</v>
          </cell>
          <cell r="JY68">
            <v>0</v>
          </cell>
          <cell r="KA68">
            <v>0</v>
          </cell>
          <cell r="KB68">
            <v>0</v>
          </cell>
          <cell r="KC68">
            <v>0</v>
          </cell>
          <cell r="KE68">
            <v>0</v>
          </cell>
          <cell r="KG68">
            <v>0</v>
          </cell>
          <cell r="KH68">
            <v>0</v>
          </cell>
          <cell r="KI68">
            <v>0</v>
          </cell>
          <cell r="KK68">
            <v>0</v>
          </cell>
          <cell r="KL68">
            <v>0</v>
          </cell>
          <cell r="KM68">
            <v>0</v>
          </cell>
          <cell r="KO68">
            <v>0</v>
          </cell>
          <cell r="KQ68">
            <v>0</v>
          </cell>
          <cell r="KR68">
            <v>0</v>
          </cell>
          <cell r="KS68">
            <v>0</v>
          </cell>
          <cell r="KU68">
            <v>0</v>
          </cell>
          <cell r="KV68">
            <v>0</v>
          </cell>
          <cell r="KW68">
            <v>0</v>
          </cell>
          <cell r="KY68">
            <v>0</v>
          </cell>
          <cell r="LA68">
            <v>0</v>
          </cell>
          <cell r="LB68">
            <v>0</v>
          </cell>
          <cell r="LC68">
            <v>0</v>
          </cell>
          <cell r="LE68" t="str">
            <v>840-52</v>
          </cell>
        </row>
        <row r="69">
          <cell r="B69">
            <v>59</v>
          </cell>
          <cell r="C69">
            <v>64</v>
          </cell>
          <cell r="D69">
            <v>21535</v>
          </cell>
          <cell r="E69">
            <v>23360</v>
          </cell>
          <cell r="F69">
            <v>0.921875</v>
          </cell>
          <cell r="G69">
            <v>0.921875</v>
          </cell>
          <cell r="H69">
            <v>7.9999999999999988E-2</v>
          </cell>
          <cell r="I69">
            <v>1.0392815174149941</v>
          </cell>
          <cell r="J69">
            <v>12.400029999999999</v>
          </cell>
          <cell r="K69">
            <v>5.9997100000000003</v>
          </cell>
          <cell r="L69">
            <v>22.99996999999999</v>
          </cell>
          <cell r="M69">
            <v>0</v>
          </cell>
          <cell r="N69">
            <v>17.600290000000001</v>
          </cell>
          <cell r="O69">
            <v>0</v>
          </cell>
          <cell r="P69">
            <v>575.47000000000014</v>
          </cell>
          <cell r="Q69">
            <v>403.83</v>
          </cell>
          <cell r="R69">
            <v>248</v>
          </cell>
          <cell r="S69">
            <v>0</v>
          </cell>
          <cell r="T69">
            <v>427.21</v>
          </cell>
          <cell r="U69">
            <v>0</v>
          </cell>
          <cell r="W69">
            <v>59.323287671232883</v>
          </cell>
          <cell r="X69">
            <v>64</v>
          </cell>
          <cell r="Y69">
            <v>21653</v>
          </cell>
          <cell r="Z69">
            <v>23360</v>
          </cell>
          <cell r="AA69">
            <v>0.92692636986301358</v>
          </cell>
          <cell r="AB69">
            <v>0.92692636986301358</v>
          </cell>
          <cell r="AC69">
            <v>7.9999999999999988E-2</v>
          </cell>
          <cell r="AD69">
            <v>0.93068097934681637</v>
          </cell>
          <cell r="AE69">
            <v>10.923317912186382</v>
          </cell>
          <cell r="AF69">
            <v>5.4105090412186376</v>
          </cell>
          <cell r="AG69">
            <v>27.747845259856632</v>
          </cell>
          <cell r="AH69">
            <v>3.8620071684587198E-2</v>
          </cell>
          <cell r="AI69">
            <v>15.205029772145418</v>
          </cell>
          <cell r="AJ69">
            <v>0</v>
          </cell>
          <cell r="AK69">
            <v>577.5636852996646</v>
          </cell>
          <cell r="AL69">
            <v>394.05139967312579</v>
          </cell>
          <cell r="AM69">
            <v>280.33228861020001</v>
          </cell>
          <cell r="AN69">
            <v>56.754811714104562</v>
          </cell>
          <cell r="AO69">
            <v>374.52361424701456</v>
          </cell>
          <cell r="AP69">
            <v>0</v>
          </cell>
          <cell r="AR69">
            <v>58.88</v>
          </cell>
          <cell r="AS69">
            <v>64</v>
          </cell>
          <cell r="AT69">
            <v>21550.080000000002</v>
          </cell>
          <cell r="AU69">
            <v>23424</v>
          </cell>
          <cell r="AV69">
            <v>0.92</v>
          </cell>
          <cell r="AW69">
            <v>0.92</v>
          </cell>
          <cell r="AX69">
            <v>3.0000000000000009E-2</v>
          </cell>
          <cell r="AY69">
            <v>1.0493740738606987</v>
          </cell>
          <cell r="AZ69">
            <v>10.621952</v>
          </cell>
          <cell r="BA69">
            <v>4.4925440000000014</v>
          </cell>
          <cell r="BB69">
            <v>27.750143999999995</v>
          </cell>
          <cell r="BC69">
            <v>0</v>
          </cell>
          <cell r="BD69">
            <v>16.015359999999998</v>
          </cell>
          <cell r="BE69">
            <v>0</v>
          </cell>
          <cell r="BF69">
            <v>599.36000000000013</v>
          </cell>
          <cell r="BG69">
            <v>407.25000000000006</v>
          </cell>
          <cell r="BH69">
            <v>266.93000000000006</v>
          </cell>
          <cell r="BI69">
            <v>0</v>
          </cell>
          <cell r="BJ69">
            <v>440.58999999999992</v>
          </cell>
          <cell r="BK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C69">
            <v>0</v>
          </cell>
          <cell r="DE69">
            <v>0</v>
          </cell>
          <cell r="DF69">
            <v>0</v>
          </cell>
          <cell r="DG69">
            <v>0</v>
          </cell>
          <cell r="DH69">
            <v>0</v>
          </cell>
          <cell r="DI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U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D69">
            <v>0</v>
          </cell>
          <cell r="FE69">
            <v>0</v>
          </cell>
          <cell r="FF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M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B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Q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F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  <cell r="IM69">
            <v>0</v>
          </cell>
          <cell r="IN69">
            <v>0</v>
          </cell>
          <cell r="IO69">
            <v>0</v>
          </cell>
          <cell r="IP69">
            <v>0</v>
          </cell>
          <cell r="IR69">
            <v>0</v>
          </cell>
          <cell r="IS69">
            <v>0</v>
          </cell>
          <cell r="IT69">
            <v>0</v>
          </cell>
          <cell r="IU69">
            <v>0</v>
          </cell>
          <cell r="IW69">
            <v>0</v>
          </cell>
          <cell r="IX69">
            <v>0</v>
          </cell>
          <cell r="IY69">
            <v>0</v>
          </cell>
          <cell r="IZ69">
            <v>0</v>
          </cell>
          <cell r="JB69">
            <v>0</v>
          </cell>
          <cell r="JC69">
            <v>0</v>
          </cell>
          <cell r="JD69">
            <v>0</v>
          </cell>
          <cell r="JE69">
            <v>0</v>
          </cell>
          <cell r="JG69">
            <v>0</v>
          </cell>
          <cell r="JH69">
            <v>0</v>
          </cell>
          <cell r="JI69">
            <v>0</v>
          </cell>
          <cell r="JJ69">
            <v>0</v>
          </cell>
          <cell r="JL69">
            <v>0</v>
          </cell>
          <cell r="JM69">
            <v>0</v>
          </cell>
          <cell r="JN69">
            <v>0</v>
          </cell>
          <cell r="JO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JV69">
            <v>0</v>
          </cell>
          <cell r="JW69">
            <v>0</v>
          </cell>
          <cell r="JX69">
            <v>0</v>
          </cell>
          <cell r="JY69">
            <v>0</v>
          </cell>
          <cell r="KA69">
            <v>0</v>
          </cell>
          <cell r="KB69">
            <v>0</v>
          </cell>
          <cell r="KC69">
            <v>0</v>
          </cell>
          <cell r="KE69">
            <v>0</v>
          </cell>
          <cell r="KG69">
            <v>0</v>
          </cell>
          <cell r="KH69">
            <v>0</v>
          </cell>
          <cell r="KI69">
            <v>0</v>
          </cell>
          <cell r="KK69">
            <v>0</v>
          </cell>
          <cell r="KL69">
            <v>0</v>
          </cell>
          <cell r="KM69">
            <v>0</v>
          </cell>
          <cell r="KO69">
            <v>0</v>
          </cell>
          <cell r="KQ69">
            <v>0</v>
          </cell>
          <cell r="KR69">
            <v>0</v>
          </cell>
          <cell r="KS69">
            <v>0</v>
          </cell>
          <cell r="KU69">
            <v>0</v>
          </cell>
          <cell r="KV69">
            <v>0</v>
          </cell>
          <cell r="KW69">
            <v>0</v>
          </cell>
          <cell r="KY69">
            <v>0</v>
          </cell>
          <cell r="LA69">
            <v>0</v>
          </cell>
          <cell r="LB69">
            <v>0</v>
          </cell>
          <cell r="LC69">
            <v>0</v>
          </cell>
          <cell r="LE69" t="str">
            <v>840-61</v>
          </cell>
        </row>
        <row r="70">
          <cell r="B70">
            <v>229.75999999999996</v>
          </cell>
          <cell r="C70">
            <v>243</v>
          </cell>
          <cell r="D70">
            <v>83862.399999999994</v>
          </cell>
          <cell r="E70">
            <v>88695</v>
          </cell>
          <cell r="F70">
            <v>0.94551440329218095</v>
          </cell>
          <cell r="G70">
            <v>0.94551440329218095</v>
          </cell>
          <cell r="H70">
            <v>7.9999999999999988E-2</v>
          </cell>
          <cell r="I70">
            <v>1.0797951684472016</v>
          </cell>
          <cell r="J70">
            <v>12.400029999999999</v>
          </cell>
          <cell r="K70">
            <v>5.9997100000000003</v>
          </cell>
          <cell r="L70">
            <v>22.99996999999999</v>
          </cell>
          <cell r="M70">
            <v>0</v>
          </cell>
          <cell r="N70">
            <v>17.600290000000001</v>
          </cell>
          <cell r="O70">
            <v>0</v>
          </cell>
          <cell r="P70">
            <v>575.47000000000014</v>
          </cell>
          <cell r="Q70">
            <v>403.83</v>
          </cell>
          <cell r="R70">
            <v>248</v>
          </cell>
          <cell r="S70">
            <v>0</v>
          </cell>
          <cell r="T70">
            <v>427.21</v>
          </cell>
          <cell r="U70">
            <v>0</v>
          </cell>
          <cell r="W70">
            <v>230.42060273972601</v>
          </cell>
          <cell r="X70">
            <v>243</v>
          </cell>
          <cell r="Y70">
            <v>84103.52</v>
          </cell>
          <cell r="Z70">
            <v>88695</v>
          </cell>
          <cell r="AA70">
            <v>0.94823293308529244</v>
          </cell>
          <cell r="AB70">
            <v>0.94823293308529244</v>
          </cell>
          <cell r="AC70">
            <v>7.9999999999999988E-2</v>
          </cell>
          <cell r="AD70">
            <v>1.0039335958355315</v>
          </cell>
          <cell r="AE70">
            <v>10.923317912186382</v>
          </cell>
          <cell r="AF70">
            <v>5.4105090412186376</v>
          </cell>
          <cell r="AG70">
            <v>27.747845259856632</v>
          </cell>
          <cell r="AH70">
            <v>3.8620071684587198E-2</v>
          </cell>
          <cell r="AI70">
            <v>15.205029772145418</v>
          </cell>
          <cell r="AJ70">
            <v>0</v>
          </cell>
          <cell r="AK70">
            <v>577.5636852996646</v>
          </cell>
          <cell r="AL70">
            <v>394.05139967312579</v>
          </cell>
          <cell r="AM70">
            <v>280.33228861020001</v>
          </cell>
          <cell r="AN70">
            <v>56.754811714104562</v>
          </cell>
          <cell r="AO70">
            <v>374.52361424701456</v>
          </cell>
          <cell r="AP70">
            <v>0</v>
          </cell>
          <cell r="AR70">
            <v>228.36</v>
          </cell>
          <cell r="AS70">
            <v>243</v>
          </cell>
          <cell r="AT70">
            <v>83579.760000000024</v>
          </cell>
          <cell r="AU70">
            <v>88938</v>
          </cell>
          <cell r="AV70">
            <v>0.93975308641975319</v>
          </cell>
          <cell r="AW70">
            <v>0.93975308641975319</v>
          </cell>
          <cell r="AX70">
            <v>3.0000000000000009E-2</v>
          </cell>
          <cell r="AY70">
            <v>1.0799556563781962</v>
          </cell>
          <cell r="AZ70">
            <v>10.621952</v>
          </cell>
          <cell r="BA70">
            <v>4.4925440000000014</v>
          </cell>
          <cell r="BB70">
            <v>27.750143999999995</v>
          </cell>
          <cell r="BC70">
            <v>0</v>
          </cell>
          <cell r="BD70">
            <v>16.015359999999998</v>
          </cell>
          <cell r="BE70">
            <v>0</v>
          </cell>
          <cell r="BF70">
            <v>599.36000000000013</v>
          </cell>
          <cell r="BG70">
            <v>407.25000000000006</v>
          </cell>
          <cell r="BH70">
            <v>266.93000000000006</v>
          </cell>
          <cell r="BI70">
            <v>0</v>
          </cell>
          <cell r="BJ70">
            <v>440.58999999999992</v>
          </cell>
          <cell r="BK70">
            <v>0</v>
          </cell>
          <cell r="BM70">
            <v>1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2</v>
          </cell>
          <cell r="CK70">
            <v>24</v>
          </cell>
          <cell r="CL70">
            <v>18</v>
          </cell>
          <cell r="CM70">
            <v>1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C70">
            <v>46</v>
          </cell>
          <cell r="DE70">
            <v>1</v>
          </cell>
          <cell r="DF70">
            <v>0</v>
          </cell>
          <cell r="DG70">
            <v>0</v>
          </cell>
          <cell r="DH70">
            <v>0</v>
          </cell>
          <cell r="DI70">
            <v>0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2</v>
          </cell>
          <cell r="EC70">
            <v>24</v>
          </cell>
          <cell r="ED70">
            <v>18</v>
          </cell>
          <cell r="EE70">
            <v>1</v>
          </cell>
          <cell r="EF70">
            <v>0</v>
          </cell>
          <cell r="EG70">
            <v>0</v>
          </cell>
          <cell r="EH70">
            <v>0</v>
          </cell>
          <cell r="EI70">
            <v>0</v>
          </cell>
          <cell r="EJ70">
            <v>0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U70">
            <v>46</v>
          </cell>
          <cell r="EW70">
            <v>1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D70">
            <v>0</v>
          </cell>
          <cell r="FE70">
            <v>0</v>
          </cell>
          <cell r="FF70">
            <v>0</v>
          </cell>
          <cell r="FG70">
            <v>0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2</v>
          </cell>
          <cell r="FU70">
            <v>24</v>
          </cell>
          <cell r="FV70">
            <v>18</v>
          </cell>
          <cell r="FW70">
            <v>1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0</v>
          </cell>
          <cell r="GF70">
            <v>0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M70">
            <v>46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B70">
            <v>0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Q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F70">
            <v>0</v>
          </cell>
          <cell r="IH70">
            <v>0</v>
          </cell>
          <cell r="II70">
            <v>0</v>
          </cell>
          <cell r="IJ70">
            <v>15</v>
          </cell>
          <cell r="IK70">
            <v>93</v>
          </cell>
          <cell r="IM70">
            <v>0</v>
          </cell>
          <cell r="IN70">
            <v>0</v>
          </cell>
          <cell r="IO70">
            <v>2</v>
          </cell>
          <cell r="IP70">
            <v>18</v>
          </cell>
          <cell r="IR70">
            <v>2</v>
          </cell>
          <cell r="IS70">
            <v>18</v>
          </cell>
          <cell r="IT70">
            <v>13</v>
          </cell>
          <cell r="IU70">
            <v>75</v>
          </cell>
          <cell r="IW70">
            <v>0</v>
          </cell>
          <cell r="IX70">
            <v>0</v>
          </cell>
          <cell r="IY70">
            <v>15</v>
          </cell>
          <cell r="IZ70">
            <v>93</v>
          </cell>
          <cell r="JB70">
            <v>0</v>
          </cell>
          <cell r="JC70">
            <v>0</v>
          </cell>
          <cell r="JD70">
            <v>2</v>
          </cell>
          <cell r="JE70">
            <v>18</v>
          </cell>
          <cell r="JG70">
            <v>2</v>
          </cell>
          <cell r="JH70">
            <v>18</v>
          </cell>
          <cell r="JI70">
            <v>13</v>
          </cell>
          <cell r="JJ70">
            <v>75</v>
          </cell>
          <cell r="JL70">
            <v>0</v>
          </cell>
          <cell r="JM70">
            <v>0</v>
          </cell>
          <cell r="JN70">
            <v>15</v>
          </cell>
          <cell r="JO70">
            <v>93</v>
          </cell>
          <cell r="JQ70">
            <v>0</v>
          </cell>
          <cell r="JR70">
            <v>0</v>
          </cell>
          <cell r="JS70">
            <v>2</v>
          </cell>
          <cell r="JT70">
            <v>18</v>
          </cell>
          <cell r="JV70">
            <v>2</v>
          </cell>
          <cell r="JW70">
            <v>18</v>
          </cell>
          <cell r="JX70">
            <v>13</v>
          </cell>
          <cell r="JY70">
            <v>75</v>
          </cell>
          <cell r="KA70">
            <v>0</v>
          </cell>
          <cell r="KB70">
            <v>0</v>
          </cell>
          <cell r="KC70">
            <v>0</v>
          </cell>
          <cell r="KE70">
            <v>0</v>
          </cell>
          <cell r="KG70">
            <v>0</v>
          </cell>
          <cell r="KH70">
            <v>0</v>
          </cell>
          <cell r="KI70">
            <v>0</v>
          </cell>
          <cell r="KK70">
            <v>0</v>
          </cell>
          <cell r="KL70">
            <v>0</v>
          </cell>
          <cell r="KM70">
            <v>0</v>
          </cell>
          <cell r="KO70">
            <v>0</v>
          </cell>
          <cell r="KQ70">
            <v>0</v>
          </cell>
          <cell r="KR70">
            <v>0</v>
          </cell>
          <cell r="KS70">
            <v>0</v>
          </cell>
          <cell r="KU70">
            <v>0</v>
          </cell>
          <cell r="KV70">
            <v>0</v>
          </cell>
          <cell r="KW70">
            <v>0</v>
          </cell>
          <cell r="KY70">
            <v>0</v>
          </cell>
          <cell r="LA70">
            <v>0</v>
          </cell>
          <cell r="LB70">
            <v>0</v>
          </cell>
          <cell r="LC70">
            <v>0</v>
          </cell>
          <cell r="LE70" t="str">
            <v>840-Entity</v>
          </cell>
        </row>
        <row r="71">
          <cell r="B71">
            <v>476.69000000000005</v>
          </cell>
          <cell r="C71">
            <v>530</v>
          </cell>
          <cell r="D71">
            <v>173991.85000000003</v>
          </cell>
          <cell r="E71">
            <v>193450</v>
          </cell>
          <cell r="F71">
            <v>0.89941509433962286</v>
          </cell>
          <cell r="G71">
            <v>0.89941509433962286</v>
          </cell>
          <cell r="H71">
            <v>8.0999999999999989E-2</v>
          </cell>
          <cell r="I71">
            <v>1.0682714896814312</v>
          </cell>
          <cell r="J71">
            <v>20.500029999999999</v>
          </cell>
          <cell r="K71">
            <v>10.49971</v>
          </cell>
          <cell r="L71">
            <v>80.203970000000012</v>
          </cell>
          <cell r="M71">
            <v>0.999</v>
          </cell>
          <cell r="N71">
            <v>36.797289999999997</v>
          </cell>
          <cell r="O71">
            <v>0</v>
          </cell>
          <cell r="P71">
            <v>1114.5500000000002</v>
          </cell>
          <cell r="Q71">
            <v>787.82999999999993</v>
          </cell>
          <cell r="R71">
            <v>454</v>
          </cell>
          <cell r="S71">
            <v>212.07999999999996</v>
          </cell>
          <cell r="T71">
            <v>883.96999999999991</v>
          </cell>
          <cell r="U71">
            <v>0</v>
          </cell>
          <cell r="W71">
            <v>479.85016438356172</v>
          </cell>
          <cell r="X71">
            <v>530</v>
          </cell>
          <cell r="Y71">
            <v>175145.31</v>
          </cell>
          <cell r="Z71">
            <v>193450</v>
          </cell>
          <cell r="AA71">
            <v>0.90537766864822955</v>
          </cell>
          <cell r="AB71">
            <v>0.90537766864822955</v>
          </cell>
          <cell r="AC71">
            <v>8.0999999999999989E-2</v>
          </cell>
          <cell r="AD71">
            <v>1.0816346379081825</v>
          </cell>
          <cell r="AE71">
            <v>18.415577507499865</v>
          </cell>
          <cell r="AF71">
            <v>13.416690621232393</v>
          </cell>
          <cell r="AG71">
            <v>86.353429383777964</v>
          </cell>
          <cell r="AH71">
            <v>2.3606914607933649</v>
          </cell>
          <cell r="AI71">
            <v>32.78296534185256</v>
          </cell>
          <cell r="AJ71">
            <v>0</v>
          </cell>
          <cell r="AK71">
            <v>1111.4594704633168</v>
          </cell>
          <cell r="AL71">
            <v>771.87021696112902</v>
          </cell>
          <cell r="AM71">
            <v>493.70714060810934</v>
          </cell>
          <cell r="AN71">
            <v>273.14149748243233</v>
          </cell>
          <cell r="AO71">
            <v>807.49931682364547</v>
          </cell>
          <cell r="AP71">
            <v>0</v>
          </cell>
          <cell r="AR71">
            <v>477.08</v>
          </cell>
          <cell r="AS71">
            <v>530</v>
          </cell>
          <cell r="AT71">
            <v>174611.28</v>
          </cell>
          <cell r="AU71">
            <v>193980</v>
          </cell>
          <cell r="AV71">
            <v>0.90015094339622637</v>
          </cell>
          <cell r="AW71">
            <v>0.90015094339622637</v>
          </cell>
          <cell r="AX71">
            <v>3.0000000000000009E-2</v>
          </cell>
          <cell r="AY71">
            <v>1.0853854969705103</v>
          </cell>
          <cell r="AZ71">
            <v>18.901952000000001</v>
          </cell>
          <cell r="BA71">
            <v>11.291343999999995</v>
          </cell>
          <cell r="BB71">
            <v>85.765344000000013</v>
          </cell>
          <cell r="BC71">
            <v>1.9319999999999995</v>
          </cell>
          <cell r="BD71">
            <v>32.989360000000012</v>
          </cell>
          <cell r="BE71">
            <v>0</v>
          </cell>
          <cell r="BF71">
            <v>1154.01</v>
          </cell>
          <cell r="BG71">
            <v>798.52000000000021</v>
          </cell>
          <cell r="BH71">
            <v>478.315</v>
          </cell>
          <cell r="BI71">
            <v>215</v>
          </cell>
          <cell r="BJ71">
            <v>913.53</v>
          </cell>
          <cell r="BK71">
            <v>0</v>
          </cell>
          <cell r="BM71">
            <v>1</v>
          </cell>
          <cell r="BN71">
            <v>0</v>
          </cell>
          <cell r="BO71">
            <v>3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</v>
          </cell>
          <cell r="CK71">
            <v>24</v>
          </cell>
          <cell r="CL71">
            <v>18</v>
          </cell>
          <cell r="CM71">
            <v>1</v>
          </cell>
          <cell r="CN71">
            <v>0</v>
          </cell>
          <cell r="CO71">
            <v>0</v>
          </cell>
          <cell r="CP71">
            <v>0</v>
          </cell>
          <cell r="CQ71">
            <v>5</v>
          </cell>
          <cell r="CR71">
            <v>0</v>
          </cell>
          <cell r="CS71">
            <v>13.999999999999998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C71">
            <v>68</v>
          </cell>
          <cell r="DE71">
            <v>1</v>
          </cell>
          <cell r="DF71">
            <v>0</v>
          </cell>
          <cell r="DG71">
            <v>3</v>
          </cell>
          <cell r="DH71">
            <v>0</v>
          </cell>
          <cell r="DI71">
            <v>0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2</v>
          </cell>
          <cell r="EC71">
            <v>24</v>
          </cell>
          <cell r="ED71">
            <v>18</v>
          </cell>
          <cell r="EE71">
            <v>1</v>
          </cell>
          <cell r="EF71">
            <v>0</v>
          </cell>
          <cell r="EG71">
            <v>0</v>
          </cell>
          <cell r="EH71">
            <v>0</v>
          </cell>
          <cell r="EI71">
            <v>5</v>
          </cell>
          <cell r="EJ71">
            <v>0</v>
          </cell>
          <cell r="EK71">
            <v>13.999999999999998</v>
          </cell>
          <cell r="EL71">
            <v>0</v>
          </cell>
          <cell r="EM71">
            <v>0</v>
          </cell>
          <cell r="EN71">
            <v>0</v>
          </cell>
          <cell r="EO71">
            <v>0</v>
          </cell>
          <cell r="EP71">
            <v>0</v>
          </cell>
          <cell r="EQ71">
            <v>0</v>
          </cell>
          <cell r="ER71">
            <v>0</v>
          </cell>
          <cell r="ES71">
            <v>0</v>
          </cell>
          <cell r="EU71">
            <v>68</v>
          </cell>
          <cell r="EW71">
            <v>1</v>
          </cell>
          <cell r="EX71">
            <v>0</v>
          </cell>
          <cell r="EY71">
            <v>1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D71">
            <v>0</v>
          </cell>
          <cell r="FE71">
            <v>0</v>
          </cell>
          <cell r="FF71">
            <v>0</v>
          </cell>
          <cell r="FG71">
            <v>0</v>
          </cell>
          <cell r="FH71">
            <v>0</v>
          </cell>
          <cell r="FI71">
            <v>0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2</v>
          </cell>
          <cell r="FU71">
            <v>24</v>
          </cell>
          <cell r="FV71">
            <v>18</v>
          </cell>
          <cell r="FW71">
            <v>1</v>
          </cell>
          <cell r="FX71">
            <v>0</v>
          </cell>
          <cell r="FY71">
            <v>0</v>
          </cell>
          <cell r="FZ71">
            <v>0</v>
          </cell>
          <cell r="GA71">
            <v>4</v>
          </cell>
          <cell r="GB71">
            <v>20</v>
          </cell>
          <cell r="GC71">
            <v>12</v>
          </cell>
          <cell r="GD71">
            <v>0</v>
          </cell>
          <cell r="GE71">
            <v>0</v>
          </cell>
          <cell r="GF71">
            <v>0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0</v>
          </cell>
          <cell r="GM71">
            <v>83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B71">
            <v>0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Q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F71">
            <v>0</v>
          </cell>
          <cell r="IH71">
            <v>19</v>
          </cell>
          <cell r="II71">
            <v>78.000000000000014</v>
          </cell>
          <cell r="IJ71">
            <v>15</v>
          </cell>
          <cell r="IK71">
            <v>93</v>
          </cell>
          <cell r="IM71">
            <v>5</v>
          </cell>
          <cell r="IN71">
            <v>13.999999999999998</v>
          </cell>
          <cell r="IO71">
            <v>2</v>
          </cell>
          <cell r="IP71">
            <v>18</v>
          </cell>
          <cell r="IR71">
            <v>7</v>
          </cell>
          <cell r="IS71">
            <v>32</v>
          </cell>
          <cell r="IT71">
            <v>27</v>
          </cell>
          <cell r="IU71">
            <v>139</v>
          </cell>
          <cell r="IW71">
            <v>19</v>
          </cell>
          <cell r="IX71">
            <v>78.000000000000014</v>
          </cell>
          <cell r="IY71">
            <v>15</v>
          </cell>
          <cell r="IZ71">
            <v>93</v>
          </cell>
          <cell r="JB71">
            <v>5</v>
          </cell>
          <cell r="JC71">
            <v>13.999999999999998</v>
          </cell>
          <cell r="JD71">
            <v>2</v>
          </cell>
          <cell r="JE71">
            <v>18</v>
          </cell>
          <cell r="JG71">
            <v>7</v>
          </cell>
          <cell r="JH71">
            <v>32</v>
          </cell>
          <cell r="JI71">
            <v>27</v>
          </cell>
          <cell r="JJ71">
            <v>139</v>
          </cell>
          <cell r="JL71">
            <v>17.999999999999996</v>
          </cell>
          <cell r="JM71">
            <v>76</v>
          </cell>
          <cell r="JN71">
            <v>15</v>
          </cell>
          <cell r="JO71">
            <v>93</v>
          </cell>
          <cell r="JQ71">
            <v>4</v>
          </cell>
          <cell r="JR71">
            <v>12</v>
          </cell>
          <cell r="JS71">
            <v>2</v>
          </cell>
          <cell r="JT71">
            <v>18</v>
          </cell>
          <cell r="JV71">
            <v>6</v>
          </cell>
          <cell r="JW71">
            <v>30</v>
          </cell>
          <cell r="JX71">
            <v>27</v>
          </cell>
          <cell r="JY71">
            <v>139</v>
          </cell>
          <cell r="KA71">
            <v>0</v>
          </cell>
          <cell r="KB71">
            <v>0</v>
          </cell>
          <cell r="KC71">
            <v>0</v>
          </cell>
          <cell r="KE71">
            <v>0</v>
          </cell>
          <cell r="KG71">
            <v>0</v>
          </cell>
          <cell r="KH71">
            <v>0</v>
          </cell>
          <cell r="KI71">
            <v>0</v>
          </cell>
          <cell r="KK71">
            <v>0</v>
          </cell>
          <cell r="KL71">
            <v>0</v>
          </cell>
          <cell r="KM71">
            <v>0</v>
          </cell>
          <cell r="KO71">
            <v>0</v>
          </cell>
          <cell r="KQ71">
            <v>0</v>
          </cell>
          <cell r="KR71">
            <v>0</v>
          </cell>
          <cell r="KS71">
            <v>0</v>
          </cell>
          <cell r="KU71">
            <v>0</v>
          </cell>
          <cell r="KV71">
            <v>0</v>
          </cell>
          <cell r="KW71">
            <v>0</v>
          </cell>
          <cell r="KY71">
            <v>0</v>
          </cell>
          <cell r="LA71">
            <v>0</v>
          </cell>
          <cell r="LB71">
            <v>0</v>
          </cell>
          <cell r="LC71">
            <v>0</v>
          </cell>
          <cell r="LE71" t="str">
            <v>Albright-Albright</v>
          </cell>
        </row>
        <row r="72">
          <cell r="B72">
            <v>476.69000000000005</v>
          </cell>
          <cell r="C72">
            <v>530</v>
          </cell>
          <cell r="D72">
            <v>173991.85000000003</v>
          </cell>
          <cell r="E72">
            <v>193450</v>
          </cell>
          <cell r="F72">
            <v>0.89941509433962286</v>
          </cell>
          <cell r="G72">
            <v>0.89941509433962286</v>
          </cell>
          <cell r="H72">
            <v>8.0999999999999989E-2</v>
          </cell>
          <cell r="I72">
            <v>1.0682714896814312</v>
          </cell>
          <cell r="J72">
            <v>20.500029999999999</v>
          </cell>
          <cell r="K72">
            <v>10.49971</v>
          </cell>
          <cell r="L72">
            <v>80.203970000000012</v>
          </cell>
          <cell r="M72">
            <v>0.999</v>
          </cell>
          <cell r="N72">
            <v>36.797289999999997</v>
          </cell>
          <cell r="O72">
            <v>0</v>
          </cell>
          <cell r="P72">
            <v>1114.5500000000002</v>
          </cell>
          <cell r="Q72">
            <v>787.82999999999993</v>
          </cell>
          <cell r="R72">
            <v>454</v>
          </cell>
          <cell r="S72">
            <v>212.07999999999996</v>
          </cell>
          <cell r="T72">
            <v>883.96999999999991</v>
          </cell>
          <cell r="U72">
            <v>0</v>
          </cell>
          <cell r="W72">
            <v>479.85016438356172</v>
          </cell>
          <cell r="X72">
            <v>530</v>
          </cell>
          <cell r="Y72">
            <v>175145.31</v>
          </cell>
          <cell r="Z72">
            <v>193450</v>
          </cell>
          <cell r="AA72">
            <v>0.90537766864822955</v>
          </cell>
          <cell r="AB72">
            <v>0.90537766864822955</v>
          </cell>
          <cell r="AC72">
            <v>8.0999999999999989E-2</v>
          </cell>
          <cell r="AD72">
            <v>1.0816346379081825</v>
          </cell>
          <cell r="AE72">
            <v>18.415577507499865</v>
          </cell>
          <cell r="AF72">
            <v>13.416690621232393</v>
          </cell>
          <cell r="AG72">
            <v>86.353429383777964</v>
          </cell>
          <cell r="AH72">
            <v>2.3606914607933649</v>
          </cell>
          <cell r="AI72">
            <v>32.78296534185256</v>
          </cell>
          <cell r="AJ72">
            <v>0</v>
          </cell>
          <cell r="AK72">
            <v>1111.4594704633168</v>
          </cell>
          <cell r="AL72">
            <v>771.87021696112902</v>
          </cell>
          <cell r="AM72">
            <v>493.70714060810934</v>
          </cell>
          <cell r="AN72">
            <v>273.14149748243233</v>
          </cell>
          <cell r="AO72">
            <v>807.49931682364547</v>
          </cell>
          <cell r="AP72">
            <v>0</v>
          </cell>
          <cell r="AR72">
            <v>477.08</v>
          </cell>
          <cell r="AS72">
            <v>530</v>
          </cell>
          <cell r="AT72">
            <v>174611.28</v>
          </cell>
          <cell r="AU72">
            <v>193980</v>
          </cell>
          <cell r="AV72">
            <v>0.90015094339622637</v>
          </cell>
          <cell r="AW72">
            <v>0.90015094339622637</v>
          </cell>
          <cell r="AX72">
            <v>3.0000000000000009E-2</v>
          </cell>
          <cell r="AY72">
            <v>1.0853854969705103</v>
          </cell>
          <cell r="AZ72">
            <v>18.901952000000001</v>
          </cell>
          <cell r="BA72">
            <v>11.291343999999995</v>
          </cell>
          <cell r="BB72">
            <v>85.765344000000013</v>
          </cell>
          <cell r="BC72">
            <v>1.9319999999999995</v>
          </cell>
          <cell r="BD72">
            <v>32.989360000000012</v>
          </cell>
          <cell r="BE72">
            <v>0</v>
          </cell>
          <cell r="BF72">
            <v>1154.01</v>
          </cell>
          <cell r="BG72">
            <v>798.52000000000021</v>
          </cell>
          <cell r="BH72">
            <v>478.315</v>
          </cell>
          <cell r="BI72">
            <v>215</v>
          </cell>
          <cell r="BJ72">
            <v>913.53</v>
          </cell>
          <cell r="BK72">
            <v>0</v>
          </cell>
          <cell r="BM72">
            <v>1</v>
          </cell>
          <cell r="BN72">
            <v>0</v>
          </cell>
          <cell r="BO72">
            <v>3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2</v>
          </cell>
          <cell r="CK72">
            <v>24</v>
          </cell>
          <cell r="CL72">
            <v>18</v>
          </cell>
          <cell r="CM72">
            <v>1</v>
          </cell>
          <cell r="CN72">
            <v>0</v>
          </cell>
          <cell r="CO72">
            <v>0</v>
          </cell>
          <cell r="CP72">
            <v>0</v>
          </cell>
          <cell r="CQ72">
            <v>5</v>
          </cell>
          <cell r="CR72">
            <v>0</v>
          </cell>
          <cell r="CS72">
            <v>13.999999999999998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C72">
            <v>68</v>
          </cell>
          <cell r="DE72">
            <v>1</v>
          </cell>
          <cell r="DF72">
            <v>0</v>
          </cell>
          <cell r="DG72">
            <v>3</v>
          </cell>
          <cell r="DH72">
            <v>0</v>
          </cell>
          <cell r="DI72">
            <v>0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2</v>
          </cell>
          <cell r="EC72">
            <v>24</v>
          </cell>
          <cell r="ED72">
            <v>18</v>
          </cell>
          <cell r="EE72">
            <v>1</v>
          </cell>
          <cell r="EF72">
            <v>0</v>
          </cell>
          <cell r="EG72">
            <v>0</v>
          </cell>
          <cell r="EH72">
            <v>0</v>
          </cell>
          <cell r="EI72">
            <v>5</v>
          </cell>
          <cell r="EJ72">
            <v>0</v>
          </cell>
          <cell r="EK72">
            <v>13.999999999999998</v>
          </cell>
          <cell r="EL72">
            <v>0</v>
          </cell>
          <cell r="EM72">
            <v>0</v>
          </cell>
          <cell r="EN72">
            <v>0</v>
          </cell>
          <cell r="EO72">
            <v>0</v>
          </cell>
          <cell r="EP72">
            <v>0</v>
          </cell>
          <cell r="EQ72">
            <v>0</v>
          </cell>
          <cell r="ER72">
            <v>0</v>
          </cell>
          <cell r="ES72">
            <v>0</v>
          </cell>
          <cell r="EU72">
            <v>68</v>
          </cell>
          <cell r="EW72">
            <v>1</v>
          </cell>
          <cell r="EX72">
            <v>0</v>
          </cell>
          <cell r="EY72">
            <v>1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D72">
            <v>0</v>
          </cell>
          <cell r="FE72">
            <v>0</v>
          </cell>
          <cell r="FF72">
            <v>0</v>
          </cell>
          <cell r="FG72">
            <v>0</v>
          </cell>
          <cell r="FH72">
            <v>0</v>
          </cell>
          <cell r="FI72">
            <v>0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2</v>
          </cell>
          <cell r="FU72">
            <v>24</v>
          </cell>
          <cell r="FV72">
            <v>18</v>
          </cell>
          <cell r="FW72">
            <v>1</v>
          </cell>
          <cell r="FX72">
            <v>0</v>
          </cell>
          <cell r="FY72">
            <v>0</v>
          </cell>
          <cell r="FZ72">
            <v>0</v>
          </cell>
          <cell r="GA72">
            <v>4</v>
          </cell>
          <cell r="GB72">
            <v>20</v>
          </cell>
          <cell r="GC72">
            <v>12</v>
          </cell>
          <cell r="GD72">
            <v>0</v>
          </cell>
          <cell r="GE72">
            <v>0</v>
          </cell>
          <cell r="GF72">
            <v>0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0</v>
          </cell>
          <cell r="GM72">
            <v>83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B72">
            <v>0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Q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F72">
            <v>0</v>
          </cell>
          <cell r="IH72">
            <v>19</v>
          </cell>
          <cell r="II72">
            <v>78.000000000000014</v>
          </cell>
          <cell r="IJ72">
            <v>15</v>
          </cell>
          <cell r="IK72">
            <v>93</v>
          </cell>
          <cell r="IM72">
            <v>5</v>
          </cell>
          <cell r="IN72">
            <v>13.999999999999998</v>
          </cell>
          <cell r="IO72">
            <v>2</v>
          </cell>
          <cell r="IP72">
            <v>18</v>
          </cell>
          <cell r="IR72">
            <v>7</v>
          </cell>
          <cell r="IS72">
            <v>32</v>
          </cell>
          <cell r="IT72">
            <v>27</v>
          </cell>
          <cell r="IU72">
            <v>139</v>
          </cell>
          <cell r="IW72">
            <v>19</v>
          </cell>
          <cell r="IX72">
            <v>78.000000000000014</v>
          </cell>
          <cell r="IY72">
            <v>15</v>
          </cell>
          <cell r="IZ72">
            <v>93</v>
          </cell>
          <cell r="JB72">
            <v>5</v>
          </cell>
          <cell r="JC72">
            <v>13.999999999999998</v>
          </cell>
          <cell r="JD72">
            <v>2</v>
          </cell>
          <cell r="JE72">
            <v>18</v>
          </cell>
          <cell r="JG72">
            <v>7</v>
          </cell>
          <cell r="JH72">
            <v>32</v>
          </cell>
          <cell r="JI72">
            <v>27</v>
          </cell>
          <cell r="JJ72">
            <v>139</v>
          </cell>
          <cell r="JL72">
            <v>17.999999999999996</v>
          </cell>
          <cell r="JM72">
            <v>76</v>
          </cell>
          <cell r="JN72">
            <v>15</v>
          </cell>
          <cell r="JO72">
            <v>93</v>
          </cell>
          <cell r="JQ72">
            <v>4</v>
          </cell>
          <cell r="JR72">
            <v>12</v>
          </cell>
          <cell r="JS72">
            <v>2</v>
          </cell>
          <cell r="JT72">
            <v>18</v>
          </cell>
          <cell r="JV72">
            <v>6</v>
          </cell>
          <cell r="JW72">
            <v>30</v>
          </cell>
          <cell r="JX72">
            <v>27</v>
          </cell>
          <cell r="JY72">
            <v>139</v>
          </cell>
          <cell r="KA72">
            <v>0</v>
          </cell>
          <cell r="KB72">
            <v>0</v>
          </cell>
          <cell r="KC72">
            <v>0</v>
          </cell>
          <cell r="KE72">
            <v>0</v>
          </cell>
          <cell r="KG72">
            <v>0</v>
          </cell>
          <cell r="KH72">
            <v>0</v>
          </cell>
          <cell r="KI72">
            <v>0</v>
          </cell>
          <cell r="KK72">
            <v>0</v>
          </cell>
          <cell r="KL72">
            <v>0</v>
          </cell>
          <cell r="KM72">
            <v>0</v>
          </cell>
          <cell r="KO72">
            <v>0</v>
          </cell>
          <cell r="KQ72">
            <v>0</v>
          </cell>
          <cell r="KR72">
            <v>0</v>
          </cell>
          <cell r="KS72">
            <v>0</v>
          </cell>
          <cell r="KU72">
            <v>0</v>
          </cell>
          <cell r="KV72">
            <v>0</v>
          </cell>
          <cell r="KW72">
            <v>0</v>
          </cell>
          <cell r="KY72">
            <v>0</v>
          </cell>
          <cell r="LA72">
            <v>0</v>
          </cell>
          <cell r="LB72">
            <v>0</v>
          </cell>
          <cell r="LC72">
            <v>0</v>
          </cell>
          <cell r="LE72" t="str">
            <v>Albright (Consolidated)-Albright (Consolidated)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C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U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D73">
            <v>0</v>
          </cell>
          <cell r="FE73">
            <v>0</v>
          </cell>
          <cell r="FF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M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B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Q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F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  <cell r="IM73">
            <v>0</v>
          </cell>
          <cell r="IN73">
            <v>0</v>
          </cell>
          <cell r="IO73">
            <v>0</v>
          </cell>
          <cell r="IP73">
            <v>0</v>
          </cell>
          <cell r="IR73">
            <v>0</v>
          </cell>
          <cell r="IS73">
            <v>0</v>
          </cell>
          <cell r="IT73">
            <v>0</v>
          </cell>
          <cell r="IU73">
            <v>0</v>
          </cell>
          <cell r="IW73">
            <v>0</v>
          </cell>
          <cell r="IX73">
            <v>0</v>
          </cell>
          <cell r="IY73">
            <v>0</v>
          </cell>
          <cell r="IZ73">
            <v>0</v>
          </cell>
          <cell r="JB73">
            <v>0</v>
          </cell>
          <cell r="JC73">
            <v>0</v>
          </cell>
          <cell r="JD73">
            <v>0</v>
          </cell>
          <cell r="JE73">
            <v>0</v>
          </cell>
          <cell r="JG73">
            <v>0</v>
          </cell>
          <cell r="JH73">
            <v>0</v>
          </cell>
          <cell r="JI73">
            <v>0</v>
          </cell>
          <cell r="JJ73">
            <v>0</v>
          </cell>
          <cell r="JL73">
            <v>0</v>
          </cell>
          <cell r="JM73">
            <v>0</v>
          </cell>
          <cell r="JN73">
            <v>0</v>
          </cell>
          <cell r="JO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JV73">
            <v>0</v>
          </cell>
          <cell r="JW73">
            <v>0</v>
          </cell>
          <cell r="JX73">
            <v>0</v>
          </cell>
          <cell r="JY73">
            <v>0</v>
          </cell>
          <cell r="KA73">
            <v>0</v>
          </cell>
          <cell r="KB73">
            <v>0</v>
          </cell>
          <cell r="KC73">
            <v>0</v>
          </cell>
          <cell r="KE73">
            <v>0</v>
          </cell>
          <cell r="KG73">
            <v>0</v>
          </cell>
          <cell r="KH73">
            <v>0</v>
          </cell>
          <cell r="KI73">
            <v>0</v>
          </cell>
          <cell r="KK73">
            <v>0</v>
          </cell>
          <cell r="KL73">
            <v>0</v>
          </cell>
          <cell r="KM73">
            <v>0</v>
          </cell>
          <cell r="KO73">
            <v>0</v>
          </cell>
          <cell r="KQ73">
            <v>0</v>
          </cell>
          <cell r="KR73">
            <v>0</v>
          </cell>
          <cell r="KS73">
            <v>0</v>
          </cell>
          <cell r="KU73">
            <v>0</v>
          </cell>
          <cell r="KV73">
            <v>0</v>
          </cell>
          <cell r="KW73">
            <v>0</v>
          </cell>
          <cell r="KY73">
            <v>0</v>
          </cell>
          <cell r="LA73">
            <v>0</v>
          </cell>
          <cell r="LB73">
            <v>0</v>
          </cell>
          <cell r="LC73">
            <v>0</v>
          </cell>
          <cell r="LE73" t="str">
            <v>Top Level (Consolidated) (Only)-Top Level (Consolidated) (Only)</v>
          </cell>
        </row>
        <row r="74">
          <cell r="B74">
            <v>3189.9995890410951</v>
          </cell>
          <cell r="C74">
            <v>3519</v>
          </cell>
          <cell r="D74">
            <v>1164349.8500000001</v>
          </cell>
          <cell r="E74">
            <v>1284435</v>
          </cell>
          <cell r="F74">
            <v>0.90650741376558563</v>
          </cell>
          <cell r="G74">
            <v>0.90650741376558563</v>
          </cell>
          <cell r="H74">
            <v>6.2039215686274497E-2</v>
          </cell>
          <cell r="I74">
            <v>1.0122163213795343</v>
          </cell>
          <cell r="J74">
            <v>88.594032763333345</v>
          </cell>
          <cell r="K74">
            <v>55.070659650000003</v>
          </cell>
          <cell r="L74">
            <v>287.89534448999996</v>
          </cell>
          <cell r="M74">
            <v>2.6151626600000002</v>
          </cell>
          <cell r="N74">
            <v>228.14036769000003</v>
          </cell>
          <cell r="O74">
            <v>4.1706281000000009</v>
          </cell>
          <cell r="P74">
            <v>5445.05</v>
          </cell>
          <cell r="Q74">
            <v>3844.37</v>
          </cell>
          <cell r="R74">
            <v>1739.27</v>
          </cell>
          <cell r="S74">
            <v>1399.38</v>
          </cell>
          <cell r="T74">
            <v>5030.1000000000004</v>
          </cell>
          <cell r="U74">
            <v>489.06000000000006</v>
          </cell>
          <cell r="W74">
            <v>3072.8933336125315</v>
          </cell>
          <cell r="X74">
            <v>3521.0176137256922</v>
          </cell>
          <cell r="Y74">
            <v>1121612.55</v>
          </cell>
          <cell r="Z74">
            <v>1285171</v>
          </cell>
          <cell r="AA74">
            <v>0.87273409530716151</v>
          </cell>
          <cell r="AB74">
            <v>0.87323418468042369</v>
          </cell>
          <cell r="AC74">
            <v>6.2039215686274497E-2</v>
          </cell>
          <cell r="AD74">
            <v>1.0113610013667089</v>
          </cell>
          <cell r="AE74">
            <v>73.582344295953192</v>
          </cell>
          <cell r="AF74">
            <v>44.1507284474446</v>
          </cell>
          <cell r="AG74">
            <v>288.41840238467404</v>
          </cell>
          <cell r="AH74">
            <v>5.257410409146221</v>
          </cell>
          <cell r="AI74">
            <v>214.21257086415156</v>
          </cell>
          <cell r="AJ74">
            <v>8.6068365143369121</v>
          </cell>
          <cell r="AK74">
            <v>5919.6481274245316</v>
          </cell>
          <cell r="AL74">
            <v>4362.0599729842334</v>
          </cell>
          <cell r="AM74">
            <v>1883.7907803569033</v>
          </cell>
          <cell r="AN74">
            <v>1979.4214268942128</v>
          </cell>
          <cell r="AO74">
            <v>4698.2830446131593</v>
          </cell>
          <cell r="AP74">
            <v>515.22338545080993</v>
          </cell>
          <cell r="AR74">
            <v>3105.6852950819666</v>
          </cell>
          <cell r="AS74">
            <v>3519</v>
          </cell>
          <cell r="AT74">
            <v>1136680.818</v>
          </cell>
          <cell r="AU74">
            <v>1287954</v>
          </cell>
          <cell r="AV74">
            <v>0.88254768260357119</v>
          </cell>
          <cell r="AW74">
            <v>0.88254768260357119</v>
          </cell>
          <cell r="AX74">
            <v>3.0000000000000023E-2</v>
          </cell>
          <cell r="AY74">
            <v>1.0283039800667957</v>
          </cell>
          <cell r="AZ74">
            <v>72.562228799999971</v>
          </cell>
          <cell r="BA74">
            <v>40.2341312</v>
          </cell>
          <cell r="BB74">
            <v>296.2694173999999</v>
          </cell>
          <cell r="BC74">
            <v>3.715558399999999</v>
          </cell>
          <cell r="BD74">
            <v>220.51886519999999</v>
          </cell>
          <cell r="BE74">
            <v>7.7156712000000018</v>
          </cell>
          <cell r="BF74">
            <v>6285.9999999999982</v>
          </cell>
          <cell r="BG74">
            <v>4463.13</v>
          </cell>
          <cell r="BH74">
            <v>1839.365</v>
          </cell>
          <cell r="BI74">
            <v>973.72521857923482</v>
          </cell>
          <cell r="BJ74">
            <v>5142.0499999999975</v>
          </cell>
          <cell r="BK74">
            <v>508.37999999999982</v>
          </cell>
          <cell r="BM74">
            <v>1</v>
          </cell>
          <cell r="BN74">
            <v>1</v>
          </cell>
          <cell r="BO74">
            <v>3</v>
          </cell>
          <cell r="BP74">
            <v>0</v>
          </cell>
          <cell r="BQ74">
            <v>9</v>
          </cell>
          <cell r="BR74">
            <v>16</v>
          </cell>
          <cell r="BS74">
            <v>0</v>
          </cell>
          <cell r="BT74">
            <v>1</v>
          </cell>
          <cell r="BU74">
            <v>19</v>
          </cell>
          <cell r="BV74">
            <v>1</v>
          </cell>
          <cell r="BW74">
            <v>55.000000000000021</v>
          </cell>
          <cell r="BX74">
            <v>36</v>
          </cell>
          <cell r="BY74">
            <v>2</v>
          </cell>
          <cell r="BZ74">
            <v>1</v>
          </cell>
          <cell r="CA74">
            <v>13.000000000000002</v>
          </cell>
          <cell r="CB74">
            <v>32.000000000000007</v>
          </cell>
          <cell r="CC74">
            <v>19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6.9999999999999991</v>
          </cell>
          <cell r="CI74">
            <v>9</v>
          </cell>
          <cell r="CJ74">
            <v>2</v>
          </cell>
          <cell r="CK74">
            <v>24</v>
          </cell>
          <cell r="CL74">
            <v>18</v>
          </cell>
          <cell r="CM74">
            <v>1</v>
          </cell>
          <cell r="CN74">
            <v>1</v>
          </cell>
          <cell r="CO74">
            <v>0</v>
          </cell>
          <cell r="CP74">
            <v>20</v>
          </cell>
          <cell r="CQ74">
            <v>5</v>
          </cell>
          <cell r="CR74">
            <v>0</v>
          </cell>
          <cell r="CS74">
            <v>13.999999999999998</v>
          </cell>
          <cell r="CT74">
            <v>8</v>
          </cell>
          <cell r="CU74">
            <v>9</v>
          </cell>
          <cell r="CV74">
            <v>33.999999999999993</v>
          </cell>
          <cell r="CW74">
            <v>38</v>
          </cell>
          <cell r="CX74">
            <v>1</v>
          </cell>
          <cell r="CY74">
            <v>0</v>
          </cell>
          <cell r="CZ74">
            <v>0</v>
          </cell>
          <cell r="DA74">
            <v>13.999999999999998</v>
          </cell>
          <cell r="DC74">
            <v>414</v>
          </cell>
          <cell r="DE74">
            <v>1</v>
          </cell>
          <cell r="DF74">
            <v>1</v>
          </cell>
          <cell r="DG74">
            <v>3</v>
          </cell>
          <cell r="DH74">
            <v>0</v>
          </cell>
          <cell r="DI74">
            <v>9</v>
          </cell>
          <cell r="DJ74">
            <v>16</v>
          </cell>
          <cell r="DK74">
            <v>0</v>
          </cell>
          <cell r="DL74">
            <v>1</v>
          </cell>
          <cell r="DM74">
            <v>19</v>
          </cell>
          <cell r="DN74">
            <v>1</v>
          </cell>
          <cell r="DO74">
            <v>55.000000000000021</v>
          </cell>
          <cell r="DP74">
            <v>36</v>
          </cell>
          <cell r="DQ74">
            <v>2</v>
          </cell>
          <cell r="DR74">
            <v>1</v>
          </cell>
          <cell r="DS74">
            <v>13.000000000000002</v>
          </cell>
          <cell r="DT74">
            <v>32.000000000000007</v>
          </cell>
          <cell r="DU74">
            <v>19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6.9999999999999991</v>
          </cell>
          <cell r="EA74">
            <v>9</v>
          </cell>
          <cell r="EB74">
            <v>2</v>
          </cell>
          <cell r="EC74">
            <v>24</v>
          </cell>
          <cell r="ED74">
            <v>18</v>
          </cell>
          <cell r="EE74">
            <v>1</v>
          </cell>
          <cell r="EF74">
            <v>1</v>
          </cell>
          <cell r="EG74">
            <v>0</v>
          </cell>
          <cell r="EH74">
            <v>20</v>
          </cell>
          <cell r="EI74">
            <v>5</v>
          </cell>
          <cell r="EJ74">
            <v>0</v>
          </cell>
          <cell r="EK74">
            <v>13.999999999999998</v>
          </cell>
          <cell r="EL74">
            <v>8</v>
          </cell>
          <cell r="EM74">
            <v>9</v>
          </cell>
          <cell r="EN74">
            <v>33.999999999999993</v>
          </cell>
          <cell r="EO74">
            <v>38</v>
          </cell>
          <cell r="EP74">
            <v>1</v>
          </cell>
          <cell r="EQ74">
            <v>0</v>
          </cell>
          <cell r="ER74">
            <v>0</v>
          </cell>
          <cell r="ES74">
            <v>13.999999999999998</v>
          </cell>
          <cell r="EU74">
            <v>414</v>
          </cell>
          <cell r="EW74">
            <v>1</v>
          </cell>
          <cell r="EX74">
            <v>0</v>
          </cell>
          <cell r="EY74">
            <v>1</v>
          </cell>
          <cell r="EZ74">
            <v>0</v>
          </cell>
          <cell r="FA74">
            <v>9</v>
          </cell>
          <cell r="FB74">
            <v>16</v>
          </cell>
          <cell r="FC74">
            <v>0</v>
          </cell>
          <cell r="FD74">
            <v>1</v>
          </cell>
          <cell r="FE74">
            <v>21</v>
          </cell>
          <cell r="FF74">
            <v>1</v>
          </cell>
          <cell r="FG74">
            <v>55.000000000000007</v>
          </cell>
          <cell r="FH74">
            <v>36</v>
          </cell>
          <cell r="FI74">
            <v>2</v>
          </cell>
          <cell r="FJ74">
            <v>0</v>
          </cell>
          <cell r="FK74">
            <v>10</v>
          </cell>
          <cell r="FL74">
            <v>27.999999999999989</v>
          </cell>
          <cell r="FM74">
            <v>21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9</v>
          </cell>
          <cell r="FS74">
            <v>12</v>
          </cell>
          <cell r="FT74">
            <v>2</v>
          </cell>
          <cell r="FU74">
            <v>24</v>
          </cell>
          <cell r="FV74">
            <v>18</v>
          </cell>
          <cell r="FW74">
            <v>1</v>
          </cell>
          <cell r="FX74">
            <v>0</v>
          </cell>
          <cell r="FY74">
            <v>0</v>
          </cell>
          <cell r="FZ74">
            <v>21</v>
          </cell>
          <cell r="GA74">
            <v>4</v>
          </cell>
          <cell r="GB74">
            <v>20</v>
          </cell>
          <cell r="GC74">
            <v>12</v>
          </cell>
          <cell r="GD74">
            <v>6.9999999999999991</v>
          </cell>
          <cell r="GE74">
            <v>8</v>
          </cell>
          <cell r="GF74">
            <v>35.000000000000007</v>
          </cell>
          <cell r="GG74">
            <v>38</v>
          </cell>
          <cell r="GH74">
            <v>0</v>
          </cell>
          <cell r="GI74">
            <v>0</v>
          </cell>
          <cell r="GJ74">
            <v>0</v>
          </cell>
          <cell r="GK74">
            <v>10.999999999999998</v>
          </cell>
          <cell r="GM74">
            <v>424</v>
          </cell>
          <cell r="GO74">
            <v>2</v>
          </cell>
          <cell r="GP74">
            <v>4</v>
          </cell>
          <cell r="GQ74">
            <v>3</v>
          </cell>
          <cell r="GR74">
            <v>2</v>
          </cell>
          <cell r="GS74">
            <v>1</v>
          </cell>
          <cell r="GT74">
            <v>2</v>
          </cell>
          <cell r="GU74">
            <v>2</v>
          </cell>
          <cell r="GV74">
            <v>1</v>
          </cell>
          <cell r="GW74">
            <v>3</v>
          </cell>
          <cell r="GX74">
            <v>1</v>
          </cell>
          <cell r="GY74">
            <v>13.999999999999998</v>
          </cell>
          <cell r="GZ74">
            <v>3</v>
          </cell>
          <cell r="HB74">
            <v>38</v>
          </cell>
          <cell r="HD74">
            <v>2</v>
          </cell>
          <cell r="HE74">
            <v>4</v>
          </cell>
          <cell r="HF74">
            <v>3</v>
          </cell>
          <cell r="HG74">
            <v>2</v>
          </cell>
          <cell r="HH74">
            <v>1</v>
          </cell>
          <cell r="HI74">
            <v>2</v>
          </cell>
          <cell r="HJ74">
            <v>2</v>
          </cell>
          <cell r="HK74">
            <v>1</v>
          </cell>
          <cell r="HL74">
            <v>3</v>
          </cell>
          <cell r="HM74">
            <v>1</v>
          </cell>
          <cell r="HN74">
            <v>13.999999999999998</v>
          </cell>
          <cell r="HO74">
            <v>3</v>
          </cell>
          <cell r="HQ74">
            <v>38</v>
          </cell>
          <cell r="HS74">
            <v>2</v>
          </cell>
          <cell r="HT74">
            <v>4</v>
          </cell>
          <cell r="HU74">
            <v>3</v>
          </cell>
          <cell r="HV74">
            <v>2</v>
          </cell>
          <cell r="HW74">
            <v>1</v>
          </cell>
          <cell r="HX74">
            <v>2</v>
          </cell>
          <cell r="HY74">
            <v>2</v>
          </cell>
          <cell r="HZ74">
            <v>1</v>
          </cell>
          <cell r="IA74">
            <v>3</v>
          </cell>
          <cell r="IB74">
            <v>1</v>
          </cell>
          <cell r="IC74">
            <v>13.999999999999998</v>
          </cell>
          <cell r="ID74">
            <v>3</v>
          </cell>
          <cell r="IF74">
            <v>38</v>
          </cell>
          <cell r="IH74">
            <v>19</v>
          </cell>
          <cell r="II74">
            <v>78.000000000000014</v>
          </cell>
          <cell r="IJ74">
            <v>15</v>
          </cell>
          <cell r="IK74">
            <v>93</v>
          </cell>
          <cell r="IM74">
            <v>5</v>
          </cell>
          <cell r="IN74">
            <v>13.999999999999998</v>
          </cell>
          <cell r="IO74">
            <v>2</v>
          </cell>
          <cell r="IP74">
            <v>18</v>
          </cell>
          <cell r="IR74">
            <v>7</v>
          </cell>
          <cell r="IS74">
            <v>32</v>
          </cell>
          <cell r="IT74">
            <v>27</v>
          </cell>
          <cell r="IU74">
            <v>139</v>
          </cell>
          <cell r="IW74">
            <v>19</v>
          </cell>
          <cell r="IX74">
            <v>78.000000000000014</v>
          </cell>
          <cell r="IY74">
            <v>15</v>
          </cell>
          <cell r="IZ74">
            <v>93</v>
          </cell>
          <cell r="JB74">
            <v>5</v>
          </cell>
          <cell r="JC74">
            <v>13.999999999999998</v>
          </cell>
          <cell r="JD74">
            <v>2</v>
          </cell>
          <cell r="JE74">
            <v>18</v>
          </cell>
          <cell r="JG74">
            <v>7</v>
          </cell>
          <cell r="JH74">
            <v>32</v>
          </cell>
          <cell r="JI74">
            <v>27</v>
          </cell>
          <cell r="JJ74">
            <v>139</v>
          </cell>
          <cell r="JL74">
            <v>17.999999999999996</v>
          </cell>
          <cell r="JM74">
            <v>76</v>
          </cell>
          <cell r="JN74">
            <v>15</v>
          </cell>
          <cell r="JO74">
            <v>93</v>
          </cell>
          <cell r="JQ74">
            <v>4</v>
          </cell>
          <cell r="JR74">
            <v>12</v>
          </cell>
          <cell r="JS74">
            <v>2</v>
          </cell>
          <cell r="JT74">
            <v>18</v>
          </cell>
          <cell r="JV74">
            <v>6</v>
          </cell>
          <cell r="JW74">
            <v>30</v>
          </cell>
          <cell r="JX74">
            <v>27</v>
          </cell>
          <cell r="JY74">
            <v>139</v>
          </cell>
          <cell r="KA74">
            <v>10.999999999999998</v>
          </cell>
          <cell r="KB74">
            <v>39.000000000000007</v>
          </cell>
          <cell r="KC74">
            <v>6</v>
          </cell>
          <cell r="KE74">
            <v>19</v>
          </cell>
          <cell r="KG74">
            <v>10.999999999999998</v>
          </cell>
          <cell r="KH74">
            <v>20.000000000000007</v>
          </cell>
          <cell r="KI74">
            <v>6</v>
          </cell>
          <cell r="KK74">
            <v>10.999999999999998</v>
          </cell>
          <cell r="KL74">
            <v>39.000000000000007</v>
          </cell>
          <cell r="KM74">
            <v>6</v>
          </cell>
          <cell r="KO74">
            <v>19</v>
          </cell>
          <cell r="KQ74">
            <v>10.999999999999998</v>
          </cell>
          <cell r="KR74">
            <v>20.000000000000007</v>
          </cell>
          <cell r="KS74">
            <v>6</v>
          </cell>
          <cell r="KU74">
            <v>10.999999999999998</v>
          </cell>
          <cell r="KV74">
            <v>41.000000000000014</v>
          </cell>
          <cell r="KW74">
            <v>6</v>
          </cell>
          <cell r="KY74">
            <v>21</v>
          </cell>
          <cell r="LA74">
            <v>10.999999999999998</v>
          </cell>
          <cell r="LB74">
            <v>20.000000000000014</v>
          </cell>
          <cell r="LC74">
            <v>6</v>
          </cell>
          <cell r="LE74" t="str">
            <v>Top Level (Consolidated)-Top Level (Consolidated)</v>
          </cell>
        </row>
      </sheetData>
      <sheetData sheetId="32" refreshError="1"/>
      <sheetData sheetId="33" refreshError="1"/>
      <sheetData sheetId="34">
        <row r="1">
          <cell r="B1" t="str">
            <v>2023Budget</v>
          </cell>
          <cell r="C1" t="str">
            <v>2023FC 6+6</v>
          </cell>
          <cell r="D1" t="str">
            <v>2024Budget</v>
          </cell>
        </row>
        <row r="2">
          <cell r="I2" t="str">
            <v>x'OC-Raise'!$B$7:$D$54</v>
          </cell>
        </row>
        <row r="3">
          <cell r="I3" t="str">
            <v>x'OC-Raise'!$F$7:$F$54</v>
          </cell>
        </row>
      </sheetData>
      <sheetData sheetId="35" refreshError="1"/>
      <sheetData sheetId="36">
        <row r="1">
          <cell r="B1" t="str">
            <v>45170FC 6+6SNF Census - Medicare A</v>
          </cell>
          <cell r="C1" t="str">
            <v>45200FC 6+6SNF Census - Medicare A</v>
          </cell>
          <cell r="D1" t="str">
            <v>45231FC 6+6SNF Census - Medicare A</v>
          </cell>
          <cell r="E1" t="str">
            <v>45261FC 6+6SNF Census - Medicare A</v>
          </cell>
          <cell r="F1" t="str">
            <v>45292BudgetSNF Census - Medicare A</v>
          </cell>
          <cell r="G1" t="str">
            <v>45323BudgetSNF Census - Medicare A</v>
          </cell>
          <cell r="H1" t="str">
            <v>45352BudgetSNF Census - Medicare A</v>
          </cell>
          <cell r="I1" t="str">
            <v>45383BudgetSNF Census - Medicare A</v>
          </cell>
          <cell r="J1" t="str">
            <v>45413BudgetSNF Census - Medicare A</v>
          </cell>
          <cell r="K1" t="str">
            <v>45444BudgetSNF Census - Medicare A</v>
          </cell>
          <cell r="L1" t="str">
            <v>45474BudgetSNF Census - Medicare A</v>
          </cell>
          <cell r="M1" t="str">
            <v>45505BudgetSNF Census - Medicare A</v>
          </cell>
          <cell r="N1" t="str">
            <v>45536BudgetSNF Census - Medicare A</v>
          </cell>
          <cell r="O1" t="str">
            <v>45566BudgetSNF Census - Medicare A</v>
          </cell>
          <cell r="P1" t="str">
            <v>45597BudgetSNF Census - Medicare A</v>
          </cell>
          <cell r="Q1" t="str">
            <v>45627BudgetSNF Census - Medicare A</v>
          </cell>
          <cell r="S1" t="str">
            <v>45170FC 6+6SNF Census - Medicare Advantage</v>
          </cell>
          <cell r="T1" t="str">
            <v>45200FC 6+6SNF Census - Medicare Advantage</v>
          </cell>
          <cell r="U1" t="str">
            <v>45231FC 6+6SNF Census - Medicare Advantage</v>
          </cell>
          <cell r="V1" t="str">
            <v>45261FC 6+6SNF Census - Medicare Advantage</v>
          </cell>
          <cell r="W1" t="str">
            <v>45292BudgetSNF Census - Medicare Advantage</v>
          </cell>
          <cell r="X1" t="str">
            <v>45323BudgetSNF Census - Medicare Advantage</v>
          </cell>
          <cell r="Y1" t="str">
            <v>45352BudgetSNF Census - Medicare Advantage</v>
          </cell>
          <cell r="Z1" t="str">
            <v>45383BudgetSNF Census - Medicare Advantage</v>
          </cell>
          <cell r="AA1" t="str">
            <v>45413BudgetSNF Census - Medicare Advantage</v>
          </cell>
          <cell r="AB1" t="str">
            <v>45444BudgetSNF Census - Medicare Advantage</v>
          </cell>
          <cell r="AC1" t="str">
            <v>45474BudgetSNF Census - Medicare Advantage</v>
          </cell>
          <cell r="AD1" t="str">
            <v>45505BudgetSNF Census - Medicare Advantage</v>
          </cell>
          <cell r="AE1" t="str">
            <v>45536BudgetSNF Census - Medicare Advantage</v>
          </cell>
          <cell r="AF1" t="str">
            <v>45566BudgetSNF Census - Medicare Advantage</v>
          </cell>
          <cell r="AG1" t="str">
            <v>45597BudgetSNF Census - Medicare Advantage</v>
          </cell>
          <cell r="AH1" t="str">
            <v>45627BudgetSNF Census - Medicare Advantage</v>
          </cell>
          <cell r="AJ1" t="str">
            <v>45170FC 6+6SNF Census - Medicaid</v>
          </cell>
          <cell r="AK1" t="str">
            <v>45200FC 6+6SNF Census - Medicaid</v>
          </cell>
          <cell r="AL1" t="str">
            <v>45231FC 6+6SNF Census - Medicaid</v>
          </cell>
          <cell r="AM1" t="str">
            <v>45261FC 6+6SNF Census - Medicaid</v>
          </cell>
          <cell r="AN1" t="str">
            <v>45292BudgetSNF Census - Medicaid</v>
          </cell>
          <cell r="AO1" t="str">
            <v>45323BudgetSNF Census - Medicaid</v>
          </cell>
          <cell r="AP1" t="str">
            <v>45352BudgetSNF Census - Medicaid</v>
          </cell>
          <cell r="AQ1" t="str">
            <v>45383BudgetSNF Census - Medicaid</v>
          </cell>
          <cell r="AR1" t="str">
            <v>45413BudgetSNF Census - Medicaid</v>
          </cell>
          <cell r="AS1" t="str">
            <v>45444BudgetSNF Census - Medicaid</v>
          </cell>
          <cell r="AT1" t="str">
            <v>45474BudgetSNF Census - Medicaid</v>
          </cell>
          <cell r="AU1" t="str">
            <v>45505BudgetSNF Census - Medicaid</v>
          </cell>
          <cell r="AV1" t="str">
            <v>45536BudgetSNF Census - Medicaid</v>
          </cell>
          <cell r="AW1" t="str">
            <v>45566BudgetSNF Census - Medicaid</v>
          </cell>
          <cell r="AX1" t="str">
            <v>45597BudgetSNF Census - Medicaid</v>
          </cell>
          <cell r="AY1" t="str">
            <v>45627BudgetSNF Census - Medicaid</v>
          </cell>
          <cell r="BA1" t="str">
            <v>45170FC 6+6SNF Census - Insurance</v>
          </cell>
          <cell r="BB1" t="str">
            <v>45200FC 6+6SNF Census - Insurance</v>
          </cell>
          <cell r="BC1" t="str">
            <v>45231FC 6+6SNF Census - Insurance</v>
          </cell>
          <cell r="BD1" t="str">
            <v>45261FC 6+6SNF Census - Insurance</v>
          </cell>
          <cell r="BE1" t="str">
            <v>45292BudgetSNF Census - Insurance</v>
          </cell>
          <cell r="BF1" t="str">
            <v>45323BudgetSNF Census - Insurance</v>
          </cell>
          <cell r="BG1" t="str">
            <v>45352BudgetSNF Census - Insurance</v>
          </cell>
          <cell r="BH1" t="str">
            <v>45383BudgetSNF Census - Insurance</v>
          </cell>
          <cell r="BI1" t="str">
            <v>45413BudgetSNF Census - Insurance</v>
          </cell>
          <cell r="BJ1" t="str">
            <v>45444BudgetSNF Census - Insurance</v>
          </cell>
          <cell r="BK1" t="str">
            <v>45474BudgetSNF Census - Insurance</v>
          </cell>
          <cell r="BL1" t="str">
            <v>45505BudgetSNF Census - Insurance</v>
          </cell>
          <cell r="BM1" t="str">
            <v>45536BudgetSNF Census - Insurance</v>
          </cell>
          <cell r="BN1" t="str">
            <v>45566BudgetSNF Census - Insurance</v>
          </cell>
          <cell r="BO1" t="str">
            <v>45597BudgetSNF Census - Insurance</v>
          </cell>
          <cell r="BP1" t="str">
            <v>45627BudgetSNF Census - Insurance</v>
          </cell>
          <cell r="BR1" t="str">
            <v>45170FC 6+6SNF Census - Private Pay</v>
          </cell>
          <cell r="BS1" t="str">
            <v>45200FC 6+6SNF Census - Private Pay</v>
          </cell>
          <cell r="BT1" t="str">
            <v>45231FC 6+6SNF Census - Private Pay</v>
          </cell>
          <cell r="BU1" t="str">
            <v>45261FC 6+6SNF Census - Private Pay</v>
          </cell>
          <cell r="BV1" t="str">
            <v>45292BudgetSNF Census - Private Pay</v>
          </cell>
          <cell r="BW1" t="str">
            <v>45323BudgetSNF Census - Private Pay</v>
          </cell>
          <cell r="BX1" t="str">
            <v>45352BudgetSNF Census - Private Pay</v>
          </cell>
          <cell r="BY1" t="str">
            <v>45383BudgetSNF Census - Private Pay</v>
          </cell>
          <cell r="BZ1" t="str">
            <v>45413BudgetSNF Census - Private Pay</v>
          </cell>
          <cell r="CA1" t="str">
            <v>45444BudgetSNF Census - Private Pay</v>
          </cell>
          <cell r="CB1" t="str">
            <v>45474BudgetSNF Census - Private Pay</v>
          </cell>
          <cell r="CC1" t="str">
            <v>45505BudgetSNF Census - Private Pay</v>
          </cell>
          <cell r="CD1" t="str">
            <v>45536BudgetSNF Census - Private Pay</v>
          </cell>
          <cell r="CE1" t="str">
            <v>45566BudgetSNF Census - Private Pay</v>
          </cell>
          <cell r="CF1" t="str">
            <v>45597BudgetSNF Census - Private Pay</v>
          </cell>
          <cell r="CG1" t="str">
            <v>45627BudgetSNF Census - Private Pay</v>
          </cell>
          <cell r="CI1" t="str">
            <v>45170FC 6+6SNF Census - Hospice</v>
          </cell>
          <cell r="CJ1" t="str">
            <v>45200FC 6+6SNF Census - Hospice</v>
          </cell>
          <cell r="CK1" t="str">
            <v>45231FC 6+6SNF Census - Hospice</v>
          </cell>
          <cell r="CL1" t="str">
            <v>45261FC 6+6SNF Census - Hospice</v>
          </cell>
          <cell r="CM1" t="str">
            <v>45292BudgetSNF Census - Hospice</v>
          </cell>
          <cell r="CN1" t="str">
            <v>45323BudgetSNF Census - Hospice</v>
          </cell>
          <cell r="CO1" t="str">
            <v>45352BudgetSNF Census - Hospice</v>
          </cell>
          <cell r="CP1" t="str">
            <v>45383BudgetSNF Census - Hospice</v>
          </cell>
          <cell r="CQ1" t="str">
            <v>45413BudgetSNF Census - Hospice</v>
          </cell>
          <cell r="CR1" t="str">
            <v>45444BudgetSNF Census - Hospice</v>
          </cell>
          <cell r="CS1" t="str">
            <v>45474BudgetSNF Census - Hospice</v>
          </cell>
          <cell r="CT1" t="str">
            <v>45505BudgetSNF Census - Hospice</v>
          </cell>
          <cell r="CU1" t="str">
            <v>45536BudgetSNF Census - Hospice</v>
          </cell>
          <cell r="CV1" t="str">
            <v>45566BudgetSNF Census - Hospice</v>
          </cell>
          <cell r="CW1" t="str">
            <v>45597BudgetSNF Census - Hospice</v>
          </cell>
          <cell r="CX1" t="str">
            <v>45627BudgetSNF Census - Hospice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Z9" t="str">
            <v>660-21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Z10" t="str">
            <v>660-22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Z11" t="str">
            <v>660-31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Z12" t="str">
            <v>660-52</v>
          </cell>
        </row>
        <row r="13">
          <cell r="B13">
            <v>5.28</v>
          </cell>
          <cell r="C13">
            <v>3.8135750000000002</v>
          </cell>
          <cell r="D13">
            <v>3.9661179999999998</v>
          </cell>
          <cell r="E13">
            <v>4.1186610000000003</v>
          </cell>
          <cell r="F13">
            <v>3.95045</v>
          </cell>
          <cell r="G13">
            <v>3.95045</v>
          </cell>
          <cell r="H13">
            <v>3.95045</v>
          </cell>
          <cell r="I13">
            <v>3.95045</v>
          </cell>
          <cell r="J13">
            <v>3.95045</v>
          </cell>
          <cell r="K13">
            <v>3.95045</v>
          </cell>
          <cell r="L13">
            <v>3.95045</v>
          </cell>
          <cell r="M13">
            <v>3.95045</v>
          </cell>
          <cell r="N13">
            <v>3.95045</v>
          </cell>
          <cell r="O13">
            <v>3.95045</v>
          </cell>
          <cell r="P13">
            <v>3.95045</v>
          </cell>
          <cell r="Q13">
            <v>3.95045</v>
          </cell>
          <cell r="S13">
            <v>11.5608</v>
          </cell>
          <cell r="T13">
            <v>13.729050000000001</v>
          </cell>
          <cell r="U13">
            <v>14.278212000000002</v>
          </cell>
          <cell r="V13">
            <v>14.827374000000001</v>
          </cell>
          <cell r="W13">
            <v>9.5592249999999996</v>
          </cell>
          <cell r="X13">
            <v>9.5592249999999996</v>
          </cell>
          <cell r="Y13">
            <v>9.5592249999999996</v>
          </cell>
          <cell r="Z13">
            <v>9.5592249999999996</v>
          </cell>
          <cell r="AA13">
            <v>9.5592249999999996</v>
          </cell>
          <cell r="AB13">
            <v>9.5592249999999996</v>
          </cell>
          <cell r="AC13">
            <v>9.5592249999999996</v>
          </cell>
          <cell r="AD13">
            <v>9.5592249999999996</v>
          </cell>
          <cell r="AE13">
            <v>9.5592249999999996</v>
          </cell>
          <cell r="AF13">
            <v>9.5592249999999996</v>
          </cell>
          <cell r="AG13">
            <v>9.5592249999999996</v>
          </cell>
          <cell r="AH13">
            <v>9.5592249999999996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R13">
            <v>7.1591040000000001</v>
          </cell>
          <cell r="BS13">
            <v>7.4573999999999998</v>
          </cell>
          <cell r="BT13">
            <v>7.7556960000000004</v>
          </cell>
          <cell r="BU13">
            <v>8.0539920000000009</v>
          </cell>
          <cell r="BV13">
            <v>11.490550000000001</v>
          </cell>
          <cell r="BW13">
            <v>11.490550000000001</v>
          </cell>
          <cell r="BX13">
            <v>11.490550000000001</v>
          </cell>
          <cell r="BY13">
            <v>11.490550000000001</v>
          </cell>
          <cell r="BZ13">
            <v>11.490550000000001</v>
          </cell>
          <cell r="CA13">
            <v>11.490550000000001</v>
          </cell>
          <cell r="CB13">
            <v>11.490550000000001</v>
          </cell>
          <cell r="CC13">
            <v>11.490550000000001</v>
          </cell>
          <cell r="CD13">
            <v>11.490550000000001</v>
          </cell>
          <cell r="CE13">
            <v>11.490550000000001</v>
          </cell>
          <cell r="CF13">
            <v>11.490550000000001</v>
          </cell>
          <cell r="CG13">
            <v>11.490550000000001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Z13" t="str">
            <v>660-61</v>
          </cell>
        </row>
        <row r="14">
          <cell r="B14">
            <v>1.1988000000000001</v>
          </cell>
          <cell r="C14">
            <v>1.2987</v>
          </cell>
          <cell r="D14">
            <v>1.3986000000000001</v>
          </cell>
          <cell r="E14">
            <v>1.4984999999999999</v>
          </cell>
          <cell r="F14">
            <v>1.5</v>
          </cell>
          <cell r="G14">
            <v>1.5</v>
          </cell>
          <cell r="H14">
            <v>1.5</v>
          </cell>
          <cell r="I14">
            <v>1.5</v>
          </cell>
          <cell r="J14">
            <v>1.5</v>
          </cell>
          <cell r="K14">
            <v>1.5</v>
          </cell>
          <cell r="L14">
            <v>1.5</v>
          </cell>
          <cell r="M14">
            <v>1.5</v>
          </cell>
          <cell r="N14">
            <v>1.5</v>
          </cell>
          <cell r="O14">
            <v>1.5</v>
          </cell>
          <cell r="P14">
            <v>1.5</v>
          </cell>
          <cell r="Q14">
            <v>1.5</v>
          </cell>
          <cell r="S14">
            <v>2.3976000000000002</v>
          </cell>
          <cell r="T14">
            <v>2.5973999999999999</v>
          </cell>
          <cell r="U14">
            <v>2.7972000000000001</v>
          </cell>
          <cell r="V14">
            <v>2.9969999999999999</v>
          </cell>
          <cell r="W14">
            <v>3</v>
          </cell>
          <cell r="X14">
            <v>3</v>
          </cell>
          <cell r="Y14">
            <v>3</v>
          </cell>
          <cell r="Z14">
            <v>3</v>
          </cell>
          <cell r="AA14">
            <v>3</v>
          </cell>
          <cell r="AB14">
            <v>3</v>
          </cell>
          <cell r="AC14">
            <v>3</v>
          </cell>
          <cell r="AD14">
            <v>3</v>
          </cell>
          <cell r="AE14">
            <v>3</v>
          </cell>
          <cell r="AF14">
            <v>3</v>
          </cell>
          <cell r="AG14">
            <v>3</v>
          </cell>
          <cell r="AH14">
            <v>3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R14">
            <v>8.4036000000000008</v>
          </cell>
          <cell r="BS14">
            <v>9.1038999999999994</v>
          </cell>
          <cell r="BT14">
            <v>9.8041999999999998</v>
          </cell>
          <cell r="BU14">
            <v>10.5045</v>
          </cell>
          <cell r="BV14">
            <v>10.5</v>
          </cell>
          <cell r="BW14">
            <v>10.5</v>
          </cell>
          <cell r="BX14">
            <v>10.5</v>
          </cell>
          <cell r="BY14">
            <v>10.5</v>
          </cell>
          <cell r="BZ14">
            <v>10.5</v>
          </cell>
          <cell r="CA14">
            <v>10.5</v>
          </cell>
          <cell r="CB14">
            <v>10.5</v>
          </cell>
          <cell r="CC14">
            <v>10.5</v>
          </cell>
          <cell r="CD14">
            <v>10.5</v>
          </cell>
          <cell r="CE14">
            <v>10.5</v>
          </cell>
          <cell r="CF14">
            <v>10.5</v>
          </cell>
          <cell r="CG14">
            <v>10.5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Z14" t="str">
            <v>660-62</v>
          </cell>
        </row>
        <row r="15">
          <cell r="B15">
            <v>6.4788000000000006</v>
          </cell>
          <cell r="C15">
            <v>5.1122750000000003</v>
          </cell>
          <cell r="D15">
            <v>5.3647179999999999</v>
          </cell>
          <cell r="E15">
            <v>5.6171610000000003</v>
          </cell>
          <cell r="F15">
            <v>5.45045</v>
          </cell>
          <cell r="G15">
            <v>5.45045</v>
          </cell>
          <cell r="H15">
            <v>5.45045</v>
          </cell>
          <cell r="I15">
            <v>5.45045</v>
          </cell>
          <cell r="J15">
            <v>5.45045</v>
          </cell>
          <cell r="K15">
            <v>5.45045</v>
          </cell>
          <cell r="L15">
            <v>5.45045</v>
          </cell>
          <cell r="M15">
            <v>5.45045</v>
          </cell>
          <cell r="N15">
            <v>5.45045</v>
          </cell>
          <cell r="O15">
            <v>5.45045</v>
          </cell>
          <cell r="P15">
            <v>5.45045</v>
          </cell>
          <cell r="Q15">
            <v>5.45045</v>
          </cell>
          <cell r="S15">
            <v>13.958399999999999</v>
          </cell>
          <cell r="T15">
            <v>16.326450000000001</v>
          </cell>
          <cell r="U15">
            <v>17.075412</v>
          </cell>
          <cell r="V15">
            <v>17.824373999999999</v>
          </cell>
          <cell r="W15">
            <v>12.559225</v>
          </cell>
          <cell r="X15">
            <v>12.559225</v>
          </cell>
          <cell r="Y15">
            <v>12.559225</v>
          </cell>
          <cell r="Z15">
            <v>12.559225</v>
          </cell>
          <cell r="AA15">
            <v>12.559225</v>
          </cell>
          <cell r="AB15">
            <v>12.559225</v>
          </cell>
          <cell r="AC15">
            <v>12.559225</v>
          </cell>
          <cell r="AD15">
            <v>12.559225</v>
          </cell>
          <cell r="AE15">
            <v>12.559225</v>
          </cell>
          <cell r="AF15">
            <v>12.559225</v>
          </cell>
          <cell r="AG15">
            <v>12.559225</v>
          </cell>
          <cell r="AH15">
            <v>12.559225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R15">
            <v>15.562704</v>
          </cell>
          <cell r="BS15">
            <v>16.561300000000003</v>
          </cell>
          <cell r="BT15">
            <v>17.559896000000002</v>
          </cell>
          <cell r="BU15">
            <v>18.558492000000001</v>
          </cell>
          <cell r="BV15">
            <v>21.990549999999999</v>
          </cell>
          <cell r="BW15">
            <v>21.990549999999999</v>
          </cell>
          <cell r="BX15">
            <v>21.990549999999999</v>
          </cell>
          <cell r="BY15">
            <v>21.990549999999999</v>
          </cell>
          <cell r="BZ15">
            <v>21.990549999999999</v>
          </cell>
          <cell r="CA15">
            <v>21.990549999999999</v>
          </cell>
          <cell r="CB15">
            <v>21.990549999999999</v>
          </cell>
          <cell r="CC15">
            <v>21.990549999999999</v>
          </cell>
          <cell r="CD15">
            <v>21.990549999999999</v>
          </cell>
          <cell r="CE15">
            <v>21.990549999999999</v>
          </cell>
          <cell r="CF15">
            <v>21.990549999999999</v>
          </cell>
          <cell r="CG15">
            <v>21.990549999999999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Z15" t="str">
            <v>660-Entity</v>
          </cell>
        </row>
      </sheetData>
      <sheetData sheetId="37">
        <row r="1">
          <cell r="B1" t="str">
            <v>44927FC 6+6Forecasted Census (Entry)</v>
          </cell>
          <cell r="C1" t="str">
            <v>44958FC 6+6Forecasted Census (Entry)</v>
          </cell>
          <cell r="D1" t="str">
            <v>44986FC 6+6Forecasted Census (Entry)</v>
          </cell>
          <cell r="E1" t="str">
            <v>45017FC 6+6Forecasted Census (Entry)</v>
          </cell>
          <cell r="F1" t="str">
            <v>45047FC 6+6Forecasted Census (Entry)</v>
          </cell>
          <cell r="G1" t="str">
            <v>45078FC 6+6Forecasted Census (Entry)</v>
          </cell>
          <cell r="H1" t="str">
            <v>45108FC 6+6Forecasted Census (Entry)</v>
          </cell>
          <cell r="I1" t="str">
            <v>45139FC 6+6Forecasted Census (Entry)</v>
          </cell>
          <cell r="J1" t="str">
            <v>45170FC 6+6Forecasted Census (Entry)</v>
          </cell>
          <cell r="K1" t="str">
            <v>45200FC 6+6Forecasted Census (Entry)</v>
          </cell>
          <cell r="L1" t="str">
            <v>45231FC 6+6Forecasted Census (Entry)</v>
          </cell>
          <cell r="M1" t="str">
            <v>45261FC 6+6Forecasted Census (Entry)</v>
          </cell>
          <cell r="N1" t="str">
            <v>44927FC 6+6# of Actual Available Units (Entry)</v>
          </cell>
          <cell r="O1" t="str">
            <v>44958FC 6+6# of Actual Available Units (Entry)</v>
          </cell>
          <cell r="P1" t="str">
            <v>44986FC 6+6# of Actual Available Units (Entry)</v>
          </cell>
          <cell r="Q1" t="str">
            <v>45017FC 6+6# of Actual Available Units (Entry)</v>
          </cell>
          <cell r="R1" t="str">
            <v>45047FC 6+6# of Actual Available Units (Entry)</v>
          </cell>
          <cell r="S1" t="str">
            <v>45078FC 6+6# of Actual Available Units (Entry)</v>
          </cell>
          <cell r="T1" t="str">
            <v>45108FC 6+6# of Actual Available Units (Entry)</v>
          </cell>
          <cell r="U1" t="str">
            <v>45139FC 6+6# of Actual Available Units (Entry)</v>
          </cell>
          <cell r="V1" t="str">
            <v>45170FC 6+6# of Actual Available Units (Entry)</v>
          </cell>
          <cell r="W1" t="str">
            <v>45200FC 6+6# of Actual Available Units (Entry)</v>
          </cell>
          <cell r="X1" t="str">
            <v>45231FC 6+6# of Actual Available Units (Entry)</v>
          </cell>
          <cell r="Y1" t="str">
            <v>45261FC 6+6# of Actual Available Units (Entry)</v>
          </cell>
          <cell r="AA1" t="str">
            <v>45292BudgetForecasted Census (Entry)</v>
          </cell>
          <cell r="AB1" t="str">
            <v>45323BudgetForecasted Census (Entry)</v>
          </cell>
          <cell r="AC1" t="str">
            <v>45352BudgetForecasted Census (Entry)</v>
          </cell>
          <cell r="AD1" t="str">
            <v>45383BudgetForecasted Census (Entry)</v>
          </cell>
          <cell r="AE1" t="str">
            <v>45413BudgetForecasted Census (Entry)</v>
          </cell>
          <cell r="AF1" t="str">
            <v>45444BudgetForecasted Census (Entry)</v>
          </cell>
          <cell r="AG1" t="str">
            <v>45474BudgetForecasted Census (Entry)</v>
          </cell>
          <cell r="AH1" t="str">
            <v>45505BudgetForecasted Census (Entry)</v>
          </cell>
          <cell r="AI1" t="str">
            <v>45536BudgetForecasted Census (Entry)</v>
          </cell>
          <cell r="AJ1" t="str">
            <v>45566BudgetForecasted Census (Entry)</v>
          </cell>
          <cell r="AK1" t="str">
            <v>45597BudgetForecasted Census (Entry)</v>
          </cell>
          <cell r="AL1" t="str">
            <v>45627BudgetForecasted Census (Entry)</v>
          </cell>
          <cell r="AM1" t="str">
            <v>45292Budget# of Actual Available Units (Entry)</v>
          </cell>
          <cell r="AN1" t="str">
            <v>45323Budget# of Actual Available Units (Entry)</v>
          </cell>
          <cell r="AO1" t="str">
            <v>45352Budget# of Actual Available Units (Entry)</v>
          </cell>
          <cell r="AP1" t="str">
            <v>45383Budget# of Actual Available Units (Entry)</v>
          </cell>
          <cell r="AQ1" t="str">
            <v>45413Budget# of Actual Available Units (Entry)</v>
          </cell>
          <cell r="AR1" t="str">
            <v>45444Budget# of Actual Available Units (Entry)</v>
          </cell>
          <cell r="AS1" t="str">
            <v>45474Budget# of Actual Available Units (Entry)</v>
          </cell>
          <cell r="AT1" t="str">
            <v>45505Budget# of Actual Available Units (Entry)</v>
          </cell>
          <cell r="AU1" t="str">
            <v>45536Budget# of Actual Available Units (Entry)</v>
          </cell>
          <cell r="AV1" t="str">
            <v>45566Budget# of Actual Available Units (Entry)</v>
          </cell>
          <cell r="AW1" t="str">
            <v>45597Budget# of Actual Available Units (Entry)</v>
          </cell>
          <cell r="AX1" t="str">
            <v>45627Budget# of Actual Available Units (Entry)</v>
          </cell>
          <cell r="GO1" t="str">
            <v>44927FC 6+6Total AL/IL Rental Units</v>
          </cell>
          <cell r="GP1" t="str">
            <v>44958FC 6+6Total AL/IL Rental Units</v>
          </cell>
          <cell r="GQ1" t="str">
            <v>44986FC 6+6Total AL/IL Rental Units</v>
          </cell>
          <cell r="GR1" t="str">
            <v>45017FC 6+6Total AL/IL Rental Units</v>
          </cell>
          <cell r="GS1" t="str">
            <v>45047FC 6+6Total AL/IL Rental Units</v>
          </cell>
          <cell r="GT1" t="str">
            <v>45078FC 6+6Total AL/IL Rental Units</v>
          </cell>
          <cell r="GU1" t="str">
            <v>45108FC 6+6Total AL/IL Rental Units</v>
          </cell>
          <cell r="GV1" t="str">
            <v>45139FC 6+6Total AL/IL Rental Units</v>
          </cell>
          <cell r="GW1" t="str">
            <v>45170FC 6+6Total AL/IL Rental Units</v>
          </cell>
          <cell r="GX1" t="str">
            <v>45200FC 6+6Total AL/IL Rental Units</v>
          </cell>
          <cell r="GY1" t="str">
            <v>45231FC 6+6Total AL/IL Rental Units</v>
          </cell>
          <cell r="GZ1" t="str">
            <v>45261FC 6+6Total AL/IL Rental Units</v>
          </cell>
          <cell r="MQ1" t="str">
            <v>45292BudgetTotal AL/IL Rental Units</v>
          </cell>
          <cell r="MR1" t="str">
            <v>45323BudgetTotal AL/IL Rental Units</v>
          </cell>
          <cell r="MS1" t="str">
            <v>45352BudgetTotal AL/IL Rental Units</v>
          </cell>
          <cell r="MT1" t="str">
            <v>45383BudgetTotal AL/IL Rental Units</v>
          </cell>
          <cell r="MU1" t="str">
            <v>45413BudgetTotal AL/IL Rental Units</v>
          </cell>
          <cell r="MV1" t="str">
            <v>45444BudgetTotal AL/IL Rental Units</v>
          </cell>
          <cell r="MW1" t="str">
            <v>45474BudgetTotal AL/IL Rental Units</v>
          </cell>
          <cell r="MX1" t="str">
            <v>45505BudgetTotal AL/IL Rental Units</v>
          </cell>
          <cell r="MY1" t="str">
            <v>45536BudgetTotal AL/IL Rental Units</v>
          </cell>
          <cell r="MZ1" t="str">
            <v>45566BudgetTotal AL/IL Rental Units</v>
          </cell>
          <cell r="NA1" t="str">
            <v>45597BudgetTotal AL/IL Rental Units</v>
          </cell>
          <cell r="NB1" t="str">
            <v>45627BudgetTotal AL/IL Rental Units</v>
          </cell>
        </row>
        <row r="6">
          <cell r="NI6" t="str">
            <v>x'OC-Fill'!$B$9:$NB$34</v>
          </cell>
        </row>
        <row r="7">
          <cell r="NI7" t="str">
            <v>x'OC-Fill'!$ND$9:$ND$34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ossfireHiddenWorksheet"/>
      <sheetName val="OfficeConnectCellHighlights"/>
      <sheetName val="Edit History"/>
      <sheetName val="Assumptions Summary"/>
      <sheetName val="AMV"/>
      <sheetName val="AMV Fill (2024)"/>
      <sheetName val="AS"/>
      <sheetName val="SH"/>
      <sheetName val="SH Fill (2024)"/>
      <sheetName val="BV"/>
      <sheetName val="CE"/>
      <sheetName val="RW"/>
      <sheetName val="NR"/>
      <sheetName val="APM"/>
      <sheetName val="APM AL MC (2024)"/>
      <sheetName val="APK"/>
      <sheetName val="APK Apts (2024)"/>
      <sheetName val="APK SNF Fill (2024)"/>
      <sheetName val="Pay Mix "/>
      <sheetName val="Qlik Pay Mix"/>
      <sheetName val="Pennsylvania MA "/>
      <sheetName val="Maryland MA"/>
      <sheetName val="Medicare A (Notes)"/>
      <sheetName val="Adaptive Uploads &gt;&gt;&gt;"/>
      <sheetName val="Rate Increase"/>
      <sheetName val="Census"/>
      <sheetName val="SNF Cube Rate"/>
      <sheetName val="SNF PP Rates"/>
      <sheetName val="SNF Cube %"/>
      <sheetName val="Available Unit"/>
      <sheetName val="HQ"/>
      <sheetName val="Repository"/>
      <sheetName val="OC-Main"/>
      <sheetName val="OC-SNF Rates"/>
      <sheetName val="OC-Summ"/>
      <sheetName val="OC-Raise"/>
      <sheetName val="OC-Days"/>
      <sheetName val="OC-SNF Fill"/>
      <sheetName val="OC-Fill"/>
      <sheetName val="QLK-AMV Rentals"/>
      <sheetName val="QLK-AMV Rentals Piv"/>
      <sheetName val="REF"/>
      <sheetName val="Notes"/>
      <sheetName val="AMV SNF Fill (2023)"/>
      <sheetName val="SH Apts Fill (2022)"/>
      <sheetName val="SH SNF Fill (2022)"/>
      <sheetName val="BV Apts Fill (2023)"/>
      <sheetName val="RW SNF Fill (2023)"/>
      <sheetName val="APM SNF Fill (2022)"/>
      <sheetName val="depre"/>
      <sheetName val="dep data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19">
          <cell r="B19">
            <v>2023</v>
          </cell>
        </row>
        <row r="20">
          <cell r="B20" t="str">
            <v>9+3</v>
          </cell>
        </row>
        <row r="21">
          <cell r="B21">
            <v>2024</v>
          </cell>
        </row>
      </sheetData>
      <sheetData sheetId="31"/>
      <sheetData sheetId="32">
        <row r="1">
          <cell r="B1" t="str">
            <v>2023BudgetForecasted Census (Entry)</v>
          </cell>
          <cell r="C1" t="str">
            <v>2023Budget# of Actual Available Units (Entry)</v>
          </cell>
          <cell r="D1" t="str">
            <v>2023BudgetForecasted Resident Days</v>
          </cell>
          <cell r="E1" t="str">
            <v>2023BudgetMaximum Resident Days</v>
          </cell>
          <cell r="F1" t="str">
            <v>2023BudgetForecasted Occ. % - Actual Available Units</v>
          </cell>
          <cell r="G1" t="str">
            <v>2023BudgetForecasted Occ. %  - Budget Available Units</v>
          </cell>
          <cell r="H1" t="str">
            <v>2023BudgetResident Rate Increase %</v>
          </cell>
          <cell r="I1" t="str">
            <v>2023BudgetOperating Ratio (New)</v>
          </cell>
          <cell r="J1" t="str">
            <v>2023BudgetSNF Census - Medicare A</v>
          </cell>
          <cell r="K1" t="str">
            <v>2023BudgetSNF Census - Medicare Advantage</v>
          </cell>
          <cell r="L1" t="str">
            <v>2023BudgetSNF Census - Medicaid</v>
          </cell>
          <cell r="M1" t="str">
            <v>2023BudgetSNF Census - Insurance</v>
          </cell>
          <cell r="N1" t="str">
            <v>2023BudgetSNF Census - Private Pay</v>
          </cell>
          <cell r="O1" t="str">
            <v>2023BudgetSNF Census - Hospice</v>
          </cell>
          <cell r="P1" t="str">
            <v>2023BudgetReimbursement Rate - Medicare A</v>
          </cell>
          <cell r="Q1" t="str">
            <v>2023BudgetReimbursement Rate - Medicare Advantage</v>
          </cell>
          <cell r="R1" t="str">
            <v>2023BudgetReimbursement Rate - Medicaid</v>
          </cell>
          <cell r="S1" t="str">
            <v>2023BudgetReimbursement Rate - Insurance</v>
          </cell>
          <cell r="T1" t="str">
            <v>2023BudgetReimbursement Rate - Private Pay</v>
          </cell>
          <cell r="U1" t="str">
            <v>2023BudgetReimbursement Rate - Hospice</v>
          </cell>
          <cell r="W1" t="str">
            <v>2023FC 9+3Forecasted Census (Entry)</v>
          </cell>
          <cell r="X1" t="str">
            <v>2023FC 9+3# of Actual Available Units (Entry)</v>
          </cell>
          <cell r="Y1" t="str">
            <v>2023FC 9+3Forecasted Resident Days</v>
          </cell>
          <cell r="Z1" t="str">
            <v>2023FC 9+3Maximum Resident Days</v>
          </cell>
          <cell r="AA1" t="str">
            <v>2023FC 9+3Forecasted Occ. % - Actual Available Units</v>
          </cell>
          <cell r="AB1" t="str">
            <v>2023FC 9+3Forecasted Occ. %  - Budget Available Units</v>
          </cell>
          <cell r="AC1" t="str">
            <v>2023FC 9+3Resident Rate Increase %</v>
          </cell>
          <cell r="AD1" t="str">
            <v>2023FC 9+3Operating Ratio (New)</v>
          </cell>
          <cell r="AE1" t="str">
            <v>2023FC 9+3SNF Census - Medicare A</v>
          </cell>
          <cell r="AF1" t="str">
            <v>2023FC 9+3SNF Census - Medicare Advantage</v>
          </cell>
          <cell r="AG1" t="str">
            <v>2023FC 9+3SNF Census - Medicaid</v>
          </cell>
          <cell r="AH1" t="str">
            <v>2023FC 9+3SNF Census - Insurance</v>
          </cell>
          <cell r="AI1" t="str">
            <v>2023FC 9+3SNF Census - Private Pay</v>
          </cell>
          <cell r="AJ1" t="str">
            <v>2023FC 9+3SNF Census - Hospice</v>
          </cell>
          <cell r="AK1" t="str">
            <v>2023FC 9+3Reimbursement Rate - Medicare A</v>
          </cell>
          <cell r="AL1" t="str">
            <v>2023FC 9+3Reimbursement Rate - Medicare Advantage</v>
          </cell>
          <cell r="AM1" t="str">
            <v>2023FC 9+3Reimbursement Rate - Medicaid</v>
          </cell>
          <cell r="AN1" t="str">
            <v>2023FC 9+3Reimbursement Rate - Insurance</v>
          </cell>
          <cell r="AO1" t="str">
            <v>2023FC 9+3Reimbursement Rate - Private Pay</v>
          </cell>
          <cell r="AP1" t="str">
            <v>2023FC 9+3Reimbursement Rate - Hospice</v>
          </cell>
          <cell r="AR1" t="str">
            <v>2024BudgetForecasted Census (Entry)</v>
          </cell>
          <cell r="AS1" t="str">
            <v>2024Budget# of Actual Available Units (Entry)</v>
          </cell>
          <cell r="AT1" t="str">
            <v>2024BudgetForecasted Resident Days</v>
          </cell>
          <cell r="AU1" t="str">
            <v>2024BudgetMaximum Resident Days</v>
          </cell>
          <cell r="AV1" t="str">
            <v>2024BudgetForecasted Occ. % - Actual Available Units</v>
          </cell>
          <cell r="AW1" t="str">
            <v>2024BudgetForecasted Occ. %  - Budget Available Units</v>
          </cell>
          <cell r="AX1" t="str">
            <v>2024BudgetResident Rate Increase %</v>
          </cell>
          <cell r="AY1" t="str">
            <v>2024BudgetOperating Ratio (New)</v>
          </cell>
          <cell r="AZ1" t="str">
            <v>2024BudgetSNF Census - Medicare A</v>
          </cell>
          <cell r="BA1" t="str">
            <v>2024BudgetSNF Census - Medicare Advantage</v>
          </cell>
          <cell r="BB1" t="str">
            <v>2024BudgetSNF Census - Medicaid</v>
          </cell>
          <cell r="BC1" t="str">
            <v>2024BudgetSNF Census - Insurance</v>
          </cell>
          <cell r="BD1" t="str">
            <v>2024BudgetSNF Census - Private Pay</v>
          </cell>
          <cell r="BE1" t="str">
            <v>2024BudgetSNF Census - Hospice</v>
          </cell>
          <cell r="BF1" t="str">
            <v>2024BudgetReimbursement Rate - Medicare A</v>
          </cell>
          <cell r="BG1" t="str">
            <v>2024BudgetReimbursement Rate - Medicare Advantage</v>
          </cell>
          <cell r="BH1" t="str">
            <v>2024BudgetReimbursement Rate - Medicaid</v>
          </cell>
          <cell r="BI1" t="str">
            <v>2024BudgetReimbursement Rate - Insurance</v>
          </cell>
          <cell r="BJ1" t="str">
            <v>2024BudgetReimbursement Rate - Private Pay</v>
          </cell>
          <cell r="BK1" t="str">
            <v>2024BudgetReimbursement Rate - Hospice</v>
          </cell>
          <cell r="DH1" t="str">
            <v>2023BudgetTotal AL/IL Second Persons</v>
          </cell>
          <cell r="FE1" t="str">
            <v>2023FC 9+3Total AL/IL Second Persons</v>
          </cell>
          <cell r="HB1" t="str">
            <v>2024BudgetTotal AL/IL Second Persons</v>
          </cell>
          <cell r="HQ1" t="str">
            <v>2023BudgetTotal AL/IL Rental Units</v>
          </cell>
          <cell r="IF1" t="str">
            <v>2023FC 9+3Total AL/IL Rental Units</v>
          </cell>
          <cell r="IU1" t="str">
            <v>2024BudgetTotal AL/IL Rental Units</v>
          </cell>
          <cell r="JG1" t="str">
            <v>2023Budget835/840-31 Alcove 2nd Person</v>
          </cell>
          <cell r="JH1" t="str">
            <v>2023Budget835/840-31 Apartment 2nd Person</v>
          </cell>
          <cell r="JI1" t="str">
            <v>2023Budget835/840-31 Alcove Units</v>
          </cell>
          <cell r="JJ1" t="str">
            <v>2023Budget835/840-31 Apartment Units</v>
          </cell>
          <cell r="JV1" t="str">
            <v>2023FC 9+3835/840-31 Alcove 2nd Person</v>
          </cell>
          <cell r="JW1" t="str">
            <v>2023FC 9+3835/840-31 Apartment 2nd Person</v>
          </cell>
          <cell r="JX1" t="str">
            <v>2023FC 9+3835/840-31 Alcove Units</v>
          </cell>
          <cell r="JY1" t="str">
            <v>2023FC 9+3835/840-31 Apartment Units</v>
          </cell>
          <cell r="KK1" t="str">
            <v>2024Budget835/840-31 Alcove 2nd Person</v>
          </cell>
          <cell r="KL1" t="str">
            <v>2024Budget835/840-31 Apartment 2nd Person</v>
          </cell>
          <cell r="KM1" t="str">
            <v>2024Budget835/840-31 Alcove Units</v>
          </cell>
          <cell r="KN1" t="str">
            <v>2024Budget835/840-31 Apartment Units</v>
          </cell>
          <cell r="KV1" t="str">
            <v>2023Budget650-21 Duplexes Units</v>
          </cell>
          <cell r="KW1" t="str">
            <v>2023Budget650-21 Original Units</v>
          </cell>
          <cell r="KX1" t="str">
            <v>2023Budget650-21 Townhomes Units</v>
          </cell>
          <cell r="LF1" t="str">
            <v>2023FC 9+3650-21 Duplexes Units</v>
          </cell>
          <cell r="LG1" t="str">
            <v>2023FC 9+3650-21 Original Units</v>
          </cell>
          <cell r="LH1" t="str">
            <v>2023FC 9+3650-21 Townhomes Units</v>
          </cell>
          <cell r="LP1" t="str">
            <v>2024Budget650-21 Duplexes Units</v>
          </cell>
          <cell r="LQ1" t="str">
            <v>2024Budget650-21 Original Units</v>
          </cell>
          <cell r="LR1" t="str">
            <v>2024Budget650-21 Townhomes Units</v>
          </cell>
        </row>
        <row r="9">
          <cell r="B9">
            <v>72.8</v>
          </cell>
          <cell r="C9">
            <v>74</v>
          </cell>
          <cell r="D9">
            <v>26571.999999999996</v>
          </cell>
          <cell r="E9">
            <v>27010</v>
          </cell>
          <cell r="F9">
            <v>0.98378378378378362</v>
          </cell>
          <cell r="G9">
            <v>0.98378378378378362</v>
          </cell>
          <cell r="H9">
            <v>0.05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W9">
            <v>71.939520023775913</v>
          </cell>
          <cell r="X9">
            <v>73.750501523144365</v>
          </cell>
          <cell r="Y9">
            <v>26258</v>
          </cell>
          <cell r="Z9">
            <v>26918</v>
          </cell>
          <cell r="AA9">
            <v>0.97548109071996436</v>
          </cell>
          <cell r="AB9">
            <v>0.97215845982969284</v>
          </cell>
          <cell r="AC9">
            <v>0.05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R9">
            <v>72</v>
          </cell>
          <cell r="AS9">
            <v>73</v>
          </cell>
          <cell r="AT9">
            <v>26352</v>
          </cell>
          <cell r="AU9">
            <v>26718</v>
          </cell>
          <cell r="AV9">
            <v>0.98630136986301364</v>
          </cell>
          <cell r="AW9">
            <v>0.98630136986301364</v>
          </cell>
          <cell r="AX9">
            <v>3.8999999999999993E-2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H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U9">
            <v>0</v>
          </cell>
          <cell r="EV9">
            <v>0</v>
          </cell>
          <cell r="EW9">
            <v>0</v>
          </cell>
          <cell r="EX9">
            <v>0</v>
          </cell>
          <cell r="EY9">
            <v>0</v>
          </cell>
          <cell r="EZ9">
            <v>0</v>
          </cell>
          <cell r="FA9">
            <v>0</v>
          </cell>
          <cell r="FB9">
            <v>0</v>
          </cell>
          <cell r="FC9">
            <v>0</v>
          </cell>
          <cell r="FE9">
            <v>0</v>
          </cell>
          <cell r="FG9">
            <v>0</v>
          </cell>
          <cell r="FH9">
            <v>0</v>
          </cell>
          <cell r="FI9">
            <v>0</v>
          </cell>
          <cell r="FJ9">
            <v>0</v>
          </cell>
          <cell r="FK9">
            <v>0</v>
          </cell>
          <cell r="FL9">
            <v>0</v>
          </cell>
          <cell r="FM9">
            <v>0</v>
          </cell>
          <cell r="FN9">
            <v>0</v>
          </cell>
          <cell r="FO9">
            <v>0</v>
          </cell>
          <cell r="FP9">
            <v>0</v>
          </cell>
          <cell r="FQ9">
            <v>0</v>
          </cell>
          <cell r="FR9">
            <v>0</v>
          </cell>
          <cell r="FS9">
            <v>0</v>
          </cell>
          <cell r="FT9">
            <v>0</v>
          </cell>
          <cell r="FU9">
            <v>0</v>
          </cell>
          <cell r="FV9">
            <v>0</v>
          </cell>
          <cell r="FW9">
            <v>0</v>
          </cell>
          <cell r="FX9">
            <v>0</v>
          </cell>
          <cell r="FY9">
            <v>0</v>
          </cell>
          <cell r="FZ9">
            <v>0</v>
          </cell>
          <cell r="GA9">
            <v>0</v>
          </cell>
          <cell r="GB9">
            <v>0</v>
          </cell>
          <cell r="GC9">
            <v>0</v>
          </cell>
          <cell r="GD9">
            <v>0</v>
          </cell>
          <cell r="GE9">
            <v>0</v>
          </cell>
          <cell r="GF9">
            <v>0</v>
          </cell>
          <cell r="GG9">
            <v>0</v>
          </cell>
          <cell r="GH9">
            <v>0</v>
          </cell>
          <cell r="GI9">
            <v>0</v>
          </cell>
          <cell r="GJ9">
            <v>0</v>
          </cell>
          <cell r="GK9">
            <v>0</v>
          </cell>
          <cell r="GL9">
            <v>0</v>
          </cell>
          <cell r="GM9">
            <v>0</v>
          </cell>
          <cell r="GN9">
            <v>0</v>
          </cell>
          <cell r="GO9">
            <v>0</v>
          </cell>
          <cell r="GP9">
            <v>0</v>
          </cell>
          <cell r="GQ9">
            <v>0</v>
          </cell>
          <cell r="GR9">
            <v>0</v>
          </cell>
          <cell r="GS9">
            <v>0</v>
          </cell>
          <cell r="GT9">
            <v>0</v>
          </cell>
          <cell r="GU9">
            <v>0</v>
          </cell>
          <cell r="GV9">
            <v>2</v>
          </cell>
          <cell r="GW9">
            <v>0</v>
          </cell>
          <cell r="GX9">
            <v>0</v>
          </cell>
          <cell r="GY9">
            <v>0</v>
          </cell>
          <cell r="GZ9">
            <v>0</v>
          </cell>
          <cell r="HB9">
            <v>2</v>
          </cell>
          <cell r="HD9">
            <v>0</v>
          </cell>
          <cell r="HE9">
            <v>0</v>
          </cell>
          <cell r="HF9">
            <v>0</v>
          </cell>
          <cell r="HG9">
            <v>0</v>
          </cell>
          <cell r="HH9">
            <v>0</v>
          </cell>
          <cell r="HI9">
            <v>0</v>
          </cell>
          <cell r="HJ9">
            <v>0</v>
          </cell>
          <cell r="HK9">
            <v>0</v>
          </cell>
          <cell r="HL9">
            <v>0</v>
          </cell>
          <cell r="HM9">
            <v>0</v>
          </cell>
          <cell r="HN9">
            <v>0</v>
          </cell>
          <cell r="HO9">
            <v>0</v>
          </cell>
          <cell r="HQ9">
            <v>0</v>
          </cell>
          <cell r="HS9">
            <v>0</v>
          </cell>
          <cell r="HT9">
            <v>0</v>
          </cell>
          <cell r="HU9">
            <v>0</v>
          </cell>
          <cell r="HV9">
            <v>0</v>
          </cell>
          <cell r="HW9">
            <v>0</v>
          </cell>
          <cell r="HX9">
            <v>0</v>
          </cell>
          <cell r="HY9">
            <v>0</v>
          </cell>
          <cell r="HZ9">
            <v>0</v>
          </cell>
          <cell r="IA9">
            <v>0</v>
          </cell>
          <cell r="IB9">
            <v>0</v>
          </cell>
          <cell r="IC9">
            <v>0</v>
          </cell>
          <cell r="ID9">
            <v>0</v>
          </cell>
          <cell r="IF9">
            <v>0</v>
          </cell>
          <cell r="IH9">
            <v>0</v>
          </cell>
          <cell r="II9">
            <v>0</v>
          </cell>
          <cell r="IJ9">
            <v>0</v>
          </cell>
          <cell r="IK9">
            <v>0</v>
          </cell>
          <cell r="IL9">
            <v>0</v>
          </cell>
          <cell r="IM9">
            <v>0</v>
          </cell>
          <cell r="IN9">
            <v>0</v>
          </cell>
          <cell r="IO9">
            <v>0</v>
          </cell>
          <cell r="IP9">
            <v>0</v>
          </cell>
          <cell r="IQ9">
            <v>0</v>
          </cell>
          <cell r="IR9">
            <v>0</v>
          </cell>
          <cell r="IS9">
            <v>0</v>
          </cell>
          <cell r="IU9">
            <v>0</v>
          </cell>
          <cell r="IW9">
            <v>0</v>
          </cell>
          <cell r="IX9">
            <v>0</v>
          </cell>
          <cell r="IY9">
            <v>0</v>
          </cell>
          <cell r="IZ9">
            <v>0</v>
          </cell>
          <cell r="JB9">
            <v>0</v>
          </cell>
          <cell r="JC9">
            <v>0</v>
          </cell>
          <cell r="JD9">
            <v>0</v>
          </cell>
          <cell r="JE9">
            <v>0</v>
          </cell>
          <cell r="JG9">
            <v>0</v>
          </cell>
          <cell r="JH9">
            <v>0</v>
          </cell>
          <cell r="JI9">
            <v>0</v>
          </cell>
          <cell r="JJ9">
            <v>0</v>
          </cell>
          <cell r="JL9">
            <v>0</v>
          </cell>
          <cell r="JM9">
            <v>0</v>
          </cell>
          <cell r="JN9">
            <v>0</v>
          </cell>
          <cell r="JO9">
            <v>0</v>
          </cell>
          <cell r="JQ9">
            <v>0</v>
          </cell>
          <cell r="JR9">
            <v>0</v>
          </cell>
          <cell r="JS9">
            <v>0</v>
          </cell>
          <cell r="JT9">
            <v>0</v>
          </cell>
          <cell r="JV9">
            <v>0</v>
          </cell>
          <cell r="JW9">
            <v>0</v>
          </cell>
          <cell r="JX9">
            <v>0</v>
          </cell>
          <cell r="JY9">
            <v>0</v>
          </cell>
          <cell r="KA9">
            <v>0</v>
          </cell>
          <cell r="KB9">
            <v>0</v>
          </cell>
          <cell r="KC9">
            <v>0</v>
          </cell>
          <cell r="KD9">
            <v>0</v>
          </cell>
          <cell r="KF9">
            <v>0</v>
          </cell>
          <cell r="KG9">
            <v>0</v>
          </cell>
          <cell r="KH9">
            <v>0</v>
          </cell>
          <cell r="KI9">
            <v>0</v>
          </cell>
          <cell r="KK9">
            <v>0</v>
          </cell>
          <cell r="KL9">
            <v>0</v>
          </cell>
          <cell r="KM9">
            <v>0</v>
          </cell>
          <cell r="KN9">
            <v>0</v>
          </cell>
          <cell r="KP9">
            <v>0</v>
          </cell>
          <cell r="KQ9">
            <v>0</v>
          </cell>
          <cell r="KR9">
            <v>0</v>
          </cell>
          <cell r="KT9">
            <v>0</v>
          </cell>
          <cell r="KV9">
            <v>0</v>
          </cell>
          <cell r="KW9">
            <v>0</v>
          </cell>
          <cell r="KX9">
            <v>0</v>
          </cell>
          <cell r="KZ9">
            <v>0</v>
          </cell>
          <cell r="LA9">
            <v>0</v>
          </cell>
          <cell r="LB9">
            <v>0</v>
          </cell>
          <cell r="LD9">
            <v>0</v>
          </cell>
          <cell r="LF9">
            <v>0</v>
          </cell>
          <cell r="LG9">
            <v>0</v>
          </cell>
          <cell r="LH9">
            <v>0</v>
          </cell>
          <cell r="LJ9">
            <v>0</v>
          </cell>
          <cell r="LK9">
            <v>0</v>
          </cell>
          <cell r="LL9">
            <v>0</v>
          </cell>
          <cell r="LN9">
            <v>0</v>
          </cell>
          <cell r="LP9">
            <v>0</v>
          </cell>
          <cell r="LQ9">
            <v>0</v>
          </cell>
          <cell r="LR9">
            <v>0</v>
          </cell>
          <cell r="LT9" t="str">
            <v>100-21</v>
          </cell>
        </row>
        <row r="10">
          <cell r="B10">
            <v>42.139999999999993</v>
          </cell>
          <cell r="C10">
            <v>43</v>
          </cell>
          <cell r="D10">
            <v>15381.100000000002</v>
          </cell>
          <cell r="E10">
            <v>15695</v>
          </cell>
          <cell r="F10">
            <v>0.98</v>
          </cell>
          <cell r="G10">
            <v>0.98</v>
          </cell>
          <cell r="H10">
            <v>0.05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W10">
            <v>41.605479452054794</v>
          </cell>
          <cell r="X10">
            <v>43</v>
          </cell>
          <cell r="Y10">
            <v>15186</v>
          </cell>
          <cell r="Z10">
            <v>15695</v>
          </cell>
          <cell r="AA10">
            <v>0.96756928958266963</v>
          </cell>
          <cell r="AB10">
            <v>0.96756928958266963</v>
          </cell>
          <cell r="AC10">
            <v>0.05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R10">
            <v>42</v>
          </cell>
          <cell r="AS10">
            <v>43</v>
          </cell>
          <cell r="AT10">
            <v>15372</v>
          </cell>
          <cell r="AU10">
            <v>15738</v>
          </cell>
          <cell r="AV10">
            <v>0.97674418604651159</v>
          </cell>
          <cell r="AW10">
            <v>0.97674418604651159</v>
          </cell>
          <cell r="AX10">
            <v>3.8999999999999993E-2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H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E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0</v>
          </cell>
          <cell r="FM10">
            <v>0</v>
          </cell>
          <cell r="FN10">
            <v>0</v>
          </cell>
          <cell r="FO10">
            <v>0</v>
          </cell>
          <cell r="FP10">
            <v>0</v>
          </cell>
          <cell r="FQ10">
            <v>0</v>
          </cell>
          <cell r="FR10">
            <v>0</v>
          </cell>
          <cell r="FS10">
            <v>0</v>
          </cell>
          <cell r="FT10">
            <v>0</v>
          </cell>
          <cell r="FU10">
            <v>0</v>
          </cell>
          <cell r="FV10">
            <v>0</v>
          </cell>
          <cell r="FW10">
            <v>0</v>
          </cell>
          <cell r="FX10">
            <v>0</v>
          </cell>
          <cell r="FY10">
            <v>0</v>
          </cell>
          <cell r="FZ10">
            <v>0</v>
          </cell>
          <cell r="GA10">
            <v>0</v>
          </cell>
          <cell r="GB10">
            <v>0</v>
          </cell>
          <cell r="GC10">
            <v>0</v>
          </cell>
          <cell r="GD10">
            <v>0</v>
          </cell>
          <cell r="GE10">
            <v>0</v>
          </cell>
          <cell r="GF10">
            <v>0</v>
          </cell>
          <cell r="GG10">
            <v>0</v>
          </cell>
          <cell r="GH10">
            <v>0</v>
          </cell>
          <cell r="GI10">
            <v>0</v>
          </cell>
          <cell r="GJ10">
            <v>0</v>
          </cell>
          <cell r="GK10">
            <v>0</v>
          </cell>
          <cell r="GL10">
            <v>0</v>
          </cell>
          <cell r="GM10">
            <v>0</v>
          </cell>
          <cell r="GN10">
            <v>0</v>
          </cell>
          <cell r="GO10">
            <v>0</v>
          </cell>
          <cell r="GP10">
            <v>0</v>
          </cell>
          <cell r="GQ10">
            <v>0</v>
          </cell>
          <cell r="GR10">
            <v>0</v>
          </cell>
          <cell r="GS10">
            <v>0</v>
          </cell>
          <cell r="GT10">
            <v>0</v>
          </cell>
          <cell r="GU10">
            <v>1</v>
          </cell>
          <cell r="GV10">
            <v>0</v>
          </cell>
          <cell r="GW10">
            <v>0</v>
          </cell>
          <cell r="GX10">
            <v>0</v>
          </cell>
          <cell r="GY10">
            <v>0</v>
          </cell>
          <cell r="GZ10">
            <v>0</v>
          </cell>
          <cell r="HB10">
            <v>1</v>
          </cell>
          <cell r="HD10">
            <v>0</v>
          </cell>
          <cell r="HE10">
            <v>0</v>
          </cell>
          <cell r="HF10">
            <v>0</v>
          </cell>
          <cell r="HG10">
            <v>0</v>
          </cell>
          <cell r="HH10">
            <v>0</v>
          </cell>
          <cell r="HI10">
            <v>0</v>
          </cell>
          <cell r="HJ10">
            <v>0</v>
          </cell>
          <cell r="HK10">
            <v>0</v>
          </cell>
          <cell r="HL10">
            <v>0</v>
          </cell>
          <cell r="HM10">
            <v>0</v>
          </cell>
          <cell r="HN10">
            <v>0</v>
          </cell>
          <cell r="HO10">
            <v>0</v>
          </cell>
          <cell r="HQ10">
            <v>0</v>
          </cell>
          <cell r="HS10">
            <v>0</v>
          </cell>
          <cell r="HT10">
            <v>0</v>
          </cell>
          <cell r="HU10">
            <v>0</v>
          </cell>
          <cell r="HV10">
            <v>0</v>
          </cell>
          <cell r="HW10">
            <v>0</v>
          </cell>
          <cell r="HX10">
            <v>0</v>
          </cell>
          <cell r="HY10">
            <v>0</v>
          </cell>
          <cell r="HZ10">
            <v>0</v>
          </cell>
          <cell r="IA10">
            <v>0</v>
          </cell>
          <cell r="IB10">
            <v>0</v>
          </cell>
          <cell r="IC10">
            <v>0</v>
          </cell>
          <cell r="ID10">
            <v>0</v>
          </cell>
          <cell r="IF10">
            <v>0</v>
          </cell>
          <cell r="IH10">
            <v>0</v>
          </cell>
          <cell r="II10">
            <v>0</v>
          </cell>
          <cell r="IJ10">
            <v>0</v>
          </cell>
          <cell r="IK10">
            <v>0</v>
          </cell>
          <cell r="IL10">
            <v>0</v>
          </cell>
          <cell r="IM10">
            <v>0</v>
          </cell>
          <cell r="IN10">
            <v>0</v>
          </cell>
          <cell r="IO10">
            <v>0</v>
          </cell>
          <cell r="IP10">
            <v>0</v>
          </cell>
          <cell r="IQ10">
            <v>0</v>
          </cell>
          <cell r="IR10">
            <v>0</v>
          </cell>
          <cell r="IS10">
            <v>0</v>
          </cell>
          <cell r="IU10">
            <v>0</v>
          </cell>
          <cell r="IW10">
            <v>0</v>
          </cell>
          <cell r="IX10">
            <v>0</v>
          </cell>
          <cell r="IY10">
            <v>0</v>
          </cell>
          <cell r="IZ10">
            <v>0</v>
          </cell>
          <cell r="JB10">
            <v>0</v>
          </cell>
          <cell r="JC10">
            <v>0</v>
          </cell>
          <cell r="JD10">
            <v>0</v>
          </cell>
          <cell r="JE10">
            <v>0</v>
          </cell>
          <cell r="JG10">
            <v>0</v>
          </cell>
          <cell r="JH10">
            <v>0</v>
          </cell>
          <cell r="JI10">
            <v>0</v>
          </cell>
          <cell r="JJ10">
            <v>0</v>
          </cell>
          <cell r="JL10">
            <v>0</v>
          </cell>
          <cell r="JM10">
            <v>0</v>
          </cell>
          <cell r="JN10">
            <v>0</v>
          </cell>
          <cell r="JO10">
            <v>0</v>
          </cell>
          <cell r="JQ10">
            <v>0</v>
          </cell>
          <cell r="JR10">
            <v>0</v>
          </cell>
          <cell r="JS10">
            <v>0</v>
          </cell>
          <cell r="JT10">
            <v>0</v>
          </cell>
          <cell r="JV10">
            <v>0</v>
          </cell>
          <cell r="JW10">
            <v>0</v>
          </cell>
          <cell r="JX10">
            <v>0</v>
          </cell>
          <cell r="JY10">
            <v>0</v>
          </cell>
          <cell r="KA10">
            <v>0</v>
          </cell>
          <cell r="KB10">
            <v>0</v>
          </cell>
          <cell r="KC10">
            <v>0</v>
          </cell>
          <cell r="KD10">
            <v>0</v>
          </cell>
          <cell r="KF10">
            <v>0</v>
          </cell>
          <cell r="KG10">
            <v>0</v>
          </cell>
          <cell r="KH10">
            <v>0</v>
          </cell>
          <cell r="KI10">
            <v>0</v>
          </cell>
          <cell r="KK10">
            <v>0</v>
          </cell>
          <cell r="KL10">
            <v>0</v>
          </cell>
          <cell r="KM10">
            <v>0</v>
          </cell>
          <cell r="KN10">
            <v>0</v>
          </cell>
          <cell r="KP10">
            <v>0</v>
          </cell>
          <cell r="KQ10">
            <v>0</v>
          </cell>
          <cell r="KR10">
            <v>0</v>
          </cell>
          <cell r="KT10">
            <v>0</v>
          </cell>
          <cell r="KV10">
            <v>0</v>
          </cell>
          <cell r="KW10">
            <v>0</v>
          </cell>
          <cell r="KX10">
            <v>0</v>
          </cell>
          <cell r="KZ10">
            <v>0</v>
          </cell>
          <cell r="LA10">
            <v>0</v>
          </cell>
          <cell r="LB10">
            <v>0</v>
          </cell>
          <cell r="LD10">
            <v>0</v>
          </cell>
          <cell r="LF10">
            <v>0</v>
          </cell>
          <cell r="LG10">
            <v>0</v>
          </cell>
          <cell r="LH10">
            <v>0</v>
          </cell>
          <cell r="LJ10">
            <v>0</v>
          </cell>
          <cell r="LK10">
            <v>0</v>
          </cell>
          <cell r="LL10">
            <v>0</v>
          </cell>
          <cell r="LN10">
            <v>0</v>
          </cell>
          <cell r="LP10">
            <v>0</v>
          </cell>
          <cell r="LQ10">
            <v>0</v>
          </cell>
          <cell r="LR10">
            <v>0</v>
          </cell>
          <cell r="LT10" t="str">
            <v>100-22</v>
          </cell>
        </row>
        <row r="11">
          <cell r="B11">
            <v>77.010958904109586</v>
          </cell>
          <cell r="C11">
            <v>109</v>
          </cell>
          <cell r="D11">
            <v>28109</v>
          </cell>
          <cell r="E11">
            <v>39785</v>
          </cell>
          <cell r="F11">
            <v>0.70652255875329895</v>
          </cell>
          <cell r="G11">
            <v>0.70652255875329895</v>
          </cell>
          <cell r="H11">
            <v>0.05</v>
          </cell>
          <cell r="I11">
            <v>5.3725422127731512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W11">
            <v>69.38082191780822</v>
          </cell>
          <cell r="X11">
            <v>109</v>
          </cell>
          <cell r="Y11">
            <v>25324</v>
          </cell>
          <cell r="Z11">
            <v>39785</v>
          </cell>
          <cell r="AA11">
            <v>0.63652130199824053</v>
          </cell>
          <cell r="AB11">
            <v>0.63652130199824053</v>
          </cell>
          <cell r="AC11">
            <v>0.05</v>
          </cell>
          <cell r="AD11">
            <v>5.7438970415089194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R11">
            <v>72.598360655737707</v>
          </cell>
          <cell r="AS11">
            <v>109</v>
          </cell>
          <cell r="AT11">
            <v>26571</v>
          </cell>
          <cell r="AU11">
            <v>39894</v>
          </cell>
          <cell r="AV11">
            <v>0.66604000601594227</v>
          </cell>
          <cell r="AW11">
            <v>0.66604000601594227</v>
          </cell>
          <cell r="AX11">
            <v>3.8999999999999993E-2</v>
          </cell>
          <cell r="AY11">
            <v>4.9707897784248551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9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H11">
            <v>9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9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E11">
            <v>9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GE11">
            <v>0</v>
          </cell>
          <cell r="GF11">
            <v>0</v>
          </cell>
          <cell r="GG11">
            <v>0</v>
          </cell>
          <cell r="GH11">
            <v>0</v>
          </cell>
          <cell r="GI11">
            <v>0</v>
          </cell>
          <cell r="GJ11">
            <v>0</v>
          </cell>
          <cell r="GK11">
            <v>0</v>
          </cell>
          <cell r="GL11">
            <v>0</v>
          </cell>
          <cell r="GM11">
            <v>0</v>
          </cell>
          <cell r="GN11">
            <v>0</v>
          </cell>
          <cell r="GO11">
            <v>9</v>
          </cell>
          <cell r="GP11">
            <v>0</v>
          </cell>
          <cell r="GQ11">
            <v>0</v>
          </cell>
          <cell r="GR11">
            <v>0</v>
          </cell>
          <cell r="GS11">
            <v>0</v>
          </cell>
          <cell r="GT11">
            <v>0</v>
          </cell>
          <cell r="GU11">
            <v>0</v>
          </cell>
          <cell r="GV11">
            <v>0</v>
          </cell>
          <cell r="GW11">
            <v>0</v>
          </cell>
          <cell r="GX11">
            <v>0</v>
          </cell>
          <cell r="GY11">
            <v>0</v>
          </cell>
          <cell r="GZ11">
            <v>0</v>
          </cell>
          <cell r="HB11">
            <v>9</v>
          </cell>
          <cell r="HD11">
            <v>2</v>
          </cell>
          <cell r="HE11">
            <v>4</v>
          </cell>
          <cell r="HF11">
            <v>3</v>
          </cell>
          <cell r="HG11">
            <v>0</v>
          </cell>
          <cell r="HH11">
            <v>0</v>
          </cell>
          <cell r="HI11">
            <v>0</v>
          </cell>
          <cell r="HJ11">
            <v>0</v>
          </cell>
          <cell r="HK11">
            <v>0</v>
          </cell>
          <cell r="HL11">
            <v>0</v>
          </cell>
          <cell r="HM11">
            <v>0</v>
          </cell>
          <cell r="HN11">
            <v>0</v>
          </cell>
          <cell r="HO11">
            <v>0</v>
          </cell>
          <cell r="HQ11">
            <v>9</v>
          </cell>
          <cell r="HS11">
            <v>2</v>
          </cell>
          <cell r="HT11">
            <v>4</v>
          </cell>
          <cell r="HU11">
            <v>3</v>
          </cell>
          <cell r="HV11">
            <v>0</v>
          </cell>
          <cell r="HW11">
            <v>0</v>
          </cell>
          <cell r="HX11">
            <v>0</v>
          </cell>
          <cell r="HY11">
            <v>0</v>
          </cell>
          <cell r="HZ11">
            <v>0</v>
          </cell>
          <cell r="IA11">
            <v>0</v>
          </cell>
          <cell r="IB11">
            <v>0</v>
          </cell>
          <cell r="IC11">
            <v>0</v>
          </cell>
          <cell r="ID11">
            <v>0</v>
          </cell>
          <cell r="IF11">
            <v>9</v>
          </cell>
          <cell r="IH11">
            <v>2</v>
          </cell>
          <cell r="II11">
            <v>4</v>
          </cell>
          <cell r="IJ11">
            <v>3</v>
          </cell>
          <cell r="IK11">
            <v>0</v>
          </cell>
          <cell r="IL11">
            <v>0</v>
          </cell>
          <cell r="IM11">
            <v>0</v>
          </cell>
          <cell r="IN11">
            <v>0</v>
          </cell>
          <cell r="IO11">
            <v>0</v>
          </cell>
          <cell r="IP11">
            <v>0</v>
          </cell>
          <cell r="IQ11">
            <v>0</v>
          </cell>
          <cell r="IR11">
            <v>0</v>
          </cell>
          <cell r="IS11">
            <v>0</v>
          </cell>
          <cell r="IU11">
            <v>9</v>
          </cell>
          <cell r="IW11">
            <v>0</v>
          </cell>
          <cell r="IX11">
            <v>0</v>
          </cell>
          <cell r="IY11">
            <v>0</v>
          </cell>
          <cell r="IZ11">
            <v>0</v>
          </cell>
          <cell r="JB11">
            <v>0</v>
          </cell>
          <cell r="JC11">
            <v>0</v>
          </cell>
          <cell r="JD11">
            <v>0</v>
          </cell>
          <cell r="JE11">
            <v>0</v>
          </cell>
          <cell r="JG11">
            <v>0</v>
          </cell>
          <cell r="JH11">
            <v>0</v>
          </cell>
          <cell r="JI11">
            <v>0</v>
          </cell>
          <cell r="JJ11">
            <v>0</v>
          </cell>
          <cell r="JL11">
            <v>0</v>
          </cell>
          <cell r="JM11">
            <v>0</v>
          </cell>
          <cell r="JN11">
            <v>0</v>
          </cell>
          <cell r="JO11">
            <v>0</v>
          </cell>
          <cell r="JQ11">
            <v>0</v>
          </cell>
          <cell r="JR11">
            <v>0</v>
          </cell>
          <cell r="JS11">
            <v>0</v>
          </cell>
          <cell r="JT11">
            <v>0</v>
          </cell>
          <cell r="JV11">
            <v>0</v>
          </cell>
          <cell r="JW11">
            <v>0</v>
          </cell>
          <cell r="JX11">
            <v>0</v>
          </cell>
          <cell r="JY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F11">
            <v>0</v>
          </cell>
          <cell r="KG11">
            <v>0</v>
          </cell>
          <cell r="KH11">
            <v>0</v>
          </cell>
          <cell r="KI11">
            <v>0</v>
          </cell>
          <cell r="KK11">
            <v>0</v>
          </cell>
          <cell r="KL11">
            <v>0</v>
          </cell>
          <cell r="KM11">
            <v>0</v>
          </cell>
          <cell r="KN11">
            <v>0</v>
          </cell>
          <cell r="KP11">
            <v>0</v>
          </cell>
          <cell r="KQ11">
            <v>0</v>
          </cell>
          <cell r="KR11">
            <v>0</v>
          </cell>
          <cell r="KT11">
            <v>0</v>
          </cell>
          <cell r="KV11">
            <v>0</v>
          </cell>
          <cell r="KW11">
            <v>0</v>
          </cell>
          <cell r="KX11">
            <v>0</v>
          </cell>
          <cell r="KZ11">
            <v>0</v>
          </cell>
          <cell r="LA11">
            <v>0</v>
          </cell>
          <cell r="LB11">
            <v>0</v>
          </cell>
          <cell r="LD11">
            <v>0</v>
          </cell>
          <cell r="LF11">
            <v>0</v>
          </cell>
          <cell r="LG11">
            <v>0</v>
          </cell>
          <cell r="LH11">
            <v>0</v>
          </cell>
          <cell r="LJ11">
            <v>0</v>
          </cell>
          <cell r="LK11">
            <v>0</v>
          </cell>
          <cell r="LL11">
            <v>0</v>
          </cell>
          <cell r="LN11">
            <v>0</v>
          </cell>
          <cell r="LP11">
            <v>0</v>
          </cell>
          <cell r="LQ11">
            <v>0</v>
          </cell>
          <cell r="LR11">
            <v>0</v>
          </cell>
          <cell r="LT11" t="str">
            <v>100-31</v>
          </cell>
        </row>
        <row r="12">
          <cell r="B12">
            <v>168.31095890410958</v>
          </cell>
          <cell r="C12">
            <v>184</v>
          </cell>
          <cell r="D12">
            <v>61433.5</v>
          </cell>
          <cell r="E12">
            <v>67160</v>
          </cell>
          <cell r="F12">
            <v>0.9147334723049434</v>
          </cell>
          <cell r="G12">
            <v>0.9147334723049434</v>
          </cell>
          <cell r="H12">
            <v>0.05</v>
          </cell>
          <cell r="I12">
            <v>0.32616643504356596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W12">
            <v>160.88356164383561</v>
          </cell>
          <cell r="X12">
            <v>184</v>
          </cell>
          <cell r="Y12">
            <v>58722.5</v>
          </cell>
          <cell r="Z12">
            <v>67160</v>
          </cell>
          <cell r="AA12">
            <v>0.87436718284693271</v>
          </cell>
          <cell r="AB12">
            <v>0.87436718284693271</v>
          </cell>
          <cell r="AC12">
            <v>0.05</v>
          </cell>
          <cell r="AD12">
            <v>0.32554165729243617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R12">
            <v>166</v>
          </cell>
          <cell r="AS12">
            <v>184</v>
          </cell>
          <cell r="AT12">
            <v>60756</v>
          </cell>
          <cell r="AU12">
            <v>67344</v>
          </cell>
          <cell r="AV12">
            <v>0.90217391304347838</v>
          </cell>
          <cell r="AW12">
            <v>0.90217391304347838</v>
          </cell>
          <cell r="AX12">
            <v>3.8999999999999993E-2</v>
          </cell>
          <cell r="AY12">
            <v>0.3275183176555187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32.000000000000007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H12">
            <v>32.000000000000007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32.000000000000007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E12">
            <v>32.000000000000007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32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GE12">
            <v>0</v>
          </cell>
          <cell r="GF12">
            <v>0</v>
          </cell>
          <cell r="GG12">
            <v>0</v>
          </cell>
          <cell r="GH12">
            <v>0</v>
          </cell>
          <cell r="GI12">
            <v>0</v>
          </cell>
          <cell r="GJ12">
            <v>0</v>
          </cell>
          <cell r="GK12">
            <v>0</v>
          </cell>
          <cell r="GL12">
            <v>0</v>
          </cell>
          <cell r="GM12">
            <v>0</v>
          </cell>
          <cell r="GN12">
            <v>0</v>
          </cell>
          <cell r="GO12">
            <v>0</v>
          </cell>
          <cell r="GP12">
            <v>0</v>
          </cell>
          <cell r="GQ12">
            <v>0</v>
          </cell>
          <cell r="GR12">
            <v>0</v>
          </cell>
          <cell r="GS12">
            <v>0</v>
          </cell>
          <cell r="GT12">
            <v>0</v>
          </cell>
          <cell r="GU12">
            <v>0</v>
          </cell>
          <cell r="GV12">
            <v>0</v>
          </cell>
          <cell r="GW12">
            <v>0</v>
          </cell>
          <cell r="GX12">
            <v>0</v>
          </cell>
          <cell r="GY12">
            <v>0</v>
          </cell>
          <cell r="GZ12">
            <v>0</v>
          </cell>
          <cell r="HB12">
            <v>32</v>
          </cell>
          <cell r="HD12">
            <v>0</v>
          </cell>
          <cell r="HE12">
            <v>0</v>
          </cell>
          <cell r="HF12">
            <v>0</v>
          </cell>
          <cell r="HG12">
            <v>0</v>
          </cell>
          <cell r="HH12">
            <v>0</v>
          </cell>
          <cell r="HI12">
            <v>0</v>
          </cell>
          <cell r="HJ12">
            <v>0</v>
          </cell>
          <cell r="HK12">
            <v>0</v>
          </cell>
          <cell r="HL12">
            <v>0</v>
          </cell>
          <cell r="HM12">
            <v>0</v>
          </cell>
          <cell r="HN12">
            <v>0</v>
          </cell>
          <cell r="HO12">
            <v>0</v>
          </cell>
          <cell r="HQ12">
            <v>0</v>
          </cell>
          <cell r="HS12">
            <v>0</v>
          </cell>
          <cell r="HT12">
            <v>0</v>
          </cell>
          <cell r="HU12">
            <v>0</v>
          </cell>
          <cell r="HV12">
            <v>0</v>
          </cell>
          <cell r="HW12">
            <v>0</v>
          </cell>
          <cell r="HX12">
            <v>0</v>
          </cell>
          <cell r="HY12">
            <v>0</v>
          </cell>
          <cell r="HZ12">
            <v>0</v>
          </cell>
          <cell r="IA12">
            <v>0</v>
          </cell>
          <cell r="IB12">
            <v>0</v>
          </cell>
          <cell r="IC12">
            <v>0</v>
          </cell>
          <cell r="ID12">
            <v>0</v>
          </cell>
          <cell r="IF12">
            <v>0</v>
          </cell>
          <cell r="IH12">
            <v>0</v>
          </cell>
          <cell r="II12">
            <v>0</v>
          </cell>
          <cell r="IJ12">
            <v>0</v>
          </cell>
          <cell r="IK12">
            <v>0</v>
          </cell>
          <cell r="IL12">
            <v>0</v>
          </cell>
          <cell r="IM12">
            <v>0</v>
          </cell>
          <cell r="IN12">
            <v>0</v>
          </cell>
          <cell r="IO12">
            <v>0</v>
          </cell>
          <cell r="IP12">
            <v>0</v>
          </cell>
          <cell r="IQ12">
            <v>0</v>
          </cell>
          <cell r="IR12">
            <v>0</v>
          </cell>
          <cell r="IS12">
            <v>0</v>
          </cell>
          <cell r="IU12">
            <v>0</v>
          </cell>
          <cell r="IW12">
            <v>0</v>
          </cell>
          <cell r="IX12">
            <v>0</v>
          </cell>
          <cell r="IY12">
            <v>0</v>
          </cell>
          <cell r="IZ12">
            <v>0</v>
          </cell>
          <cell r="JB12">
            <v>0</v>
          </cell>
          <cell r="JC12">
            <v>0</v>
          </cell>
          <cell r="JD12">
            <v>0</v>
          </cell>
          <cell r="JE12">
            <v>0</v>
          </cell>
          <cell r="JG12">
            <v>0</v>
          </cell>
          <cell r="JH12">
            <v>0</v>
          </cell>
          <cell r="JI12">
            <v>0</v>
          </cell>
          <cell r="JJ12">
            <v>0</v>
          </cell>
          <cell r="JL12">
            <v>0</v>
          </cell>
          <cell r="JM12">
            <v>0</v>
          </cell>
          <cell r="JN12">
            <v>0</v>
          </cell>
          <cell r="JO12">
            <v>0</v>
          </cell>
          <cell r="JQ12">
            <v>0</v>
          </cell>
          <cell r="JR12">
            <v>0</v>
          </cell>
          <cell r="JS12">
            <v>0</v>
          </cell>
          <cell r="JT12">
            <v>0</v>
          </cell>
          <cell r="JV12">
            <v>0</v>
          </cell>
          <cell r="JW12">
            <v>0</v>
          </cell>
          <cell r="JX12">
            <v>0</v>
          </cell>
          <cell r="JY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  <cell r="KF12">
            <v>0</v>
          </cell>
          <cell r="KG12">
            <v>0</v>
          </cell>
          <cell r="KH12">
            <v>0</v>
          </cell>
          <cell r="KI12">
            <v>0</v>
          </cell>
          <cell r="KK12">
            <v>0</v>
          </cell>
          <cell r="KL12">
            <v>0</v>
          </cell>
          <cell r="KM12">
            <v>0</v>
          </cell>
          <cell r="KN12">
            <v>0</v>
          </cell>
          <cell r="KP12">
            <v>0</v>
          </cell>
          <cell r="KQ12">
            <v>0</v>
          </cell>
          <cell r="KR12">
            <v>0</v>
          </cell>
          <cell r="KT12">
            <v>0</v>
          </cell>
          <cell r="KV12">
            <v>0</v>
          </cell>
          <cell r="KW12">
            <v>0</v>
          </cell>
          <cell r="KX12">
            <v>0</v>
          </cell>
          <cell r="KZ12">
            <v>0</v>
          </cell>
          <cell r="LA12">
            <v>0</v>
          </cell>
          <cell r="LB12">
            <v>0</v>
          </cell>
          <cell r="LD12">
            <v>0</v>
          </cell>
          <cell r="LF12">
            <v>0</v>
          </cell>
          <cell r="LG12">
            <v>0</v>
          </cell>
          <cell r="LH12">
            <v>0</v>
          </cell>
          <cell r="LJ12">
            <v>0</v>
          </cell>
          <cell r="LK12">
            <v>0</v>
          </cell>
          <cell r="LL12">
            <v>0</v>
          </cell>
          <cell r="LN12">
            <v>0</v>
          </cell>
          <cell r="LP12">
            <v>0</v>
          </cell>
          <cell r="LQ12">
            <v>0</v>
          </cell>
          <cell r="LR12">
            <v>0</v>
          </cell>
          <cell r="LT12" t="str">
            <v>100-32</v>
          </cell>
        </row>
        <row r="13">
          <cell r="B13">
            <v>88.439726027397256</v>
          </cell>
          <cell r="C13">
            <v>99</v>
          </cell>
          <cell r="D13">
            <v>32280.5</v>
          </cell>
          <cell r="E13">
            <v>36135</v>
          </cell>
          <cell r="F13">
            <v>0.89333056593330562</v>
          </cell>
          <cell r="G13">
            <v>0.89333056593330562</v>
          </cell>
          <cell r="H13">
            <v>0.05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W13">
            <v>84.464383561643842</v>
          </cell>
          <cell r="X13">
            <v>99</v>
          </cell>
          <cell r="Y13">
            <v>30829.5</v>
          </cell>
          <cell r="Z13">
            <v>36135</v>
          </cell>
          <cell r="AA13">
            <v>0.85317559153175593</v>
          </cell>
          <cell r="AB13">
            <v>0.85317559153175593</v>
          </cell>
          <cell r="AC13">
            <v>0.05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R13">
            <v>87</v>
          </cell>
          <cell r="AS13">
            <v>99</v>
          </cell>
          <cell r="AT13">
            <v>31842</v>
          </cell>
          <cell r="AU13">
            <v>36234</v>
          </cell>
          <cell r="AV13">
            <v>0.87878787878787878</v>
          </cell>
          <cell r="AW13">
            <v>0.87878787878787878</v>
          </cell>
          <cell r="AX13">
            <v>3.8999999999999993E-2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33.999999999999993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H13">
            <v>33.999999999999993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33.999999999999993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E13">
            <v>33.999999999999993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0</v>
          </cell>
          <cell r="FM13">
            <v>0</v>
          </cell>
          <cell r="FN13">
            <v>0</v>
          </cell>
          <cell r="FO13">
            <v>0</v>
          </cell>
          <cell r="FP13">
            <v>0</v>
          </cell>
          <cell r="FQ13">
            <v>0</v>
          </cell>
          <cell r="FR13">
            <v>0</v>
          </cell>
          <cell r="FS13">
            <v>0</v>
          </cell>
          <cell r="FT13">
            <v>0</v>
          </cell>
          <cell r="FU13">
            <v>0</v>
          </cell>
          <cell r="FV13">
            <v>0</v>
          </cell>
          <cell r="FW13">
            <v>0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GE13">
            <v>0</v>
          </cell>
          <cell r="GF13">
            <v>0</v>
          </cell>
          <cell r="GG13">
            <v>0</v>
          </cell>
          <cell r="GH13">
            <v>0</v>
          </cell>
          <cell r="GI13">
            <v>0</v>
          </cell>
          <cell r="GJ13">
            <v>0</v>
          </cell>
          <cell r="GK13">
            <v>0</v>
          </cell>
          <cell r="GL13">
            <v>0</v>
          </cell>
          <cell r="GM13">
            <v>0</v>
          </cell>
          <cell r="GN13">
            <v>0</v>
          </cell>
          <cell r="GO13">
            <v>0</v>
          </cell>
          <cell r="GP13">
            <v>36</v>
          </cell>
          <cell r="GQ13">
            <v>0</v>
          </cell>
          <cell r="GR13">
            <v>0</v>
          </cell>
          <cell r="GS13">
            <v>0</v>
          </cell>
          <cell r="GT13">
            <v>0</v>
          </cell>
          <cell r="GU13">
            <v>0</v>
          </cell>
          <cell r="GV13">
            <v>0</v>
          </cell>
          <cell r="GW13">
            <v>0</v>
          </cell>
          <cell r="GX13">
            <v>0</v>
          </cell>
          <cell r="GY13">
            <v>0</v>
          </cell>
          <cell r="GZ13">
            <v>0</v>
          </cell>
          <cell r="HB13">
            <v>36</v>
          </cell>
          <cell r="HD13">
            <v>0</v>
          </cell>
          <cell r="HE13">
            <v>0</v>
          </cell>
          <cell r="HF13">
            <v>0</v>
          </cell>
          <cell r="HG13">
            <v>0</v>
          </cell>
          <cell r="HH13">
            <v>0</v>
          </cell>
          <cell r="HI13">
            <v>0</v>
          </cell>
          <cell r="HJ13">
            <v>0</v>
          </cell>
          <cell r="HK13">
            <v>0</v>
          </cell>
          <cell r="HL13">
            <v>0</v>
          </cell>
          <cell r="HM13">
            <v>0</v>
          </cell>
          <cell r="HN13">
            <v>0</v>
          </cell>
          <cell r="HO13">
            <v>0</v>
          </cell>
          <cell r="HQ13">
            <v>0</v>
          </cell>
          <cell r="HS13">
            <v>0</v>
          </cell>
          <cell r="HT13">
            <v>0</v>
          </cell>
          <cell r="HU13">
            <v>0</v>
          </cell>
          <cell r="HV13">
            <v>0</v>
          </cell>
          <cell r="HW13">
            <v>0</v>
          </cell>
          <cell r="HX13">
            <v>0</v>
          </cell>
          <cell r="HY13">
            <v>0</v>
          </cell>
          <cell r="HZ13">
            <v>0</v>
          </cell>
          <cell r="IA13">
            <v>0</v>
          </cell>
          <cell r="IB13">
            <v>0</v>
          </cell>
          <cell r="IC13">
            <v>0</v>
          </cell>
          <cell r="ID13">
            <v>0</v>
          </cell>
          <cell r="IF13">
            <v>0</v>
          </cell>
          <cell r="IH13">
            <v>0</v>
          </cell>
          <cell r="II13">
            <v>0</v>
          </cell>
          <cell r="IJ13">
            <v>0</v>
          </cell>
          <cell r="IK13">
            <v>0</v>
          </cell>
          <cell r="IL13">
            <v>0</v>
          </cell>
          <cell r="IM13">
            <v>0</v>
          </cell>
          <cell r="IN13">
            <v>0</v>
          </cell>
          <cell r="IO13">
            <v>0</v>
          </cell>
          <cell r="IP13">
            <v>0</v>
          </cell>
          <cell r="IQ13">
            <v>0</v>
          </cell>
          <cell r="IR13">
            <v>0</v>
          </cell>
          <cell r="IS13">
            <v>0</v>
          </cell>
          <cell r="IU13">
            <v>0</v>
          </cell>
          <cell r="IW13">
            <v>0</v>
          </cell>
          <cell r="IX13">
            <v>0</v>
          </cell>
          <cell r="IY13">
            <v>0</v>
          </cell>
          <cell r="IZ13">
            <v>0</v>
          </cell>
          <cell r="JB13">
            <v>0</v>
          </cell>
          <cell r="JC13">
            <v>0</v>
          </cell>
          <cell r="JD13">
            <v>0</v>
          </cell>
          <cell r="JE13">
            <v>0</v>
          </cell>
          <cell r="JG13">
            <v>0</v>
          </cell>
          <cell r="JH13">
            <v>0</v>
          </cell>
          <cell r="JI13">
            <v>0</v>
          </cell>
          <cell r="JJ13">
            <v>0</v>
          </cell>
          <cell r="JL13">
            <v>0</v>
          </cell>
          <cell r="JM13">
            <v>0</v>
          </cell>
          <cell r="JN13">
            <v>0</v>
          </cell>
          <cell r="JO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V13">
            <v>0</v>
          </cell>
          <cell r="JW13">
            <v>0</v>
          </cell>
          <cell r="JX13">
            <v>0</v>
          </cell>
          <cell r="JY13">
            <v>0</v>
          </cell>
          <cell r="KA13">
            <v>0</v>
          </cell>
          <cell r="KB13">
            <v>0</v>
          </cell>
          <cell r="KC13">
            <v>0</v>
          </cell>
          <cell r="KD13">
            <v>0</v>
          </cell>
          <cell r="KF13">
            <v>0</v>
          </cell>
          <cell r="KG13">
            <v>0</v>
          </cell>
          <cell r="KH13">
            <v>0</v>
          </cell>
          <cell r="KI13">
            <v>0</v>
          </cell>
          <cell r="KK13">
            <v>0</v>
          </cell>
          <cell r="KL13">
            <v>0</v>
          </cell>
          <cell r="KM13">
            <v>0</v>
          </cell>
          <cell r="KN13">
            <v>0</v>
          </cell>
          <cell r="KP13">
            <v>0</v>
          </cell>
          <cell r="KQ13">
            <v>0</v>
          </cell>
          <cell r="KR13">
            <v>0</v>
          </cell>
          <cell r="KT13">
            <v>0</v>
          </cell>
          <cell r="KV13">
            <v>0</v>
          </cell>
          <cell r="KW13">
            <v>0</v>
          </cell>
          <cell r="KX13">
            <v>0</v>
          </cell>
          <cell r="KZ13">
            <v>0</v>
          </cell>
          <cell r="LA13">
            <v>0</v>
          </cell>
          <cell r="LB13">
            <v>0</v>
          </cell>
          <cell r="LD13">
            <v>0</v>
          </cell>
          <cell r="LF13">
            <v>0</v>
          </cell>
          <cell r="LG13">
            <v>0</v>
          </cell>
          <cell r="LH13">
            <v>0</v>
          </cell>
          <cell r="LJ13">
            <v>0</v>
          </cell>
          <cell r="LK13">
            <v>0</v>
          </cell>
          <cell r="LL13">
            <v>0</v>
          </cell>
          <cell r="LN13">
            <v>0</v>
          </cell>
          <cell r="LP13">
            <v>0</v>
          </cell>
          <cell r="LQ13">
            <v>0</v>
          </cell>
          <cell r="LR13">
            <v>0</v>
          </cell>
          <cell r="LT13" t="str">
            <v>100-33</v>
          </cell>
        </row>
        <row r="14">
          <cell r="B14">
            <v>56.636986301369866</v>
          </cell>
          <cell r="C14">
            <v>65</v>
          </cell>
          <cell r="D14">
            <v>20672.5</v>
          </cell>
          <cell r="E14">
            <v>23725</v>
          </cell>
          <cell r="F14">
            <v>0.87133825079030558</v>
          </cell>
          <cell r="G14">
            <v>0.87133825079030558</v>
          </cell>
          <cell r="H14">
            <v>0.05</v>
          </cell>
          <cell r="I14">
            <v>0.12343432967447028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W14">
            <v>53.082191780821915</v>
          </cell>
          <cell r="X14">
            <v>65</v>
          </cell>
          <cell r="Y14">
            <v>19375</v>
          </cell>
          <cell r="Z14">
            <v>23725</v>
          </cell>
          <cell r="AA14">
            <v>0.81664910432033722</v>
          </cell>
          <cell r="AB14">
            <v>0.81664910432033722</v>
          </cell>
          <cell r="AC14">
            <v>0.05</v>
          </cell>
          <cell r="AD14">
            <v>0.13145618207597995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R14">
            <v>55</v>
          </cell>
          <cell r="AS14">
            <v>65</v>
          </cell>
          <cell r="AT14">
            <v>20130</v>
          </cell>
          <cell r="AU14">
            <v>23790</v>
          </cell>
          <cell r="AV14">
            <v>0.84615384615384615</v>
          </cell>
          <cell r="AW14">
            <v>0.84615384615384615</v>
          </cell>
          <cell r="AX14">
            <v>3.8999999999999993E-2</v>
          </cell>
          <cell r="AY14">
            <v>0.1212514940143341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20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H14">
            <v>20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20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E14">
            <v>20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GE14">
            <v>0</v>
          </cell>
          <cell r="GF14">
            <v>0</v>
          </cell>
          <cell r="GG14">
            <v>0</v>
          </cell>
          <cell r="GH14">
            <v>0</v>
          </cell>
          <cell r="GI14">
            <v>0</v>
          </cell>
          <cell r="GJ14">
            <v>23</v>
          </cell>
          <cell r="GK14">
            <v>0</v>
          </cell>
          <cell r="GL14">
            <v>0</v>
          </cell>
          <cell r="GM14">
            <v>0</v>
          </cell>
          <cell r="GN14">
            <v>0</v>
          </cell>
          <cell r="GO14">
            <v>0</v>
          </cell>
          <cell r="GP14">
            <v>0</v>
          </cell>
          <cell r="GQ14">
            <v>0</v>
          </cell>
          <cell r="GR14">
            <v>0</v>
          </cell>
          <cell r="GS14">
            <v>0</v>
          </cell>
          <cell r="GT14">
            <v>0</v>
          </cell>
          <cell r="GU14">
            <v>0</v>
          </cell>
          <cell r="GV14">
            <v>0</v>
          </cell>
          <cell r="GW14">
            <v>0</v>
          </cell>
          <cell r="GX14">
            <v>0</v>
          </cell>
          <cell r="GY14">
            <v>0</v>
          </cell>
          <cell r="GZ14">
            <v>0</v>
          </cell>
          <cell r="HB14">
            <v>23</v>
          </cell>
          <cell r="HD14">
            <v>0</v>
          </cell>
          <cell r="HE14">
            <v>0</v>
          </cell>
          <cell r="HF14">
            <v>0</v>
          </cell>
          <cell r="HG14">
            <v>0</v>
          </cell>
          <cell r="HH14">
            <v>0</v>
          </cell>
          <cell r="HI14">
            <v>0</v>
          </cell>
          <cell r="HJ14">
            <v>0</v>
          </cell>
          <cell r="HK14">
            <v>0</v>
          </cell>
          <cell r="HL14">
            <v>0</v>
          </cell>
          <cell r="HM14">
            <v>0</v>
          </cell>
          <cell r="HN14">
            <v>0</v>
          </cell>
          <cell r="HO14">
            <v>0</v>
          </cell>
          <cell r="HQ14">
            <v>0</v>
          </cell>
          <cell r="HS14">
            <v>0</v>
          </cell>
          <cell r="HT14">
            <v>0</v>
          </cell>
          <cell r="HU14">
            <v>0</v>
          </cell>
          <cell r="HV14">
            <v>0</v>
          </cell>
          <cell r="HW14">
            <v>0</v>
          </cell>
          <cell r="HX14">
            <v>0</v>
          </cell>
          <cell r="HY14">
            <v>0</v>
          </cell>
          <cell r="HZ14">
            <v>0</v>
          </cell>
          <cell r="IA14">
            <v>0</v>
          </cell>
          <cell r="IB14">
            <v>0</v>
          </cell>
          <cell r="IC14">
            <v>0</v>
          </cell>
          <cell r="ID14">
            <v>0</v>
          </cell>
          <cell r="IF14">
            <v>0</v>
          </cell>
          <cell r="IH14">
            <v>0</v>
          </cell>
          <cell r="II14">
            <v>0</v>
          </cell>
          <cell r="IJ14">
            <v>0</v>
          </cell>
          <cell r="IK14">
            <v>0</v>
          </cell>
          <cell r="IL14">
            <v>0</v>
          </cell>
          <cell r="IM14">
            <v>0</v>
          </cell>
          <cell r="IN14">
            <v>0</v>
          </cell>
          <cell r="IO14">
            <v>0</v>
          </cell>
          <cell r="IP14">
            <v>0</v>
          </cell>
          <cell r="IQ14">
            <v>0</v>
          </cell>
          <cell r="IR14">
            <v>0</v>
          </cell>
          <cell r="IS14">
            <v>0</v>
          </cell>
          <cell r="IU14">
            <v>0</v>
          </cell>
          <cell r="IW14">
            <v>0</v>
          </cell>
          <cell r="IX14">
            <v>0</v>
          </cell>
          <cell r="IY14">
            <v>0</v>
          </cell>
          <cell r="IZ14">
            <v>0</v>
          </cell>
          <cell r="JB14">
            <v>0</v>
          </cell>
          <cell r="JC14">
            <v>0</v>
          </cell>
          <cell r="JD14">
            <v>0</v>
          </cell>
          <cell r="JE14">
            <v>0</v>
          </cell>
          <cell r="JG14">
            <v>0</v>
          </cell>
          <cell r="JH14">
            <v>0</v>
          </cell>
          <cell r="JI14">
            <v>0</v>
          </cell>
          <cell r="JJ14">
            <v>0</v>
          </cell>
          <cell r="JL14">
            <v>0</v>
          </cell>
          <cell r="JM14">
            <v>0</v>
          </cell>
          <cell r="JN14">
            <v>0</v>
          </cell>
          <cell r="JO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V14">
            <v>0</v>
          </cell>
          <cell r="JW14">
            <v>0</v>
          </cell>
          <cell r="JX14">
            <v>0</v>
          </cell>
          <cell r="JY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  <cell r="KF14">
            <v>0</v>
          </cell>
          <cell r="KG14">
            <v>0</v>
          </cell>
          <cell r="KH14">
            <v>0</v>
          </cell>
          <cell r="KI14">
            <v>0</v>
          </cell>
          <cell r="KK14">
            <v>0</v>
          </cell>
          <cell r="KL14">
            <v>0</v>
          </cell>
          <cell r="KM14">
            <v>0</v>
          </cell>
          <cell r="KN14">
            <v>0</v>
          </cell>
          <cell r="KP14">
            <v>0</v>
          </cell>
          <cell r="KQ14">
            <v>0</v>
          </cell>
          <cell r="KR14">
            <v>0</v>
          </cell>
          <cell r="KT14">
            <v>0</v>
          </cell>
          <cell r="KV14">
            <v>0</v>
          </cell>
          <cell r="KW14">
            <v>0</v>
          </cell>
          <cell r="KX14">
            <v>0</v>
          </cell>
          <cell r="KZ14">
            <v>0</v>
          </cell>
          <cell r="LA14">
            <v>0</v>
          </cell>
          <cell r="LB14">
            <v>0</v>
          </cell>
          <cell r="LD14">
            <v>0</v>
          </cell>
          <cell r="LF14">
            <v>0</v>
          </cell>
          <cell r="LG14">
            <v>0</v>
          </cell>
          <cell r="LH14">
            <v>0</v>
          </cell>
          <cell r="LJ14">
            <v>0</v>
          </cell>
          <cell r="LK14">
            <v>0</v>
          </cell>
          <cell r="LL14">
            <v>0</v>
          </cell>
          <cell r="LN14">
            <v>0</v>
          </cell>
          <cell r="LP14">
            <v>0</v>
          </cell>
          <cell r="LQ14">
            <v>0</v>
          </cell>
          <cell r="LR14">
            <v>0</v>
          </cell>
          <cell r="LT14" t="str">
            <v>100-34</v>
          </cell>
        </row>
        <row r="15">
          <cell r="B15">
            <v>102.92876712328768</v>
          </cell>
          <cell r="C15">
            <v>126</v>
          </cell>
          <cell r="D15">
            <v>37569</v>
          </cell>
          <cell r="E15">
            <v>45990</v>
          </cell>
          <cell r="F15">
            <v>0.81689497716894977</v>
          </cell>
          <cell r="G15">
            <v>0.81689497716894977</v>
          </cell>
          <cell r="H15">
            <v>0.05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W15">
            <v>98.487671232876707</v>
          </cell>
          <cell r="X15">
            <v>126</v>
          </cell>
          <cell r="Y15">
            <v>35948</v>
          </cell>
          <cell r="Z15">
            <v>45990</v>
          </cell>
          <cell r="AA15">
            <v>0.78164818438791039</v>
          </cell>
          <cell r="AB15">
            <v>0.78164818438791039</v>
          </cell>
          <cell r="AC15">
            <v>0.05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R15">
            <v>104.22950819672133</v>
          </cell>
          <cell r="AS15">
            <v>126</v>
          </cell>
          <cell r="AT15">
            <v>38148</v>
          </cell>
          <cell r="AU15">
            <v>46116</v>
          </cell>
          <cell r="AV15">
            <v>0.8272183190215977</v>
          </cell>
          <cell r="AW15">
            <v>0.8272183190215977</v>
          </cell>
          <cell r="AX15">
            <v>3.8999999999999993E-2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19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H15">
            <v>19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19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E15">
            <v>19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24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GE15">
            <v>0</v>
          </cell>
          <cell r="GF15">
            <v>0</v>
          </cell>
          <cell r="GG15">
            <v>0</v>
          </cell>
          <cell r="GH15">
            <v>0</v>
          </cell>
          <cell r="GI15">
            <v>0</v>
          </cell>
          <cell r="GJ15">
            <v>0</v>
          </cell>
          <cell r="GK15">
            <v>0</v>
          </cell>
          <cell r="GL15">
            <v>0</v>
          </cell>
          <cell r="GM15">
            <v>0</v>
          </cell>
          <cell r="GN15">
            <v>0</v>
          </cell>
          <cell r="GO15">
            <v>0</v>
          </cell>
          <cell r="GP15">
            <v>0</v>
          </cell>
          <cell r="GQ15">
            <v>0</v>
          </cell>
          <cell r="GR15">
            <v>0</v>
          </cell>
          <cell r="GS15">
            <v>0</v>
          </cell>
          <cell r="GT15">
            <v>0</v>
          </cell>
          <cell r="GU15">
            <v>0</v>
          </cell>
          <cell r="GV15">
            <v>0</v>
          </cell>
          <cell r="GW15">
            <v>0</v>
          </cell>
          <cell r="GX15">
            <v>0</v>
          </cell>
          <cell r="GY15">
            <v>0</v>
          </cell>
          <cell r="GZ15">
            <v>0</v>
          </cell>
          <cell r="HB15">
            <v>24</v>
          </cell>
          <cell r="HD15">
            <v>0</v>
          </cell>
          <cell r="HE15">
            <v>0</v>
          </cell>
          <cell r="HF15">
            <v>0</v>
          </cell>
          <cell r="HG15">
            <v>2</v>
          </cell>
          <cell r="HH15">
            <v>1</v>
          </cell>
          <cell r="HI15">
            <v>0</v>
          </cell>
          <cell r="HJ15">
            <v>0</v>
          </cell>
          <cell r="HK15">
            <v>0</v>
          </cell>
          <cell r="HL15">
            <v>0</v>
          </cell>
          <cell r="HM15">
            <v>0</v>
          </cell>
          <cell r="HN15">
            <v>0</v>
          </cell>
          <cell r="HO15">
            <v>0</v>
          </cell>
          <cell r="HQ15">
            <v>3</v>
          </cell>
          <cell r="HS15">
            <v>0</v>
          </cell>
          <cell r="HT15">
            <v>0</v>
          </cell>
          <cell r="HU15">
            <v>0</v>
          </cell>
          <cell r="HV15">
            <v>2</v>
          </cell>
          <cell r="HW15">
            <v>1</v>
          </cell>
          <cell r="HX15">
            <v>0</v>
          </cell>
          <cell r="HY15">
            <v>0</v>
          </cell>
          <cell r="HZ15">
            <v>0</v>
          </cell>
          <cell r="IA15">
            <v>0</v>
          </cell>
          <cell r="IB15">
            <v>0</v>
          </cell>
          <cell r="IC15">
            <v>0</v>
          </cell>
          <cell r="ID15">
            <v>0</v>
          </cell>
          <cell r="IF15">
            <v>3</v>
          </cell>
          <cell r="IH15">
            <v>0</v>
          </cell>
          <cell r="II15">
            <v>0</v>
          </cell>
          <cell r="IJ15">
            <v>0</v>
          </cell>
          <cell r="IK15">
            <v>2</v>
          </cell>
          <cell r="IL15">
            <v>1</v>
          </cell>
          <cell r="IM15">
            <v>0</v>
          </cell>
          <cell r="IN15">
            <v>0</v>
          </cell>
          <cell r="IO15">
            <v>0</v>
          </cell>
          <cell r="IP15">
            <v>0</v>
          </cell>
          <cell r="IQ15">
            <v>0</v>
          </cell>
          <cell r="IR15">
            <v>0</v>
          </cell>
          <cell r="IS15">
            <v>0</v>
          </cell>
          <cell r="IU15">
            <v>3</v>
          </cell>
          <cell r="IW15">
            <v>0</v>
          </cell>
          <cell r="IX15">
            <v>0</v>
          </cell>
          <cell r="IY15">
            <v>0</v>
          </cell>
          <cell r="IZ15">
            <v>0</v>
          </cell>
          <cell r="JB15">
            <v>0</v>
          </cell>
          <cell r="JC15">
            <v>0</v>
          </cell>
          <cell r="JD15">
            <v>0</v>
          </cell>
          <cell r="JE15">
            <v>0</v>
          </cell>
          <cell r="JG15">
            <v>0</v>
          </cell>
          <cell r="JH15">
            <v>0</v>
          </cell>
          <cell r="JI15">
            <v>0</v>
          </cell>
          <cell r="JJ15">
            <v>0</v>
          </cell>
          <cell r="JL15">
            <v>0</v>
          </cell>
          <cell r="JM15">
            <v>0</v>
          </cell>
          <cell r="JN15">
            <v>0</v>
          </cell>
          <cell r="JO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  <cell r="KF15">
            <v>0</v>
          </cell>
          <cell r="KG15">
            <v>0</v>
          </cell>
          <cell r="KH15">
            <v>0</v>
          </cell>
          <cell r="KI15">
            <v>0</v>
          </cell>
          <cell r="KK15">
            <v>0</v>
          </cell>
          <cell r="KL15">
            <v>0</v>
          </cell>
          <cell r="KM15">
            <v>0</v>
          </cell>
          <cell r="KN15">
            <v>0</v>
          </cell>
          <cell r="KP15">
            <v>0</v>
          </cell>
          <cell r="KQ15">
            <v>0</v>
          </cell>
          <cell r="KR15">
            <v>0</v>
          </cell>
          <cell r="KT15">
            <v>0</v>
          </cell>
          <cell r="KV15">
            <v>0</v>
          </cell>
          <cell r="KW15">
            <v>0</v>
          </cell>
          <cell r="KX15">
            <v>0</v>
          </cell>
          <cell r="KZ15">
            <v>0</v>
          </cell>
          <cell r="LA15">
            <v>0</v>
          </cell>
          <cell r="LB15">
            <v>0</v>
          </cell>
          <cell r="LD15">
            <v>0</v>
          </cell>
          <cell r="LF15">
            <v>0</v>
          </cell>
          <cell r="LG15">
            <v>0</v>
          </cell>
          <cell r="LH15">
            <v>0</v>
          </cell>
          <cell r="LJ15">
            <v>0</v>
          </cell>
          <cell r="LK15">
            <v>0</v>
          </cell>
          <cell r="LL15">
            <v>0</v>
          </cell>
          <cell r="LN15">
            <v>0</v>
          </cell>
          <cell r="LP15">
            <v>0</v>
          </cell>
          <cell r="LQ15">
            <v>0</v>
          </cell>
          <cell r="LR15">
            <v>0</v>
          </cell>
          <cell r="LT15" t="str">
            <v>100-35</v>
          </cell>
        </row>
        <row r="16">
          <cell r="B16">
            <v>90.183561643835617</v>
          </cell>
          <cell r="C16">
            <v>126</v>
          </cell>
          <cell r="D16">
            <v>32917</v>
          </cell>
          <cell r="E16">
            <v>45990</v>
          </cell>
          <cell r="F16">
            <v>0.71574255272885412</v>
          </cell>
          <cell r="G16">
            <v>0.71574255272885412</v>
          </cell>
          <cell r="H16">
            <v>0.05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W16">
            <v>80.9972602739726</v>
          </cell>
          <cell r="X16">
            <v>126</v>
          </cell>
          <cell r="Y16">
            <v>29564</v>
          </cell>
          <cell r="Z16">
            <v>45990</v>
          </cell>
          <cell r="AA16">
            <v>0.64283539899978259</v>
          </cell>
          <cell r="AB16">
            <v>0.64283539899978259</v>
          </cell>
          <cell r="AC16">
            <v>0.05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R16">
            <v>81</v>
          </cell>
          <cell r="AS16">
            <v>126</v>
          </cell>
          <cell r="AT16">
            <v>29646</v>
          </cell>
          <cell r="AU16">
            <v>46116</v>
          </cell>
          <cell r="AV16">
            <v>0.6428571428571429</v>
          </cell>
          <cell r="AW16">
            <v>0.6428571428571429</v>
          </cell>
          <cell r="AX16">
            <v>3.8999999999999993E-2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9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0</v>
          </cell>
          <cell r="DA16">
            <v>0</v>
          </cell>
          <cell r="DB16">
            <v>0</v>
          </cell>
          <cell r="DC16">
            <v>0</v>
          </cell>
          <cell r="DD16">
            <v>0</v>
          </cell>
          <cell r="DE16">
            <v>0</v>
          </cell>
          <cell r="DF16">
            <v>0</v>
          </cell>
          <cell r="DH16">
            <v>9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9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U16">
            <v>0</v>
          </cell>
          <cell r="EV16">
            <v>0</v>
          </cell>
          <cell r="EW16">
            <v>0</v>
          </cell>
          <cell r="EX16">
            <v>0</v>
          </cell>
          <cell r="EY16">
            <v>0</v>
          </cell>
          <cell r="EZ16">
            <v>0</v>
          </cell>
          <cell r="FA16">
            <v>0</v>
          </cell>
          <cell r="FB16">
            <v>0</v>
          </cell>
          <cell r="FC16">
            <v>0</v>
          </cell>
          <cell r="FE16">
            <v>9</v>
          </cell>
          <cell r="FG16">
            <v>0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10</v>
          </cell>
          <cell r="GD16">
            <v>0</v>
          </cell>
          <cell r="GE16">
            <v>0</v>
          </cell>
          <cell r="GF16">
            <v>0</v>
          </cell>
          <cell r="GG16">
            <v>0</v>
          </cell>
          <cell r="GH16">
            <v>0</v>
          </cell>
          <cell r="GI16">
            <v>0</v>
          </cell>
          <cell r="GJ16">
            <v>0</v>
          </cell>
          <cell r="GK16">
            <v>0</v>
          </cell>
          <cell r="GL16">
            <v>0</v>
          </cell>
          <cell r="GM16">
            <v>0</v>
          </cell>
          <cell r="GN16">
            <v>0</v>
          </cell>
          <cell r="GO16">
            <v>0</v>
          </cell>
          <cell r="GP16">
            <v>0</v>
          </cell>
          <cell r="GQ16">
            <v>0</v>
          </cell>
          <cell r="GR16">
            <v>0</v>
          </cell>
          <cell r="GS16">
            <v>0</v>
          </cell>
          <cell r="GT16">
            <v>0</v>
          </cell>
          <cell r="GU16">
            <v>0</v>
          </cell>
          <cell r="GV16">
            <v>0</v>
          </cell>
          <cell r="GW16">
            <v>0</v>
          </cell>
          <cell r="GX16">
            <v>0</v>
          </cell>
          <cell r="GY16">
            <v>0</v>
          </cell>
          <cell r="GZ16">
            <v>0</v>
          </cell>
          <cell r="HB16">
            <v>10</v>
          </cell>
          <cell r="HD16">
            <v>0</v>
          </cell>
          <cell r="HE16">
            <v>0</v>
          </cell>
          <cell r="HF16">
            <v>0</v>
          </cell>
          <cell r="HG16">
            <v>0</v>
          </cell>
          <cell r="HH16">
            <v>0</v>
          </cell>
          <cell r="HI16">
            <v>2</v>
          </cell>
          <cell r="HJ16">
            <v>2</v>
          </cell>
          <cell r="HK16">
            <v>1</v>
          </cell>
          <cell r="HL16">
            <v>3</v>
          </cell>
          <cell r="HM16">
            <v>1</v>
          </cell>
          <cell r="HN16">
            <v>0</v>
          </cell>
          <cell r="HO16">
            <v>0</v>
          </cell>
          <cell r="HQ16">
            <v>9</v>
          </cell>
          <cell r="HS16">
            <v>0</v>
          </cell>
          <cell r="HT16">
            <v>0</v>
          </cell>
          <cell r="HU16">
            <v>0</v>
          </cell>
          <cell r="HV16">
            <v>0</v>
          </cell>
          <cell r="HW16">
            <v>0</v>
          </cell>
          <cell r="HX16">
            <v>2</v>
          </cell>
          <cell r="HY16">
            <v>2</v>
          </cell>
          <cell r="HZ16">
            <v>1</v>
          </cell>
          <cell r="IA16">
            <v>3</v>
          </cell>
          <cell r="IB16">
            <v>1</v>
          </cell>
          <cell r="IC16">
            <v>0</v>
          </cell>
          <cell r="ID16">
            <v>0</v>
          </cell>
          <cell r="IF16">
            <v>9</v>
          </cell>
          <cell r="IH16">
            <v>0</v>
          </cell>
          <cell r="II16">
            <v>0</v>
          </cell>
          <cell r="IJ16">
            <v>0</v>
          </cell>
          <cell r="IK16">
            <v>0</v>
          </cell>
          <cell r="IL16">
            <v>0</v>
          </cell>
          <cell r="IM16">
            <v>2</v>
          </cell>
          <cell r="IN16">
            <v>2</v>
          </cell>
          <cell r="IO16">
            <v>1</v>
          </cell>
          <cell r="IP16">
            <v>3</v>
          </cell>
          <cell r="IQ16">
            <v>1</v>
          </cell>
          <cell r="IR16">
            <v>0</v>
          </cell>
          <cell r="IS16">
            <v>0</v>
          </cell>
          <cell r="IU16">
            <v>9</v>
          </cell>
          <cell r="IW16">
            <v>0</v>
          </cell>
          <cell r="IX16">
            <v>0</v>
          </cell>
          <cell r="IY16">
            <v>0</v>
          </cell>
          <cell r="IZ16">
            <v>0</v>
          </cell>
          <cell r="JB16">
            <v>0</v>
          </cell>
          <cell r="JC16">
            <v>0</v>
          </cell>
          <cell r="JD16">
            <v>0</v>
          </cell>
          <cell r="JE16">
            <v>0</v>
          </cell>
          <cell r="JG16">
            <v>0</v>
          </cell>
          <cell r="JH16">
            <v>0</v>
          </cell>
          <cell r="JI16">
            <v>0</v>
          </cell>
          <cell r="JJ16">
            <v>0</v>
          </cell>
          <cell r="JL16">
            <v>0</v>
          </cell>
          <cell r="JM16">
            <v>0</v>
          </cell>
          <cell r="JN16">
            <v>0</v>
          </cell>
          <cell r="JO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KA16">
            <v>0</v>
          </cell>
          <cell r="KB16">
            <v>0</v>
          </cell>
          <cell r="KC16">
            <v>0</v>
          </cell>
          <cell r="KD16">
            <v>0</v>
          </cell>
          <cell r="KF16">
            <v>0</v>
          </cell>
          <cell r="KG16">
            <v>0</v>
          </cell>
          <cell r="KH16">
            <v>0</v>
          </cell>
          <cell r="KI16">
            <v>0</v>
          </cell>
          <cell r="KK16">
            <v>0</v>
          </cell>
          <cell r="KL16">
            <v>0</v>
          </cell>
          <cell r="KM16">
            <v>0</v>
          </cell>
          <cell r="KN16">
            <v>0</v>
          </cell>
          <cell r="KP16">
            <v>0</v>
          </cell>
          <cell r="KQ16">
            <v>0</v>
          </cell>
          <cell r="KR16">
            <v>0</v>
          </cell>
          <cell r="KT16">
            <v>0</v>
          </cell>
          <cell r="KV16">
            <v>0</v>
          </cell>
          <cell r="KW16">
            <v>0</v>
          </cell>
          <cell r="KX16">
            <v>0</v>
          </cell>
          <cell r="KZ16">
            <v>0</v>
          </cell>
          <cell r="LA16">
            <v>0</v>
          </cell>
          <cell r="LB16">
            <v>0</v>
          </cell>
          <cell r="LD16">
            <v>0</v>
          </cell>
          <cell r="LF16">
            <v>0</v>
          </cell>
          <cell r="LG16">
            <v>0</v>
          </cell>
          <cell r="LH16">
            <v>0</v>
          </cell>
          <cell r="LJ16">
            <v>0</v>
          </cell>
          <cell r="LK16">
            <v>0</v>
          </cell>
          <cell r="LL16">
            <v>0</v>
          </cell>
          <cell r="LN16">
            <v>0</v>
          </cell>
          <cell r="LP16">
            <v>0</v>
          </cell>
          <cell r="LQ16">
            <v>0</v>
          </cell>
          <cell r="LR16">
            <v>0</v>
          </cell>
          <cell r="LT16" t="str">
            <v>100-36</v>
          </cell>
        </row>
        <row r="17">
          <cell r="B17">
            <v>124.95479452054796</v>
          </cell>
          <cell r="C17">
            <v>133</v>
          </cell>
          <cell r="D17">
            <v>45608.5</v>
          </cell>
          <cell r="E17">
            <v>48545</v>
          </cell>
          <cell r="F17">
            <v>0.93950973323720244</v>
          </cell>
          <cell r="G17">
            <v>0.93950973323720244</v>
          </cell>
          <cell r="H17">
            <v>3.9999999999999994E-2</v>
          </cell>
          <cell r="I17">
            <v>0.71308821925923027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W17">
            <v>110.95342465753424</v>
          </cell>
          <cell r="X17">
            <v>133</v>
          </cell>
          <cell r="Y17">
            <v>40498</v>
          </cell>
          <cell r="Z17">
            <v>48545</v>
          </cell>
          <cell r="AA17">
            <v>0.83423627562055824</v>
          </cell>
          <cell r="AB17">
            <v>0.83423627562055824</v>
          </cell>
          <cell r="AC17">
            <v>3.9999999999999994E-2</v>
          </cell>
          <cell r="AD17">
            <v>0.77673786939050926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R17">
            <v>121</v>
          </cell>
          <cell r="AS17">
            <v>133</v>
          </cell>
          <cell r="AT17">
            <v>44286</v>
          </cell>
          <cell r="AU17">
            <v>48678</v>
          </cell>
          <cell r="AV17">
            <v>0.90977443609022557</v>
          </cell>
          <cell r="AW17">
            <v>0.90977443609022557</v>
          </cell>
          <cell r="AX17">
            <v>3.0000000000000009E-2</v>
          </cell>
          <cell r="AY17">
            <v>0.81312951438174053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6.9999999999999991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H17">
            <v>6.9999999999999991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6.9999999999999991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E17">
            <v>6.9999999999999991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9</v>
          </cell>
          <cell r="GC17">
            <v>0</v>
          </cell>
          <cell r="GD17">
            <v>0</v>
          </cell>
          <cell r="GE17">
            <v>0</v>
          </cell>
          <cell r="GF17">
            <v>0</v>
          </cell>
          <cell r="GG17">
            <v>0</v>
          </cell>
          <cell r="GH17">
            <v>0</v>
          </cell>
          <cell r="GI17">
            <v>0</v>
          </cell>
          <cell r="GJ17">
            <v>0</v>
          </cell>
          <cell r="GK17">
            <v>0</v>
          </cell>
          <cell r="GL17">
            <v>0</v>
          </cell>
          <cell r="GM17">
            <v>0</v>
          </cell>
          <cell r="GN17">
            <v>0</v>
          </cell>
          <cell r="GO17">
            <v>0</v>
          </cell>
          <cell r="GP17">
            <v>0</v>
          </cell>
          <cell r="GQ17">
            <v>0</v>
          </cell>
          <cell r="GR17">
            <v>0</v>
          </cell>
          <cell r="GS17">
            <v>0</v>
          </cell>
          <cell r="GT17">
            <v>0</v>
          </cell>
          <cell r="GU17">
            <v>0</v>
          </cell>
          <cell r="GV17">
            <v>0</v>
          </cell>
          <cell r="GW17">
            <v>0</v>
          </cell>
          <cell r="GX17">
            <v>0</v>
          </cell>
          <cell r="GY17">
            <v>0</v>
          </cell>
          <cell r="GZ17">
            <v>0</v>
          </cell>
          <cell r="HB17">
            <v>9</v>
          </cell>
          <cell r="HD17">
            <v>0</v>
          </cell>
          <cell r="HE17">
            <v>0</v>
          </cell>
          <cell r="HF17">
            <v>0</v>
          </cell>
          <cell r="HG17">
            <v>0</v>
          </cell>
          <cell r="HH17">
            <v>0</v>
          </cell>
          <cell r="HI17">
            <v>0</v>
          </cell>
          <cell r="HJ17">
            <v>0</v>
          </cell>
          <cell r="HK17">
            <v>0</v>
          </cell>
          <cell r="HL17">
            <v>0</v>
          </cell>
          <cell r="HM17">
            <v>0</v>
          </cell>
          <cell r="HN17">
            <v>0</v>
          </cell>
          <cell r="HO17">
            <v>0</v>
          </cell>
          <cell r="HQ17">
            <v>0</v>
          </cell>
          <cell r="HS17">
            <v>0</v>
          </cell>
          <cell r="HT17">
            <v>0</v>
          </cell>
          <cell r="HU17">
            <v>0</v>
          </cell>
          <cell r="HV17">
            <v>0</v>
          </cell>
          <cell r="HW17">
            <v>0</v>
          </cell>
          <cell r="HX17">
            <v>0</v>
          </cell>
          <cell r="HY17">
            <v>0</v>
          </cell>
          <cell r="HZ17">
            <v>0</v>
          </cell>
          <cell r="IA17">
            <v>0</v>
          </cell>
          <cell r="IB17">
            <v>0</v>
          </cell>
          <cell r="IC17">
            <v>0</v>
          </cell>
          <cell r="ID17">
            <v>0</v>
          </cell>
          <cell r="IF17">
            <v>0</v>
          </cell>
          <cell r="IH17">
            <v>0</v>
          </cell>
          <cell r="II17">
            <v>0</v>
          </cell>
          <cell r="IJ17">
            <v>0</v>
          </cell>
          <cell r="IK17">
            <v>0</v>
          </cell>
          <cell r="IL17">
            <v>0</v>
          </cell>
          <cell r="IM17">
            <v>0</v>
          </cell>
          <cell r="IN17">
            <v>0</v>
          </cell>
          <cell r="IO17">
            <v>0</v>
          </cell>
          <cell r="IP17">
            <v>0</v>
          </cell>
          <cell r="IQ17">
            <v>0</v>
          </cell>
          <cell r="IR17">
            <v>0</v>
          </cell>
          <cell r="IS17">
            <v>0</v>
          </cell>
          <cell r="IU17">
            <v>0</v>
          </cell>
          <cell r="IW17">
            <v>0</v>
          </cell>
          <cell r="IX17">
            <v>0</v>
          </cell>
          <cell r="IY17">
            <v>0</v>
          </cell>
          <cell r="IZ17">
            <v>0</v>
          </cell>
          <cell r="JB17">
            <v>0</v>
          </cell>
          <cell r="JC17">
            <v>0</v>
          </cell>
          <cell r="JD17">
            <v>0</v>
          </cell>
          <cell r="JE17">
            <v>0</v>
          </cell>
          <cell r="JG17">
            <v>0</v>
          </cell>
          <cell r="JH17">
            <v>0</v>
          </cell>
          <cell r="JI17">
            <v>0</v>
          </cell>
          <cell r="JJ17">
            <v>0</v>
          </cell>
          <cell r="JL17">
            <v>0</v>
          </cell>
          <cell r="JM17">
            <v>0</v>
          </cell>
          <cell r="JN17">
            <v>0</v>
          </cell>
          <cell r="JO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KA17">
            <v>0</v>
          </cell>
          <cell r="KB17">
            <v>0</v>
          </cell>
          <cell r="KC17">
            <v>0</v>
          </cell>
          <cell r="KD17">
            <v>0</v>
          </cell>
          <cell r="KF17">
            <v>0</v>
          </cell>
          <cell r="KG17">
            <v>0</v>
          </cell>
          <cell r="KH17">
            <v>0</v>
          </cell>
          <cell r="KI17">
            <v>0</v>
          </cell>
          <cell r="KK17">
            <v>0</v>
          </cell>
          <cell r="KL17">
            <v>0</v>
          </cell>
          <cell r="KM17">
            <v>0</v>
          </cell>
          <cell r="KN17">
            <v>0</v>
          </cell>
          <cell r="KP17">
            <v>0</v>
          </cell>
          <cell r="KQ17">
            <v>0</v>
          </cell>
          <cell r="KR17">
            <v>0</v>
          </cell>
          <cell r="KT17">
            <v>0</v>
          </cell>
          <cell r="KV17">
            <v>0</v>
          </cell>
          <cell r="KW17">
            <v>0</v>
          </cell>
          <cell r="KX17">
            <v>0</v>
          </cell>
          <cell r="KZ17">
            <v>0</v>
          </cell>
          <cell r="LA17">
            <v>0</v>
          </cell>
          <cell r="LB17">
            <v>0</v>
          </cell>
          <cell r="LD17">
            <v>0</v>
          </cell>
          <cell r="LF17">
            <v>0</v>
          </cell>
          <cell r="LG17">
            <v>0</v>
          </cell>
          <cell r="LH17">
            <v>0</v>
          </cell>
          <cell r="LJ17">
            <v>0</v>
          </cell>
          <cell r="LK17">
            <v>0</v>
          </cell>
          <cell r="LL17">
            <v>0</v>
          </cell>
          <cell r="LN17">
            <v>0</v>
          </cell>
          <cell r="LP17">
            <v>0</v>
          </cell>
          <cell r="LQ17">
            <v>0</v>
          </cell>
          <cell r="LR17">
            <v>0</v>
          </cell>
          <cell r="LT17" t="str">
            <v>100-51</v>
          </cell>
        </row>
        <row r="18">
          <cell r="B18">
            <v>143.71</v>
          </cell>
          <cell r="C18">
            <v>147</v>
          </cell>
          <cell r="D18">
            <v>52454.150000000009</v>
          </cell>
          <cell r="E18">
            <v>53655</v>
          </cell>
          <cell r="F18">
            <v>0.97761904761904783</v>
          </cell>
          <cell r="G18">
            <v>0.97761904761904783</v>
          </cell>
          <cell r="H18">
            <v>0.05</v>
          </cell>
          <cell r="I18">
            <v>1.5674072424363517</v>
          </cell>
          <cell r="J18">
            <v>9.8211414000000001</v>
          </cell>
          <cell r="K18">
            <v>0.40281913000000008</v>
          </cell>
          <cell r="L18">
            <v>91.191324210000005</v>
          </cell>
          <cell r="M18">
            <v>1.6161626600000003</v>
          </cell>
          <cell r="N18">
            <v>38.507238210000011</v>
          </cell>
          <cell r="O18">
            <v>2.1714580999999997</v>
          </cell>
          <cell r="P18">
            <v>618.24999999999989</v>
          </cell>
          <cell r="Q18">
            <v>538.04999999999995</v>
          </cell>
          <cell r="R18">
            <v>292.33999999999992</v>
          </cell>
          <cell r="S18">
            <v>464.29999999999984</v>
          </cell>
          <cell r="T18">
            <v>553.09</v>
          </cell>
          <cell r="U18">
            <v>268.50999999999988</v>
          </cell>
          <cell r="W18">
            <v>141.03232512972457</v>
          </cell>
          <cell r="X18">
            <v>146.93481823123082</v>
          </cell>
          <cell r="Y18">
            <v>51477.5</v>
          </cell>
          <cell r="Z18">
            <v>53631</v>
          </cell>
          <cell r="AA18">
            <v>0.95984598459845982</v>
          </cell>
          <cell r="AB18">
            <v>0.9594166433696768</v>
          </cell>
          <cell r="AC18">
            <v>0.05</v>
          </cell>
          <cell r="AD18">
            <v>1.4696241257650804</v>
          </cell>
          <cell r="AE18">
            <v>5.3863973867127557</v>
          </cell>
          <cell r="AF18">
            <v>0.93071734254990035</v>
          </cell>
          <cell r="AG18">
            <v>86.664098402457753</v>
          </cell>
          <cell r="AH18">
            <v>0.59333982526882101</v>
          </cell>
          <cell r="AI18">
            <v>43.79648233166926</v>
          </cell>
          <cell r="AJ18">
            <v>3.6511213216845833</v>
          </cell>
          <cell r="AK18">
            <v>595.77912553551732</v>
          </cell>
          <cell r="AL18">
            <v>495.63204809038734</v>
          </cell>
          <cell r="AM18">
            <v>310.25611746241896</v>
          </cell>
          <cell r="AN18">
            <v>341.52465824180808</v>
          </cell>
          <cell r="AO18">
            <v>535.82723948065859</v>
          </cell>
          <cell r="AP18">
            <v>296.45404875226825</v>
          </cell>
          <cell r="AR18">
            <v>145.5860655737705</v>
          </cell>
          <cell r="AS18">
            <v>147</v>
          </cell>
          <cell r="AT18">
            <v>53284.5</v>
          </cell>
          <cell r="AU18">
            <v>53802</v>
          </cell>
          <cell r="AV18">
            <v>0.9903813984610238</v>
          </cell>
          <cell r="AW18">
            <v>0.9903813984610238</v>
          </cell>
          <cell r="AX18">
            <v>3.8999999999999993E-2</v>
          </cell>
          <cell r="AY18">
            <v>1.4191070642400094</v>
          </cell>
          <cell r="AZ18">
            <v>2.9059725000000003</v>
          </cell>
          <cell r="BA18">
            <v>0.71977291666666676</v>
          </cell>
          <cell r="BB18">
            <v>91.808527916666662</v>
          </cell>
          <cell r="BC18">
            <v>1.841105</v>
          </cell>
          <cell r="BD18">
            <v>45.555399999999999</v>
          </cell>
          <cell r="BE18">
            <v>2.7536495833333334</v>
          </cell>
          <cell r="BF18">
            <v>611.85</v>
          </cell>
          <cell r="BG18">
            <v>529.5100000000001</v>
          </cell>
          <cell r="BH18">
            <v>303.14999999999998</v>
          </cell>
          <cell r="BI18">
            <v>372.18000000000012</v>
          </cell>
          <cell r="BJ18">
            <v>574.44000000000017</v>
          </cell>
          <cell r="BK18">
            <v>289.78000000000009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H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0</v>
          </cell>
          <cell r="EY18">
            <v>0</v>
          </cell>
          <cell r="EZ18">
            <v>0</v>
          </cell>
          <cell r="FA18">
            <v>0</v>
          </cell>
          <cell r="FB18">
            <v>0</v>
          </cell>
          <cell r="FC18">
            <v>0</v>
          </cell>
          <cell r="FE18">
            <v>0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GE18">
            <v>0</v>
          </cell>
          <cell r="GF18">
            <v>0</v>
          </cell>
          <cell r="GG18">
            <v>0</v>
          </cell>
          <cell r="GH18">
            <v>0</v>
          </cell>
          <cell r="GI18">
            <v>0</v>
          </cell>
          <cell r="GJ18">
            <v>0</v>
          </cell>
          <cell r="GK18">
            <v>0</v>
          </cell>
          <cell r="GL18">
            <v>0</v>
          </cell>
          <cell r="GM18">
            <v>0</v>
          </cell>
          <cell r="GN18">
            <v>0</v>
          </cell>
          <cell r="GO18">
            <v>0</v>
          </cell>
          <cell r="GP18">
            <v>0</v>
          </cell>
          <cell r="GQ18">
            <v>0</v>
          </cell>
          <cell r="GR18">
            <v>0</v>
          </cell>
          <cell r="GS18">
            <v>0</v>
          </cell>
          <cell r="GT18">
            <v>0</v>
          </cell>
          <cell r="GU18">
            <v>0</v>
          </cell>
          <cell r="GV18">
            <v>0</v>
          </cell>
          <cell r="GW18">
            <v>0</v>
          </cell>
          <cell r="GX18">
            <v>0</v>
          </cell>
          <cell r="GY18">
            <v>0</v>
          </cell>
          <cell r="GZ18">
            <v>0</v>
          </cell>
          <cell r="HB18">
            <v>0</v>
          </cell>
          <cell r="HD18">
            <v>0</v>
          </cell>
          <cell r="HE18">
            <v>0</v>
          </cell>
          <cell r="HF18">
            <v>0</v>
          </cell>
          <cell r="HG18">
            <v>0</v>
          </cell>
          <cell r="HH18">
            <v>0</v>
          </cell>
          <cell r="HI18">
            <v>0</v>
          </cell>
          <cell r="HJ18">
            <v>0</v>
          </cell>
          <cell r="HK18">
            <v>0</v>
          </cell>
          <cell r="HL18">
            <v>0</v>
          </cell>
          <cell r="HM18">
            <v>0</v>
          </cell>
          <cell r="HN18">
            <v>0</v>
          </cell>
          <cell r="HO18">
            <v>0</v>
          </cell>
          <cell r="HQ18">
            <v>0</v>
          </cell>
          <cell r="HS18">
            <v>0</v>
          </cell>
          <cell r="HT18">
            <v>0</v>
          </cell>
          <cell r="HU18">
            <v>0</v>
          </cell>
          <cell r="HV18">
            <v>0</v>
          </cell>
          <cell r="HW18">
            <v>0</v>
          </cell>
          <cell r="HX18">
            <v>0</v>
          </cell>
          <cell r="HY18">
            <v>0</v>
          </cell>
          <cell r="HZ18">
            <v>0</v>
          </cell>
          <cell r="IA18">
            <v>0</v>
          </cell>
          <cell r="IB18">
            <v>0</v>
          </cell>
          <cell r="IC18">
            <v>0</v>
          </cell>
          <cell r="ID18">
            <v>0</v>
          </cell>
          <cell r="IF18">
            <v>0</v>
          </cell>
          <cell r="IH18">
            <v>0</v>
          </cell>
          <cell r="II18">
            <v>0</v>
          </cell>
          <cell r="IJ18">
            <v>0</v>
          </cell>
          <cell r="IK18">
            <v>0</v>
          </cell>
          <cell r="IL18">
            <v>0</v>
          </cell>
          <cell r="IM18">
            <v>0</v>
          </cell>
          <cell r="IN18">
            <v>0</v>
          </cell>
          <cell r="IO18">
            <v>0</v>
          </cell>
          <cell r="IP18">
            <v>0</v>
          </cell>
          <cell r="IQ18">
            <v>0</v>
          </cell>
          <cell r="IR18">
            <v>0</v>
          </cell>
          <cell r="IS18">
            <v>0</v>
          </cell>
          <cell r="IU18">
            <v>0</v>
          </cell>
          <cell r="IW18">
            <v>0</v>
          </cell>
          <cell r="IX18">
            <v>0</v>
          </cell>
          <cell r="IY18">
            <v>0</v>
          </cell>
          <cell r="IZ18">
            <v>0</v>
          </cell>
          <cell r="JB18">
            <v>0</v>
          </cell>
          <cell r="JC18">
            <v>0</v>
          </cell>
          <cell r="JD18">
            <v>0</v>
          </cell>
          <cell r="JE18">
            <v>0</v>
          </cell>
          <cell r="JG18">
            <v>0</v>
          </cell>
          <cell r="JH18">
            <v>0</v>
          </cell>
          <cell r="JI18">
            <v>0</v>
          </cell>
          <cell r="JJ18">
            <v>0</v>
          </cell>
          <cell r="JL18">
            <v>0</v>
          </cell>
          <cell r="JM18">
            <v>0</v>
          </cell>
          <cell r="JN18">
            <v>0</v>
          </cell>
          <cell r="JO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KA18">
            <v>0</v>
          </cell>
          <cell r="KB18">
            <v>0</v>
          </cell>
          <cell r="KC18">
            <v>0</v>
          </cell>
          <cell r="KD18">
            <v>0</v>
          </cell>
          <cell r="KF18">
            <v>0</v>
          </cell>
          <cell r="KG18">
            <v>0</v>
          </cell>
          <cell r="KH18">
            <v>0</v>
          </cell>
          <cell r="KI18">
            <v>0</v>
          </cell>
          <cell r="KK18">
            <v>0</v>
          </cell>
          <cell r="KL18">
            <v>0</v>
          </cell>
          <cell r="KM18">
            <v>0</v>
          </cell>
          <cell r="KN18">
            <v>0</v>
          </cell>
          <cell r="KP18">
            <v>0</v>
          </cell>
          <cell r="KQ18">
            <v>0</v>
          </cell>
          <cell r="KR18">
            <v>0</v>
          </cell>
          <cell r="KT18">
            <v>0</v>
          </cell>
          <cell r="KV18">
            <v>0</v>
          </cell>
          <cell r="KW18">
            <v>0</v>
          </cell>
          <cell r="KX18">
            <v>0</v>
          </cell>
          <cell r="KZ18">
            <v>0</v>
          </cell>
          <cell r="LA18">
            <v>0</v>
          </cell>
          <cell r="LB18">
            <v>0</v>
          </cell>
          <cell r="LD18">
            <v>0</v>
          </cell>
          <cell r="LF18">
            <v>0</v>
          </cell>
          <cell r="LG18">
            <v>0</v>
          </cell>
          <cell r="LH18">
            <v>0</v>
          </cell>
          <cell r="LJ18">
            <v>0</v>
          </cell>
          <cell r="LK18">
            <v>0</v>
          </cell>
          <cell r="LL18">
            <v>0</v>
          </cell>
          <cell r="LN18">
            <v>0</v>
          </cell>
          <cell r="LP18">
            <v>0</v>
          </cell>
          <cell r="LQ18">
            <v>0</v>
          </cell>
          <cell r="LR18">
            <v>0</v>
          </cell>
          <cell r="LT18" t="str">
            <v>100-61</v>
          </cell>
        </row>
        <row r="19">
          <cell r="B19">
            <v>34.58</v>
          </cell>
          <cell r="C19">
            <v>38</v>
          </cell>
          <cell r="D19">
            <v>12621.699999999995</v>
          </cell>
          <cell r="E19">
            <v>13870</v>
          </cell>
          <cell r="F19">
            <v>0.90999999999999981</v>
          </cell>
          <cell r="G19">
            <v>0.90999999999999981</v>
          </cell>
          <cell r="H19">
            <v>0.05</v>
          </cell>
          <cell r="I19">
            <v>0</v>
          </cell>
          <cell r="J19">
            <v>27.663999999999991</v>
          </cell>
          <cell r="K19">
            <v>6.9159999999999977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618.25</v>
          </cell>
          <cell r="Q19">
            <v>538.05000000000007</v>
          </cell>
          <cell r="R19">
            <v>0</v>
          </cell>
          <cell r="S19">
            <v>0</v>
          </cell>
          <cell r="T19">
            <v>799.33000000000015</v>
          </cell>
          <cell r="U19">
            <v>0</v>
          </cell>
          <cell r="W19">
            <v>35.25686234071987</v>
          </cell>
          <cell r="X19">
            <v>38.141550979297151</v>
          </cell>
          <cell r="Y19">
            <v>12868</v>
          </cell>
          <cell r="Z19">
            <v>13921</v>
          </cell>
          <cell r="AA19">
            <v>0.92435888226420515</v>
          </cell>
          <cell r="AB19">
            <v>0.92775775054073539</v>
          </cell>
          <cell r="AC19">
            <v>0.05</v>
          </cell>
          <cell r="AD19">
            <v>0</v>
          </cell>
          <cell r="AE19">
            <v>25.206924367716017</v>
          </cell>
          <cell r="AF19">
            <v>7.0115501119905188</v>
          </cell>
          <cell r="AG19">
            <v>0</v>
          </cell>
          <cell r="AH19">
            <v>2.6908731183477368</v>
          </cell>
          <cell r="AI19">
            <v>0.35033922171018744</v>
          </cell>
          <cell r="AJ19">
            <v>0</v>
          </cell>
          <cell r="AK19">
            <v>604.68289853144665</v>
          </cell>
          <cell r="AL19">
            <v>515.44906385973604</v>
          </cell>
          <cell r="AM19">
            <v>0</v>
          </cell>
          <cell r="AN19">
            <v>364.47217876546051</v>
          </cell>
          <cell r="AO19">
            <v>612.94761823172894</v>
          </cell>
          <cell r="AP19">
            <v>0</v>
          </cell>
          <cell r="AR19">
            <v>32.41393442622951</v>
          </cell>
          <cell r="AS19">
            <v>38</v>
          </cell>
          <cell r="AT19">
            <v>11863.5</v>
          </cell>
          <cell r="AU19">
            <v>13908</v>
          </cell>
          <cell r="AV19">
            <v>0.85299827437446074</v>
          </cell>
          <cell r="AW19">
            <v>0.85299827437446074</v>
          </cell>
          <cell r="AX19">
            <v>3.8999999999999993E-2</v>
          </cell>
          <cell r="AY19">
            <v>0</v>
          </cell>
          <cell r="AZ19">
            <v>25.933333333333337</v>
          </cell>
          <cell r="BA19">
            <v>6.4833333333333343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611.85</v>
          </cell>
          <cell r="BG19">
            <v>529.50999999999988</v>
          </cell>
          <cell r="BH19">
            <v>0</v>
          </cell>
          <cell r="BI19">
            <v>0</v>
          </cell>
          <cell r="BJ19">
            <v>830.53</v>
          </cell>
          <cell r="BK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H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E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GE19">
            <v>0</v>
          </cell>
          <cell r="GF19">
            <v>0</v>
          </cell>
          <cell r="GG19">
            <v>0</v>
          </cell>
          <cell r="GH19">
            <v>0</v>
          </cell>
          <cell r="GI19">
            <v>0</v>
          </cell>
          <cell r="GJ19">
            <v>0</v>
          </cell>
          <cell r="GK19">
            <v>0</v>
          </cell>
          <cell r="GL19">
            <v>0</v>
          </cell>
          <cell r="GM19">
            <v>0</v>
          </cell>
          <cell r="GN19">
            <v>0</v>
          </cell>
          <cell r="GO19">
            <v>0</v>
          </cell>
          <cell r="GP19">
            <v>0</v>
          </cell>
          <cell r="GQ19">
            <v>0</v>
          </cell>
          <cell r="GR19">
            <v>0</v>
          </cell>
          <cell r="GS19">
            <v>0</v>
          </cell>
          <cell r="GT19">
            <v>0</v>
          </cell>
          <cell r="GU19">
            <v>0</v>
          </cell>
          <cell r="GV19">
            <v>0</v>
          </cell>
          <cell r="GW19">
            <v>0</v>
          </cell>
          <cell r="GX19">
            <v>0</v>
          </cell>
          <cell r="GY19">
            <v>0</v>
          </cell>
          <cell r="GZ19">
            <v>0</v>
          </cell>
          <cell r="HB19">
            <v>0</v>
          </cell>
          <cell r="HD19">
            <v>0</v>
          </cell>
          <cell r="HE19">
            <v>0</v>
          </cell>
          <cell r="HF19">
            <v>0</v>
          </cell>
          <cell r="HG19">
            <v>0</v>
          </cell>
          <cell r="HH19">
            <v>0</v>
          </cell>
          <cell r="HI19">
            <v>0</v>
          </cell>
          <cell r="HJ19">
            <v>0</v>
          </cell>
          <cell r="HK19">
            <v>0</v>
          </cell>
          <cell r="HL19">
            <v>0</v>
          </cell>
          <cell r="HM19">
            <v>0</v>
          </cell>
          <cell r="HN19">
            <v>0</v>
          </cell>
          <cell r="HO19">
            <v>0</v>
          </cell>
          <cell r="HQ19">
            <v>0</v>
          </cell>
          <cell r="HS19">
            <v>0</v>
          </cell>
          <cell r="HT19">
            <v>0</v>
          </cell>
          <cell r="HU19">
            <v>0</v>
          </cell>
          <cell r="HV19">
            <v>0</v>
          </cell>
          <cell r="HW19">
            <v>0</v>
          </cell>
          <cell r="HX19">
            <v>0</v>
          </cell>
          <cell r="HY19">
            <v>0</v>
          </cell>
          <cell r="HZ19">
            <v>0</v>
          </cell>
          <cell r="IA19">
            <v>0</v>
          </cell>
          <cell r="IB19">
            <v>0</v>
          </cell>
          <cell r="IC19">
            <v>0</v>
          </cell>
          <cell r="ID19">
            <v>0</v>
          </cell>
          <cell r="IF19">
            <v>0</v>
          </cell>
          <cell r="IH19">
            <v>0</v>
          </cell>
          <cell r="II19">
            <v>0</v>
          </cell>
          <cell r="IJ19">
            <v>0</v>
          </cell>
          <cell r="IK19">
            <v>0</v>
          </cell>
          <cell r="IL19">
            <v>0</v>
          </cell>
          <cell r="IM19">
            <v>0</v>
          </cell>
          <cell r="IN19">
            <v>0</v>
          </cell>
          <cell r="IO19">
            <v>0</v>
          </cell>
          <cell r="IP19">
            <v>0</v>
          </cell>
          <cell r="IQ19">
            <v>0</v>
          </cell>
          <cell r="IR19">
            <v>0</v>
          </cell>
          <cell r="IS19">
            <v>0</v>
          </cell>
          <cell r="IU19">
            <v>0</v>
          </cell>
          <cell r="IW19">
            <v>0</v>
          </cell>
          <cell r="IX19">
            <v>0</v>
          </cell>
          <cell r="IY19">
            <v>0</v>
          </cell>
          <cell r="IZ19">
            <v>0</v>
          </cell>
          <cell r="JB19">
            <v>0</v>
          </cell>
          <cell r="JC19">
            <v>0</v>
          </cell>
          <cell r="JD19">
            <v>0</v>
          </cell>
          <cell r="JE19">
            <v>0</v>
          </cell>
          <cell r="JG19">
            <v>0</v>
          </cell>
          <cell r="JH19">
            <v>0</v>
          </cell>
          <cell r="JI19">
            <v>0</v>
          </cell>
          <cell r="JJ19">
            <v>0</v>
          </cell>
          <cell r="JL19">
            <v>0</v>
          </cell>
          <cell r="JM19">
            <v>0</v>
          </cell>
          <cell r="JN19">
            <v>0</v>
          </cell>
          <cell r="JO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KA19">
            <v>0</v>
          </cell>
          <cell r="KB19">
            <v>0</v>
          </cell>
          <cell r="KC19">
            <v>0</v>
          </cell>
          <cell r="KD19">
            <v>0</v>
          </cell>
          <cell r="KF19">
            <v>0</v>
          </cell>
          <cell r="KG19">
            <v>0</v>
          </cell>
          <cell r="KH19">
            <v>0</v>
          </cell>
          <cell r="KI19">
            <v>0</v>
          </cell>
          <cell r="KK19">
            <v>0</v>
          </cell>
          <cell r="KL19">
            <v>0</v>
          </cell>
          <cell r="KM19">
            <v>0</v>
          </cell>
          <cell r="KN19">
            <v>0</v>
          </cell>
          <cell r="KP19">
            <v>0</v>
          </cell>
          <cell r="KQ19">
            <v>0</v>
          </cell>
          <cell r="KR19">
            <v>0</v>
          </cell>
          <cell r="KT19">
            <v>0</v>
          </cell>
          <cell r="KV19">
            <v>0</v>
          </cell>
          <cell r="KW19">
            <v>0</v>
          </cell>
          <cell r="KX19">
            <v>0</v>
          </cell>
          <cell r="KZ19">
            <v>0</v>
          </cell>
          <cell r="LA19">
            <v>0</v>
          </cell>
          <cell r="LB19">
            <v>0</v>
          </cell>
          <cell r="LD19">
            <v>0</v>
          </cell>
          <cell r="LF19">
            <v>0</v>
          </cell>
          <cell r="LG19">
            <v>0</v>
          </cell>
          <cell r="LH19">
            <v>0</v>
          </cell>
          <cell r="LJ19">
            <v>0</v>
          </cell>
          <cell r="LK19">
            <v>0</v>
          </cell>
          <cell r="LL19">
            <v>0</v>
          </cell>
          <cell r="LN19">
            <v>0</v>
          </cell>
          <cell r="LP19">
            <v>0</v>
          </cell>
          <cell r="LQ19">
            <v>0</v>
          </cell>
          <cell r="LR19">
            <v>0</v>
          </cell>
          <cell r="LT19" t="str">
            <v>100-62</v>
          </cell>
        </row>
        <row r="20">
          <cell r="B20">
            <v>1001.6957534246576</v>
          </cell>
          <cell r="C20">
            <v>1144</v>
          </cell>
          <cell r="D20">
            <v>365618.95000000007</v>
          </cell>
          <cell r="E20">
            <v>417560</v>
          </cell>
          <cell r="F20">
            <v>0.87560817607050501</v>
          </cell>
          <cell r="G20">
            <v>0.87560817607050501</v>
          </cell>
          <cell r="H20">
            <v>4.9090909090909081E-2</v>
          </cell>
          <cell r="I20">
            <v>0.9832340435377056</v>
          </cell>
          <cell r="J20">
            <v>37.485141400000003</v>
          </cell>
          <cell r="K20">
            <v>7.3188191299999987</v>
          </cell>
          <cell r="L20">
            <v>91.191324210000005</v>
          </cell>
          <cell r="M20">
            <v>1.6161626600000003</v>
          </cell>
          <cell r="N20">
            <v>38.507238210000011</v>
          </cell>
          <cell r="O20">
            <v>2.1714580999999997</v>
          </cell>
          <cell r="P20">
            <v>1236.5</v>
          </cell>
          <cell r="Q20">
            <v>1076.0999999999999</v>
          </cell>
          <cell r="R20">
            <v>292.33999999999986</v>
          </cell>
          <cell r="S20">
            <v>464.3</v>
          </cell>
          <cell r="T20">
            <v>1352.4199999999998</v>
          </cell>
          <cell r="U20">
            <v>268.50999999999993</v>
          </cell>
          <cell r="W20">
            <v>948.08047715979342</v>
          </cell>
          <cell r="X20">
            <v>1143.822134175324</v>
          </cell>
          <cell r="Y20">
            <v>346050.5</v>
          </cell>
          <cell r="Z20">
            <v>417495</v>
          </cell>
          <cell r="AA20">
            <v>0.82887339968143336</v>
          </cell>
          <cell r="AB20">
            <v>0.82874437206628992</v>
          </cell>
          <cell r="AC20">
            <v>4.9090909090909081E-2</v>
          </cell>
          <cell r="AD20">
            <v>0.99527045866091057</v>
          </cell>
          <cell r="AE20">
            <v>30.593321754428771</v>
          </cell>
          <cell r="AF20">
            <v>7.9422674545404179</v>
          </cell>
          <cell r="AG20">
            <v>86.664098402457753</v>
          </cell>
          <cell r="AH20">
            <v>3.2842129436165575</v>
          </cell>
          <cell r="AI20">
            <v>44.146821553379446</v>
          </cell>
          <cell r="AJ20">
            <v>3.6511213216845833</v>
          </cell>
          <cell r="AK20">
            <v>1200.3368589431775</v>
          </cell>
          <cell r="AL20">
            <v>1011.5162101785108</v>
          </cell>
          <cell r="AM20">
            <v>310.25489148821714</v>
          </cell>
          <cell r="AN20">
            <v>705.86949857523632</v>
          </cell>
          <cell r="AO20">
            <v>1148.7576857549325</v>
          </cell>
          <cell r="AP20">
            <v>296.52343095724359</v>
          </cell>
          <cell r="AR20">
            <v>978.82786885245901</v>
          </cell>
          <cell r="AS20">
            <v>1143</v>
          </cell>
          <cell r="AT20">
            <v>358251</v>
          </cell>
          <cell r="AU20">
            <v>418338</v>
          </cell>
          <cell r="AV20">
            <v>0.85636733932848563</v>
          </cell>
          <cell r="AW20">
            <v>0.85636733932848563</v>
          </cell>
          <cell r="AX20">
            <v>3.8181818181818185E-2</v>
          </cell>
          <cell r="AY20">
            <v>0.95403332582718758</v>
          </cell>
          <cell r="AZ20">
            <v>28.839305833333341</v>
          </cell>
          <cell r="BA20">
            <v>7.2031062500000012</v>
          </cell>
          <cell r="BB20">
            <v>91.808527916666662</v>
          </cell>
          <cell r="BC20">
            <v>1.841105</v>
          </cell>
          <cell r="BD20">
            <v>45.555399999999999</v>
          </cell>
          <cell r="BE20">
            <v>2.7536495833333334</v>
          </cell>
          <cell r="BF20">
            <v>1223.6999999999998</v>
          </cell>
          <cell r="BG20">
            <v>1059.02</v>
          </cell>
          <cell r="BH20">
            <v>303.15000000000003</v>
          </cell>
          <cell r="BI20">
            <v>372.17999999999989</v>
          </cell>
          <cell r="BJ20">
            <v>1404.97</v>
          </cell>
          <cell r="BK20">
            <v>289.78000000000003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32.000000000000007</v>
          </cell>
          <cell r="CC20">
            <v>19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6.9999999999999991</v>
          </cell>
          <cell r="CI20">
            <v>9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20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9</v>
          </cell>
          <cell r="CV20">
            <v>33.999999999999993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H20">
            <v>130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32.000000000000007</v>
          </cell>
          <cell r="DZ20">
            <v>19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6.9999999999999991</v>
          </cell>
          <cell r="EF20">
            <v>9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20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9</v>
          </cell>
          <cell r="ES20">
            <v>33.999999999999993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E20">
            <v>130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32</v>
          </cell>
          <cell r="FW20">
            <v>24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9</v>
          </cell>
          <cell r="GC20">
            <v>10</v>
          </cell>
          <cell r="GD20">
            <v>0</v>
          </cell>
          <cell r="GE20">
            <v>0</v>
          </cell>
          <cell r="GF20">
            <v>0</v>
          </cell>
          <cell r="GG20">
            <v>0</v>
          </cell>
          <cell r="GH20">
            <v>0</v>
          </cell>
          <cell r="GI20">
            <v>0</v>
          </cell>
          <cell r="GJ20">
            <v>23</v>
          </cell>
          <cell r="GK20">
            <v>0</v>
          </cell>
          <cell r="GL20">
            <v>0</v>
          </cell>
          <cell r="GM20">
            <v>0</v>
          </cell>
          <cell r="GN20">
            <v>0</v>
          </cell>
          <cell r="GO20">
            <v>9</v>
          </cell>
          <cell r="GP20">
            <v>36</v>
          </cell>
          <cell r="GQ20">
            <v>0</v>
          </cell>
          <cell r="GR20">
            <v>0</v>
          </cell>
          <cell r="GS20">
            <v>0</v>
          </cell>
          <cell r="GT20">
            <v>0</v>
          </cell>
          <cell r="GU20">
            <v>1</v>
          </cell>
          <cell r="GV20">
            <v>2</v>
          </cell>
          <cell r="GW20">
            <v>0</v>
          </cell>
          <cell r="GX20">
            <v>0</v>
          </cell>
          <cell r="GY20">
            <v>0</v>
          </cell>
          <cell r="GZ20">
            <v>0</v>
          </cell>
          <cell r="HB20">
            <v>146</v>
          </cell>
          <cell r="HD20">
            <v>2</v>
          </cell>
          <cell r="HE20">
            <v>4</v>
          </cell>
          <cell r="HF20">
            <v>3</v>
          </cell>
          <cell r="HG20">
            <v>2</v>
          </cell>
          <cell r="HH20">
            <v>1</v>
          </cell>
          <cell r="HI20">
            <v>2</v>
          </cell>
          <cell r="HJ20">
            <v>2</v>
          </cell>
          <cell r="HK20">
            <v>1</v>
          </cell>
          <cell r="HL20">
            <v>3</v>
          </cell>
          <cell r="HM20">
            <v>1</v>
          </cell>
          <cell r="HN20">
            <v>0</v>
          </cell>
          <cell r="HO20">
            <v>0</v>
          </cell>
          <cell r="HQ20">
            <v>21</v>
          </cell>
          <cell r="HS20">
            <v>2</v>
          </cell>
          <cell r="HT20">
            <v>4</v>
          </cell>
          <cell r="HU20">
            <v>3</v>
          </cell>
          <cell r="HV20">
            <v>2</v>
          </cell>
          <cell r="HW20">
            <v>1</v>
          </cell>
          <cell r="HX20">
            <v>2</v>
          </cell>
          <cell r="HY20">
            <v>2</v>
          </cell>
          <cell r="HZ20">
            <v>1</v>
          </cell>
          <cell r="IA20">
            <v>3</v>
          </cell>
          <cell r="IB20">
            <v>1</v>
          </cell>
          <cell r="IC20">
            <v>0</v>
          </cell>
          <cell r="ID20">
            <v>0</v>
          </cell>
          <cell r="IF20">
            <v>21</v>
          </cell>
          <cell r="IH20">
            <v>2</v>
          </cell>
          <cell r="II20">
            <v>4</v>
          </cell>
          <cell r="IJ20">
            <v>3</v>
          </cell>
          <cell r="IK20">
            <v>2</v>
          </cell>
          <cell r="IL20">
            <v>1</v>
          </cell>
          <cell r="IM20">
            <v>2</v>
          </cell>
          <cell r="IN20">
            <v>2</v>
          </cell>
          <cell r="IO20">
            <v>1</v>
          </cell>
          <cell r="IP20">
            <v>3</v>
          </cell>
          <cell r="IQ20">
            <v>1</v>
          </cell>
          <cell r="IR20">
            <v>0</v>
          </cell>
          <cell r="IS20">
            <v>0</v>
          </cell>
          <cell r="IU20">
            <v>21</v>
          </cell>
          <cell r="IW20">
            <v>0</v>
          </cell>
          <cell r="IX20">
            <v>0</v>
          </cell>
          <cell r="IY20">
            <v>0</v>
          </cell>
          <cell r="IZ20">
            <v>0</v>
          </cell>
          <cell r="JB20">
            <v>0</v>
          </cell>
          <cell r="JC20">
            <v>0</v>
          </cell>
          <cell r="JD20">
            <v>0</v>
          </cell>
          <cell r="JE20">
            <v>0</v>
          </cell>
          <cell r="JG20">
            <v>0</v>
          </cell>
          <cell r="JH20">
            <v>0</v>
          </cell>
          <cell r="JI20">
            <v>0</v>
          </cell>
          <cell r="JJ20">
            <v>0</v>
          </cell>
          <cell r="JL20">
            <v>0</v>
          </cell>
          <cell r="JM20">
            <v>0</v>
          </cell>
          <cell r="JN20">
            <v>0</v>
          </cell>
          <cell r="JO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KA20">
            <v>0</v>
          </cell>
          <cell r="KB20">
            <v>0</v>
          </cell>
          <cell r="KC20">
            <v>0</v>
          </cell>
          <cell r="KD20">
            <v>0</v>
          </cell>
          <cell r="KF20">
            <v>0</v>
          </cell>
          <cell r="KG20">
            <v>0</v>
          </cell>
          <cell r="KH20">
            <v>0</v>
          </cell>
          <cell r="KI20">
            <v>0</v>
          </cell>
          <cell r="KK20">
            <v>0</v>
          </cell>
          <cell r="KL20">
            <v>0</v>
          </cell>
          <cell r="KM20">
            <v>0</v>
          </cell>
          <cell r="KN20">
            <v>0</v>
          </cell>
          <cell r="KP20">
            <v>0</v>
          </cell>
          <cell r="KQ20">
            <v>0</v>
          </cell>
          <cell r="KR20">
            <v>0</v>
          </cell>
          <cell r="KT20">
            <v>0</v>
          </cell>
          <cell r="KV20">
            <v>0</v>
          </cell>
          <cell r="KW20">
            <v>0</v>
          </cell>
          <cell r="KX20">
            <v>0</v>
          </cell>
          <cell r="KZ20">
            <v>0</v>
          </cell>
          <cell r="LA20">
            <v>0</v>
          </cell>
          <cell r="LB20">
            <v>0</v>
          </cell>
          <cell r="LD20">
            <v>0</v>
          </cell>
          <cell r="LF20">
            <v>0</v>
          </cell>
          <cell r="LG20">
            <v>0</v>
          </cell>
          <cell r="LH20">
            <v>0</v>
          </cell>
          <cell r="LJ20">
            <v>0</v>
          </cell>
          <cell r="LK20">
            <v>0</v>
          </cell>
          <cell r="LL20">
            <v>0</v>
          </cell>
          <cell r="LN20">
            <v>0</v>
          </cell>
          <cell r="LP20">
            <v>0</v>
          </cell>
          <cell r="LQ20">
            <v>0</v>
          </cell>
          <cell r="LR20">
            <v>0</v>
          </cell>
          <cell r="LT20" t="str">
            <v>100-Entity</v>
          </cell>
        </row>
        <row r="21">
          <cell r="B21">
            <v>69.839999999999989</v>
          </cell>
          <cell r="C21">
            <v>72</v>
          </cell>
          <cell r="D21">
            <v>25491.600000000009</v>
          </cell>
          <cell r="E21">
            <v>26280</v>
          </cell>
          <cell r="F21">
            <v>0.9700000000000002</v>
          </cell>
          <cell r="G21">
            <v>0.9700000000000002</v>
          </cell>
          <cell r="H21">
            <v>4.8999999999999995E-2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W21">
            <v>70.68493150684931</v>
          </cell>
          <cell r="X21">
            <v>72</v>
          </cell>
          <cell r="Y21">
            <v>25800</v>
          </cell>
          <cell r="Z21">
            <v>26280</v>
          </cell>
          <cell r="AA21">
            <v>0.9817351598173516</v>
          </cell>
          <cell r="AB21">
            <v>0.9817351598173516</v>
          </cell>
          <cell r="AC21">
            <v>4.8999999999999995E-2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R21">
            <v>70</v>
          </cell>
          <cell r="AS21">
            <v>72</v>
          </cell>
          <cell r="AT21">
            <v>25620</v>
          </cell>
          <cell r="AU21">
            <v>26352</v>
          </cell>
          <cell r="AV21">
            <v>0.97222222222222221</v>
          </cell>
          <cell r="AW21">
            <v>0.97222222222222221</v>
          </cell>
          <cell r="AX21">
            <v>3.9999999999999994E-2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36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H21">
            <v>36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36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E21">
            <v>36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37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GE21">
            <v>0</v>
          </cell>
          <cell r="GF21">
            <v>0</v>
          </cell>
          <cell r="GG21">
            <v>0</v>
          </cell>
          <cell r="GH21">
            <v>0</v>
          </cell>
          <cell r="GI21">
            <v>0</v>
          </cell>
          <cell r="GJ21">
            <v>0</v>
          </cell>
          <cell r="GK21">
            <v>0</v>
          </cell>
          <cell r="GL21">
            <v>0</v>
          </cell>
          <cell r="GM21">
            <v>0</v>
          </cell>
          <cell r="GN21">
            <v>0</v>
          </cell>
          <cell r="GO21">
            <v>0</v>
          </cell>
          <cell r="GP21">
            <v>0</v>
          </cell>
          <cell r="GQ21">
            <v>0</v>
          </cell>
          <cell r="GR21">
            <v>0</v>
          </cell>
          <cell r="GS21">
            <v>0</v>
          </cell>
          <cell r="GT21">
            <v>0</v>
          </cell>
          <cell r="GU21">
            <v>0</v>
          </cell>
          <cell r="GV21">
            <v>0</v>
          </cell>
          <cell r="GW21">
            <v>0</v>
          </cell>
          <cell r="GX21">
            <v>0</v>
          </cell>
          <cell r="GY21">
            <v>0</v>
          </cell>
          <cell r="GZ21">
            <v>0</v>
          </cell>
          <cell r="HB21">
            <v>37</v>
          </cell>
          <cell r="HD21">
            <v>0</v>
          </cell>
          <cell r="HE21">
            <v>0</v>
          </cell>
          <cell r="HF21">
            <v>0</v>
          </cell>
          <cell r="HG21">
            <v>0</v>
          </cell>
          <cell r="HH21">
            <v>0</v>
          </cell>
          <cell r="HI21">
            <v>0</v>
          </cell>
          <cell r="HJ21">
            <v>0</v>
          </cell>
          <cell r="HK21">
            <v>0</v>
          </cell>
          <cell r="HL21">
            <v>0</v>
          </cell>
          <cell r="HM21">
            <v>0</v>
          </cell>
          <cell r="HN21">
            <v>0</v>
          </cell>
          <cell r="HO21">
            <v>0</v>
          </cell>
          <cell r="HQ21">
            <v>0</v>
          </cell>
          <cell r="HS21">
            <v>0</v>
          </cell>
          <cell r="HT21">
            <v>0</v>
          </cell>
          <cell r="HU21">
            <v>0</v>
          </cell>
          <cell r="HV21">
            <v>0</v>
          </cell>
          <cell r="HW21">
            <v>0</v>
          </cell>
          <cell r="HX21">
            <v>0</v>
          </cell>
          <cell r="HY21">
            <v>0</v>
          </cell>
          <cell r="HZ21">
            <v>0</v>
          </cell>
          <cell r="IA21">
            <v>0</v>
          </cell>
          <cell r="IB21">
            <v>0</v>
          </cell>
          <cell r="IC21">
            <v>0</v>
          </cell>
          <cell r="ID21">
            <v>0</v>
          </cell>
          <cell r="IF21">
            <v>0</v>
          </cell>
          <cell r="IH21">
            <v>0</v>
          </cell>
          <cell r="II21">
            <v>0</v>
          </cell>
          <cell r="IJ21">
            <v>0</v>
          </cell>
          <cell r="IK21">
            <v>0</v>
          </cell>
          <cell r="IL21">
            <v>0</v>
          </cell>
          <cell r="IM21">
            <v>0</v>
          </cell>
          <cell r="IN21">
            <v>0</v>
          </cell>
          <cell r="IO21">
            <v>0</v>
          </cell>
          <cell r="IP21">
            <v>0</v>
          </cell>
          <cell r="IQ21">
            <v>0</v>
          </cell>
          <cell r="IR21">
            <v>0</v>
          </cell>
          <cell r="IS21">
            <v>0</v>
          </cell>
          <cell r="IU21">
            <v>0</v>
          </cell>
          <cell r="IW21">
            <v>0</v>
          </cell>
          <cell r="IX21">
            <v>0</v>
          </cell>
          <cell r="IY21">
            <v>0</v>
          </cell>
          <cell r="IZ21">
            <v>0</v>
          </cell>
          <cell r="JB21">
            <v>0</v>
          </cell>
          <cell r="JC21">
            <v>0</v>
          </cell>
          <cell r="JD21">
            <v>0</v>
          </cell>
          <cell r="JE21">
            <v>0</v>
          </cell>
          <cell r="JG21">
            <v>0</v>
          </cell>
          <cell r="JH21">
            <v>0</v>
          </cell>
          <cell r="JI21">
            <v>0</v>
          </cell>
          <cell r="JJ21">
            <v>0</v>
          </cell>
          <cell r="JL21">
            <v>0</v>
          </cell>
          <cell r="JM21">
            <v>0</v>
          </cell>
          <cell r="JN21">
            <v>0</v>
          </cell>
          <cell r="JO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KA21">
            <v>0</v>
          </cell>
          <cell r="KB21">
            <v>0</v>
          </cell>
          <cell r="KC21">
            <v>0</v>
          </cell>
          <cell r="KD21">
            <v>0</v>
          </cell>
          <cell r="KF21">
            <v>0</v>
          </cell>
          <cell r="KG21">
            <v>0</v>
          </cell>
          <cell r="KH21">
            <v>0</v>
          </cell>
          <cell r="KI21">
            <v>0</v>
          </cell>
          <cell r="KK21">
            <v>0</v>
          </cell>
          <cell r="KL21">
            <v>0</v>
          </cell>
          <cell r="KM21">
            <v>0</v>
          </cell>
          <cell r="KN21">
            <v>0</v>
          </cell>
          <cell r="KP21">
            <v>0</v>
          </cell>
          <cell r="KQ21">
            <v>0</v>
          </cell>
          <cell r="KR21">
            <v>0</v>
          </cell>
          <cell r="KT21">
            <v>0</v>
          </cell>
          <cell r="KV21">
            <v>0</v>
          </cell>
          <cell r="KW21">
            <v>0</v>
          </cell>
          <cell r="KX21">
            <v>0</v>
          </cell>
          <cell r="KZ21">
            <v>0</v>
          </cell>
          <cell r="LA21">
            <v>0</v>
          </cell>
          <cell r="LB21">
            <v>0</v>
          </cell>
          <cell r="LD21">
            <v>0</v>
          </cell>
          <cell r="LF21">
            <v>0</v>
          </cell>
          <cell r="LG21">
            <v>0</v>
          </cell>
          <cell r="LH21">
            <v>0</v>
          </cell>
          <cell r="LJ21">
            <v>0</v>
          </cell>
          <cell r="LK21">
            <v>0</v>
          </cell>
          <cell r="LL21">
            <v>0</v>
          </cell>
          <cell r="LN21">
            <v>0</v>
          </cell>
          <cell r="LP21">
            <v>0</v>
          </cell>
          <cell r="LQ21">
            <v>0</v>
          </cell>
          <cell r="LR21">
            <v>0</v>
          </cell>
          <cell r="LT21" t="str">
            <v>200-21</v>
          </cell>
        </row>
        <row r="22">
          <cell r="B22">
            <v>131</v>
          </cell>
          <cell r="C22">
            <v>142</v>
          </cell>
          <cell r="D22">
            <v>47815</v>
          </cell>
          <cell r="E22">
            <v>51830</v>
          </cell>
          <cell r="F22">
            <v>0.92253521126760563</v>
          </cell>
          <cell r="G22">
            <v>0.92253521126760563</v>
          </cell>
          <cell r="H22">
            <v>4.8999999999999995E-2</v>
          </cell>
          <cell r="I22">
            <v>2.0065130281447936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W22">
            <v>127.60547945205479</v>
          </cell>
          <cell r="X22">
            <v>142</v>
          </cell>
          <cell r="Y22">
            <v>46576</v>
          </cell>
          <cell r="Z22">
            <v>51830</v>
          </cell>
          <cell r="AA22">
            <v>0.89863013698630134</v>
          </cell>
          <cell r="AB22">
            <v>0.89863013698630134</v>
          </cell>
          <cell r="AC22">
            <v>4.8999999999999995E-2</v>
          </cell>
          <cell r="AD22">
            <v>1.952395594854081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R22">
            <v>131</v>
          </cell>
          <cell r="AS22">
            <v>142</v>
          </cell>
          <cell r="AT22">
            <v>47946</v>
          </cell>
          <cell r="AU22">
            <v>51972</v>
          </cell>
          <cell r="AV22">
            <v>0.92253521126760563</v>
          </cell>
          <cell r="AW22">
            <v>0.92253521126760563</v>
          </cell>
          <cell r="AX22">
            <v>3.9999999999999994E-2</v>
          </cell>
          <cell r="AY22">
            <v>1.8388867871022381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24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H22">
            <v>24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24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E22">
            <v>24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23.000000000000004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GE22">
            <v>0</v>
          </cell>
          <cell r="GF22">
            <v>0</v>
          </cell>
          <cell r="GG22">
            <v>0</v>
          </cell>
          <cell r="GH22">
            <v>0</v>
          </cell>
          <cell r="GI22">
            <v>0</v>
          </cell>
          <cell r="GJ22">
            <v>0</v>
          </cell>
          <cell r="GK22">
            <v>0</v>
          </cell>
          <cell r="GL22">
            <v>0</v>
          </cell>
          <cell r="GM22">
            <v>0</v>
          </cell>
          <cell r="GN22">
            <v>0</v>
          </cell>
          <cell r="GO22">
            <v>0</v>
          </cell>
          <cell r="GP22">
            <v>0</v>
          </cell>
          <cell r="GQ22">
            <v>0</v>
          </cell>
          <cell r="GR22">
            <v>0</v>
          </cell>
          <cell r="GS22">
            <v>0</v>
          </cell>
          <cell r="GT22">
            <v>0</v>
          </cell>
          <cell r="GU22">
            <v>0</v>
          </cell>
          <cell r="GV22">
            <v>0</v>
          </cell>
          <cell r="GW22">
            <v>0</v>
          </cell>
          <cell r="GX22">
            <v>0</v>
          </cell>
          <cell r="GY22">
            <v>0</v>
          </cell>
          <cell r="GZ22">
            <v>0</v>
          </cell>
          <cell r="HB22">
            <v>23.000000000000004</v>
          </cell>
          <cell r="HD22">
            <v>0</v>
          </cell>
          <cell r="HE22">
            <v>0</v>
          </cell>
          <cell r="HF22">
            <v>0</v>
          </cell>
          <cell r="HG22">
            <v>0</v>
          </cell>
          <cell r="HH22">
            <v>0</v>
          </cell>
          <cell r="HI22">
            <v>0</v>
          </cell>
          <cell r="HJ22">
            <v>0</v>
          </cell>
          <cell r="HK22">
            <v>0</v>
          </cell>
          <cell r="HL22">
            <v>0</v>
          </cell>
          <cell r="HM22">
            <v>0</v>
          </cell>
          <cell r="HN22">
            <v>0</v>
          </cell>
          <cell r="HO22">
            <v>0</v>
          </cell>
          <cell r="HQ22">
            <v>0</v>
          </cell>
          <cell r="HS22">
            <v>0</v>
          </cell>
          <cell r="HT22">
            <v>0</v>
          </cell>
          <cell r="HU22">
            <v>0</v>
          </cell>
          <cell r="HV22">
            <v>0</v>
          </cell>
          <cell r="HW22">
            <v>0</v>
          </cell>
          <cell r="HX22">
            <v>0</v>
          </cell>
          <cell r="HY22">
            <v>0</v>
          </cell>
          <cell r="HZ22">
            <v>0</v>
          </cell>
          <cell r="IA22">
            <v>0</v>
          </cell>
          <cell r="IB22">
            <v>0</v>
          </cell>
          <cell r="IC22">
            <v>0</v>
          </cell>
          <cell r="ID22">
            <v>0</v>
          </cell>
          <cell r="IF22">
            <v>0</v>
          </cell>
          <cell r="IH22">
            <v>0</v>
          </cell>
          <cell r="II22">
            <v>0</v>
          </cell>
          <cell r="IJ22">
            <v>0</v>
          </cell>
          <cell r="IK22">
            <v>0</v>
          </cell>
          <cell r="IL22">
            <v>0</v>
          </cell>
          <cell r="IM22">
            <v>0</v>
          </cell>
          <cell r="IN22">
            <v>0</v>
          </cell>
          <cell r="IO22">
            <v>0</v>
          </cell>
          <cell r="IP22">
            <v>0</v>
          </cell>
          <cell r="IQ22">
            <v>0</v>
          </cell>
          <cell r="IR22">
            <v>0</v>
          </cell>
          <cell r="IS22">
            <v>0</v>
          </cell>
          <cell r="IU22">
            <v>0</v>
          </cell>
          <cell r="IW22">
            <v>0</v>
          </cell>
          <cell r="IX22">
            <v>0</v>
          </cell>
          <cell r="IY22">
            <v>0</v>
          </cell>
          <cell r="IZ22">
            <v>0</v>
          </cell>
          <cell r="JB22">
            <v>0</v>
          </cell>
          <cell r="JC22">
            <v>0</v>
          </cell>
          <cell r="JD22">
            <v>0</v>
          </cell>
          <cell r="JE22">
            <v>0</v>
          </cell>
          <cell r="JG22">
            <v>0</v>
          </cell>
          <cell r="JH22">
            <v>0</v>
          </cell>
          <cell r="JI22">
            <v>0</v>
          </cell>
          <cell r="JJ22">
            <v>0</v>
          </cell>
          <cell r="JL22">
            <v>0</v>
          </cell>
          <cell r="JM22">
            <v>0</v>
          </cell>
          <cell r="JN22">
            <v>0</v>
          </cell>
          <cell r="JO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  <cell r="KF22">
            <v>0</v>
          </cell>
          <cell r="KG22">
            <v>0</v>
          </cell>
          <cell r="KH22">
            <v>0</v>
          </cell>
          <cell r="KI22">
            <v>0</v>
          </cell>
          <cell r="KK22">
            <v>0</v>
          </cell>
          <cell r="KL22">
            <v>0</v>
          </cell>
          <cell r="KM22">
            <v>0</v>
          </cell>
          <cell r="KN22">
            <v>0</v>
          </cell>
          <cell r="KP22">
            <v>0</v>
          </cell>
          <cell r="KQ22">
            <v>0</v>
          </cell>
          <cell r="KR22">
            <v>0</v>
          </cell>
          <cell r="KT22">
            <v>0</v>
          </cell>
          <cell r="KV22">
            <v>0</v>
          </cell>
          <cell r="KW22">
            <v>0</v>
          </cell>
          <cell r="KX22">
            <v>0</v>
          </cell>
          <cell r="KZ22">
            <v>0</v>
          </cell>
          <cell r="LA22">
            <v>0</v>
          </cell>
          <cell r="LB22">
            <v>0</v>
          </cell>
          <cell r="LD22">
            <v>0</v>
          </cell>
          <cell r="LF22">
            <v>0</v>
          </cell>
          <cell r="LG22">
            <v>0</v>
          </cell>
          <cell r="LH22">
            <v>0</v>
          </cell>
          <cell r="LJ22">
            <v>0</v>
          </cell>
          <cell r="LK22">
            <v>0</v>
          </cell>
          <cell r="LL22">
            <v>0</v>
          </cell>
          <cell r="LN22">
            <v>0</v>
          </cell>
          <cell r="LP22">
            <v>0</v>
          </cell>
          <cell r="LQ22">
            <v>0</v>
          </cell>
          <cell r="LR22">
            <v>0</v>
          </cell>
          <cell r="LT22" t="str">
            <v>200-31</v>
          </cell>
        </row>
        <row r="23">
          <cell r="B23">
            <v>82.56</v>
          </cell>
          <cell r="C23">
            <v>86</v>
          </cell>
          <cell r="D23">
            <v>30134.400000000001</v>
          </cell>
          <cell r="E23">
            <v>31390</v>
          </cell>
          <cell r="F23">
            <v>0.96</v>
          </cell>
          <cell r="G23">
            <v>0.96</v>
          </cell>
          <cell r="H23">
            <v>4.8999999999999995E-2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W23">
            <v>81.61369863013698</v>
          </cell>
          <cell r="X23">
            <v>86</v>
          </cell>
          <cell r="Y23">
            <v>29789</v>
          </cell>
          <cell r="Z23">
            <v>31390</v>
          </cell>
          <cell r="AA23">
            <v>0.94899649569926725</v>
          </cell>
          <cell r="AB23">
            <v>0.94899649569926725</v>
          </cell>
          <cell r="AC23">
            <v>4.8999999999999995E-2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R23">
            <v>81.7</v>
          </cell>
          <cell r="AS23">
            <v>86</v>
          </cell>
          <cell r="AT23">
            <v>29902.200000000004</v>
          </cell>
          <cell r="AU23">
            <v>31476</v>
          </cell>
          <cell r="AV23">
            <v>0.95000000000000018</v>
          </cell>
          <cell r="AW23">
            <v>0.95000000000000018</v>
          </cell>
          <cell r="AX23">
            <v>3.9999999999999994E-2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30.999999999999996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H23">
            <v>30.999999999999996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30.999999999999996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E23">
            <v>30.999999999999996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30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GE23">
            <v>0</v>
          </cell>
          <cell r="GF23">
            <v>0</v>
          </cell>
          <cell r="GG23">
            <v>0</v>
          </cell>
          <cell r="GH23">
            <v>0</v>
          </cell>
          <cell r="GI23">
            <v>0</v>
          </cell>
          <cell r="GJ23">
            <v>0</v>
          </cell>
          <cell r="GK23">
            <v>0</v>
          </cell>
          <cell r="GL23">
            <v>0</v>
          </cell>
          <cell r="GM23">
            <v>0</v>
          </cell>
          <cell r="GN23">
            <v>0</v>
          </cell>
          <cell r="GO23">
            <v>0</v>
          </cell>
          <cell r="GP23">
            <v>0</v>
          </cell>
          <cell r="GQ23">
            <v>0</v>
          </cell>
          <cell r="GR23">
            <v>0</v>
          </cell>
          <cell r="GS23">
            <v>0</v>
          </cell>
          <cell r="GT23">
            <v>0</v>
          </cell>
          <cell r="GU23">
            <v>0</v>
          </cell>
          <cell r="GV23">
            <v>0</v>
          </cell>
          <cell r="GW23">
            <v>0</v>
          </cell>
          <cell r="GX23">
            <v>0</v>
          </cell>
          <cell r="GY23">
            <v>0</v>
          </cell>
          <cell r="GZ23">
            <v>0</v>
          </cell>
          <cell r="HB23">
            <v>30</v>
          </cell>
          <cell r="HD23">
            <v>0</v>
          </cell>
          <cell r="HE23">
            <v>0</v>
          </cell>
          <cell r="HF23">
            <v>0</v>
          </cell>
          <cell r="HG23">
            <v>0</v>
          </cell>
          <cell r="HH23">
            <v>0</v>
          </cell>
          <cell r="HI23">
            <v>0</v>
          </cell>
          <cell r="HJ23">
            <v>0</v>
          </cell>
          <cell r="HK23">
            <v>0</v>
          </cell>
          <cell r="HL23">
            <v>0</v>
          </cell>
          <cell r="HM23">
            <v>0</v>
          </cell>
          <cell r="HN23">
            <v>0</v>
          </cell>
          <cell r="HO23">
            <v>0</v>
          </cell>
          <cell r="HQ23">
            <v>0</v>
          </cell>
          <cell r="HS23">
            <v>0</v>
          </cell>
          <cell r="HT23">
            <v>0</v>
          </cell>
          <cell r="HU23">
            <v>0</v>
          </cell>
          <cell r="HV23">
            <v>0</v>
          </cell>
          <cell r="HW23">
            <v>0</v>
          </cell>
          <cell r="HX23">
            <v>0</v>
          </cell>
          <cell r="HY23">
            <v>0</v>
          </cell>
          <cell r="HZ23">
            <v>0</v>
          </cell>
          <cell r="IA23">
            <v>0</v>
          </cell>
          <cell r="IB23">
            <v>0</v>
          </cell>
          <cell r="IC23">
            <v>0</v>
          </cell>
          <cell r="ID23">
            <v>0</v>
          </cell>
          <cell r="IF23">
            <v>0</v>
          </cell>
          <cell r="IH23">
            <v>0</v>
          </cell>
          <cell r="II23">
            <v>0</v>
          </cell>
          <cell r="IJ23">
            <v>0</v>
          </cell>
          <cell r="IK23">
            <v>0</v>
          </cell>
          <cell r="IL23">
            <v>0</v>
          </cell>
          <cell r="IM23">
            <v>0</v>
          </cell>
          <cell r="IN23">
            <v>0</v>
          </cell>
          <cell r="IO23">
            <v>0</v>
          </cell>
          <cell r="IP23">
            <v>0</v>
          </cell>
          <cell r="IQ23">
            <v>0</v>
          </cell>
          <cell r="IR23">
            <v>0</v>
          </cell>
          <cell r="IS23">
            <v>0</v>
          </cell>
          <cell r="IU23">
            <v>0</v>
          </cell>
          <cell r="IW23">
            <v>0</v>
          </cell>
          <cell r="IX23">
            <v>0</v>
          </cell>
          <cell r="IY23">
            <v>0</v>
          </cell>
          <cell r="IZ23">
            <v>0</v>
          </cell>
          <cell r="JB23">
            <v>0</v>
          </cell>
          <cell r="JC23">
            <v>0</v>
          </cell>
          <cell r="JD23">
            <v>0</v>
          </cell>
          <cell r="JE23">
            <v>0</v>
          </cell>
          <cell r="JG23">
            <v>0</v>
          </cell>
          <cell r="JH23">
            <v>0</v>
          </cell>
          <cell r="JI23">
            <v>0</v>
          </cell>
          <cell r="JJ23">
            <v>0</v>
          </cell>
          <cell r="JL23">
            <v>0</v>
          </cell>
          <cell r="JM23">
            <v>0</v>
          </cell>
          <cell r="JN23">
            <v>0</v>
          </cell>
          <cell r="JO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KA23">
            <v>0</v>
          </cell>
          <cell r="KB23">
            <v>0</v>
          </cell>
          <cell r="KC23">
            <v>0</v>
          </cell>
          <cell r="KD23">
            <v>0</v>
          </cell>
          <cell r="KF23">
            <v>0</v>
          </cell>
          <cell r="KG23">
            <v>0</v>
          </cell>
          <cell r="KH23">
            <v>0</v>
          </cell>
          <cell r="KI23">
            <v>0</v>
          </cell>
          <cell r="KK23">
            <v>0</v>
          </cell>
          <cell r="KL23">
            <v>0</v>
          </cell>
          <cell r="KM23">
            <v>0</v>
          </cell>
          <cell r="KN23">
            <v>0</v>
          </cell>
          <cell r="KP23">
            <v>0</v>
          </cell>
          <cell r="KQ23">
            <v>0</v>
          </cell>
          <cell r="KR23">
            <v>0</v>
          </cell>
          <cell r="KT23">
            <v>0</v>
          </cell>
          <cell r="KV23">
            <v>0</v>
          </cell>
          <cell r="KW23">
            <v>0</v>
          </cell>
          <cell r="KX23">
            <v>0</v>
          </cell>
          <cell r="KZ23">
            <v>0</v>
          </cell>
          <cell r="LA23">
            <v>0</v>
          </cell>
          <cell r="LB23">
            <v>0</v>
          </cell>
          <cell r="LD23">
            <v>0</v>
          </cell>
          <cell r="LF23">
            <v>0</v>
          </cell>
          <cell r="LG23">
            <v>0</v>
          </cell>
          <cell r="LH23">
            <v>0</v>
          </cell>
          <cell r="LJ23">
            <v>0</v>
          </cell>
          <cell r="LK23">
            <v>0</v>
          </cell>
          <cell r="LL23">
            <v>0</v>
          </cell>
          <cell r="LN23">
            <v>0</v>
          </cell>
          <cell r="LP23">
            <v>0</v>
          </cell>
          <cell r="LQ23">
            <v>0</v>
          </cell>
          <cell r="LR23">
            <v>0</v>
          </cell>
          <cell r="LT23" t="str">
            <v>200-32</v>
          </cell>
        </row>
        <row r="24">
          <cell r="B24">
            <v>23.52</v>
          </cell>
          <cell r="C24">
            <v>24</v>
          </cell>
          <cell r="D24">
            <v>8584.8000000000011</v>
          </cell>
          <cell r="E24">
            <v>8760</v>
          </cell>
          <cell r="F24">
            <v>0.98</v>
          </cell>
          <cell r="G24">
            <v>0.98</v>
          </cell>
          <cell r="H24">
            <v>4.8999999999999995E-2</v>
          </cell>
          <cell r="I24">
            <v>0.86478964531717706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W24">
            <v>23.819506849315069</v>
          </cell>
          <cell r="X24">
            <v>24</v>
          </cell>
          <cell r="Y24">
            <v>8694.1200000000008</v>
          </cell>
          <cell r="Z24">
            <v>8760</v>
          </cell>
          <cell r="AA24">
            <v>0.9924794520547946</v>
          </cell>
          <cell r="AB24">
            <v>0.9924794520547946</v>
          </cell>
          <cell r="AC24">
            <v>4.8999999999999995E-2</v>
          </cell>
          <cell r="AD24">
            <v>0.78224241804717776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R24">
            <v>23.520000000000003</v>
          </cell>
          <cell r="AS24">
            <v>24</v>
          </cell>
          <cell r="AT24">
            <v>8608.3200000000015</v>
          </cell>
          <cell r="AU24">
            <v>8784</v>
          </cell>
          <cell r="AV24">
            <v>0.9800000000000002</v>
          </cell>
          <cell r="AW24">
            <v>0.9800000000000002</v>
          </cell>
          <cell r="AX24">
            <v>3.9999999999999994E-2</v>
          </cell>
          <cell r="AY24">
            <v>0.94057689902483399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1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H24">
            <v>1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1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E24">
            <v>1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1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GE24">
            <v>0</v>
          </cell>
          <cell r="GF24">
            <v>0</v>
          </cell>
          <cell r="GG24">
            <v>0</v>
          </cell>
          <cell r="GH24">
            <v>0</v>
          </cell>
          <cell r="GI24">
            <v>0</v>
          </cell>
          <cell r="GJ24">
            <v>0</v>
          </cell>
          <cell r="GK24">
            <v>0</v>
          </cell>
          <cell r="GL24">
            <v>0</v>
          </cell>
          <cell r="GM24">
            <v>0</v>
          </cell>
          <cell r="GN24">
            <v>0</v>
          </cell>
          <cell r="GO24">
            <v>0</v>
          </cell>
          <cell r="GP24">
            <v>0</v>
          </cell>
          <cell r="GQ24">
            <v>0</v>
          </cell>
          <cell r="GR24">
            <v>0</v>
          </cell>
          <cell r="GS24">
            <v>0</v>
          </cell>
          <cell r="GT24">
            <v>0</v>
          </cell>
          <cell r="GU24">
            <v>0</v>
          </cell>
          <cell r="GV24">
            <v>0</v>
          </cell>
          <cell r="GW24">
            <v>0</v>
          </cell>
          <cell r="GX24">
            <v>0</v>
          </cell>
          <cell r="GY24">
            <v>0</v>
          </cell>
          <cell r="GZ24">
            <v>0</v>
          </cell>
          <cell r="HB24">
            <v>1</v>
          </cell>
          <cell r="HD24">
            <v>0</v>
          </cell>
          <cell r="HE24">
            <v>0</v>
          </cell>
          <cell r="HF24">
            <v>0</v>
          </cell>
          <cell r="HG24">
            <v>0</v>
          </cell>
          <cell r="HH24">
            <v>0</v>
          </cell>
          <cell r="HI24">
            <v>0</v>
          </cell>
          <cell r="HJ24">
            <v>0</v>
          </cell>
          <cell r="HK24">
            <v>0</v>
          </cell>
          <cell r="HL24">
            <v>0</v>
          </cell>
          <cell r="HM24">
            <v>0</v>
          </cell>
          <cell r="HN24">
            <v>0</v>
          </cell>
          <cell r="HO24">
            <v>0</v>
          </cell>
          <cell r="HQ24">
            <v>0</v>
          </cell>
          <cell r="HS24">
            <v>0</v>
          </cell>
          <cell r="HT24">
            <v>0</v>
          </cell>
          <cell r="HU24">
            <v>0</v>
          </cell>
          <cell r="HV24">
            <v>0</v>
          </cell>
          <cell r="HW24">
            <v>0</v>
          </cell>
          <cell r="HX24">
            <v>0</v>
          </cell>
          <cell r="HY24">
            <v>0</v>
          </cell>
          <cell r="HZ24">
            <v>0</v>
          </cell>
          <cell r="IA24">
            <v>0</v>
          </cell>
          <cell r="IB24">
            <v>0</v>
          </cell>
          <cell r="IC24">
            <v>0</v>
          </cell>
          <cell r="ID24">
            <v>0</v>
          </cell>
          <cell r="IF24">
            <v>0</v>
          </cell>
          <cell r="IH24">
            <v>0</v>
          </cell>
          <cell r="II24">
            <v>0</v>
          </cell>
          <cell r="IJ24">
            <v>0</v>
          </cell>
          <cell r="IK24">
            <v>0</v>
          </cell>
          <cell r="IL24">
            <v>0</v>
          </cell>
          <cell r="IM24">
            <v>0</v>
          </cell>
          <cell r="IN24">
            <v>0</v>
          </cell>
          <cell r="IO24">
            <v>0</v>
          </cell>
          <cell r="IP24">
            <v>0</v>
          </cell>
          <cell r="IQ24">
            <v>0</v>
          </cell>
          <cell r="IR24">
            <v>0</v>
          </cell>
          <cell r="IS24">
            <v>0</v>
          </cell>
          <cell r="IU24">
            <v>0</v>
          </cell>
          <cell r="IW24">
            <v>0</v>
          </cell>
          <cell r="IX24">
            <v>0</v>
          </cell>
          <cell r="IY24">
            <v>0</v>
          </cell>
          <cell r="IZ24">
            <v>0</v>
          </cell>
          <cell r="JB24">
            <v>0</v>
          </cell>
          <cell r="JC24">
            <v>0</v>
          </cell>
          <cell r="JD24">
            <v>0</v>
          </cell>
          <cell r="JE24">
            <v>0</v>
          </cell>
          <cell r="JG24">
            <v>0</v>
          </cell>
          <cell r="JH24">
            <v>0</v>
          </cell>
          <cell r="JI24">
            <v>0</v>
          </cell>
          <cell r="JJ24">
            <v>0</v>
          </cell>
          <cell r="JL24">
            <v>0</v>
          </cell>
          <cell r="JM24">
            <v>0</v>
          </cell>
          <cell r="JN24">
            <v>0</v>
          </cell>
          <cell r="JO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V24">
            <v>0</v>
          </cell>
          <cell r="JW24">
            <v>0</v>
          </cell>
          <cell r="JX24">
            <v>0</v>
          </cell>
          <cell r="JY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  <cell r="KF24">
            <v>0</v>
          </cell>
          <cell r="KG24">
            <v>0</v>
          </cell>
          <cell r="KH24">
            <v>0</v>
          </cell>
          <cell r="KI24">
            <v>0</v>
          </cell>
          <cell r="KK24">
            <v>0</v>
          </cell>
          <cell r="KL24">
            <v>0</v>
          </cell>
          <cell r="KM24">
            <v>0</v>
          </cell>
          <cell r="KN24">
            <v>0</v>
          </cell>
          <cell r="KP24">
            <v>0</v>
          </cell>
          <cell r="KQ24">
            <v>0</v>
          </cell>
          <cell r="KR24">
            <v>0</v>
          </cell>
          <cell r="KT24">
            <v>0</v>
          </cell>
          <cell r="KV24">
            <v>0</v>
          </cell>
          <cell r="KW24">
            <v>0</v>
          </cell>
          <cell r="KX24">
            <v>0</v>
          </cell>
          <cell r="KZ24">
            <v>0</v>
          </cell>
          <cell r="LA24">
            <v>0</v>
          </cell>
          <cell r="LB24">
            <v>0</v>
          </cell>
          <cell r="LD24">
            <v>0</v>
          </cell>
          <cell r="LF24">
            <v>0</v>
          </cell>
          <cell r="LG24">
            <v>0</v>
          </cell>
          <cell r="LH24">
            <v>0</v>
          </cell>
          <cell r="LJ24">
            <v>0</v>
          </cell>
          <cell r="LK24">
            <v>0</v>
          </cell>
          <cell r="LL24">
            <v>0</v>
          </cell>
          <cell r="LN24">
            <v>0</v>
          </cell>
          <cell r="LP24">
            <v>0</v>
          </cell>
          <cell r="LQ24">
            <v>0</v>
          </cell>
          <cell r="LR24">
            <v>0</v>
          </cell>
          <cell r="LT24" t="str">
            <v>200-51</v>
          </cell>
        </row>
        <row r="25">
          <cell r="B25">
            <v>43.6</v>
          </cell>
          <cell r="C25">
            <v>48</v>
          </cell>
          <cell r="D25">
            <v>15914.000000000002</v>
          </cell>
          <cell r="E25">
            <v>17520</v>
          </cell>
          <cell r="F25">
            <v>0.90833333333333344</v>
          </cell>
          <cell r="G25">
            <v>0.90833333333333344</v>
          </cell>
          <cell r="H25">
            <v>4.8999999999999995E-2</v>
          </cell>
          <cell r="I25">
            <v>0.98932012927376922</v>
          </cell>
          <cell r="J25">
            <v>5.3999907999999985</v>
          </cell>
          <cell r="K25">
            <v>0</v>
          </cell>
          <cell r="L25">
            <v>12.999993999999999</v>
          </cell>
          <cell r="M25">
            <v>0</v>
          </cell>
          <cell r="N25">
            <v>25.200015199999999</v>
          </cell>
          <cell r="O25">
            <v>0</v>
          </cell>
          <cell r="P25">
            <v>600.03000000000009</v>
          </cell>
          <cell r="Q25">
            <v>0</v>
          </cell>
          <cell r="R25">
            <v>263.34999999999997</v>
          </cell>
          <cell r="S25">
            <v>0</v>
          </cell>
          <cell r="T25">
            <v>494.07999999999981</v>
          </cell>
          <cell r="U25">
            <v>0</v>
          </cell>
          <cell r="W25">
            <v>39.69315068493151</v>
          </cell>
          <cell r="X25">
            <v>48</v>
          </cell>
          <cell r="Y25">
            <v>14488</v>
          </cell>
          <cell r="Z25">
            <v>17520</v>
          </cell>
          <cell r="AA25">
            <v>0.82694063926940642</v>
          </cell>
          <cell r="AB25">
            <v>0.82694063926940642</v>
          </cell>
          <cell r="AC25">
            <v>4.8999999999999995E-2</v>
          </cell>
          <cell r="AD25">
            <v>1.0157565103126192</v>
          </cell>
          <cell r="AE25">
            <v>3.656358141321038</v>
          </cell>
          <cell r="AF25">
            <v>5.3392217101895179E-2</v>
          </cell>
          <cell r="AG25">
            <v>14.21299989759345</v>
          </cell>
          <cell r="AH25">
            <v>0</v>
          </cell>
          <cell r="AI25">
            <v>21.621802995391704</v>
          </cell>
          <cell r="AJ25">
            <v>0.15000000000000072</v>
          </cell>
          <cell r="AK25">
            <v>602.29964408081707</v>
          </cell>
          <cell r="AL25">
            <v>134.59897846493649</v>
          </cell>
          <cell r="AM25">
            <v>255.59024589638145</v>
          </cell>
          <cell r="AN25">
            <v>0</v>
          </cell>
          <cell r="AO25">
            <v>499.25925024496553</v>
          </cell>
          <cell r="AP25">
            <v>32.730973487637279</v>
          </cell>
          <cell r="AR25">
            <v>40</v>
          </cell>
          <cell r="AS25">
            <v>48</v>
          </cell>
          <cell r="AT25">
            <v>14640</v>
          </cell>
          <cell r="AU25">
            <v>17568</v>
          </cell>
          <cell r="AV25">
            <v>0.83333333333333337</v>
          </cell>
          <cell r="AW25">
            <v>0.83333333333333337</v>
          </cell>
          <cell r="AX25">
            <v>3.9999999999999994E-2</v>
          </cell>
          <cell r="AY25">
            <v>1.0203430201405443</v>
          </cell>
          <cell r="AZ25">
            <v>3.5</v>
          </cell>
          <cell r="BA25">
            <v>0</v>
          </cell>
          <cell r="BB25">
            <v>13.96</v>
          </cell>
          <cell r="BC25">
            <v>0</v>
          </cell>
          <cell r="BD25">
            <v>22.539999999999996</v>
          </cell>
          <cell r="BE25">
            <v>0</v>
          </cell>
          <cell r="BF25">
            <v>611.43000000000006</v>
          </cell>
          <cell r="BG25">
            <v>0</v>
          </cell>
          <cell r="BH25">
            <v>255.73000000000005</v>
          </cell>
          <cell r="BI25">
            <v>0</v>
          </cell>
          <cell r="BJ25">
            <v>513.75</v>
          </cell>
          <cell r="BK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H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E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GE25">
            <v>0</v>
          </cell>
          <cell r="GF25">
            <v>0</v>
          </cell>
          <cell r="GG25">
            <v>0</v>
          </cell>
          <cell r="GH25">
            <v>0</v>
          </cell>
          <cell r="GI25">
            <v>0</v>
          </cell>
          <cell r="GJ25">
            <v>0</v>
          </cell>
          <cell r="GK25">
            <v>0</v>
          </cell>
          <cell r="GL25">
            <v>0</v>
          </cell>
          <cell r="GM25">
            <v>0</v>
          </cell>
          <cell r="GN25">
            <v>0</v>
          </cell>
          <cell r="GO25">
            <v>0</v>
          </cell>
          <cell r="GP25">
            <v>0</v>
          </cell>
          <cell r="GQ25">
            <v>0</v>
          </cell>
          <cell r="GR25">
            <v>0</v>
          </cell>
          <cell r="GS25">
            <v>0</v>
          </cell>
          <cell r="GT25">
            <v>0</v>
          </cell>
          <cell r="GU25">
            <v>0</v>
          </cell>
          <cell r="GV25">
            <v>0</v>
          </cell>
          <cell r="GW25">
            <v>0</v>
          </cell>
          <cell r="GX25">
            <v>0</v>
          </cell>
          <cell r="GY25">
            <v>0</v>
          </cell>
          <cell r="GZ25">
            <v>0</v>
          </cell>
          <cell r="HB25">
            <v>0</v>
          </cell>
          <cell r="HD25">
            <v>0</v>
          </cell>
          <cell r="HE25">
            <v>0</v>
          </cell>
          <cell r="HF25">
            <v>0</v>
          </cell>
          <cell r="HG25">
            <v>0</v>
          </cell>
          <cell r="HH25">
            <v>0</v>
          </cell>
          <cell r="HI25">
            <v>0</v>
          </cell>
          <cell r="HJ25">
            <v>0</v>
          </cell>
          <cell r="HK25">
            <v>0</v>
          </cell>
          <cell r="HL25">
            <v>0</v>
          </cell>
          <cell r="HM25">
            <v>0</v>
          </cell>
          <cell r="HN25">
            <v>0</v>
          </cell>
          <cell r="HO25">
            <v>0</v>
          </cell>
          <cell r="HQ25">
            <v>0</v>
          </cell>
          <cell r="HS25">
            <v>0</v>
          </cell>
          <cell r="HT25">
            <v>0</v>
          </cell>
          <cell r="HU25">
            <v>0</v>
          </cell>
          <cell r="HV25">
            <v>0</v>
          </cell>
          <cell r="HW25">
            <v>0</v>
          </cell>
          <cell r="HX25">
            <v>0</v>
          </cell>
          <cell r="HY25">
            <v>0</v>
          </cell>
          <cell r="HZ25">
            <v>0</v>
          </cell>
          <cell r="IA25">
            <v>0</v>
          </cell>
          <cell r="IB25">
            <v>0</v>
          </cell>
          <cell r="IC25">
            <v>0</v>
          </cell>
          <cell r="ID25">
            <v>0</v>
          </cell>
          <cell r="IF25">
            <v>0</v>
          </cell>
          <cell r="IH25">
            <v>0</v>
          </cell>
          <cell r="II25">
            <v>0</v>
          </cell>
          <cell r="IJ25">
            <v>0</v>
          </cell>
          <cell r="IK25">
            <v>0</v>
          </cell>
          <cell r="IL25">
            <v>0</v>
          </cell>
          <cell r="IM25">
            <v>0</v>
          </cell>
          <cell r="IN25">
            <v>0</v>
          </cell>
          <cell r="IO25">
            <v>0</v>
          </cell>
          <cell r="IP25">
            <v>0</v>
          </cell>
          <cell r="IQ25">
            <v>0</v>
          </cell>
          <cell r="IR25">
            <v>0</v>
          </cell>
          <cell r="IS25">
            <v>0</v>
          </cell>
          <cell r="IU25">
            <v>0</v>
          </cell>
          <cell r="IW25">
            <v>0</v>
          </cell>
          <cell r="IX25">
            <v>0</v>
          </cell>
          <cell r="IY25">
            <v>0</v>
          </cell>
          <cell r="IZ25">
            <v>0</v>
          </cell>
          <cell r="JB25">
            <v>0</v>
          </cell>
          <cell r="JC25">
            <v>0</v>
          </cell>
          <cell r="JD25">
            <v>0</v>
          </cell>
          <cell r="JE25">
            <v>0</v>
          </cell>
          <cell r="JG25">
            <v>0</v>
          </cell>
          <cell r="JH25">
            <v>0</v>
          </cell>
          <cell r="JI25">
            <v>0</v>
          </cell>
          <cell r="JJ25">
            <v>0</v>
          </cell>
          <cell r="JL25">
            <v>0</v>
          </cell>
          <cell r="JM25">
            <v>0</v>
          </cell>
          <cell r="JN25">
            <v>0</v>
          </cell>
          <cell r="JO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  <cell r="KF25">
            <v>0</v>
          </cell>
          <cell r="KG25">
            <v>0</v>
          </cell>
          <cell r="KH25">
            <v>0</v>
          </cell>
          <cell r="KI25">
            <v>0</v>
          </cell>
          <cell r="KK25">
            <v>0</v>
          </cell>
          <cell r="KL25">
            <v>0</v>
          </cell>
          <cell r="KM25">
            <v>0</v>
          </cell>
          <cell r="KN25">
            <v>0</v>
          </cell>
          <cell r="KP25">
            <v>0</v>
          </cell>
          <cell r="KQ25">
            <v>0</v>
          </cell>
          <cell r="KR25">
            <v>0</v>
          </cell>
          <cell r="KT25">
            <v>0</v>
          </cell>
          <cell r="KV25">
            <v>0</v>
          </cell>
          <cell r="KW25">
            <v>0</v>
          </cell>
          <cell r="KX25">
            <v>0</v>
          </cell>
          <cell r="KZ25">
            <v>0</v>
          </cell>
          <cell r="LA25">
            <v>0</v>
          </cell>
          <cell r="LB25">
            <v>0</v>
          </cell>
          <cell r="LD25">
            <v>0</v>
          </cell>
          <cell r="LF25">
            <v>0</v>
          </cell>
          <cell r="LG25">
            <v>0</v>
          </cell>
          <cell r="LH25">
            <v>0</v>
          </cell>
          <cell r="LJ25">
            <v>0</v>
          </cell>
          <cell r="LK25">
            <v>0</v>
          </cell>
          <cell r="LL25">
            <v>0</v>
          </cell>
          <cell r="LN25">
            <v>0</v>
          </cell>
          <cell r="LP25">
            <v>0</v>
          </cell>
          <cell r="LQ25">
            <v>0</v>
          </cell>
          <cell r="LR25">
            <v>0</v>
          </cell>
          <cell r="LT25" t="str">
            <v>200-61</v>
          </cell>
        </row>
        <row r="26">
          <cell r="B26">
            <v>350.52000000000004</v>
          </cell>
          <cell r="C26">
            <v>372</v>
          </cell>
          <cell r="D26">
            <v>127939.8</v>
          </cell>
          <cell r="E26">
            <v>135780</v>
          </cell>
          <cell r="F26">
            <v>0.94225806451612903</v>
          </cell>
          <cell r="G26">
            <v>0.94225806451612903</v>
          </cell>
          <cell r="H26">
            <v>4.8999999999999995E-2</v>
          </cell>
          <cell r="I26">
            <v>0.94205864461200695</v>
          </cell>
          <cell r="J26">
            <v>5.3999907999999985</v>
          </cell>
          <cell r="K26">
            <v>0</v>
          </cell>
          <cell r="L26">
            <v>12.999993999999999</v>
          </cell>
          <cell r="M26">
            <v>0</v>
          </cell>
          <cell r="N26">
            <v>25.200015199999999</v>
          </cell>
          <cell r="O26">
            <v>0</v>
          </cell>
          <cell r="P26">
            <v>600.03000000000009</v>
          </cell>
          <cell r="Q26">
            <v>0</v>
          </cell>
          <cell r="R26">
            <v>263.34999999999997</v>
          </cell>
          <cell r="S26">
            <v>0</v>
          </cell>
          <cell r="T26">
            <v>494.07999999999981</v>
          </cell>
          <cell r="U26">
            <v>0</v>
          </cell>
          <cell r="W26">
            <v>343.41676712328768</v>
          </cell>
          <cell r="X26">
            <v>372</v>
          </cell>
          <cell r="Y26">
            <v>125347.12</v>
          </cell>
          <cell r="Z26">
            <v>135780</v>
          </cell>
          <cell r="AA26">
            <v>0.92316335248195602</v>
          </cell>
          <cell r="AB26">
            <v>0.92316335248195602</v>
          </cell>
          <cell r="AC26">
            <v>4.8999999999999995E-2</v>
          </cell>
          <cell r="AD26">
            <v>0.91223523285422525</v>
          </cell>
          <cell r="AE26">
            <v>3.656358141321038</v>
          </cell>
          <cell r="AF26">
            <v>5.3392217101895179E-2</v>
          </cell>
          <cell r="AG26">
            <v>14.21299989759345</v>
          </cell>
          <cell r="AH26">
            <v>0</v>
          </cell>
          <cell r="AI26">
            <v>21.621802995391704</v>
          </cell>
          <cell r="AJ26">
            <v>0.15000000000000072</v>
          </cell>
          <cell r="AK26">
            <v>602.29964408081707</v>
          </cell>
          <cell r="AL26">
            <v>134.59897846493649</v>
          </cell>
          <cell r="AM26">
            <v>255.59024589638145</v>
          </cell>
          <cell r="AN26">
            <v>0</v>
          </cell>
          <cell r="AO26">
            <v>499.25925024496553</v>
          </cell>
          <cell r="AP26">
            <v>32.730973487637279</v>
          </cell>
          <cell r="AR26">
            <v>346.21999999999997</v>
          </cell>
          <cell r="AS26">
            <v>372</v>
          </cell>
          <cell r="AT26">
            <v>126716.52000000002</v>
          </cell>
          <cell r="AU26">
            <v>136152</v>
          </cell>
          <cell r="AV26">
            <v>0.93069892473118299</v>
          </cell>
          <cell r="AW26">
            <v>0.93069892473118299</v>
          </cell>
          <cell r="AX26">
            <v>3.9999999999999994E-2</v>
          </cell>
          <cell r="AY26">
            <v>0.91711332618186081</v>
          </cell>
          <cell r="AZ26">
            <v>3.5</v>
          </cell>
          <cell r="BA26">
            <v>0</v>
          </cell>
          <cell r="BB26">
            <v>13.96</v>
          </cell>
          <cell r="BC26">
            <v>0</v>
          </cell>
          <cell r="BD26">
            <v>22.539999999999996</v>
          </cell>
          <cell r="BE26">
            <v>0</v>
          </cell>
          <cell r="BF26">
            <v>611.43000000000006</v>
          </cell>
          <cell r="BG26">
            <v>0</v>
          </cell>
          <cell r="BH26">
            <v>255.73000000000005</v>
          </cell>
          <cell r="BI26">
            <v>0</v>
          </cell>
          <cell r="BJ26">
            <v>513.75</v>
          </cell>
          <cell r="BK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1</v>
          </cell>
          <cell r="BW26">
            <v>55.000000000000021</v>
          </cell>
          <cell r="BX26">
            <v>36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H26">
            <v>92.000000000000028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1</v>
          </cell>
          <cell r="DT26">
            <v>55.000000000000021</v>
          </cell>
          <cell r="DU26">
            <v>36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E26">
            <v>92.000000000000028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1</v>
          </cell>
          <cell r="FQ26">
            <v>52.999999999999993</v>
          </cell>
          <cell r="FR26">
            <v>37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GE26">
            <v>0</v>
          </cell>
          <cell r="GF26">
            <v>0</v>
          </cell>
          <cell r="GG26">
            <v>0</v>
          </cell>
          <cell r="GH26">
            <v>0</v>
          </cell>
          <cell r="GI26">
            <v>0</v>
          </cell>
          <cell r="GJ26">
            <v>0</v>
          </cell>
          <cell r="GK26">
            <v>0</v>
          </cell>
          <cell r="GL26">
            <v>0</v>
          </cell>
          <cell r="GM26">
            <v>0</v>
          </cell>
          <cell r="GN26">
            <v>0</v>
          </cell>
          <cell r="GO26">
            <v>0</v>
          </cell>
          <cell r="GP26">
            <v>0</v>
          </cell>
          <cell r="GQ26">
            <v>0</v>
          </cell>
          <cell r="GR26">
            <v>0</v>
          </cell>
          <cell r="GS26">
            <v>0</v>
          </cell>
          <cell r="GT26">
            <v>0</v>
          </cell>
          <cell r="GU26">
            <v>0</v>
          </cell>
          <cell r="GV26">
            <v>0</v>
          </cell>
          <cell r="GW26">
            <v>0</v>
          </cell>
          <cell r="GX26">
            <v>0</v>
          </cell>
          <cell r="GY26">
            <v>0</v>
          </cell>
          <cell r="GZ26">
            <v>0</v>
          </cell>
          <cell r="HB26">
            <v>91</v>
          </cell>
          <cell r="HD26">
            <v>0</v>
          </cell>
          <cell r="HE26">
            <v>0</v>
          </cell>
          <cell r="HF26">
            <v>0</v>
          </cell>
          <cell r="HG26">
            <v>0</v>
          </cell>
          <cell r="HH26">
            <v>0</v>
          </cell>
          <cell r="HI26">
            <v>0</v>
          </cell>
          <cell r="HJ26">
            <v>0</v>
          </cell>
          <cell r="HK26">
            <v>0</v>
          </cell>
          <cell r="HL26">
            <v>0</v>
          </cell>
          <cell r="HM26">
            <v>0</v>
          </cell>
          <cell r="HN26">
            <v>0</v>
          </cell>
          <cell r="HO26">
            <v>0</v>
          </cell>
          <cell r="HQ26">
            <v>0</v>
          </cell>
          <cell r="HS26">
            <v>0</v>
          </cell>
          <cell r="HT26">
            <v>0</v>
          </cell>
          <cell r="HU26">
            <v>0</v>
          </cell>
          <cell r="HV26">
            <v>0</v>
          </cell>
          <cell r="HW26">
            <v>0</v>
          </cell>
          <cell r="HX26">
            <v>0</v>
          </cell>
          <cell r="HY26">
            <v>0</v>
          </cell>
          <cell r="HZ26">
            <v>0</v>
          </cell>
          <cell r="IA26">
            <v>0</v>
          </cell>
          <cell r="IB26">
            <v>0</v>
          </cell>
          <cell r="IC26">
            <v>0</v>
          </cell>
          <cell r="ID26">
            <v>0</v>
          </cell>
          <cell r="IF26">
            <v>0</v>
          </cell>
          <cell r="IH26">
            <v>0</v>
          </cell>
          <cell r="II26">
            <v>0</v>
          </cell>
          <cell r="IJ26">
            <v>0</v>
          </cell>
          <cell r="IK26">
            <v>0</v>
          </cell>
          <cell r="IL26">
            <v>0</v>
          </cell>
          <cell r="IM26">
            <v>0</v>
          </cell>
          <cell r="IN26">
            <v>0</v>
          </cell>
          <cell r="IO26">
            <v>0</v>
          </cell>
          <cell r="IP26">
            <v>0</v>
          </cell>
          <cell r="IQ26">
            <v>0</v>
          </cell>
          <cell r="IR26">
            <v>0</v>
          </cell>
          <cell r="IS26">
            <v>0</v>
          </cell>
          <cell r="IU26">
            <v>0</v>
          </cell>
          <cell r="IW26">
            <v>0</v>
          </cell>
          <cell r="IX26">
            <v>0</v>
          </cell>
          <cell r="IY26">
            <v>0</v>
          </cell>
          <cell r="IZ26">
            <v>0</v>
          </cell>
          <cell r="JB26">
            <v>0</v>
          </cell>
          <cell r="JC26">
            <v>0</v>
          </cell>
          <cell r="JD26">
            <v>0</v>
          </cell>
          <cell r="JE26">
            <v>0</v>
          </cell>
          <cell r="JG26">
            <v>0</v>
          </cell>
          <cell r="JH26">
            <v>0</v>
          </cell>
          <cell r="JI26">
            <v>0</v>
          </cell>
          <cell r="JJ26">
            <v>0</v>
          </cell>
          <cell r="JL26">
            <v>0</v>
          </cell>
          <cell r="JM26">
            <v>0</v>
          </cell>
          <cell r="JN26">
            <v>0</v>
          </cell>
          <cell r="JO26">
            <v>0</v>
          </cell>
          <cell r="JQ26">
            <v>0</v>
          </cell>
          <cell r="JR26">
            <v>0</v>
          </cell>
          <cell r="JS26">
            <v>0</v>
          </cell>
          <cell r="JT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F26">
            <v>0</v>
          </cell>
          <cell r="KG26">
            <v>0</v>
          </cell>
          <cell r="KH26">
            <v>0</v>
          </cell>
          <cell r="KI26">
            <v>0</v>
          </cell>
          <cell r="KK26">
            <v>0</v>
          </cell>
          <cell r="KL26">
            <v>0</v>
          </cell>
          <cell r="KM26">
            <v>0</v>
          </cell>
          <cell r="KN26">
            <v>0</v>
          </cell>
          <cell r="KP26">
            <v>0</v>
          </cell>
          <cell r="KQ26">
            <v>0</v>
          </cell>
          <cell r="KR26">
            <v>0</v>
          </cell>
          <cell r="KT26">
            <v>0</v>
          </cell>
          <cell r="KV26">
            <v>0</v>
          </cell>
          <cell r="KW26">
            <v>0</v>
          </cell>
          <cell r="KX26">
            <v>0</v>
          </cell>
          <cell r="KZ26">
            <v>0</v>
          </cell>
          <cell r="LA26">
            <v>0</v>
          </cell>
          <cell r="LB26">
            <v>0</v>
          </cell>
          <cell r="LD26">
            <v>0</v>
          </cell>
          <cell r="LF26">
            <v>0</v>
          </cell>
          <cell r="LG26">
            <v>0</v>
          </cell>
          <cell r="LH26">
            <v>0</v>
          </cell>
          <cell r="LJ26">
            <v>0</v>
          </cell>
          <cell r="LK26">
            <v>0</v>
          </cell>
          <cell r="LL26">
            <v>0</v>
          </cell>
          <cell r="LN26">
            <v>0</v>
          </cell>
          <cell r="LP26">
            <v>0</v>
          </cell>
          <cell r="LQ26">
            <v>0</v>
          </cell>
          <cell r="LR26">
            <v>0</v>
          </cell>
          <cell r="LT26" t="str">
            <v>200-Entity</v>
          </cell>
        </row>
        <row r="27">
          <cell r="B27">
            <v>35</v>
          </cell>
          <cell r="C27">
            <v>36</v>
          </cell>
          <cell r="D27">
            <v>12775</v>
          </cell>
          <cell r="E27">
            <v>13140</v>
          </cell>
          <cell r="F27">
            <v>0.97222222222222221</v>
          </cell>
          <cell r="G27">
            <v>0.97222222222222221</v>
          </cell>
          <cell r="H27">
            <v>0.05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W27">
            <v>35.460273972602742</v>
          </cell>
          <cell r="X27">
            <v>36</v>
          </cell>
          <cell r="Y27">
            <v>12943</v>
          </cell>
          <cell r="Z27">
            <v>13140</v>
          </cell>
          <cell r="AA27">
            <v>0.985007610350076</v>
          </cell>
          <cell r="AB27">
            <v>0.985007610350076</v>
          </cell>
          <cell r="AC27">
            <v>0.05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R27">
            <v>35</v>
          </cell>
          <cell r="AS27">
            <v>36</v>
          </cell>
          <cell r="AT27">
            <v>12810</v>
          </cell>
          <cell r="AU27">
            <v>13176</v>
          </cell>
          <cell r="AV27">
            <v>0.97222222222222221</v>
          </cell>
          <cell r="AW27">
            <v>0.97222222222222221</v>
          </cell>
          <cell r="AX27">
            <v>3.0000000000000009E-2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H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E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GE27">
            <v>0</v>
          </cell>
          <cell r="GF27">
            <v>0</v>
          </cell>
          <cell r="GG27">
            <v>0</v>
          </cell>
          <cell r="GH27">
            <v>0</v>
          </cell>
          <cell r="GI27">
            <v>0</v>
          </cell>
          <cell r="GJ27">
            <v>0</v>
          </cell>
          <cell r="GK27">
            <v>0</v>
          </cell>
          <cell r="GL27">
            <v>0</v>
          </cell>
          <cell r="GM27">
            <v>0</v>
          </cell>
          <cell r="GN27">
            <v>0</v>
          </cell>
          <cell r="GO27">
            <v>0</v>
          </cell>
          <cell r="GP27">
            <v>0</v>
          </cell>
          <cell r="GQ27">
            <v>0</v>
          </cell>
          <cell r="GR27">
            <v>0</v>
          </cell>
          <cell r="GS27">
            <v>0</v>
          </cell>
          <cell r="GT27">
            <v>0</v>
          </cell>
          <cell r="GU27">
            <v>0</v>
          </cell>
          <cell r="GV27">
            <v>0</v>
          </cell>
          <cell r="GW27">
            <v>0</v>
          </cell>
          <cell r="GX27">
            <v>0</v>
          </cell>
          <cell r="GY27">
            <v>2</v>
          </cell>
          <cell r="GZ27">
            <v>0</v>
          </cell>
          <cell r="HB27">
            <v>2</v>
          </cell>
          <cell r="HD27">
            <v>0</v>
          </cell>
          <cell r="HE27">
            <v>0</v>
          </cell>
          <cell r="HF27">
            <v>0</v>
          </cell>
          <cell r="HG27">
            <v>0</v>
          </cell>
          <cell r="HH27">
            <v>0</v>
          </cell>
          <cell r="HI27">
            <v>0</v>
          </cell>
          <cell r="HJ27">
            <v>0</v>
          </cell>
          <cell r="HK27">
            <v>0</v>
          </cell>
          <cell r="HL27">
            <v>0</v>
          </cell>
          <cell r="HM27">
            <v>0</v>
          </cell>
          <cell r="HN27">
            <v>0</v>
          </cell>
          <cell r="HO27">
            <v>0</v>
          </cell>
          <cell r="HQ27">
            <v>0</v>
          </cell>
          <cell r="HS27">
            <v>0</v>
          </cell>
          <cell r="HT27">
            <v>0</v>
          </cell>
          <cell r="HU27">
            <v>0</v>
          </cell>
          <cell r="HV27">
            <v>0</v>
          </cell>
          <cell r="HW27">
            <v>0</v>
          </cell>
          <cell r="HX27">
            <v>0</v>
          </cell>
          <cell r="HY27">
            <v>0</v>
          </cell>
          <cell r="HZ27">
            <v>0</v>
          </cell>
          <cell r="IA27">
            <v>0</v>
          </cell>
          <cell r="IB27">
            <v>0</v>
          </cell>
          <cell r="IC27">
            <v>0</v>
          </cell>
          <cell r="ID27">
            <v>0</v>
          </cell>
          <cell r="IF27">
            <v>0</v>
          </cell>
          <cell r="IH27">
            <v>0</v>
          </cell>
          <cell r="II27">
            <v>0</v>
          </cell>
          <cell r="IJ27">
            <v>0</v>
          </cell>
          <cell r="IK27">
            <v>0</v>
          </cell>
          <cell r="IL27">
            <v>0</v>
          </cell>
          <cell r="IM27">
            <v>0</v>
          </cell>
          <cell r="IN27">
            <v>0</v>
          </cell>
          <cell r="IO27">
            <v>0</v>
          </cell>
          <cell r="IP27">
            <v>0</v>
          </cell>
          <cell r="IQ27">
            <v>0</v>
          </cell>
          <cell r="IR27">
            <v>0</v>
          </cell>
          <cell r="IS27">
            <v>0</v>
          </cell>
          <cell r="IU27">
            <v>0</v>
          </cell>
          <cell r="IW27">
            <v>0</v>
          </cell>
          <cell r="IX27">
            <v>0</v>
          </cell>
          <cell r="IY27">
            <v>0</v>
          </cell>
          <cell r="IZ27">
            <v>0</v>
          </cell>
          <cell r="JB27">
            <v>0</v>
          </cell>
          <cell r="JC27">
            <v>0</v>
          </cell>
          <cell r="JD27">
            <v>0</v>
          </cell>
          <cell r="JE27">
            <v>0</v>
          </cell>
          <cell r="JG27">
            <v>0</v>
          </cell>
          <cell r="JH27">
            <v>0</v>
          </cell>
          <cell r="JI27">
            <v>0</v>
          </cell>
          <cell r="JJ27">
            <v>0</v>
          </cell>
          <cell r="JL27">
            <v>0</v>
          </cell>
          <cell r="JM27">
            <v>0</v>
          </cell>
          <cell r="JN27">
            <v>0</v>
          </cell>
          <cell r="JO27">
            <v>0</v>
          </cell>
          <cell r="JQ27">
            <v>0</v>
          </cell>
          <cell r="JR27">
            <v>0</v>
          </cell>
          <cell r="JS27">
            <v>0</v>
          </cell>
          <cell r="JT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F27">
            <v>0</v>
          </cell>
          <cell r="KG27">
            <v>0</v>
          </cell>
          <cell r="KH27">
            <v>0</v>
          </cell>
          <cell r="KI27">
            <v>0</v>
          </cell>
          <cell r="KK27">
            <v>0</v>
          </cell>
          <cell r="KL27">
            <v>0</v>
          </cell>
          <cell r="KM27">
            <v>0</v>
          </cell>
          <cell r="KN27">
            <v>0</v>
          </cell>
          <cell r="KP27">
            <v>0</v>
          </cell>
          <cell r="KQ27">
            <v>0</v>
          </cell>
          <cell r="KR27">
            <v>0</v>
          </cell>
          <cell r="KT27">
            <v>0</v>
          </cell>
          <cell r="KV27">
            <v>0</v>
          </cell>
          <cell r="KW27">
            <v>0</v>
          </cell>
          <cell r="KX27">
            <v>0</v>
          </cell>
          <cell r="KZ27">
            <v>0</v>
          </cell>
          <cell r="LA27">
            <v>0</v>
          </cell>
          <cell r="LB27">
            <v>0</v>
          </cell>
          <cell r="LD27">
            <v>0</v>
          </cell>
          <cell r="LF27">
            <v>0</v>
          </cell>
          <cell r="LG27">
            <v>0</v>
          </cell>
          <cell r="LH27">
            <v>0</v>
          </cell>
          <cell r="LJ27">
            <v>0</v>
          </cell>
          <cell r="LK27">
            <v>0</v>
          </cell>
          <cell r="LL27">
            <v>0</v>
          </cell>
          <cell r="LN27">
            <v>0</v>
          </cell>
          <cell r="LP27">
            <v>0</v>
          </cell>
          <cell r="LQ27">
            <v>0</v>
          </cell>
          <cell r="LR27">
            <v>0</v>
          </cell>
          <cell r="LT27" t="str">
            <v>324-21</v>
          </cell>
        </row>
        <row r="28">
          <cell r="B28">
            <v>117.5</v>
          </cell>
          <cell r="C28">
            <v>123</v>
          </cell>
          <cell r="D28">
            <v>42887.5</v>
          </cell>
          <cell r="E28">
            <v>44895</v>
          </cell>
          <cell r="F28">
            <v>0.95528455284552838</v>
          </cell>
          <cell r="G28">
            <v>0.95528455284552838</v>
          </cell>
          <cell r="H28">
            <v>0.05</v>
          </cell>
          <cell r="I28">
            <v>1.1073828996987918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W28">
            <v>110.17534246575345</v>
          </cell>
          <cell r="X28">
            <v>123</v>
          </cell>
          <cell r="Y28">
            <v>40214</v>
          </cell>
          <cell r="Z28">
            <v>44895</v>
          </cell>
          <cell r="AA28">
            <v>0.89573449159149121</v>
          </cell>
          <cell r="AB28">
            <v>0.89573449159149121</v>
          </cell>
          <cell r="AC28">
            <v>0.05</v>
          </cell>
          <cell r="AD28">
            <v>1.1245255111498751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R28">
            <v>114.5</v>
          </cell>
          <cell r="AS28">
            <v>123</v>
          </cell>
          <cell r="AT28">
            <v>41907</v>
          </cell>
          <cell r="AU28">
            <v>45018</v>
          </cell>
          <cell r="AV28">
            <v>0.93089430894308944</v>
          </cell>
          <cell r="AW28">
            <v>0.93089430894308944</v>
          </cell>
          <cell r="AX28">
            <v>4.2499999999999989E-2</v>
          </cell>
          <cell r="AY28">
            <v>1.1640152856315209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1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13.999999999999998</v>
          </cell>
          <cell r="DH28">
            <v>14.999999999999998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1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13.999999999999998</v>
          </cell>
          <cell r="FE28">
            <v>14.999999999999998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GE28">
            <v>0</v>
          </cell>
          <cell r="GF28">
            <v>0</v>
          </cell>
          <cell r="GG28">
            <v>0</v>
          </cell>
          <cell r="GH28">
            <v>0</v>
          </cell>
          <cell r="GI28">
            <v>0</v>
          </cell>
          <cell r="GJ28">
            <v>0</v>
          </cell>
          <cell r="GK28">
            <v>0</v>
          </cell>
          <cell r="GL28">
            <v>0</v>
          </cell>
          <cell r="GM28">
            <v>0</v>
          </cell>
          <cell r="GN28">
            <v>0</v>
          </cell>
          <cell r="GO28">
            <v>0</v>
          </cell>
          <cell r="GP28">
            <v>0</v>
          </cell>
          <cell r="GQ28">
            <v>0</v>
          </cell>
          <cell r="GR28">
            <v>0</v>
          </cell>
          <cell r="GS28">
            <v>0</v>
          </cell>
          <cell r="GT28">
            <v>0</v>
          </cell>
          <cell r="GU28">
            <v>0</v>
          </cell>
          <cell r="GV28">
            <v>0</v>
          </cell>
          <cell r="GW28">
            <v>0</v>
          </cell>
          <cell r="GX28">
            <v>0</v>
          </cell>
          <cell r="GY28">
            <v>0</v>
          </cell>
          <cell r="GZ28">
            <v>9</v>
          </cell>
          <cell r="HB28">
            <v>9</v>
          </cell>
          <cell r="HD28">
            <v>0</v>
          </cell>
          <cell r="HE28">
            <v>0</v>
          </cell>
          <cell r="HF28">
            <v>0</v>
          </cell>
          <cell r="HG28">
            <v>0</v>
          </cell>
          <cell r="HH28">
            <v>0</v>
          </cell>
          <cell r="HI28">
            <v>0</v>
          </cell>
          <cell r="HJ28">
            <v>0</v>
          </cell>
          <cell r="HK28">
            <v>0</v>
          </cell>
          <cell r="HL28">
            <v>0</v>
          </cell>
          <cell r="HM28">
            <v>0</v>
          </cell>
          <cell r="HN28">
            <v>0</v>
          </cell>
          <cell r="HO28">
            <v>0</v>
          </cell>
          <cell r="HQ28">
            <v>0</v>
          </cell>
          <cell r="HS28">
            <v>0</v>
          </cell>
          <cell r="HT28">
            <v>0</v>
          </cell>
          <cell r="HU28">
            <v>0</v>
          </cell>
          <cell r="HV28">
            <v>0</v>
          </cell>
          <cell r="HW28">
            <v>0</v>
          </cell>
          <cell r="HX28">
            <v>0</v>
          </cell>
          <cell r="HY28">
            <v>0</v>
          </cell>
          <cell r="HZ28">
            <v>0</v>
          </cell>
          <cell r="IA28">
            <v>0</v>
          </cell>
          <cell r="IB28">
            <v>0</v>
          </cell>
          <cell r="IC28">
            <v>0</v>
          </cell>
          <cell r="ID28">
            <v>0</v>
          </cell>
          <cell r="IF28">
            <v>0</v>
          </cell>
          <cell r="IH28">
            <v>0</v>
          </cell>
          <cell r="II28">
            <v>0</v>
          </cell>
          <cell r="IJ28">
            <v>0</v>
          </cell>
          <cell r="IK28">
            <v>0</v>
          </cell>
          <cell r="IL28">
            <v>0</v>
          </cell>
          <cell r="IM28">
            <v>0</v>
          </cell>
          <cell r="IN28">
            <v>0</v>
          </cell>
          <cell r="IO28">
            <v>0</v>
          </cell>
          <cell r="IP28">
            <v>0</v>
          </cell>
          <cell r="IQ28">
            <v>0</v>
          </cell>
          <cell r="IR28">
            <v>0</v>
          </cell>
          <cell r="IS28">
            <v>0</v>
          </cell>
          <cell r="IU28">
            <v>0</v>
          </cell>
          <cell r="IW28">
            <v>0</v>
          </cell>
          <cell r="IX28">
            <v>0</v>
          </cell>
          <cell r="IY28">
            <v>0</v>
          </cell>
          <cell r="IZ28">
            <v>0</v>
          </cell>
          <cell r="JB28">
            <v>0</v>
          </cell>
          <cell r="JC28">
            <v>0</v>
          </cell>
          <cell r="JD28">
            <v>0</v>
          </cell>
          <cell r="JE28">
            <v>0</v>
          </cell>
          <cell r="JG28">
            <v>0</v>
          </cell>
          <cell r="JH28">
            <v>0</v>
          </cell>
          <cell r="JI28">
            <v>0</v>
          </cell>
          <cell r="JJ28">
            <v>0</v>
          </cell>
          <cell r="JL28">
            <v>0</v>
          </cell>
          <cell r="JM28">
            <v>0</v>
          </cell>
          <cell r="JN28">
            <v>0</v>
          </cell>
          <cell r="JO28">
            <v>0</v>
          </cell>
          <cell r="JQ28">
            <v>0</v>
          </cell>
          <cell r="JR28">
            <v>0</v>
          </cell>
          <cell r="JS28">
            <v>0</v>
          </cell>
          <cell r="JT28">
            <v>0</v>
          </cell>
          <cell r="JV28">
            <v>0</v>
          </cell>
          <cell r="JW28">
            <v>0</v>
          </cell>
          <cell r="JX28">
            <v>0</v>
          </cell>
          <cell r="JY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F28">
            <v>0</v>
          </cell>
          <cell r="KG28">
            <v>0</v>
          </cell>
          <cell r="KH28">
            <v>0</v>
          </cell>
          <cell r="KI28">
            <v>0</v>
          </cell>
          <cell r="KK28">
            <v>0</v>
          </cell>
          <cell r="KL28">
            <v>0</v>
          </cell>
          <cell r="KM28">
            <v>0</v>
          </cell>
          <cell r="KN28">
            <v>0</v>
          </cell>
          <cell r="KP28">
            <v>0</v>
          </cell>
          <cell r="KQ28">
            <v>0</v>
          </cell>
          <cell r="KR28">
            <v>0</v>
          </cell>
          <cell r="KT28">
            <v>0</v>
          </cell>
          <cell r="KV28">
            <v>0</v>
          </cell>
          <cell r="KW28">
            <v>0</v>
          </cell>
          <cell r="KX28">
            <v>0</v>
          </cell>
          <cell r="KZ28">
            <v>0</v>
          </cell>
          <cell r="LA28">
            <v>0</v>
          </cell>
          <cell r="LB28">
            <v>0</v>
          </cell>
          <cell r="LD28">
            <v>0</v>
          </cell>
          <cell r="LF28">
            <v>0</v>
          </cell>
          <cell r="LG28">
            <v>0</v>
          </cell>
          <cell r="LH28">
            <v>0</v>
          </cell>
          <cell r="LJ28">
            <v>0</v>
          </cell>
          <cell r="LK28">
            <v>0</v>
          </cell>
          <cell r="LL28">
            <v>0</v>
          </cell>
          <cell r="LN28">
            <v>0</v>
          </cell>
          <cell r="LP28">
            <v>0</v>
          </cell>
          <cell r="LQ28">
            <v>0</v>
          </cell>
          <cell r="LR28">
            <v>0</v>
          </cell>
          <cell r="LT28" t="str">
            <v>324-31</v>
          </cell>
        </row>
        <row r="29">
          <cell r="B29">
            <v>32.549999999999997</v>
          </cell>
          <cell r="C29">
            <v>35</v>
          </cell>
          <cell r="D29">
            <v>11880.749999999998</v>
          </cell>
          <cell r="E29">
            <v>12775</v>
          </cell>
          <cell r="F29">
            <v>0.92999999999999983</v>
          </cell>
          <cell r="G29">
            <v>0.92999999999999983</v>
          </cell>
          <cell r="H29">
            <v>0.05</v>
          </cell>
          <cell r="I29">
            <v>1.2325119953115329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W29">
            <v>34.128767123287673</v>
          </cell>
          <cell r="X29">
            <v>35</v>
          </cell>
          <cell r="Y29">
            <v>12457</v>
          </cell>
          <cell r="Z29">
            <v>12775</v>
          </cell>
          <cell r="AA29">
            <v>0.97510763209393359</v>
          </cell>
          <cell r="AB29">
            <v>0.97510763209393359</v>
          </cell>
          <cell r="AC29">
            <v>0.05</v>
          </cell>
          <cell r="AD29">
            <v>1.1138582463073952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R29">
            <v>33.75</v>
          </cell>
          <cell r="AS29">
            <v>35</v>
          </cell>
          <cell r="AT29">
            <v>12352.5</v>
          </cell>
          <cell r="AU29">
            <v>12810</v>
          </cell>
          <cell r="AV29">
            <v>0.96428571428571441</v>
          </cell>
          <cell r="AW29">
            <v>0.96428571428571441</v>
          </cell>
          <cell r="AX29">
            <v>4.2499999999999989E-2</v>
          </cell>
          <cell r="AY29">
            <v>1.0896822593076323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1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H29">
            <v>1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1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E29">
            <v>1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GE29">
            <v>0</v>
          </cell>
          <cell r="GF29">
            <v>0</v>
          </cell>
          <cell r="GG29">
            <v>0</v>
          </cell>
          <cell r="GH29">
            <v>0</v>
          </cell>
          <cell r="GI29">
            <v>0</v>
          </cell>
          <cell r="GJ29">
            <v>0</v>
          </cell>
          <cell r="GK29">
            <v>0</v>
          </cell>
          <cell r="GL29">
            <v>0</v>
          </cell>
          <cell r="GM29">
            <v>0</v>
          </cell>
          <cell r="GN29">
            <v>0</v>
          </cell>
          <cell r="GO29">
            <v>0</v>
          </cell>
          <cell r="GP29">
            <v>0</v>
          </cell>
          <cell r="GQ29">
            <v>0</v>
          </cell>
          <cell r="GR29">
            <v>0</v>
          </cell>
          <cell r="GS29">
            <v>0</v>
          </cell>
          <cell r="GT29">
            <v>0</v>
          </cell>
          <cell r="GU29">
            <v>0</v>
          </cell>
          <cell r="GV29">
            <v>0</v>
          </cell>
          <cell r="GW29">
            <v>0</v>
          </cell>
          <cell r="GX29">
            <v>0</v>
          </cell>
          <cell r="GY29">
            <v>0</v>
          </cell>
          <cell r="GZ29">
            <v>0</v>
          </cell>
          <cell r="HB29">
            <v>0</v>
          </cell>
          <cell r="HD29">
            <v>0</v>
          </cell>
          <cell r="HE29">
            <v>0</v>
          </cell>
          <cell r="HF29">
            <v>0</v>
          </cell>
          <cell r="HG29">
            <v>0</v>
          </cell>
          <cell r="HH29">
            <v>0</v>
          </cell>
          <cell r="HI29">
            <v>0</v>
          </cell>
          <cell r="HJ29">
            <v>0</v>
          </cell>
          <cell r="HK29">
            <v>0</v>
          </cell>
          <cell r="HL29">
            <v>0</v>
          </cell>
          <cell r="HM29">
            <v>0</v>
          </cell>
          <cell r="HN29">
            <v>0</v>
          </cell>
          <cell r="HO29">
            <v>0</v>
          </cell>
          <cell r="HQ29">
            <v>0</v>
          </cell>
          <cell r="HS29">
            <v>0</v>
          </cell>
          <cell r="HT29">
            <v>0</v>
          </cell>
          <cell r="HU29">
            <v>0</v>
          </cell>
          <cell r="HV29">
            <v>0</v>
          </cell>
          <cell r="HW29">
            <v>0</v>
          </cell>
          <cell r="HX29">
            <v>0</v>
          </cell>
          <cell r="HY29">
            <v>0</v>
          </cell>
          <cell r="HZ29">
            <v>0</v>
          </cell>
          <cell r="IA29">
            <v>0</v>
          </cell>
          <cell r="IB29">
            <v>0</v>
          </cell>
          <cell r="IC29">
            <v>0</v>
          </cell>
          <cell r="ID29">
            <v>0</v>
          </cell>
          <cell r="IF29">
            <v>0</v>
          </cell>
          <cell r="IH29">
            <v>0</v>
          </cell>
          <cell r="II29">
            <v>0</v>
          </cell>
          <cell r="IJ29">
            <v>0</v>
          </cell>
          <cell r="IK29">
            <v>0</v>
          </cell>
          <cell r="IL29">
            <v>0</v>
          </cell>
          <cell r="IM29">
            <v>0</v>
          </cell>
          <cell r="IN29">
            <v>0</v>
          </cell>
          <cell r="IO29">
            <v>0</v>
          </cell>
          <cell r="IP29">
            <v>0</v>
          </cell>
          <cell r="IQ29">
            <v>0</v>
          </cell>
          <cell r="IR29">
            <v>0</v>
          </cell>
          <cell r="IS29">
            <v>0</v>
          </cell>
          <cell r="IU29">
            <v>0</v>
          </cell>
          <cell r="IW29">
            <v>0</v>
          </cell>
          <cell r="IX29">
            <v>0</v>
          </cell>
          <cell r="IY29">
            <v>0</v>
          </cell>
          <cell r="IZ29">
            <v>0</v>
          </cell>
          <cell r="JB29">
            <v>0</v>
          </cell>
          <cell r="JC29">
            <v>0</v>
          </cell>
          <cell r="JD29">
            <v>0</v>
          </cell>
          <cell r="JE29">
            <v>0</v>
          </cell>
          <cell r="JG29">
            <v>0</v>
          </cell>
          <cell r="JH29">
            <v>0</v>
          </cell>
          <cell r="JI29">
            <v>0</v>
          </cell>
          <cell r="JJ29">
            <v>0</v>
          </cell>
          <cell r="JL29">
            <v>0</v>
          </cell>
          <cell r="JM29">
            <v>0</v>
          </cell>
          <cell r="JN29">
            <v>0</v>
          </cell>
          <cell r="JO29">
            <v>0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V29">
            <v>0</v>
          </cell>
          <cell r="JW29">
            <v>0</v>
          </cell>
          <cell r="JX29">
            <v>0</v>
          </cell>
          <cell r="JY29">
            <v>0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F29">
            <v>0</v>
          </cell>
          <cell r="KG29">
            <v>0</v>
          </cell>
          <cell r="KH29">
            <v>0</v>
          </cell>
          <cell r="KI29">
            <v>0</v>
          </cell>
          <cell r="KK29">
            <v>0</v>
          </cell>
          <cell r="KL29">
            <v>0</v>
          </cell>
          <cell r="KM29">
            <v>0</v>
          </cell>
          <cell r="KN29">
            <v>0</v>
          </cell>
          <cell r="KP29">
            <v>0</v>
          </cell>
          <cell r="KQ29">
            <v>0</v>
          </cell>
          <cell r="KR29">
            <v>0</v>
          </cell>
          <cell r="KT29">
            <v>0</v>
          </cell>
          <cell r="KV29">
            <v>0</v>
          </cell>
          <cell r="KW29">
            <v>0</v>
          </cell>
          <cell r="KX29">
            <v>0</v>
          </cell>
          <cell r="KZ29">
            <v>0</v>
          </cell>
          <cell r="LA29">
            <v>0</v>
          </cell>
          <cell r="LB29">
            <v>0</v>
          </cell>
          <cell r="LD29">
            <v>0</v>
          </cell>
          <cell r="LF29">
            <v>0</v>
          </cell>
          <cell r="LG29">
            <v>0</v>
          </cell>
          <cell r="LH29">
            <v>0</v>
          </cell>
          <cell r="LJ29">
            <v>0</v>
          </cell>
          <cell r="LK29">
            <v>0</v>
          </cell>
          <cell r="LL29">
            <v>0</v>
          </cell>
          <cell r="LN29">
            <v>0</v>
          </cell>
          <cell r="LP29">
            <v>0</v>
          </cell>
          <cell r="LQ29">
            <v>0</v>
          </cell>
          <cell r="LR29">
            <v>0</v>
          </cell>
          <cell r="LT29" t="str">
            <v>324-51</v>
          </cell>
        </row>
        <row r="30">
          <cell r="B30">
            <v>70.5</v>
          </cell>
          <cell r="C30">
            <v>76</v>
          </cell>
          <cell r="D30">
            <v>25732.5</v>
          </cell>
          <cell r="E30">
            <v>27740</v>
          </cell>
          <cell r="F30">
            <v>0.92763157894736836</v>
          </cell>
          <cell r="G30">
            <v>0.92763157894736836</v>
          </cell>
          <cell r="H30">
            <v>0.05</v>
          </cell>
          <cell r="I30">
            <v>1.0141507438089989</v>
          </cell>
          <cell r="J30">
            <v>4.0000289999999987</v>
          </cell>
          <cell r="K30">
            <v>2.0000144999999994</v>
          </cell>
          <cell r="L30">
            <v>24.000032999999998</v>
          </cell>
          <cell r="M30">
            <v>0</v>
          </cell>
          <cell r="N30">
            <v>40.499994000000008</v>
          </cell>
          <cell r="O30">
            <v>0</v>
          </cell>
          <cell r="P30">
            <v>509.62999999999988</v>
          </cell>
          <cell r="Q30">
            <v>419.99999999999994</v>
          </cell>
          <cell r="R30">
            <v>249.99999999999997</v>
          </cell>
          <cell r="S30">
            <v>0</v>
          </cell>
          <cell r="T30">
            <v>403.00999999999988</v>
          </cell>
          <cell r="U30">
            <v>0</v>
          </cell>
          <cell r="W30">
            <v>72.616120976692571</v>
          </cell>
          <cell r="X30">
            <v>79.029966703662595</v>
          </cell>
          <cell r="Y30">
            <v>26499</v>
          </cell>
          <cell r="Z30">
            <v>28832</v>
          </cell>
          <cell r="AA30">
            <v>0.91908296337402884</v>
          </cell>
          <cell r="AB30">
            <v>0.95526315789473681</v>
          </cell>
          <cell r="AC30">
            <v>0.05</v>
          </cell>
          <cell r="AD30">
            <v>0.97068605813478259</v>
          </cell>
          <cell r="AE30">
            <v>1.6011347926267228</v>
          </cell>
          <cell r="AF30">
            <v>1.2214944956477152</v>
          </cell>
          <cell r="AG30">
            <v>31.360649641577059</v>
          </cell>
          <cell r="AH30">
            <v>0.10253456221198344</v>
          </cell>
          <cell r="AI30">
            <v>38.319946876600113</v>
          </cell>
          <cell r="AJ30">
            <v>0</v>
          </cell>
          <cell r="AK30">
            <v>495.98905323396053</v>
          </cell>
          <cell r="AL30">
            <v>439.1609110408948</v>
          </cell>
          <cell r="AM30">
            <v>271.48202622919439</v>
          </cell>
          <cell r="AN30">
            <v>159.81497574908488</v>
          </cell>
          <cell r="AO30">
            <v>411.0718947787031</v>
          </cell>
          <cell r="AP30">
            <v>0</v>
          </cell>
          <cell r="AR30">
            <v>71.093989071038251</v>
          </cell>
          <cell r="AS30">
            <v>76</v>
          </cell>
          <cell r="AT30">
            <v>26020.400000000001</v>
          </cell>
          <cell r="AU30">
            <v>27816</v>
          </cell>
          <cell r="AV30">
            <v>0.93544722461892438</v>
          </cell>
          <cell r="AW30">
            <v>0.93544722461892438</v>
          </cell>
          <cell r="AX30">
            <v>4.2499999999999989E-2</v>
          </cell>
          <cell r="AY30">
            <v>1.0238150995098096</v>
          </cell>
          <cell r="AZ30">
            <v>2.4773900000000002</v>
          </cell>
          <cell r="BA30">
            <v>1.98909</v>
          </cell>
          <cell r="BB30">
            <v>28.001384999999999</v>
          </cell>
          <cell r="BC30">
            <v>0</v>
          </cell>
          <cell r="BD30">
            <v>38.631575000000005</v>
          </cell>
          <cell r="BE30">
            <v>0</v>
          </cell>
          <cell r="BF30">
            <v>506.4199999999999</v>
          </cell>
          <cell r="BG30">
            <v>486.4899999999999</v>
          </cell>
          <cell r="BH30">
            <v>262.89999999999992</v>
          </cell>
          <cell r="BI30">
            <v>290.88891255451483</v>
          </cell>
          <cell r="BJ30">
            <v>420.0499999999999</v>
          </cell>
          <cell r="BK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H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E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</v>
          </cell>
          <cell r="FM30">
            <v>0</v>
          </cell>
          <cell r="FN30">
            <v>0</v>
          </cell>
          <cell r="FO30">
            <v>0</v>
          </cell>
          <cell r="FP30">
            <v>0</v>
          </cell>
          <cell r="FQ30">
            <v>0</v>
          </cell>
          <cell r="FR30">
            <v>0</v>
          </cell>
          <cell r="FS30">
            <v>0</v>
          </cell>
          <cell r="FT30">
            <v>0</v>
          </cell>
          <cell r="FU30">
            <v>0</v>
          </cell>
          <cell r="FV30">
            <v>0</v>
          </cell>
          <cell r="FW30">
            <v>0</v>
          </cell>
          <cell r="FX30">
            <v>0</v>
          </cell>
          <cell r="FY30">
            <v>0</v>
          </cell>
          <cell r="FZ30">
            <v>0</v>
          </cell>
          <cell r="GA30">
            <v>0</v>
          </cell>
          <cell r="GB30">
            <v>0</v>
          </cell>
          <cell r="GC30">
            <v>0</v>
          </cell>
          <cell r="GD30">
            <v>0</v>
          </cell>
          <cell r="GE30">
            <v>0</v>
          </cell>
          <cell r="GF30">
            <v>0</v>
          </cell>
          <cell r="GG30">
            <v>0</v>
          </cell>
          <cell r="GH30">
            <v>0</v>
          </cell>
          <cell r="GI30">
            <v>0</v>
          </cell>
          <cell r="GJ30">
            <v>0</v>
          </cell>
          <cell r="GK30">
            <v>0</v>
          </cell>
          <cell r="GL30">
            <v>0</v>
          </cell>
          <cell r="GM30">
            <v>0</v>
          </cell>
          <cell r="GN30">
            <v>0</v>
          </cell>
          <cell r="GO30">
            <v>0</v>
          </cell>
          <cell r="GP30">
            <v>0</v>
          </cell>
          <cell r="GQ30">
            <v>0</v>
          </cell>
          <cell r="GR30">
            <v>0</v>
          </cell>
          <cell r="GS30">
            <v>0</v>
          </cell>
          <cell r="GT30">
            <v>0</v>
          </cell>
          <cell r="GU30">
            <v>0</v>
          </cell>
          <cell r="GV30">
            <v>0</v>
          </cell>
          <cell r="GW30">
            <v>0</v>
          </cell>
          <cell r="GX30">
            <v>0</v>
          </cell>
          <cell r="GY30">
            <v>0</v>
          </cell>
          <cell r="GZ30">
            <v>0</v>
          </cell>
          <cell r="HB30">
            <v>0</v>
          </cell>
          <cell r="HD30">
            <v>0</v>
          </cell>
          <cell r="HE30">
            <v>0</v>
          </cell>
          <cell r="HF30">
            <v>0</v>
          </cell>
          <cell r="HG30">
            <v>0</v>
          </cell>
          <cell r="HH30">
            <v>0</v>
          </cell>
          <cell r="HI30">
            <v>0</v>
          </cell>
          <cell r="HJ30">
            <v>0</v>
          </cell>
          <cell r="HK30">
            <v>0</v>
          </cell>
          <cell r="HL30">
            <v>0</v>
          </cell>
          <cell r="HM30">
            <v>0</v>
          </cell>
          <cell r="HN30">
            <v>0</v>
          </cell>
          <cell r="HO30">
            <v>0</v>
          </cell>
          <cell r="HQ30">
            <v>0</v>
          </cell>
          <cell r="HS30">
            <v>0</v>
          </cell>
          <cell r="HT30">
            <v>0</v>
          </cell>
          <cell r="HU30">
            <v>0</v>
          </cell>
          <cell r="HV30">
            <v>0</v>
          </cell>
          <cell r="HW30">
            <v>0</v>
          </cell>
          <cell r="HX30">
            <v>0</v>
          </cell>
          <cell r="HY30">
            <v>0</v>
          </cell>
          <cell r="HZ30">
            <v>0</v>
          </cell>
          <cell r="IA30">
            <v>0</v>
          </cell>
          <cell r="IB30">
            <v>0</v>
          </cell>
          <cell r="IC30">
            <v>0</v>
          </cell>
          <cell r="ID30">
            <v>0</v>
          </cell>
          <cell r="IF30">
            <v>0</v>
          </cell>
          <cell r="IH30">
            <v>0</v>
          </cell>
          <cell r="II30">
            <v>0</v>
          </cell>
          <cell r="IJ30">
            <v>0</v>
          </cell>
          <cell r="IK30">
            <v>0</v>
          </cell>
          <cell r="IL30">
            <v>0</v>
          </cell>
          <cell r="IM30">
            <v>0</v>
          </cell>
          <cell r="IN30">
            <v>0</v>
          </cell>
          <cell r="IO30">
            <v>0</v>
          </cell>
          <cell r="IP30">
            <v>0</v>
          </cell>
          <cell r="IQ30">
            <v>0</v>
          </cell>
          <cell r="IR30">
            <v>0</v>
          </cell>
          <cell r="IS30">
            <v>0</v>
          </cell>
          <cell r="IU30">
            <v>0</v>
          </cell>
          <cell r="IW30">
            <v>0</v>
          </cell>
          <cell r="IX30">
            <v>0</v>
          </cell>
          <cell r="IY30">
            <v>0</v>
          </cell>
          <cell r="IZ30">
            <v>0</v>
          </cell>
          <cell r="JB30">
            <v>0</v>
          </cell>
          <cell r="JC30">
            <v>0</v>
          </cell>
          <cell r="JD30">
            <v>0</v>
          </cell>
          <cell r="JE30">
            <v>0</v>
          </cell>
          <cell r="JG30">
            <v>0</v>
          </cell>
          <cell r="JH30">
            <v>0</v>
          </cell>
          <cell r="JI30">
            <v>0</v>
          </cell>
          <cell r="JJ30">
            <v>0</v>
          </cell>
          <cell r="JL30">
            <v>0</v>
          </cell>
          <cell r="JM30">
            <v>0</v>
          </cell>
          <cell r="JN30">
            <v>0</v>
          </cell>
          <cell r="JO30">
            <v>0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0</v>
          </cell>
          <cell r="KA30">
            <v>0</v>
          </cell>
          <cell r="KB30">
            <v>0</v>
          </cell>
          <cell r="KC30">
            <v>0</v>
          </cell>
          <cell r="KD30">
            <v>0</v>
          </cell>
          <cell r="KF30">
            <v>0</v>
          </cell>
          <cell r="KG30">
            <v>0</v>
          </cell>
          <cell r="KH30">
            <v>0</v>
          </cell>
          <cell r="KI30">
            <v>0</v>
          </cell>
          <cell r="KK30">
            <v>0</v>
          </cell>
          <cell r="KL30">
            <v>0</v>
          </cell>
          <cell r="KM30">
            <v>0</v>
          </cell>
          <cell r="KN30">
            <v>0</v>
          </cell>
          <cell r="KP30">
            <v>0</v>
          </cell>
          <cell r="KQ30">
            <v>0</v>
          </cell>
          <cell r="KR30">
            <v>0</v>
          </cell>
          <cell r="KT30">
            <v>0</v>
          </cell>
          <cell r="KV30">
            <v>0</v>
          </cell>
          <cell r="KW30">
            <v>0</v>
          </cell>
          <cell r="KX30">
            <v>0</v>
          </cell>
          <cell r="KZ30">
            <v>0</v>
          </cell>
          <cell r="LA30">
            <v>0</v>
          </cell>
          <cell r="LB30">
            <v>0</v>
          </cell>
          <cell r="LD30">
            <v>0</v>
          </cell>
          <cell r="LF30">
            <v>0</v>
          </cell>
          <cell r="LG30">
            <v>0</v>
          </cell>
          <cell r="LH30">
            <v>0</v>
          </cell>
          <cell r="LJ30">
            <v>0</v>
          </cell>
          <cell r="LK30">
            <v>0</v>
          </cell>
          <cell r="LL30">
            <v>0</v>
          </cell>
          <cell r="LN30">
            <v>0</v>
          </cell>
          <cell r="LP30">
            <v>0</v>
          </cell>
          <cell r="LQ30">
            <v>0</v>
          </cell>
          <cell r="LR30">
            <v>0</v>
          </cell>
          <cell r="LT30" t="str">
            <v>324-61</v>
          </cell>
        </row>
        <row r="31">
          <cell r="B31">
            <v>255.55</v>
          </cell>
          <cell r="C31">
            <v>270</v>
          </cell>
          <cell r="D31">
            <v>93275.75</v>
          </cell>
          <cell r="E31">
            <v>98550</v>
          </cell>
          <cell r="F31">
            <v>0.94648148148148159</v>
          </cell>
          <cell r="G31">
            <v>0.94648148148148159</v>
          </cell>
          <cell r="H31">
            <v>0.05</v>
          </cell>
          <cell r="I31">
            <v>1.0074429367544899</v>
          </cell>
          <cell r="J31">
            <v>4.0000289999999987</v>
          </cell>
          <cell r="K31">
            <v>2.0000144999999994</v>
          </cell>
          <cell r="L31">
            <v>24.000032999999998</v>
          </cell>
          <cell r="M31">
            <v>0</v>
          </cell>
          <cell r="N31">
            <v>40.499994000000008</v>
          </cell>
          <cell r="O31">
            <v>0</v>
          </cell>
          <cell r="P31">
            <v>509.62999999999988</v>
          </cell>
          <cell r="Q31">
            <v>419.99999999999994</v>
          </cell>
          <cell r="R31">
            <v>249.99999999999997</v>
          </cell>
          <cell r="S31">
            <v>0</v>
          </cell>
          <cell r="T31">
            <v>403.00999999999988</v>
          </cell>
          <cell r="U31">
            <v>0</v>
          </cell>
          <cell r="W31">
            <v>252.36018947833244</v>
          </cell>
          <cell r="X31">
            <v>273.00283013187209</v>
          </cell>
          <cell r="Y31">
            <v>92113</v>
          </cell>
          <cell r="Z31">
            <v>99642</v>
          </cell>
          <cell r="AA31">
            <v>0.92443949338632303</v>
          </cell>
          <cell r="AB31">
            <v>0.93468290208016236</v>
          </cell>
          <cell r="AC31">
            <v>0.05</v>
          </cell>
          <cell r="AD31">
            <v>0.98181284402196822</v>
          </cell>
          <cell r="AE31">
            <v>1.6011347926267228</v>
          </cell>
          <cell r="AF31">
            <v>1.2214944956477152</v>
          </cell>
          <cell r="AG31">
            <v>31.360649641577059</v>
          </cell>
          <cell r="AH31">
            <v>0.10253456221198344</v>
          </cell>
          <cell r="AI31">
            <v>38.319946876600113</v>
          </cell>
          <cell r="AJ31">
            <v>0</v>
          </cell>
          <cell r="AK31">
            <v>495.98905323396053</v>
          </cell>
          <cell r="AL31">
            <v>439.1609110408948</v>
          </cell>
          <cell r="AM31">
            <v>271.48202622919439</v>
          </cell>
          <cell r="AN31">
            <v>159.81497574908488</v>
          </cell>
          <cell r="AO31">
            <v>411.0718947787031</v>
          </cell>
          <cell r="AP31">
            <v>0</v>
          </cell>
          <cell r="AR31">
            <v>254.34398907103824</v>
          </cell>
          <cell r="AS31">
            <v>270</v>
          </cell>
          <cell r="AT31">
            <v>93089.9</v>
          </cell>
          <cell r="AU31">
            <v>98820</v>
          </cell>
          <cell r="AV31">
            <v>0.94201477433717862</v>
          </cell>
          <cell r="AW31">
            <v>0.94201477433717862</v>
          </cell>
          <cell r="AX31">
            <v>3.9375E-2</v>
          </cell>
          <cell r="AY31">
            <v>1.0108762773856017</v>
          </cell>
          <cell r="AZ31">
            <v>2.4773900000000002</v>
          </cell>
          <cell r="BA31">
            <v>1.98909</v>
          </cell>
          <cell r="BB31">
            <v>28.001384999999999</v>
          </cell>
          <cell r="BC31">
            <v>0</v>
          </cell>
          <cell r="BD31">
            <v>38.631575000000005</v>
          </cell>
          <cell r="BE31">
            <v>0</v>
          </cell>
          <cell r="BF31">
            <v>506.4199999999999</v>
          </cell>
          <cell r="BG31">
            <v>486.4899999999999</v>
          </cell>
          <cell r="BH31">
            <v>262.89999999999992</v>
          </cell>
          <cell r="BI31">
            <v>290.88891255451483</v>
          </cell>
          <cell r="BJ31">
            <v>420.0499999999999</v>
          </cell>
          <cell r="BK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1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1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13.999999999999998</v>
          </cell>
          <cell r="DH31">
            <v>15.999999999999998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1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1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13.999999999999998</v>
          </cell>
          <cell r="FE31">
            <v>15.999999999999998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</v>
          </cell>
          <cell r="FM31">
            <v>0</v>
          </cell>
          <cell r="FN31">
            <v>0</v>
          </cell>
          <cell r="FO31">
            <v>0</v>
          </cell>
          <cell r="FP31">
            <v>0</v>
          </cell>
          <cell r="FQ31">
            <v>0</v>
          </cell>
          <cell r="FR31">
            <v>0</v>
          </cell>
          <cell r="FS31">
            <v>0</v>
          </cell>
          <cell r="FT31">
            <v>0</v>
          </cell>
          <cell r="FU31">
            <v>0</v>
          </cell>
          <cell r="FV31">
            <v>0</v>
          </cell>
          <cell r="FW31">
            <v>0</v>
          </cell>
          <cell r="FX31">
            <v>0</v>
          </cell>
          <cell r="FY31">
            <v>0</v>
          </cell>
          <cell r="FZ31">
            <v>0</v>
          </cell>
          <cell r="GA31">
            <v>0</v>
          </cell>
          <cell r="GB31">
            <v>0</v>
          </cell>
          <cell r="GC31">
            <v>0</v>
          </cell>
          <cell r="GD31">
            <v>0</v>
          </cell>
          <cell r="GE31">
            <v>0</v>
          </cell>
          <cell r="GF31">
            <v>0</v>
          </cell>
          <cell r="GG31">
            <v>0</v>
          </cell>
          <cell r="GH31">
            <v>0</v>
          </cell>
          <cell r="GI31">
            <v>0</v>
          </cell>
          <cell r="GJ31">
            <v>0</v>
          </cell>
          <cell r="GK31">
            <v>0</v>
          </cell>
          <cell r="GL31">
            <v>0</v>
          </cell>
          <cell r="GM31">
            <v>0</v>
          </cell>
          <cell r="GN31">
            <v>0</v>
          </cell>
          <cell r="GO31">
            <v>0</v>
          </cell>
          <cell r="GP31">
            <v>0</v>
          </cell>
          <cell r="GQ31">
            <v>0</v>
          </cell>
          <cell r="GR31">
            <v>0</v>
          </cell>
          <cell r="GS31">
            <v>0</v>
          </cell>
          <cell r="GT31">
            <v>0</v>
          </cell>
          <cell r="GU31">
            <v>0</v>
          </cell>
          <cell r="GV31">
            <v>0</v>
          </cell>
          <cell r="GW31">
            <v>0</v>
          </cell>
          <cell r="GX31">
            <v>0</v>
          </cell>
          <cell r="GY31">
            <v>2</v>
          </cell>
          <cell r="GZ31">
            <v>9</v>
          </cell>
          <cell r="HB31">
            <v>11</v>
          </cell>
          <cell r="HD31">
            <v>0</v>
          </cell>
          <cell r="HE31">
            <v>0</v>
          </cell>
          <cell r="HF31">
            <v>0</v>
          </cell>
          <cell r="HG31">
            <v>0</v>
          </cell>
          <cell r="HH31">
            <v>0</v>
          </cell>
          <cell r="HI31">
            <v>0</v>
          </cell>
          <cell r="HJ31">
            <v>0</v>
          </cell>
          <cell r="HK31">
            <v>0</v>
          </cell>
          <cell r="HL31">
            <v>0</v>
          </cell>
          <cell r="HM31">
            <v>0</v>
          </cell>
          <cell r="HN31">
            <v>0</v>
          </cell>
          <cell r="HO31">
            <v>0</v>
          </cell>
          <cell r="HQ31">
            <v>0</v>
          </cell>
          <cell r="HS31">
            <v>0</v>
          </cell>
          <cell r="HT31">
            <v>0</v>
          </cell>
          <cell r="HU31">
            <v>0</v>
          </cell>
          <cell r="HV31">
            <v>0</v>
          </cell>
          <cell r="HW31">
            <v>0</v>
          </cell>
          <cell r="HX31">
            <v>0</v>
          </cell>
          <cell r="HY31">
            <v>0</v>
          </cell>
          <cell r="HZ31">
            <v>0</v>
          </cell>
          <cell r="IA31">
            <v>0</v>
          </cell>
          <cell r="IB31">
            <v>0</v>
          </cell>
          <cell r="IC31">
            <v>0</v>
          </cell>
          <cell r="ID31">
            <v>0</v>
          </cell>
          <cell r="IF31">
            <v>0</v>
          </cell>
          <cell r="IH31">
            <v>0</v>
          </cell>
          <cell r="II31">
            <v>0</v>
          </cell>
          <cell r="IJ31">
            <v>0</v>
          </cell>
          <cell r="IK31">
            <v>0</v>
          </cell>
          <cell r="IL31">
            <v>0</v>
          </cell>
          <cell r="IM31">
            <v>0</v>
          </cell>
          <cell r="IN31">
            <v>0</v>
          </cell>
          <cell r="IO31">
            <v>0</v>
          </cell>
          <cell r="IP31">
            <v>0</v>
          </cell>
          <cell r="IQ31">
            <v>0</v>
          </cell>
          <cell r="IR31">
            <v>0</v>
          </cell>
          <cell r="IS31">
            <v>0</v>
          </cell>
          <cell r="IU31">
            <v>0</v>
          </cell>
          <cell r="IW31">
            <v>0</v>
          </cell>
          <cell r="IX31">
            <v>0</v>
          </cell>
          <cell r="IY31">
            <v>0</v>
          </cell>
          <cell r="IZ31">
            <v>0</v>
          </cell>
          <cell r="JB31">
            <v>0</v>
          </cell>
          <cell r="JC31">
            <v>0</v>
          </cell>
          <cell r="JD31">
            <v>0</v>
          </cell>
          <cell r="JE31">
            <v>0</v>
          </cell>
          <cell r="JG31">
            <v>0</v>
          </cell>
          <cell r="JH31">
            <v>0</v>
          </cell>
          <cell r="JI31">
            <v>0</v>
          </cell>
          <cell r="JJ31">
            <v>0</v>
          </cell>
          <cell r="JL31">
            <v>0</v>
          </cell>
          <cell r="JM31">
            <v>0</v>
          </cell>
          <cell r="JN31">
            <v>0</v>
          </cell>
          <cell r="JO31">
            <v>0</v>
          </cell>
          <cell r="JQ31">
            <v>0</v>
          </cell>
          <cell r="JR31">
            <v>0</v>
          </cell>
          <cell r="JS31">
            <v>0</v>
          </cell>
          <cell r="JT31">
            <v>0</v>
          </cell>
          <cell r="JV31">
            <v>0</v>
          </cell>
          <cell r="JW31">
            <v>0</v>
          </cell>
          <cell r="JX31">
            <v>0</v>
          </cell>
          <cell r="JY31">
            <v>0</v>
          </cell>
          <cell r="KA31">
            <v>0</v>
          </cell>
          <cell r="KB31">
            <v>0</v>
          </cell>
          <cell r="KC31">
            <v>0</v>
          </cell>
          <cell r="KD31">
            <v>0</v>
          </cell>
          <cell r="KF31">
            <v>0</v>
          </cell>
          <cell r="KG31">
            <v>0</v>
          </cell>
          <cell r="KH31">
            <v>0</v>
          </cell>
          <cell r="KI31">
            <v>0</v>
          </cell>
          <cell r="KK31">
            <v>0</v>
          </cell>
          <cell r="KL31">
            <v>0</v>
          </cell>
          <cell r="KM31">
            <v>0</v>
          </cell>
          <cell r="KN31">
            <v>0</v>
          </cell>
          <cell r="KP31">
            <v>0</v>
          </cell>
          <cell r="KQ31">
            <v>0</v>
          </cell>
          <cell r="KR31">
            <v>0</v>
          </cell>
          <cell r="KT31">
            <v>0</v>
          </cell>
          <cell r="KV31">
            <v>0</v>
          </cell>
          <cell r="KW31">
            <v>0</v>
          </cell>
          <cell r="KX31">
            <v>0</v>
          </cell>
          <cell r="KZ31">
            <v>0</v>
          </cell>
          <cell r="LA31">
            <v>0</v>
          </cell>
          <cell r="LB31">
            <v>0</v>
          </cell>
          <cell r="LD31">
            <v>0</v>
          </cell>
          <cell r="LF31">
            <v>0</v>
          </cell>
          <cell r="LG31">
            <v>0</v>
          </cell>
          <cell r="LH31">
            <v>0</v>
          </cell>
          <cell r="LJ31">
            <v>0</v>
          </cell>
          <cell r="LK31">
            <v>0</v>
          </cell>
          <cell r="LL31">
            <v>0</v>
          </cell>
          <cell r="LN31">
            <v>0</v>
          </cell>
          <cell r="LP31">
            <v>0</v>
          </cell>
          <cell r="LQ31">
            <v>0</v>
          </cell>
          <cell r="LR31">
            <v>0</v>
          </cell>
          <cell r="LT31" t="str">
            <v>324-Entity</v>
          </cell>
        </row>
        <row r="32">
          <cell r="B32">
            <v>35.520000000000003</v>
          </cell>
          <cell r="C32">
            <v>37</v>
          </cell>
          <cell r="D32">
            <v>12964.800000000005</v>
          </cell>
          <cell r="E32">
            <v>13505</v>
          </cell>
          <cell r="F32">
            <v>0.96000000000000019</v>
          </cell>
          <cell r="G32">
            <v>0.96000000000000019</v>
          </cell>
          <cell r="H32">
            <v>7.9999999999999988E-2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W32">
            <v>35.62191780821918</v>
          </cell>
          <cell r="X32">
            <v>37</v>
          </cell>
          <cell r="Y32">
            <v>13002</v>
          </cell>
          <cell r="Z32">
            <v>13505</v>
          </cell>
          <cell r="AA32">
            <v>0.96275453535727518</v>
          </cell>
          <cell r="AB32">
            <v>0.96275453535727518</v>
          </cell>
          <cell r="AC32">
            <v>7.9999999999999988E-2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R32">
            <v>0</v>
          </cell>
          <cell r="AS32">
            <v>37</v>
          </cell>
          <cell r="AT32">
            <v>0</v>
          </cell>
          <cell r="AU32">
            <v>13542</v>
          </cell>
          <cell r="AV32">
            <v>0</v>
          </cell>
          <cell r="AW32">
            <v>0</v>
          </cell>
          <cell r="AX32">
            <v>3.0000000000000009E-2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19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H32">
            <v>19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19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E32">
            <v>19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0</v>
          </cell>
          <cell r="FM32">
            <v>0</v>
          </cell>
          <cell r="FN32">
            <v>0</v>
          </cell>
          <cell r="FO32">
            <v>19</v>
          </cell>
          <cell r="FP32">
            <v>0</v>
          </cell>
          <cell r="FQ32">
            <v>0</v>
          </cell>
          <cell r="FR32">
            <v>0</v>
          </cell>
          <cell r="FS32">
            <v>0</v>
          </cell>
          <cell r="FT32">
            <v>0</v>
          </cell>
          <cell r="FU32">
            <v>0</v>
          </cell>
          <cell r="FV32">
            <v>0</v>
          </cell>
          <cell r="FW32">
            <v>0</v>
          </cell>
          <cell r="FX32">
            <v>0</v>
          </cell>
          <cell r="FY32">
            <v>0</v>
          </cell>
          <cell r="FZ32">
            <v>0</v>
          </cell>
          <cell r="GA32">
            <v>0</v>
          </cell>
          <cell r="GB32">
            <v>0</v>
          </cell>
          <cell r="GC32">
            <v>0</v>
          </cell>
          <cell r="GD32">
            <v>0</v>
          </cell>
          <cell r="GE32">
            <v>0</v>
          </cell>
          <cell r="GF32">
            <v>0</v>
          </cell>
          <cell r="GG32">
            <v>0</v>
          </cell>
          <cell r="GH32">
            <v>0</v>
          </cell>
          <cell r="GI32">
            <v>0</v>
          </cell>
          <cell r="GJ32">
            <v>0</v>
          </cell>
          <cell r="GK32">
            <v>0</v>
          </cell>
          <cell r="GL32">
            <v>0</v>
          </cell>
          <cell r="GM32">
            <v>0</v>
          </cell>
          <cell r="GN32">
            <v>0</v>
          </cell>
          <cell r="GO32">
            <v>0</v>
          </cell>
          <cell r="GP32">
            <v>0</v>
          </cell>
          <cell r="GQ32">
            <v>0</v>
          </cell>
          <cell r="GR32">
            <v>0</v>
          </cell>
          <cell r="GS32">
            <v>0</v>
          </cell>
          <cell r="GT32">
            <v>0</v>
          </cell>
          <cell r="GU32">
            <v>0</v>
          </cell>
          <cell r="GV32">
            <v>0</v>
          </cell>
          <cell r="GW32">
            <v>0</v>
          </cell>
          <cell r="GX32">
            <v>0</v>
          </cell>
          <cell r="GY32">
            <v>0</v>
          </cell>
          <cell r="GZ32">
            <v>0</v>
          </cell>
          <cell r="HB32">
            <v>19</v>
          </cell>
          <cell r="HD32">
            <v>0</v>
          </cell>
          <cell r="HE32">
            <v>0</v>
          </cell>
          <cell r="HF32">
            <v>0</v>
          </cell>
          <cell r="HG32">
            <v>0</v>
          </cell>
          <cell r="HH32">
            <v>0</v>
          </cell>
          <cell r="HI32">
            <v>0</v>
          </cell>
          <cell r="HJ32">
            <v>0</v>
          </cell>
          <cell r="HK32">
            <v>0</v>
          </cell>
          <cell r="HL32">
            <v>0</v>
          </cell>
          <cell r="HM32">
            <v>0</v>
          </cell>
          <cell r="HN32">
            <v>0</v>
          </cell>
          <cell r="HO32">
            <v>0</v>
          </cell>
          <cell r="HQ32">
            <v>0</v>
          </cell>
          <cell r="HS32">
            <v>0</v>
          </cell>
          <cell r="HT32">
            <v>0</v>
          </cell>
          <cell r="HU32">
            <v>0</v>
          </cell>
          <cell r="HV32">
            <v>0</v>
          </cell>
          <cell r="HW32">
            <v>0</v>
          </cell>
          <cell r="HX32">
            <v>0</v>
          </cell>
          <cell r="HY32">
            <v>0</v>
          </cell>
          <cell r="HZ32">
            <v>0</v>
          </cell>
          <cell r="IA32">
            <v>0</v>
          </cell>
          <cell r="IB32">
            <v>0</v>
          </cell>
          <cell r="IC32">
            <v>0</v>
          </cell>
          <cell r="ID32">
            <v>0</v>
          </cell>
          <cell r="IF32">
            <v>0</v>
          </cell>
          <cell r="IH32">
            <v>0</v>
          </cell>
          <cell r="II32">
            <v>0</v>
          </cell>
          <cell r="IJ32">
            <v>0</v>
          </cell>
          <cell r="IK32">
            <v>0</v>
          </cell>
          <cell r="IL32">
            <v>0</v>
          </cell>
          <cell r="IM32">
            <v>0</v>
          </cell>
          <cell r="IN32">
            <v>0</v>
          </cell>
          <cell r="IO32">
            <v>0</v>
          </cell>
          <cell r="IP32">
            <v>0</v>
          </cell>
          <cell r="IQ32">
            <v>0</v>
          </cell>
          <cell r="IR32">
            <v>0</v>
          </cell>
          <cell r="IS32">
            <v>0</v>
          </cell>
          <cell r="IU32">
            <v>0</v>
          </cell>
          <cell r="IW32">
            <v>0</v>
          </cell>
          <cell r="IX32">
            <v>0</v>
          </cell>
          <cell r="IY32">
            <v>0</v>
          </cell>
          <cell r="IZ32">
            <v>0</v>
          </cell>
          <cell r="JB32">
            <v>0</v>
          </cell>
          <cell r="JC32">
            <v>0</v>
          </cell>
          <cell r="JD32">
            <v>0</v>
          </cell>
          <cell r="JE32">
            <v>0</v>
          </cell>
          <cell r="JG32">
            <v>0</v>
          </cell>
          <cell r="JH32">
            <v>0</v>
          </cell>
          <cell r="JI32">
            <v>0</v>
          </cell>
          <cell r="JJ32">
            <v>0</v>
          </cell>
          <cell r="JL32">
            <v>0</v>
          </cell>
          <cell r="JM32">
            <v>0</v>
          </cell>
          <cell r="JN32">
            <v>0</v>
          </cell>
          <cell r="JO32">
            <v>0</v>
          </cell>
          <cell r="JQ32">
            <v>0</v>
          </cell>
          <cell r="JR32">
            <v>0</v>
          </cell>
          <cell r="JS32">
            <v>0</v>
          </cell>
          <cell r="JT32">
            <v>0</v>
          </cell>
          <cell r="JV32">
            <v>0</v>
          </cell>
          <cell r="JW32">
            <v>0</v>
          </cell>
          <cell r="JX32">
            <v>0</v>
          </cell>
          <cell r="JY32">
            <v>0</v>
          </cell>
          <cell r="KA32">
            <v>0</v>
          </cell>
          <cell r="KB32">
            <v>0</v>
          </cell>
          <cell r="KC32">
            <v>0</v>
          </cell>
          <cell r="KD32">
            <v>0</v>
          </cell>
          <cell r="KF32">
            <v>0</v>
          </cell>
          <cell r="KG32">
            <v>0</v>
          </cell>
          <cell r="KH32">
            <v>0</v>
          </cell>
          <cell r="KI32">
            <v>0</v>
          </cell>
          <cell r="KK32">
            <v>0</v>
          </cell>
          <cell r="KL32">
            <v>0</v>
          </cell>
          <cell r="KM32">
            <v>0</v>
          </cell>
          <cell r="KN32">
            <v>0</v>
          </cell>
          <cell r="KP32">
            <v>10.999999999999998</v>
          </cell>
          <cell r="KQ32">
            <v>39.000000000000007</v>
          </cell>
          <cell r="KR32">
            <v>6</v>
          </cell>
          <cell r="KT32">
            <v>19</v>
          </cell>
          <cell r="KV32">
            <v>10.999999999999998</v>
          </cell>
          <cell r="KW32">
            <v>20.000000000000007</v>
          </cell>
          <cell r="KX32">
            <v>6</v>
          </cell>
          <cell r="KZ32">
            <v>10.999999999999998</v>
          </cell>
          <cell r="LA32">
            <v>39.000000000000007</v>
          </cell>
          <cell r="LB32">
            <v>6</v>
          </cell>
          <cell r="LD32">
            <v>19</v>
          </cell>
          <cell r="LF32">
            <v>10.999999999999998</v>
          </cell>
          <cell r="LG32">
            <v>20.000000000000007</v>
          </cell>
          <cell r="LH32">
            <v>6</v>
          </cell>
          <cell r="LJ32">
            <v>11</v>
          </cell>
          <cell r="LK32">
            <v>39.000000000000007</v>
          </cell>
          <cell r="LL32">
            <v>6</v>
          </cell>
          <cell r="LN32">
            <v>19</v>
          </cell>
          <cell r="LP32">
            <v>11</v>
          </cell>
          <cell r="LQ32">
            <v>20.000000000000007</v>
          </cell>
          <cell r="LR32">
            <v>6</v>
          </cell>
          <cell r="LT32" t="str">
            <v>650-21</v>
          </cell>
        </row>
        <row r="33">
          <cell r="B33">
            <v>34.560000000000009</v>
          </cell>
          <cell r="C33">
            <v>36</v>
          </cell>
          <cell r="D33">
            <v>12614.4</v>
          </cell>
          <cell r="E33">
            <v>13140</v>
          </cell>
          <cell r="F33">
            <v>0.96</v>
          </cell>
          <cell r="G33">
            <v>0.96</v>
          </cell>
          <cell r="H33">
            <v>7.9999999999999988E-2</v>
          </cell>
          <cell r="I33">
            <v>3.538471467610699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W33">
            <v>34.68767123287671</v>
          </cell>
          <cell r="X33">
            <v>36</v>
          </cell>
          <cell r="Y33">
            <v>12661</v>
          </cell>
          <cell r="Z33">
            <v>13140</v>
          </cell>
          <cell r="AA33">
            <v>0.96354642313546424</v>
          </cell>
          <cell r="AB33">
            <v>0.96354642313546424</v>
          </cell>
          <cell r="AC33">
            <v>7.9999999999999988E-2</v>
          </cell>
          <cell r="AD33">
            <v>3.4904078678904207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R33">
            <v>0</v>
          </cell>
          <cell r="AS33">
            <v>36</v>
          </cell>
          <cell r="AT33">
            <v>0</v>
          </cell>
          <cell r="AU33">
            <v>13176</v>
          </cell>
          <cell r="AV33">
            <v>0</v>
          </cell>
          <cell r="AW33">
            <v>0</v>
          </cell>
          <cell r="AX33">
            <v>3.0000000000000009E-2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8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H33">
            <v>8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8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E33">
            <v>8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0</v>
          </cell>
          <cell r="FM33">
            <v>0</v>
          </cell>
          <cell r="FN33">
            <v>0</v>
          </cell>
          <cell r="FO33">
            <v>0</v>
          </cell>
          <cell r="FP33">
            <v>0</v>
          </cell>
          <cell r="FQ33">
            <v>0</v>
          </cell>
          <cell r="FR33">
            <v>0</v>
          </cell>
          <cell r="FS33">
            <v>0</v>
          </cell>
          <cell r="FT33">
            <v>0</v>
          </cell>
          <cell r="FU33">
            <v>0</v>
          </cell>
          <cell r="FV33">
            <v>0</v>
          </cell>
          <cell r="FW33">
            <v>0</v>
          </cell>
          <cell r="FX33">
            <v>0</v>
          </cell>
          <cell r="FY33">
            <v>0</v>
          </cell>
          <cell r="FZ33">
            <v>0</v>
          </cell>
          <cell r="GA33">
            <v>0</v>
          </cell>
          <cell r="GB33">
            <v>0</v>
          </cell>
          <cell r="GC33">
            <v>0</v>
          </cell>
          <cell r="GD33">
            <v>0</v>
          </cell>
          <cell r="GE33">
            <v>0</v>
          </cell>
          <cell r="GF33">
            <v>0</v>
          </cell>
          <cell r="GG33">
            <v>0</v>
          </cell>
          <cell r="GH33">
            <v>0</v>
          </cell>
          <cell r="GI33">
            <v>0</v>
          </cell>
          <cell r="GJ33">
            <v>0</v>
          </cell>
          <cell r="GK33">
            <v>0</v>
          </cell>
          <cell r="GL33">
            <v>0</v>
          </cell>
          <cell r="GM33">
            <v>0</v>
          </cell>
          <cell r="GN33">
            <v>6.9999999999999991</v>
          </cell>
          <cell r="GO33">
            <v>0</v>
          </cell>
          <cell r="GP33">
            <v>0</v>
          </cell>
          <cell r="GQ33">
            <v>0</v>
          </cell>
          <cell r="GR33">
            <v>0</v>
          </cell>
          <cell r="GS33">
            <v>0</v>
          </cell>
          <cell r="GT33">
            <v>0</v>
          </cell>
          <cell r="GU33">
            <v>0</v>
          </cell>
          <cell r="GV33">
            <v>0</v>
          </cell>
          <cell r="GW33">
            <v>0</v>
          </cell>
          <cell r="GX33">
            <v>0</v>
          </cell>
          <cell r="GY33">
            <v>0</v>
          </cell>
          <cell r="GZ33">
            <v>0</v>
          </cell>
          <cell r="HB33">
            <v>6.9999999999999991</v>
          </cell>
          <cell r="HD33">
            <v>0</v>
          </cell>
          <cell r="HE33">
            <v>0</v>
          </cell>
          <cell r="HF33">
            <v>0</v>
          </cell>
          <cell r="HG33">
            <v>0</v>
          </cell>
          <cell r="HH33">
            <v>0</v>
          </cell>
          <cell r="HI33">
            <v>0</v>
          </cell>
          <cell r="HJ33">
            <v>0</v>
          </cell>
          <cell r="HK33">
            <v>0</v>
          </cell>
          <cell r="HL33">
            <v>0</v>
          </cell>
          <cell r="HM33">
            <v>0</v>
          </cell>
          <cell r="HN33">
            <v>0</v>
          </cell>
          <cell r="HO33">
            <v>0</v>
          </cell>
          <cell r="HQ33">
            <v>0</v>
          </cell>
          <cell r="HS33">
            <v>0</v>
          </cell>
          <cell r="HT33">
            <v>0</v>
          </cell>
          <cell r="HU33">
            <v>0</v>
          </cell>
          <cell r="HV33">
            <v>0</v>
          </cell>
          <cell r="HW33">
            <v>0</v>
          </cell>
          <cell r="HX33">
            <v>0</v>
          </cell>
          <cell r="HY33">
            <v>0</v>
          </cell>
          <cell r="HZ33">
            <v>0</v>
          </cell>
          <cell r="IA33">
            <v>0</v>
          </cell>
          <cell r="IB33">
            <v>0</v>
          </cell>
          <cell r="IC33">
            <v>0</v>
          </cell>
          <cell r="ID33">
            <v>0</v>
          </cell>
          <cell r="IF33">
            <v>0</v>
          </cell>
          <cell r="IH33">
            <v>0</v>
          </cell>
          <cell r="II33">
            <v>0</v>
          </cell>
          <cell r="IJ33">
            <v>0</v>
          </cell>
          <cell r="IK33">
            <v>0</v>
          </cell>
          <cell r="IL33">
            <v>0</v>
          </cell>
          <cell r="IM33">
            <v>0</v>
          </cell>
          <cell r="IN33">
            <v>0</v>
          </cell>
          <cell r="IO33">
            <v>0</v>
          </cell>
          <cell r="IP33">
            <v>0</v>
          </cell>
          <cell r="IQ33">
            <v>0</v>
          </cell>
          <cell r="IR33">
            <v>0</v>
          </cell>
          <cell r="IS33">
            <v>0</v>
          </cell>
          <cell r="IU33">
            <v>0</v>
          </cell>
          <cell r="IW33">
            <v>0</v>
          </cell>
          <cell r="IX33">
            <v>0</v>
          </cell>
          <cell r="IY33">
            <v>0</v>
          </cell>
          <cell r="IZ33">
            <v>0</v>
          </cell>
          <cell r="JB33">
            <v>0</v>
          </cell>
          <cell r="JC33">
            <v>0</v>
          </cell>
          <cell r="JD33">
            <v>0</v>
          </cell>
          <cell r="JE33">
            <v>0</v>
          </cell>
          <cell r="JG33">
            <v>0</v>
          </cell>
          <cell r="JH33">
            <v>0</v>
          </cell>
          <cell r="JI33">
            <v>0</v>
          </cell>
          <cell r="JJ33">
            <v>0</v>
          </cell>
          <cell r="JL33">
            <v>0</v>
          </cell>
          <cell r="JM33">
            <v>0</v>
          </cell>
          <cell r="JN33">
            <v>0</v>
          </cell>
          <cell r="JO33">
            <v>0</v>
          </cell>
          <cell r="JQ33">
            <v>0</v>
          </cell>
          <cell r="JR33">
            <v>0</v>
          </cell>
          <cell r="JS33">
            <v>0</v>
          </cell>
          <cell r="JT33">
            <v>0</v>
          </cell>
          <cell r="JV33">
            <v>0</v>
          </cell>
          <cell r="JW33">
            <v>0</v>
          </cell>
          <cell r="JX33">
            <v>0</v>
          </cell>
          <cell r="JY33">
            <v>0</v>
          </cell>
          <cell r="KA33">
            <v>0</v>
          </cell>
          <cell r="KB33">
            <v>0</v>
          </cell>
          <cell r="KC33">
            <v>0</v>
          </cell>
          <cell r="KD33">
            <v>0</v>
          </cell>
          <cell r="KF33">
            <v>0</v>
          </cell>
          <cell r="KG33">
            <v>0</v>
          </cell>
          <cell r="KH33">
            <v>0</v>
          </cell>
          <cell r="KI33">
            <v>0</v>
          </cell>
          <cell r="KK33">
            <v>0</v>
          </cell>
          <cell r="KL33">
            <v>0</v>
          </cell>
          <cell r="KM33">
            <v>0</v>
          </cell>
          <cell r="KN33">
            <v>0</v>
          </cell>
          <cell r="KP33">
            <v>0</v>
          </cell>
          <cell r="KQ33">
            <v>0</v>
          </cell>
          <cell r="KR33">
            <v>0</v>
          </cell>
          <cell r="KT33">
            <v>0</v>
          </cell>
          <cell r="KV33">
            <v>0</v>
          </cell>
          <cell r="KW33">
            <v>0</v>
          </cell>
          <cell r="KX33">
            <v>0</v>
          </cell>
          <cell r="KZ33">
            <v>0</v>
          </cell>
          <cell r="LA33">
            <v>0</v>
          </cell>
          <cell r="LB33">
            <v>0</v>
          </cell>
          <cell r="LD33">
            <v>0</v>
          </cell>
          <cell r="LF33">
            <v>0</v>
          </cell>
          <cell r="LG33">
            <v>0</v>
          </cell>
          <cell r="LH33">
            <v>0</v>
          </cell>
          <cell r="LJ33">
            <v>0</v>
          </cell>
          <cell r="LK33">
            <v>0</v>
          </cell>
          <cell r="LL33">
            <v>0</v>
          </cell>
          <cell r="LN33">
            <v>0</v>
          </cell>
          <cell r="LP33">
            <v>0</v>
          </cell>
          <cell r="LQ33">
            <v>0</v>
          </cell>
          <cell r="LR33">
            <v>0</v>
          </cell>
          <cell r="LT33" t="str">
            <v>650-31</v>
          </cell>
        </row>
        <row r="34">
          <cell r="B34">
            <v>64.240000000000009</v>
          </cell>
          <cell r="C34">
            <v>73</v>
          </cell>
          <cell r="D34">
            <v>23447.599999999999</v>
          </cell>
          <cell r="E34">
            <v>26645</v>
          </cell>
          <cell r="F34">
            <v>0.87999999999999989</v>
          </cell>
          <cell r="G34">
            <v>0.87999999999999989</v>
          </cell>
          <cell r="H34">
            <v>7.9999999999999988E-2</v>
          </cell>
          <cell r="I34">
            <v>1.4567744529699995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W34">
            <v>51.665753424657531</v>
          </cell>
          <cell r="X34">
            <v>73</v>
          </cell>
          <cell r="Y34">
            <v>18858</v>
          </cell>
          <cell r="Z34">
            <v>26645</v>
          </cell>
          <cell r="AA34">
            <v>0.70775004691311694</v>
          </cell>
          <cell r="AB34">
            <v>0.70775004691311694</v>
          </cell>
          <cell r="AC34">
            <v>7.9999999999999988E-2</v>
          </cell>
          <cell r="AD34">
            <v>1.4978192167830358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R34">
            <v>0</v>
          </cell>
          <cell r="AS34">
            <v>73</v>
          </cell>
          <cell r="AT34">
            <v>0</v>
          </cell>
          <cell r="AU34">
            <v>26718</v>
          </cell>
          <cell r="AV34">
            <v>0</v>
          </cell>
          <cell r="AW34">
            <v>0</v>
          </cell>
          <cell r="AX34">
            <v>3.0000000000000009E-2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1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H34">
            <v>1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1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E34">
            <v>1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1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GE34">
            <v>0</v>
          </cell>
          <cell r="GF34">
            <v>0</v>
          </cell>
          <cell r="GG34">
            <v>0</v>
          </cell>
          <cell r="GH34">
            <v>0</v>
          </cell>
          <cell r="GI34">
            <v>0</v>
          </cell>
          <cell r="GJ34">
            <v>0</v>
          </cell>
          <cell r="GK34">
            <v>0</v>
          </cell>
          <cell r="GL34">
            <v>0</v>
          </cell>
          <cell r="GM34">
            <v>0</v>
          </cell>
          <cell r="GN34">
            <v>0</v>
          </cell>
          <cell r="GO34">
            <v>0</v>
          </cell>
          <cell r="GP34">
            <v>0</v>
          </cell>
          <cell r="GQ34">
            <v>0</v>
          </cell>
          <cell r="GR34">
            <v>0</v>
          </cell>
          <cell r="GS34">
            <v>0</v>
          </cell>
          <cell r="GT34">
            <v>0</v>
          </cell>
          <cell r="GU34">
            <v>0</v>
          </cell>
          <cell r="GV34">
            <v>0</v>
          </cell>
          <cell r="GW34">
            <v>0</v>
          </cell>
          <cell r="GX34">
            <v>0</v>
          </cell>
          <cell r="GY34">
            <v>0</v>
          </cell>
          <cell r="GZ34">
            <v>0</v>
          </cell>
          <cell r="HB34">
            <v>1</v>
          </cell>
          <cell r="HD34">
            <v>0</v>
          </cell>
          <cell r="HE34">
            <v>0</v>
          </cell>
          <cell r="HF34">
            <v>0</v>
          </cell>
          <cell r="HG34">
            <v>0</v>
          </cell>
          <cell r="HH34">
            <v>0</v>
          </cell>
          <cell r="HI34">
            <v>0</v>
          </cell>
          <cell r="HJ34">
            <v>0</v>
          </cell>
          <cell r="HK34">
            <v>0</v>
          </cell>
          <cell r="HL34">
            <v>0</v>
          </cell>
          <cell r="HM34">
            <v>0</v>
          </cell>
          <cell r="HN34">
            <v>0</v>
          </cell>
          <cell r="HO34">
            <v>0</v>
          </cell>
          <cell r="HQ34">
            <v>0</v>
          </cell>
          <cell r="HS34">
            <v>0</v>
          </cell>
          <cell r="HT34">
            <v>0</v>
          </cell>
          <cell r="HU34">
            <v>0</v>
          </cell>
          <cell r="HV34">
            <v>0</v>
          </cell>
          <cell r="HW34">
            <v>0</v>
          </cell>
          <cell r="HX34">
            <v>0</v>
          </cell>
          <cell r="HY34">
            <v>0</v>
          </cell>
          <cell r="HZ34">
            <v>0</v>
          </cell>
          <cell r="IA34">
            <v>0</v>
          </cell>
          <cell r="IB34">
            <v>0</v>
          </cell>
          <cell r="IC34">
            <v>0</v>
          </cell>
          <cell r="ID34">
            <v>0</v>
          </cell>
          <cell r="IF34">
            <v>0</v>
          </cell>
          <cell r="IH34">
            <v>0</v>
          </cell>
          <cell r="II34">
            <v>0</v>
          </cell>
          <cell r="IJ34">
            <v>0</v>
          </cell>
          <cell r="IK34">
            <v>0</v>
          </cell>
          <cell r="IL34">
            <v>0</v>
          </cell>
          <cell r="IM34">
            <v>0</v>
          </cell>
          <cell r="IN34">
            <v>0</v>
          </cell>
          <cell r="IO34">
            <v>0</v>
          </cell>
          <cell r="IP34">
            <v>0</v>
          </cell>
          <cell r="IQ34">
            <v>0</v>
          </cell>
          <cell r="IR34">
            <v>0</v>
          </cell>
          <cell r="IS34">
            <v>0</v>
          </cell>
          <cell r="IU34">
            <v>0</v>
          </cell>
          <cell r="IW34">
            <v>0</v>
          </cell>
          <cell r="IX34">
            <v>0</v>
          </cell>
          <cell r="IY34">
            <v>0</v>
          </cell>
          <cell r="IZ34">
            <v>0</v>
          </cell>
          <cell r="JB34">
            <v>0</v>
          </cell>
          <cell r="JC34">
            <v>0</v>
          </cell>
          <cell r="JD34">
            <v>0</v>
          </cell>
          <cell r="JE34">
            <v>0</v>
          </cell>
          <cell r="JG34">
            <v>0</v>
          </cell>
          <cell r="JH34">
            <v>0</v>
          </cell>
          <cell r="JI34">
            <v>0</v>
          </cell>
          <cell r="JJ34">
            <v>0</v>
          </cell>
          <cell r="JL34">
            <v>0</v>
          </cell>
          <cell r="JM34">
            <v>0</v>
          </cell>
          <cell r="JN34">
            <v>0</v>
          </cell>
          <cell r="JO34">
            <v>0</v>
          </cell>
          <cell r="JQ34">
            <v>0</v>
          </cell>
          <cell r="JR34">
            <v>0</v>
          </cell>
          <cell r="JS34">
            <v>0</v>
          </cell>
          <cell r="JT34">
            <v>0</v>
          </cell>
          <cell r="JV34">
            <v>0</v>
          </cell>
          <cell r="JW34">
            <v>0</v>
          </cell>
          <cell r="JX34">
            <v>0</v>
          </cell>
          <cell r="JY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  <cell r="KF34">
            <v>0</v>
          </cell>
          <cell r="KG34">
            <v>0</v>
          </cell>
          <cell r="KH34">
            <v>0</v>
          </cell>
          <cell r="KI34">
            <v>0</v>
          </cell>
          <cell r="KK34">
            <v>0</v>
          </cell>
          <cell r="KL34">
            <v>0</v>
          </cell>
          <cell r="KM34">
            <v>0</v>
          </cell>
          <cell r="KN34">
            <v>0</v>
          </cell>
          <cell r="KP34">
            <v>0</v>
          </cell>
          <cell r="KQ34">
            <v>0</v>
          </cell>
          <cell r="KR34">
            <v>0</v>
          </cell>
          <cell r="KT34">
            <v>0</v>
          </cell>
          <cell r="KV34">
            <v>0</v>
          </cell>
          <cell r="KW34">
            <v>0</v>
          </cell>
          <cell r="KX34">
            <v>0</v>
          </cell>
          <cell r="KZ34">
            <v>0</v>
          </cell>
          <cell r="LA34">
            <v>0</v>
          </cell>
          <cell r="LB34">
            <v>0</v>
          </cell>
          <cell r="LD34">
            <v>0</v>
          </cell>
          <cell r="LF34">
            <v>0</v>
          </cell>
          <cell r="LG34">
            <v>0</v>
          </cell>
          <cell r="LH34">
            <v>0</v>
          </cell>
          <cell r="LJ34">
            <v>0</v>
          </cell>
          <cell r="LK34">
            <v>0</v>
          </cell>
          <cell r="LL34">
            <v>0</v>
          </cell>
          <cell r="LN34">
            <v>0</v>
          </cell>
          <cell r="LP34">
            <v>0</v>
          </cell>
          <cell r="LQ34">
            <v>0</v>
          </cell>
          <cell r="LR34">
            <v>0</v>
          </cell>
          <cell r="LT34" t="str">
            <v>650-51</v>
          </cell>
        </row>
        <row r="35">
          <cell r="B35">
            <v>36.780821917808218</v>
          </cell>
          <cell r="C35">
            <v>44</v>
          </cell>
          <cell r="D35">
            <v>13425</v>
          </cell>
          <cell r="E35">
            <v>16060</v>
          </cell>
          <cell r="F35">
            <v>0.83592777085927772</v>
          </cell>
          <cell r="G35">
            <v>0.83592777085927772</v>
          </cell>
          <cell r="H35">
            <v>7.9999999999999988E-2</v>
          </cell>
          <cell r="I35">
            <v>0.5765973113922882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W35">
            <v>21.336986301369866</v>
          </cell>
          <cell r="X35">
            <v>44</v>
          </cell>
          <cell r="Y35">
            <v>7788</v>
          </cell>
          <cell r="Z35">
            <v>16060</v>
          </cell>
          <cell r="AA35">
            <v>0.48493150684931507</v>
          </cell>
          <cell r="AB35">
            <v>0.48493150684931507</v>
          </cell>
          <cell r="AC35">
            <v>7.9999999999999988E-2</v>
          </cell>
          <cell r="AD35">
            <v>0.89419885556949397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R35">
            <v>0</v>
          </cell>
          <cell r="AS35">
            <v>44</v>
          </cell>
          <cell r="AT35">
            <v>0</v>
          </cell>
          <cell r="AU35">
            <v>16104</v>
          </cell>
          <cell r="AV35">
            <v>0</v>
          </cell>
          <cell r="AW35">
            <v>0</v>
          </cell>
          <cell r="AX35">
            <v>3.0000000000000009E-2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M35">
            <v>0</v>
          </cell>
          <cell r="BN35">
            <v>1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H35">
            <v>1</v>
          </cell>
          <cell r="DJ35">
            <v>0</v>
          </cell>
          <cell r="DK35">
            <v>1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E35">
            <v>1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0</v>
          </cell>
          <cell r="FN35">
            <v>0</v>
          </cell>
          <cell r="FO35">
            <v>0</v>
          </cell>
          <cell r="FP35">
            <v>0</v>
          </cell>
          <cell r="FQ35">
            <v>0</v>
          </cell>
          <cell r="FR35">
            <v>0</v>
          </cell>
          <cell r="FS35">
            <v>0</v>
          </cell>
          <cell r="FT35">
            <v>0</v>
          </cell>
          <cell r="FU35">
            <v>0</v>
          </cell>
          <cell r="FV35">
            <v>0</v>
          </cell>
          <cell r="FW35">
            <v>0</v>
          </cell>
          <cell r="FX35">
            <v>0</v>
          </cell>
          <cell r="FY35">
            <v>0</v>
          </cell>
          <cell r="FZ35">
            <v>0</v>
          </cell>
          <cell r="GA35">
            <v>0</v>
          </cell>
          <cell r="GB35">
            <v>0</v>
          </cell>
          <cell r="GC35">
            <v>0</v>
          </cell>
          <cell r="GD35">
            <v>0</v>
          </cell>
          <cell r="GE35">
            <v>0</v>
          </cell>
          <cell r="GF35">
            <v>0</v>
          </cell>
          <cell r="GG35">
            <v>0</v>
          </cell>
          <cell r="GH35">
            <v>0</v>
          </cell>
          <cell r="GI35">
            <v>0</v>
          </cell>
          <cell r="GJ35">
            <v>0</v>
          </cell>
          <cell r="GK35">
            <v>0</v>
          </cell>
          <cell r="GL35">
            <v>0</v>
          </cell>
          <cell r="GM35">
            <v>0</v>
          </cell>
          <cell r="GN35">
            <v>0</v>
          </cell>
          <cell r="GO35">
            <v>0</v>
          </cell>
          <cell r="GP35">
            <v>0</v>
          </cell>
          <cell r="GQ35">
            <v>0</v>
          </cell>
          <cell r="GR35">
            <v>0</v>
          </cell>
          <cell r="GS35">
            <v>0</v>
          </cell>
          <cell r="GT35">
            <v>0</v>
          </cell>
          <cell r="GU35">
            <v>0</v>
          </cell>
          <cell r="GV35">
            <v>0</v>
          </cell>
          <cell r="GW35">
            <v>0</v>
          </cell>
          <cell r="GX35">
            <v>0</v>
          </cell>
          <cell r="GY35">
            <v>0</v>
          </cell>
          <cell r="GZ35">
            <v>0</v>
          </cell>
          <cell r="HB35">
            <v>0</v>
          </cell>
          <cell r="HD35">
            <v>0</v>
          </cell>
          <cell r="HE35">
            <v>0</v>
          </cell>
          <cell r="HF35">
            <v>0</v>
          </cell>
          <cell r="HG35">
            <v>0</v>
          </cell>
          <cell r="HH35">
            <v>0</v>
          </cell>
          <cell r="HI35">
            <v>0</v>
          </cell>
          <cell r="HJ35">
            <v>0</v>
          </cell>
          <cell r="HK35">
            <v>0</v>
          </cell>
          <cell r="HL35">
            <v>0</v>
          </cell>
          <cell r="HM35">
            <v>0</v>
          </cell>
          <cell r="HN35">
            <v>0</v>
          </cell>
          <cell r="HO35">
            <v>0</v>
          </cell>
          <cell r="HQ35">
            <v>0</v>
          </cell>
          <cell r="HS35">
            <v>0</v>
          </cell>
          <cell r="HT35">
            <v>0</v>
          </cell>
          <cell r="HU35">
            <v>0</v>
          </cell>
          <cell r="HV35">
            <v>0</v>
          </cell>
          <cell r="HW35">
            <v>0</v>
          </cell>
          <cell r="HX35">
            <v>0</v>
          </cell>
          <cell r="HY35">
            <v>0</v>
          </cell>
          <cell r="HZ35">
            <v>0</v>
          </cell>
          <cell r="IA35">
            <v>0</v>
          </cell>
          <cell r="IB35">
            <v>0</v>
          </cell>
          <cell r="IC35">
            <v>0</v>
          </cell>
          <cell r="ID35">
            <v>0</v>
          </cell>
          <cell r="IF35">
            <v>0</v>
          </cell>
          <cell r="IH35">
            <v>0</v>
          </cell>
          <cell r="II35">
            <v>0</v>
          </cell>
          <cell r="IJ35">
            <v>0</v>
          </cell>
          <cell r="IK35">
            <v>0</v>
          </cell>
          <cell r="IL35">
            <v>0</v>
          </cell>
          <cell r="IM35">
            <v>0</v>
          </cell>
          <cell r="IN35">
            <v>0</v>
          </cell>
          <cell r="IO35">
            <v>0</v>
          </cell>
          <cell r="IP35">
            <v>0</v>
          </cell>
          <cell r="IQ35">
            <v>0</v>
          </cell>
          <cell r="IR35">
            <v>0</v>
          </cell>
          <cell r="IS35">
            <v>0</v>
          </cell>
          <cell r="IU35">
            <v>0</v>
          </cell>
          <cell r="IW35">
            <v>0</v>
          </cell>
          <cell r="IX35">
            <v>0</v>
          </cell>
          <cell r="IY35">
            <v>0</v>
          </cell>
          <cell r="IZ35">
            <v>0</v>
          </cell>
          <cell r="JB35">
            <v>0</v>
          </cell>
          <cell r="JC35">
            <v>0</v>
          </cell>
          <cell r="JD35">
            <v>0</v>
          </cell>
          <cell r="JE35">
            <v>0</v>
          </cell>
          <cell r="JG35">
            <v>0</v>
          </cell>
          <cell r="JH35">
            <v>0</v>
          </cell>
          <cell r="JI35">
            <v>0</v>
          </cell>
          <cell r="JJ35">
            <v>0</v>
          </cell>
          <cell r="JL35">
            <v>0</v>
          </cell>
          <cell r="JM35">
            <v>0</v>
          </cell>
          <cell r="JN35">
            <v>0</v>
          </cell>
          <cell r="JO35">
            <v>0</v>
          </cell>
          <cell r="JQ35">
            <v>0</v>
          </cell>
          <cell r="JR35">
            <v>0</v>
          </cell>
          <cell r="JS35">
            <v>0</v>
          </cell>
          <cell r="JT35">
            <v>0</v>
          </cell>
          <cell r="JV35">
            <v>0</v>
          </cell>
          <cell r="JW35">
            <v>0</v>
          </cell>
          <cell r="JX35">
            <v>0</v>
          </cell>
          <cell r="JY35">
            <v>0</v>
          </cell>
          <cell r="KA35">
            <v>0</v>
          </cell>
          <cell r="KB35">
            <v>0</v>
          </cell>
          <cell r="KC35">
            <v>0</v>
          </cell>
          <cell r="KD35">
            <v>0</v>
          </cell>
          <cell r="KF35">
            <v>0</v>
          </cell>
          <cell r="KG35">
            <v>0</v>
          </cell>
          <cell r="KH35">
            <v>0</v>
          </cell>
          <cell r="KI35">
            <v>0</v>
          </cell>
          <cell r="KK35">
            <v>0</v>
          </cell>
          <cell r="KL35">
            <v>0</v>
          </cell>
          <cell r="KM35">
            <v>0</v>
          </cell>
          <cell r="KN35">
            <v>0</v>
          </cell>
          <cell r="KP35">
            <v>0</v>
          </cell>
          <cell r="KQ35">
            <v>0</v>
          </cell>
          <cell r="KR35">
            <v>0</v>
          </cell>
          <cell r="KT35">
            <v>0</v>
          </cell>
          <cell r="KV35">
            <v>0</v>
          </cell>
          <cell r="KW35">
            <v>0</v>
          </cell>
          <cell r="KX35">
            <v>0</v>
          </cell>
          <cell r="KZ35">
            <v>0</v>
          </cell>
          <cell r="LA35">
            <v>0</v>
          </cell>
          <cell r="LB35">
            <v>0</v>
          </cell>
          <cell r="LD35">
            <v>0</v>
          </cell>
          <cell r="LF35">
            <v>0</v>
          </cell>
          <cell r="LG35">
            <v>0</v>
          </cell>
          <cell r="LH35">
            <v>0</v>
          </cell>
          <cell r="LJ35">
            <v>0</v>
          </cell>
          <cell r="LK35">
            <v>0</v>
          </cell>
          <cell r="LL35">
            <v>0</v>
          </cell>
          <cell r="LN35">
            <v>0</v>
          </cell>
          <cell r="LP35">
            <v>0</v>
          </cell>
          <cell r="LQ35">
            <v>0</v>
          </cell>
          <cell r="LR35">
            <v>0</v>
          </cell>
          <cell r="LT35" t="str">
            <v>650-52</v>
          </cell>
        </row>
        <row r="36">
          <cell r="B36">
            <v>87.300000000000011</v>
          </cell>
          <cell r="C36">
            <v>97</v>
          </cell>
          <cell r="D36">
            <v>31864.499999999996</v>
          </cell>
          <cell r="E36">
            <v>35405</v>
          </cell>
          <cell r="F36">
            <v>0.89999999999999991</v>
          </cell>
          <cell r="G36">
            <v>0.89999999999999991</v>
          </cell>
          <cell r="H36">
            <v>7.9999999999999988E-2</v>
          </cell>
          <cell r="I36">
            <v>1.616439831896753</v>
          </cell>
          <cell r="J36">
            <v>9.0000189000000006</v>
          </cell>
          <cell r="K36">
            <v>10.0000404</v>
          </cell>
          <cell r="L36">
            <v>61.000002000000002</v>
          </cell>
          <cell r="M36">
            <v>0</v>
          </cell>
          <cell r="N36">
            <v>5.2999829999999992</v>
          </cell>
          <cell r="O36">
            <v>1.9991699999999997</v>
          </cell>
          <cell r="P36">
            <v>482.57</v>
          </cell>
          <cell r="Q36">
            <v>334.43000000000012</v>
          </cell>
          <cell r="R36">
            <v>219.58000000000004</v>
          </cell>
          <cell r="S36">
            <v>330</v>
          </cell>
          <cell r="T36">
            <v>312.53000000000003</v>
          </cell>
          <cell r="U36">
            <v>220.55000000000007</v>
          </cell>
          <cell r="W36">
            <v>71.991780821917814</v>
          </cell>
          <cell r="X36">
            <v>97</v>
          </cell>
          <cell r="Y36">
            <v>26277</v>
          </cell>
          <cell r="Z36">
            <v>35405</v>
          </cell>
          <cell r="AA36">
            <v>0.74218330744245165</v>
          </cell>
          <cell r="AB36">
            <v>0.74218330744245165</v>
          </cell>
          <cell r="AC36">
            <v>7.9999999999999988E-2</v>
          </cell>
          <cell r="AD36">
            <v>1.9049553928142151</v>
          </cell>
          <cell r="AE36">
            <v>2.46269858769841</v>
          </cell>
          <cell r="AF36">
            <v>3.8548962216973854</v>
          </cell>
          <cell r="AG36">
            <v>47.252952567101886</v>
          </cell>
          <cell r="AH36">
            <v>0.21577060931900252</v>
          </cell>
          <cell r="AI36">
            <v>10.243036054326671</v>
          </cell>
          <cell r="AJ36">
            <v>7.9528149936379862</v>
          </cell>
          <cell r="AK36">
            <v>499.9981286122877</v>
          </cell>
          <cell r="AL36">
            <v>384.77874524103902</v>
          </cell>
          <cell r="AM36">
            <v>235.62407848383756</v>
          </cell>
          <cell r="AN36">
            <v>247.95660129330639</v>
          </cell>
          <cell r="AO36">
            <v>306.74479029313073</v>
          </cell>
          <cell r="AP36">
            <v>235.43099679226981</v>
          </cell>
          <cell r="AR36">
            <v>0</v>
          </cell>
          <cell r="AS36">
            <v>97</v>
          </cell>
          <cell r="AT36">
            <v>0</v>
          </cell>
          <cell r="AU36">
            <v>35502</v>
          </cell>
          <cell r="AV36">
            <v>0</v>
          </cell>
          <cell r="AW36">
            <v>0</v>
          </cell>
          <cell r="AX36">
            <v>3.0000000000000009E-2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H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E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GE36">
            <v>0</v>
          </cell>
          <cell r="GF36">
            <v>0</v>
          </cell>
          <cell r="GG36">
            <v>0</v>
          </cell>
          <cell r="GH36">
            <v>0</v>
          </cell>
          <cell r="GI36">
            <v>0</v>
          </cell>
          <cell r="GJ36">
            <v>0</v>
          </cell>
          <cell r="GK36">
            <v>0</v>
          </cell>
          <cell r="GL36">
            <v>0</v>
          </cell>
          <cell r="GM36">
            <v>0</v>
          </cell>
          <cell r="GN36">
            <v>0</v>
          </cell>
          <cell r="GO36">
            <v>0</v>
          </cell>
          <cell r="GP36">
            <v>0</v>
          </cell>
          <cell r="GQ36">
            <v>0</v>
          </cell>
          <cell r="GR36">
            <v>0</v>
          </cell>
          <cell r="GS36">
            <v>0</v>
          </cell>
          <cell r="GT36">
            <v>0</v>
          </cell>
          <cell r="GU36">
            <v>0</v>
          </cell>
          <cell r="GV36">
            <v>0</v>
          </cell>
          <cell r="GW36">
            <v>0</v>
          </cell>
          <cell r="GX36">
            <v>0</v>
          </cell>
          <cell r="GY36">
            <v>0</v>
          </cell>
          <cell r="GZ36">
            <v>0</v>
          </cell>
          <cell r="HB36">
            <v>0</v>
          </cell>
          <cell r="HD36">
            <v>0</v>
          </cell>
          <cell r="HE36">
            <v>0</v>
          </cell>
          <cell r="HF36">
            <v>0</v>
          </cell>
          <cell r="HG36">
            <v>0</v>
          </cell>
          <cell r="HH36">
            <v>0</v>
          </cell>
          <cell r="HI36">
            <v>0</v>
          </cell>
          <cell r="HJ36">
            <v>0</v>
          </cell>
          <cell r="HK36">
            <v>0</v>
          </cell>
          <cell r="HL36">
            <v>0</v>
          </cell>
          <cell r="HM36">
            <v>0</v>
          </cell>
          <cell r="HN36">
            <v>0</v>
          </cell>
          <cell r="HO36">
            <v>0</v>
          </cell>
          <cell r="HQ36">
            <v>0</v>
          </cell>
          <cell r="HS36">
            <v>0</v>
          </cell>
          <cell r="HT36">
            <v>0</v>
          </cell>
          <cell r="HU36">
            <v>0</v>
          </cell>
          <cell r="HV36">
            <v>0</v>
          </cell>
          <cell r="HW36">
            <v>0</v>
          </cell>
          <cell r="HX36">
            <v>0</v>
          </cell>
          <cell r="HY36">
            <v>0</v>
          </cell>
          <cell r="HZ36">
            <v>0</v>
          </cell>
          <cell r="IA36">
            <v>0</v>
          </cell>
          <cell r="IB36">
            <v>0</v>
          </cell>
          <cell r="IC36">
            <v>0</v>
          </cell>
          <cell r="ID36">
            <v>0</v>
          </cell>
          <cell r="IF36">
            <v>0</v>
          </cell>
          <cell r="IH36">
            <v>0</v>
          </cell>
          <cell r="II36">
            <v>0</v>
          </cell>
          <cell r="IJ36">
            <v>0</v>
          </cell>
          <cell r="IK36">
            <v>0</v>
          </cell>
          <cell r="IL36">
            <v>0</v>
          </cell>
          <cell r="IM36">
            <v>0</v>
          </cell>
          <cell r="IN36">
            <v>0</v>
          </cell>
          <cell r="IO36">
            <v>0</v>
          </cell>
          <cell r="IP36">
            <v>0</v>
          </cell>
          <cell r="IQ36">
            <v>0</v>
          </cell>
          <cell r="IR36">
            <v>0</v>
          </cell>
          <cell r="IS36">
            <v>0</v>
          </cell>
          <cell r="IU36">
            <v>0</v>
          </cell>
          <cell r="IW36">
            <v>0</v>
          </cell>
          <cell r="IX36">
            <v>0</v>
          </cell>
          <cell r="IY36">
            <v>0</v>
          </cell>
          <cell r="IZ36">
            <v>0</v>
          </cell>
          <cell r="JB36">
            <v>0</v>
          </cell>
          <cell r="JC36">
            <v>0</v>
          </cell>
          <cell r="JD36">
            <v>0</v>
          </cell>
          <cell r="JE36">
            <v>0</v>
          </cell>
          <cell r="JG36">
            <v>0</v>
          </cell>
          <cell r="JH36">
            <v>0</v>
          </cell>
          <cell r="JI36">
            <v>0</v>
          </cell>
          <cell r="JJ36">
            <v>0</v>
          </cell>
          <cell r="JL36">
            <v>0</v>
          </cell>
          <cell r="JM36">
            <v>0</v>
          </cell>
          <cell r="JN36">
            <v>0</v>
          </cell>
          <cell r="JO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  <cell r="KF36">
            <v>0</v>
          </cell>
          <cell r="KG36">
            <v>0</v>
          </cell>
          <cell r="KH36">
            <v>0</v>
          </cell>
          <cell r="KI36">
            <v>0</v>
          </cell>
          <cell r="KK36">
            <v>0</v>
          </cell>
          <cell r="KL36">
            <v>0</v>
          </cell>
          <cell r="KM36">
            <v>0</v>
          </cell>
          <cell r="KN36">
            <v>0</v>
          </cell>
          <cell r="KP36">
            <v>0</v>
          </cell>
          <cell r="KQ36">
            <v>0</v>
          </cell>
          <cell r="KR36">
            <v>0</v>
          </cell>
          <cell r="KT36">
            <v>0</v>
          </cell>
          <cell r="KV36">
            <v>0</v>
          </cell>
          <cell r="KW36">
            <v>0</v>
          </cell>
          <cell r="KX36">
            <v>0</v>
          </cell>
          <cell r="KZ36">
            <v>0</v>
          </cell>
          <cell r="LA36">
            <v>0</v>
          </cell>
          <cell r="LB36">
            <v>0</v>
          </cell>
          <cell r="LD36">
            <v>0</v>
          </cell>
          <cell r="LF36">
            <v>0</v>
          </cell>
          <cell r="LG36">
            <v>0</v>
          </cell>
          <cell r="LH36">
            <v>0</v>
          </cell>
          <cell r="LJ36">
            <v>0</v>
          </cell>
          <cell r="LK36">
            <v>0</v>
          </cell>
          <cell r="LL36">
            <v>0</v>
          </cell>
          <cell r="LN36">
            <v>0</v>
          </cell>
          <cell r="LP36">
            <v>0</v>
          </cell>
          <cell r="LQ36">
            <v>0</v>
          </cell>
          <cell r="LR36">
            <v>0</v>
          </cell>
          <cell r="LT36" t="str">
            <v>650-61</v>
          </cell>
        </row>
        <row r="37">
          <cell r="B37">
            <v>17.600000000000001</v>
          </cell>
          <cell r="C37">
            <v>22</v>
          </cell>
          <cell r="D37">
            <v>6424.0000000000009</v>
          </cell>
          <cell r="E37">
            <v>8030</v>
          </cell>
          <cell r="F37">
            <v>0.80000000000000016</v>
          </cell>
          <cell r="G37">
            <v>0.80000000000000016</v>
          </cell>
          <cell r="H37">
            <v>7.9999999999999988E-2</v>
          </cell>
          <cell r="I37">
            <v>0.27427025218287843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17.599999999999998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367.2</v>
          </cell>
          <cell r="U37">
            <v>0</v>
          </cell>
          <cell r="W37">
            <v>11.158904109589042</v>
          </cell>
          <cell r="X37">
            <v>22</v>
          </cell>
          <cell r="Y37">
            <v>4073</v>
          </cell>
          <cell r="Z37">
            <v>8030</v>
          </cell>
          <cell r="AA37">
            <v>0.50722291407222919</v>
          </cell>
          <cell r="AB37">
            <v>0.50722291407222919</v>
          </cell>
          <cell r="AC37">
            <v>7.9999999999999988E-2</v>
          </cell>
          <cell r="AD37">
            <v>0.10993981259843806</v>
          </cell>
          <cell r="AE37">
            <v>1.4626216077828973</v>
          </cell>
          <cell r="AF37">
            <v>0.6043650793650801</v>
          </cell>
          <cell r="AG37">
            <v>0</v>
          </cell>
          <cell r="AH37">
            <v>9.7318228366615855E-2</v>
          </cell>
          <cell r="AI37">
            <v>8.9871799795186895</v>
          </cell>
          <cell r="AJ37">
            <v>0</v>
          </cell>
          <cell r="AK37">
            <v>434.67537096078189</v>
          </cell>
          <cell r="AL37">
            <v>423.05538895873468</v>
          </cell>
          <cell r="AM37">
            <v>0</v>
          </cell>
          <cell r="AN37">
            <v>101.66288715158883</v>
          </cell>
          <cell r="AO37">
            <v>355.33052678666689</v>
          </cell>
          <cell r="AP37">
            <v>0</v>
          </cell>
          <cell r="AR37">
            <v>0</v>
          </cell>
          <cell r="AS37">
            <v>22</v>
          </cell>
          <cell r="AT37">
            <v>0</v>
          </cell>
          <cell r="AU37">
            <v>8052</v>
          </cell>
          <cell r="AV37">
            <v>0</v>
          </cell>
          <cell r="AW37">
            <v>0</v>
          </cell>
          <cell r="AX37">
            <v>3.0000000000000009E-2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H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E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GE37">
            <v>0</v>
          </cell>
          <cell r="GF37">
            <v>0</v>
          </cell>
          <cell r="GG37">
            <v>0</v>
          </cell>
          <cell r="GH37">
            <v>0</v>
          </cell>
          <cell r="GI37">
            <v>0</v>
          </cell>
          <cell r="GJ37">
            <v>0</v>
          </cell>
          <cell r="GK37">
            <v>0</v>
          </cell>
          <cell r="GL37">
            <v>0</v>
          </cell>
          <cell r="GM37">
            <v>0</v>
          </cell>
          <cell r="GN37">
            <v>0</v>
          </cell>
          <cell r="GO37">
            <v>0</v>
          </cell>
          <cell r="GP37">
            <v>0</v>
          </cell>
          <cell r="GQ37">
            <v>0</v>
          </cell>
          <cell r="GR37">
            <v>0</v>
          </cell>
          <cell r="GS37">
            <v>0</v>
          </cell>
          <cell r="GT37">
            <v>0</v>
          </cell>
          <cell r="GU37">
            <v>0</v>
          </cell>
          <cell r="GV37">
            <v>0</v>
          </cell>
          <cell r="GW37">
            <v>0</v>
          </cell>
          <cell r="GX37">
            <v>0</v>
          </cell>
          <cell r="GY37">
            <v>0</v>
          </cell>
          <cell r="GZ37">
            <v>0</v>
          </cell>
          <cell r="HB37">
            <v>0</v>
          </cell>
          <cell r="HD37">
            <v>0</v>
          </cell>
          <cell r="HE37">
            <v>0</v>
          </cell>
          <cell r="HF37">
            <v>0</v>
          </cell>
          <cell r="HG37">
            <v>0</v>
          </cell>
          <cell r="HH37">
            <v>0</v>
          </cell>
          <cell r="HI37">
            <v>0</v>
          </cell>
          <cell r="HJ37">
            <v>0</v>
          </cell>
          <cell r="HK37">
            <v>0</v>
          </cell>
          <cell r="HL37">
            <v>0</v>
          </cell>
          <cell r="HM37">
            <v>0</v>
          </cell>
          <cell r="HN37">
            <v>0</v>
          </cell>
          <cell r="HO37">
            <v>0</v>
          </cell>
          <cell r="HQ37">
            <v>0</v>
          </cell>
          <cell r="HS37">
            <v>0</v>
          </cell>
          <cell r="HT37">
            <v>0</v>
          </cell>
          <cell r="HU37">
            <v>0</v>
          </cell>
          <cell r="HV37">
            <v>0</v>
          </cell>
          <cell r="HW37">
            <v>0</v>
          </cell>
          <cell r="HX37">
            <v>0</v>
          </cell>
          <cell r="HY37">
            <v>0</v>
          </cell>
          <cell r="HZ37">
            <v>0</v>
          </cell>
          <cell r="IA37">
            <v>0</v>
          </cell>
          <cell r="IB37">
            <v>0</v>
          </cell>
          <cell r="IC37">
            <v>0</v>
          </cell>
          <cell r="ID37">
            <v>0</v>
          </cell>
          <cell r="IF37">
            <v>0</v>
          </cell>
          <cell r="IH37">
            <v>0</v>
          </cell>
          <cell r="II37">
            <v>0</v>
          </cell>
          <cell r="IJ37">
            <v>0</v>
          </cell>
          <cell r="IK37">
            <v>0</v>
          </cell>
          <cell r="IL37">
            <v>0</v>
          </cell>
          <cell r="IM37">
            <v>0</v>
          </cell>
          <cell r="IN37">
            <v>0</v>
          </cell>
          <cell r="IO37">
            <v>0</v>
          </cell>
          <cell r="IP37">
            <v>0</v>
          </cell>
          <cell r="IQ37">
            <v>0</v>
          </cell>
          <cell r="IR37">
            <v>0</v>
          </cell>
          <cell r="IS37">
            <v>0</v>
          </cell>
          <cell r="IU37">
            <v>0</v>
          </cell>
          <cell r="IW37">
            <v>0</v>
          </cell>
          <cell r="IX37">
            <v>0</v>
          </cell>
          <cell r="IY37">
            <v>0</v>
          </cell>
          <cell r="IZ37">
            <v>0</v>
          </cell>
          <cell r="JB37">
            <v>0</v>
          </cell>
          <cell r="JC37">
            <v>0</v>
          </cell>
          <cell r="JD37">
            <v>0</v>
          </cell>
          <cell r="JE37">
            <v>0</v>
          </cell>
          <cell r="JG37">
            <v>0</v>
          </cell>
          <cell r="JH37">
            <v>0</v>
          </cell>
          <cell r="JI37">
            <v>0</v>
          </cell>
          <cell r="JJ37">
            <v>0</v>
          </cell>
          <cell r="JL37">
            <v>0</v>
          </cell>
          <cell r="JM37">
            <v>0</v>
          </cell>
          <cell r="JN37">
            <v>0</v>
          </cell>
          <cell r="JO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  <cell r="KF37">
            <v>0</v>
          </cell>
          <cell r="KG37">
            <v>0</v>
          </cell>
          <cell r="KH37">
            <v>0</v>
          </cell>
          <cell r="KI37">
            <v>0</v>
          </cell>
          <cell r="KK37">
            <v>0</v>
          </cell>
          <cell r="KL37">
            <v>0</v>
          </cell>
          <cell r="KM37">
            <v>0</v>
          </cell>
          <cell r="KN37">
            <v>0</v>
          </cell>
          <cell r="KP37">
            <v>0</v>
          </cell>
          <cell r="KQ37">
            <v>0</v>
          </cell>
          <cell r="KR37">
            <v>0</v>
          </cell>
          <cell r="KT37">
            <v>0</v>
          </cell>
          <cell r="KV37">
            <v>0</v>
          </cell>
          <cell r="KW37">
            <v>0</v>
          </cell>
          <cell r="KX37">
            <v>0</v>
          </cell>
          <cell r="KZ37">
            <v>0</v>
          </cell>
          <cell r="LA37">
            <v>0</v>
          </cell>
          <cell r="LB37">
            <v>0</v>
          </cell>
          <cell r="LD37">
            <v>0</v>
          </cell>
          <cell r="LF37">
            <v>0</v>
          </cell>
          <cell r="LG37">
            <v>0</v>
          </cell>
          <cell r="LH37">
            <v>0</v>
          </cell>
          <cell r="LJ37">
            <v>0</v>
          </cell>
          <cell r="LK37">
            <v>0</v>
          </cell>
          <cell r="LL37">
            <v>0</v>
          </cell>
          <cell r="LN37">
            <v>0</v>
          </cell>
          <cell r="LP37">
            <v>0</v>
          </cell>
          <cell r="LQ37">
            <v>0</v>
          </cell>
          <cell r="LR37">
            <v>0</v>
          </cell>
          <cell r="LT37" t="str">
            <v>650-62</v>
          </cell>
        </row>
        <row r="38">
          <cell r="B38">
            <v>276.0008219178082</v>
          </cell>
          <cell r="C38">
            <v>309</v>
          </cell>
          <cell r="D38">
            <v>100740.30000000002</v>
          </cell>
          <cell r="E38">
            <v>112785</v>
          </cell>
          <cell r="F38">
            <v>0.89320654342332773</v>
          </cell>
          <cell r="G38">
            <v>0.89320654342332773</v>
          </cell>
          <cell r="H38">
            <v>7.9999999999999988E-2</v>
          </cell>
          <cell r="I38">
            <v>1.3106923585869272</v>
          </cell>
          <cell r="J38">
            <v>9.0000189000000006</v>
          </cell>
          <cell r="K38">
            <v>10.0000404</v>
          </cell>
          <cell r="L38">
            <v>61.000002000000002</v>
          </cell>
          <cell r="M38">
            <v>0</v>
          </cell>
          <cell r="N38">
            <v>22.899982999999995</v>
          </cell>
          <cell r="O38">
            <v>1.9991699999999997</v>
          </cell>
          <cell r="P38">
            <v>482.56999999999994</v>
          </cell>
          <cell r="Q38">
            <v>334.42999999999995</v>
          </cell>
          <cell r="R38">
            <v>219.58</v>
          </cell>
          <cell r="S38">
            <v>329.99999999999994</v>
          </cell>
          <cell r="T38">
            <v>679.73</v>
          </cell>
          <cell r="U38">
            <v>220.55</v>
          </cell>
          <cell r="W38">
            <v>226.46301369863016</v>
          </cell>
          <cell r="X38">
            <v>309</v>
          </cell>
          <cell r="Y38">
            <v>82659</v>
          </cell>
          <cell r="Z38">
            <v>112785</v>
          </cell>
          <cell r="AA38">
            <v>0.73289001196967685</v>
          </cell>
          <cell r="AB38">
            <v>0.73289001196967685</v>
          </cell>
          <cell r="AC38">
            <v>7.9999999999999988E-2</v>
          </cell>
          <cell r="AD38">
            <v>1.5919856185581731</v>
          </cell>
          <cell r="AE38">
            <v>3.9253201954813082</v>
          </cell>
          <cell r="AF38">
            <v>4.4592613010624644</v>
          </cell>
          <cell r="AG38">
            <v>47.252952567101886</v>
          </cell>
          <cell r="AH38">
            <v>0.3130888376856184</v>
          </cell>
          <cell r="AI38">
            <v>19.230216033845359</v>
          </cell>
          <cell r="AJ38">
            <v>7.9528149936379862</v>
          </cell>
          <cell r="AK38">
            <v>933.29193736841637</v>
          </cell>
          <cell r="AL38">
            <v>803.79437316172164</v>
          </cell>
          <cell r="AM38">
            <v>235.75002202589721</v>
          </cell>
          <cell r="AN38">
            <v>352.61122841021506</v>
          </cell>
          <cell r="AO38">
            <v>661.9979991579479</v>
          </cell>
          <cell r="AP38">
            <v>235.52676931577616</v>
          </cell>
          <cell r="AR38">
            <v>0</v>
          </cell>
          <cell r="AS38">
            <v>309</v>
          </cell>
          <cell r="AT38">
            <v>0</v>
          </cell>
          <cell r="AU38">
            <v>113094</v>
          </cell>
          <cell r="AV38">
            <v>0</v>
          </cell>
          <cell r="AW38">
            <v>0</v>
          </cell>
          <cell r="AX38">
            <v>3.0000000000000009E-2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M38">
            <v>0</v>
          </cell>
          <cell r="BN38">
            <v>1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1</v>
          </cell>
          <cell r="BU38">
            <v>19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8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H38">
            <v>29</v>
          </cell>
          <cell r="DJ38">
            <v>0</v>
          </cell>
          <cell r="DK38">
            <v>1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1</v>
          </cell>
          <cell r="DR38">
            <v>19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8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E38">
            <v>29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1</v>
          </cell>
          <cell r="FO38">
            <v>19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GE38">
            <v>0</v>
          </cell>
          <cell r="GF38">
            <v>0</v>
          </cell>
          <cell r="GG38">
            <v>0</v>
          </cell>
          <cell r="GH38">
            <v>0</v>
          </cell>
          <cell r="GI38">
            <v>0</v>
          </cell>
          <cell r="GJ38">
            <v>0</v>
          </cell>
          <cell r="GK38">
            <v>0</v>
          </cell>
          <cell r="GL38">
            <v>0</v>
          </cell>
          <cell r="GM38">
            <v>0</v>
          </cell>
          <cell r="GN38">
            <v>6.9999999999999991</v>
          </cell>
          <cell r="GO38">
            <v>0</v>
          </cell>
          <cell r="GP38">
            <v>0</v>
          </cell>
          <cell r="GQ38">
            <v>0</v>
          </cell>
          <cell r="GR38">
            <v>0</v>
          </cell>
          <cell r="GS38">
            <v>0</v>
          </cell>
          <cell r="GT38">
            <v>0</v>
          </cell>
          <cell r="GU38">
            <v>0</v>
          </cell>
          <cell r="GV38">
            <v>0</v>
          </cell>
          <cell r="GW38">
            <v>0</v>
          </cell>
          <cell r="GX38">
            <v>0</v>
          </cell>
          <cell r="GY38">
            <v>0</v>
          </cell>
          <cell r="GZ38">
            <v>0</v>
          </cell>
          <cell r="HB38">
            <v>27</v>
          </cell>
          <cell r="HD38">
            <v>0</v>
          </cell>
          <cell r="HE38">
            <v>0</v>
          </cell>
          <cell r="HF38">
            <v>0</v>
          </cell>
          <cell r="HG38">
            <v>0</v>
          </cell>
          <cell r="HH38">
            <v>0</v>
          </cell>
          <cell r="HI38">
            <v>0</v>
          </cell>
          <cell r="HJ38">
            <v>0</v>
          </cell>
          <cell r="HK38">
            <v>0</v>
          </cell>
          <cell r="HL38">
            <v>0</v>
          </cell>
          <cell r="HM38">
            <v>0</v>
          </cell>
          <cell r="HN38">
            <v>0</v>
          </cell>
          <cell r="HO38">
            <v>0</v>
          </cell>
          <cell r="HQ38">
            <v>0</v>
          </cell>
          <cell r="HS38">
            <v>0</v>
          </cell>
          <cell r="HT38">
            <v>0</v>
          </cell>
          <cell r="HU38">
            <v>0</v>
          </cell>
          <cell r="HV38">
            <v>0</v>
          </cell>
          <cell r="HW38">
            <v>0</v>
          </cell>
          <cell r="HX38">
            <v>0</v>
          </cell>
          <cell r="HY38">
            <v>0</v>
          </cell>
          <cell r="HZ38">
            <v>0</v>
          </cell>
          <cell r="IA38">
            <v>0</v>
          </cell>
          <cell r="IB38">
            <v>0</v>
          </cell>
          <cell r="IC38">
            <v>0</v>
          </cell>
          <cell r="ID38">
            <v>0</v>
          </cell>
          <cell r="IF38">
            <v>0</v>
          </cell>
          <cell r="IH38">
            <v>0</v>
          </cell>
          <cell r="II38">
            <v>0</v>
          </cell>
          <cell r="IJ38">
            <v>0</v>
          </cell>
          <cell r="IK38">
            <v>0</v>
          </cell>
          <cell r="IL38">
            <v>0</v>
          </cell>
          <cell r="IM38">
            <v>0</v>
          </cell>
          <cell r="IN38">
            <v>0</v>
          </cell>
          <cell r="IO38">
            <v>0</v>
          </cell>
          <cell r="IP38">
            <v>0</v>
          </cell>
          <cell r="IQ38">
            <v>0</v>
          </cell>
          <cell r="IR38">
            <v>0</v>
          </cell>
          <cell r="IS38">
            <v>0</v>
          </cell>
          <cell r="IU38">
            <v>0</v>
          </cell>
          <cell r="IW38">
            <v>0</v>
          </cell>
          <cell r="IX38">
            <v>0</v>
          </cell>
          <cell r="IY38">
            <v>0</v>
          </cell>
          <cell r="IZ38">
            <v>0</v>
          </cell>
          <cell r="JB38">
            <v>0</v>
          </cell>
          <cell r="JC38">
            <v>0</v>
          </cell>
          <cell r="JD38">
            <v>0</v>
          </cell>
          <cell r="JE38">
            <v>0</v>
          </cell>
          <cell r="JG38">
            <v>0</v>
          </cell>
          <cell r="JH38">
            <v>0</v>
          </cell>
          <cell r="JI38">
            <v>0</v>
          </cell>
          <cell r="JJ38">
            <v>0</v>
          </cell>
          <cell r="JL38">
            <v>0</v>
          </cell>
          <cell r="JM38">
            <v>0</v>
          </cell>
          <cell r="JN38">
            <v>0</v>
          </cell>
          <cell r="JO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KA38">
            <v>0</v>
          </cell>
          <cell r="KB38">
            <v>0</v>
          </cell>
          <cell r="KC38">
            <v>0</v>
          </cell>
          <cell r="KD38">
            <v>0</v>
          </cell>
          <cell r="KF38">
            <v>0</v>
          </cell>
          <cell r="KG38">
            <v>0</v>
          </cell>
          <cell r="KH38">
            <v>0</v>
          </cell>
          <cell r="KI38">
            <v>0</v>
          </cell>
          <cell r="KK38">
            <v>0</v>
          </cell>
          <cell r="KL38">
            <v>0</v>
          </cell>
          <cell r="KM38">
            <v>0</v>
          </cell>
          <cell r="KN38">
            <v>0</v>
          </cell>
          <cell r="KP38">
            <v>10.999999999999998</v>
          </cell>
          <cell r="KQ38">
            <v>39.000000000000007</v>
          </cell>
          <cell r="KR38">
            <v>6</v>
          </cell>
          <cell r="KT38">
            <v>19</v>
          </cell>
          <cell r="KV38">
            <v>10.999999999999998</v>
          </cell>
          <cell r="KW38">
            <v>20.000000000000007</v>
          </cell>
          <cell r="KX38">
            <v>6</v>
          </cell>
          <cell r="KZ38">
            <v>10.999999999999998</v>
          </cell>
          <cell r="LA38">
            <v>39.000000000000007</v>
          </cell>
          <cell r="LB38">
            <v>6</v>
          </cell>
          <cell r="LD38">
            <v>19</v>
          </cell>
          <cell r="LF38">
            <v>10.999999999999998</v>
          </cell>
          <cell r="LG38">
            <v>20.000000000000007</v>
          </cell>
          <cell r="LH38">
            <v>6</v>
          </cell>
          <cell r="LJ38">
            <v>11</v>
          </cell>
          <cell r="LK38">
            <v>39.000000000000007</v>
          </cell>
          <cell r="LL38">
            <v>6</v>
          </cell>
          <cell r="LN38">
            <v>19</v>
          </cell>
          <cell r="LP38">
            <v>11</v>
          </cell>
          <cell r="LQ38">
            <v>20.000000000000007</v>
          </cell>
          <cell r="LR38">
            <v>6</v>
          </cell>
          <cell r="LT38" t="str">
            <v>650-Entity</v>
          </cell>
        </row>
        <row r="39">
          <cell r="B39">
            <v>24.25</v>
          </cell>
          <cell r="C39">
            <v>25</v>
          </cell>
          <cell r="D39">
            <v>8851.25</v>
          </cell>
          <cell r="E39">
            <v>9125</v>
          </cell>
          <cell r="F39">
            <v>0.97</v>
          </cell>
          <cell r="G39">
            <v>0.97</v>
          </cell>
          <cell r="H39">
            <v>7.9999999999999988E-2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24.257534246575343</v>
          </cell>
          <cell r="X39">
            <v>25</v>
          </cell>
          <cell r="Y39">
            <v>8854</v>
          </cell>
          <cell r="Z39">
            <v>9125</v>
          </cell>
          <cell r="AA39">
            <v>0.97030136986301363</v>
          </cell>
          <cell r="AB39">
            <v>0.97030136986301363</v>
          </cell>
          <cell r="AC39">
            <v>7.9999999999999988E-2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R39">
            <v>0</v>
          </cell>
          <cell r="AS39">
            <v>25</v>
          </cell>
          <cell r="AT39">
            <v>0</v>
          </cell>
          <cell r="AU39">
            <v>9150</v>
          </cell>
          <cell r="AV39">
            <v>0</v>
          </cell>
          <cell r="AW39">
            <v>0</v>
          </cell>
          <cell r="AX39">
            <v>3.0000000000000009E-2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16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0</v>
          </cell>
          <cell r="DC39">
            <v>0</v>
          </cell>
          <cell r="DD39">
            <v>0</v>
          </cell>
          <cell r="DE39">
            <v>0</v>
          </cell>
          <cell r="DF39">
            <v>0</v>
          </cell>
          <cell r="DH39">
            <v>16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16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0</v>
          </cell>
          <cell r="EM39">
            <v>0</v>
          </cell>
          <cell r="EN39">
            <v>0</v>
          </cell>
          <cell r="EO39">
            <v>0</v>
          </cell>
          <cell r="EP39">
            <v>0</v>
          </cell>
          <cell r="EQ39">
            <v>0</v>
          </cell>
          <cell r="ER39">
            <v>0</v>
          </cell>
          <cell r="ES39">
            <v>0</v>
          </cell>
          <cell r="ET39">
            <v>0</v>
          </cell>
          <cell r="EU39">
            <v>0</v>
          </cell>
          <cell r="EV39">
            <v>0</v>
          </cell>
          <cell r="EW39">
            <v>0</v>
          </cell>
          <cell r="EX39">
            <v>0</v>
          </cell>
          <cell r="EY39">
            <v>0</v>
          </cell>
          <cell r="EZ39">
            <v>0</v>
          </cell>
          <cell r="FA39">
            <v>0</v>
          </cell>
          <cell r="FB39">
            <v>0</v>
          </cell>
          <cell r="FC39">
            <v>0</v>
          </cell>
          <cell r="FE39">
            <v>16</v>
          </cell>
          <cell r="FG39">
            <v>0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15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GE39">
            <v>0</v>
          </cell>
          <cell r="GF39">
            <v>0</v>
          </cell>
          <cell r="GG39">
            <v>0</v>
          </cell>
          <cell r="GH39">
            <v>0</v>
          </cell>
          <cell r="GI39">
            <v>0</v>
          </cell>
          <cell r="GJ39">
            <v>0</v>
          </cell>
          <cell r="GK39">
            <v>0</v>
          </cell>
          <cell r="GL39">
            <v>0</v>
          </cell>
          <cell r="GM39">
            <v>0</v>
          </cell>
          <cell r="GN39">
            <v>0</v>
          </cell>
          <cell r="GO39">
            <v>0</v>
          </cell>
          <cell r="GP39">
            <v>0</v>
          </cell>
          <cell r="GQ39">
            <v>0</v>
          </cell>
          <cell r="GR39">
            <v>0</v>
          </cell>
          <cell r="GS39">
            <v>0</v>
          </cell>
          <cell r="GT39">
            <v>0</v>
          </cell>
          <cell r="GU39">
            <v>0</v>
          </cell>
          <cell r="GV39">
            <v>0</v>
          </cell>
          <cell r="GW39">
            <v>0</v>
          </cell>
          <cell r="GX39">
            <v>0</v>
          </cell>
          <cell r="GY39">
            <v>0</v>
          </cell>
          <cell r="GZ39">
            <v>0</v>
          </cell>
          <cell r="HB39">
            <v>15</v>
          </cell>
          <cell r="HD39">
            <v>0</v>
          </cell>
          <cell r="HE39">
            <v>0</v>
          </cell>
          <cell r="HF39">
            <v>0</v>
          </cell>
          <cell r="HG39">
            <v>0</v>
          </cell>
          <cell r="HH39">
            <v>0</v>
          </cell>
          <cell r="HI39">
            <v>0</v>
          </cell>
          <cell r="HJ39">
            <v>0</v>
          </cell>
          <cell r="HK39">
            <v>0</v>
          </cell>
          <cell r="HL39">
            <v>0</v>
          </cell>
          <cell r="HM39">
            <v>0</v>
          </cell>
          <cell r="HN39">
            <v>0</v>
          </cell>
          <cell r="HO39">
            <v>0</v>
          </cell>
          <cell r="HQ39">
            <v>0</v>
          </cell>
          <cell r="HS39">
            <v>0</v>
          </cell>
          <cell r="HT39">
            <v>0</v>
          </cell>
          <cell r="HU39">
            <v>0</v>
          </cell>
          <cell r="HV39">
            <v>0</v>
          </cell>
          <cell r="HW39">
            <v>0</v>
          </cell>
          <cell r="HX39">
            <v>0</v>
          </cell>
          <cell r="HY39">
            <v>0</v>
          </cell>
          <cell r="HZ39">
            <v>0</v>
          </cell>
          <cell r="IA39">
            <v>0</v>
          </cell>
          <cell r="IB39">
            <v>0</v>
          </cell>
          <cell r="IC39">
            <v>0</v>
          </cell>
          <cell r="ID39">
            <v>0</v>
          </cell>
          <cell r="IF39">
            <v>0</v>
          </cell>
          <cell r="IH39">
            <v>0</v>
          </cell>
          <cell r="II39">
            <v>0</v>
          </cell>
          <cell r="IJ39">
            <v>0</v>
          </cell>
          <cell r="IK39">
            <v>0</v>
          </cell>
          <cell r="IL39">
            <v>0</v>
          </cell>
          <cell r="IM39">
            <v>0</v>
          </cell>
          <cell r="IN39">
            <v>0</v>
          </cell>
          <cell r="IO39">
            <v>0</v>
          </cell>
          <cell r="IP39">
            <v>0</v>
          </cell>
          <cell r="IQ39">
            <v>0</v>
          </cell>
          <cell r="IR39">
            <v>0</v>
          </cell>
          <cell r="IS39">
            <v>0</v>
          </cell>
          <cell r="IU39">
            <v>0</v>
          </cell>
          <cell r="IW39">
            <v>0</v>
          </cell>
          <cell r="IX39">
            <v>0</v>
          </cell>
          <cell r="IY39">
            <v>0</v>
          </cell>
          <cell r="IZ39">
            <v>0</v>
          </cell>
          <cell r="JB39">
            <v>0</v>
          </cell>
          <cell r="JC39">
            <v>0</v>
          </cell>
          <cell r="JD39">
            <v>0</v>
          </cell>
          <cell r="JE39">
            <v>0</v>
          </cell>
          <cell r="JG39">
            <v>0</v>
          </cell>
          <cell r="JH39">
            <v>0</v>
          </cell>
          <cell r="JI39">
            <v>0</v>
          </cell>
          <cell r="JJ39">
            <v>0</v>
          </cell>
          <cell r="JL39">
            <v>0</v>
          </cell>
          <cell r="JM39">
            <v>0</v>
          </cell>
          <cell r="JN39">
            <v>0</v>
          </cell>
          <cell r="JO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V39">
            <v>0</v>
          </cell>
          <cell r="JW39">
            <v>0</v>
          </cell>
          <cell r="JX39">
            <v>0</v>
          </cell>
          <cell r="JY39">
            <v>0</v>
          </cell>
          <cell r="KA39">
            <v>0</v>
          </cell>
          <cell r="KB39">
            <v>0</v>
          </cell>
          <cell r="KC39">
            <v>0</v>
          </cell>
          <cell r="KD39">
            <v>0</v>
          </cell>
          <cell r="KF39">
            <v>0</v>
          </cell>
          <cell r="KG39">
            <v>0</v>
          </cell>
          <cell r="KH39">
            <v>0</v>
          </cell>
          <cell r="KI39">
            <v>0</v>
          </cell>
          <cell r="KK39">
            <v>0</v>
          </cell>
          <cell r="KL39">
            <v>0</v>
          </cell>
          <cell r="KM39">
            <v>0</v>
          </cell>
          <cell r="KN39">
            <v>0</v>
          </cell>
          <cell r="KP39">
            <v>0</v>
          </cell>
          <cell r="KQ39">
            <v>0</v>
          </cell>
          <cell r="KR39">
            <v>0</v>
          </cell>
          <cell r="KT39">
            <v>0</v>
          </cell>
          <cell r="KV39">
            <v>0</v>
          </cell>
          <cell r="KW39">
            <v>0</v>
          </cell>
          <cell r="KX39">
            <v>0</v>
          </cell>
          <cell r="KZ39">
            <v>0</v>
          </cell>
          <cell r="LA39">
            <v>0</v>
          </cell>
          <cell r="LB39">
            <v>0</v>
          </cell>
          <cell r="LD39">
            <v>0</v>
          </cell>
          <cell r="LF39">
            <v>0</v>
          </cell>
          <cell r="LG39">
            <v>0</v>
          </cell>
          <cell r="LH39">
            <v>0</v>
          </cell>
          <cell r="LJ39">
            <v>0</v>
          </cell>
          <cell r="LK39">
            <v>0</v>
          </cell>
          <cell r="LL39">
            <v>0</v>
          </cell>
          <cell r="LN39">
            <v>0</v>
          </cell>
          <cell r="LP39">
            <v>0</v>
          </cell>
          <cell r="LQ39">
            <v>0</v>
          </cell>
          <cell r="LR39">
            <v>0</v>
          </cell>
          <cell r="LT39" t="str">
            <v>660-21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7.9999999999999988E-2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7.9999999999999988E-2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3.0000000000000009E-2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H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E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GE40">
            <v>0</v>
          </cell>
          <cell r="GF40">
            <v>0</v>
          </cell>
          <cell r="GG40">
            <v>0</v>
          </cell>
          <cell r="GH40">
            <v>0</v>
          </cell>
          <cell r="GI40">
            <v>0</v>
          </cell>
          <cell r="GJ40">
            <v>0</v>
          </cell>
          <cell r="GK40">
            <v>0</v>
          </cell>
          <cell r="GL40">
            <v>0</v>
          </cell>
          <cell r="GM40">
            <v>0</v>
          </cell>
          <cell r="GN40">
            <v>0</v>
          </cell>
          <cell r="GO40">
            <v>0</v>
          </cell>
          <cell r="GP40">
            <v>0</v>
          </cell>
          <cell r="GQ40">
            <v>0</v>
          </cell>
          <cell r="GR40">
            <v>0</v>
          </cell>
          <cell r="GS40">
            <v>0</v>
          </cell>
          <cell r="GT40">
            <v>0</v>
          </cell>
          <cell r="GU40">
            <v>0</v>
          </cell>
          <cell r="GV40">
            <v>0</v>
          </cell>
          <cell r="GW40">
            <v>0</v>
          </cell>
          <cell r="GX40">
            <v>0</v>
          </cell>
          <cell r="GY40">
            <v>0</v>
          </cell>
          <cell r="GZ40">
            <v>0</v>
          </cell>
          <cell r="HB40">
            <v>0</v>
          </cell>
          <cell r="HD40">
            <v>0</v>
          </cell>
          <cell r="HE40">
            <v>0</v>
          </cell>
          <cell r="HF40">
            <v>0</v>
          </cell>
          <cell r="HG40">
            <v>0</v>
          </cell>
          <cell r="HH40">
            <v>0</v>
          </cell>
          <cell r="HI40">
            <v>0</v>
          </cell>
          <cell r="HJ40">
            <v>0</v>
          </cell>
          <cell r="HK40">
            <v>0</v>
          </cell>
          <cell r="HL40">
            <v>0</v>
          </cell>
          <cell r="HM40">
            <v>0</v>
          </cell>
          <cell r="HN40">
            <v>0</v>
          </cell>
          <cell r="HO40">
            <v>0</v>
          </cell>
          <cell r="HQ40">
            <v>0</v>
          </cell>
          <cell r="HS40">
            <v>0</v>
          </cell>
          <cell r="HT40">
            <v>0</v>
          </cell>
          <cell r="HU40">
            <v>0</v>
          </cell>
          <cell r="HV40">
            <v>0</v>
          </cell>
          <cell r="HW40">
            <v>0</v>
          </cell>
          <cell r="HX40">
            <v>0</v>
          </cell>
          <cell r="HY40">
            <v>0</v>
          </cell>
          <cell r="HZ40">
            <v>0</v>
          </cell>
          <cell r="IA40">
            <v>0</v>
          </cell>
          <cell r="IB40">
            <v>0</v>
          </cell>
          <cell r="IC40">
            <v>0</v>
          </cell>
          <cell r="ID40">
            <v>0</v>
          </cell>
          <cell r="IF40">
            <v>0</v>
          </cell>
          <cell r="IH40">
            <v>0</v>
          </cell>
          <cell r="II40">
            <v>0</v>
          </cell>
          <cell r="IJ40">
            <v>0</v>
          </cell>
          <cell r="IK40">
            <v>0</v>
          </cell>
          <cell r="IL40">
            <v>0</v>
          </cell>
          <cell r="IM40">
            <v>0</v>
          </cell>
          <cell r="IN40">
            <v>0</v>
          </cell>
          <cell r="IO40">
            <v>0</v>
          </cell>
          <cell r="IP40">
            <v>0</v>
          </cell>
          <cell r="IQ40">
            <v>0</v>
          </cell>
          <cell r="IR40">
            <v>0</v>
          </cell>
          <cell r="IS40">
            <v>0</v>
          </cell>
          <cell r="IU40">
            <v>0</v>
          </cell>
          <cell r="IW40">
            <v>0</v>
          </cell>
          <cell r="IX40">
            <v>0</v>
          </cell>
          <cell r="IY40">
            <v>0</v>
          </cell>
          <cell r="IZ40">
            <v>0</v>
          </cell>
          <cell r="JB40">
            <v>0</v>
          </cell>
          <cell r="JC40">
            <v>0</v>
          </cell>
          <cell r="JD40">
            <v>0</v>
          </cell>
          <cell r="JE40">
            <v>0</v>
          </cell>
          <cell r="JG40">
            <v>0</v>
          </cell>
          <cell r="JH40">
            <v>0</v>
          </cell>
          <cell r="JI40">
            <v>0</v>
          </cell>
          <cell r="JJ40">
            <v>0</v>
          </cell>
          <cell r="JL40">
            <v>0</v>
          </cell>
          <cell r="JM40">
            <v>0</v>
          </cell>
          <cell r="JN40">
            <v>0</v>
          </cell>
          <cell r="JO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KA40">
            <v>0</v>
          </cell>
          <cell r="KB40">
            <v>0</v>
          </cell>
          <cell r="KC40">
            <v>0</v>
          </cell>
          <cell r="KD40">
            <v>0</v>
          </cell>
          <cell r="KF40">
            <v>0</v>
          </cell>
          <cell r="KG40">
            <v>0</v>
          </cell>
          <cell r="KH40">
            <v>0</v>
          </cell>
          <cell r="KI40">
            <v>0</v>
          </cell>
          <cell r="KK40">
            <v>0</v>
          </cell>
          <cell r="KL40">
            <v>0</v>
          </cell>
          <cell r="KM40">
            <v>0</v>
          </cell>
          <cell r="KN40">
            <v>0</v>
          </cell>
          <cell r="KP40">
            <v>0</v>
          </cell>
          <cell r="KQ40">
            <v>0</v>
          </cell>
          <cell r="KR40">
            <v>0</v>
          </cell>
          <cell r="KT40">
            <v>0</v>
          </cell>
          <cell r="KV40">
            <v>0</v>
          </cell>
          <cell r="KW40">
            <v>0</v>
          </cell>
          <cell r="KX40">
            <v>0</v>
          </cell>
          <cell r="KZ40">
            <v>0</v>
          </cell>
          <cell r="LA40">
            <v>0</v>
          </cell>
          <cell r="LB40">
            <v>0</v>
          </cell>
          <cell r="LD40">
            <v>0</v>
          </cell>
          <cell r="LF40">
            <v>0</v>
          </cell>
          <cell r="LG40">
            <v>0</v>
          </cell>
          <cell r="LH40">
            <v>0</v>
          </cell>
          <cell r="LJ40">
            <v>0</v>
          </cell>
          <cell r="LK40">
            <v>0</v>
          </cell>
          <cell r="LL40">
            <v>0</v>
          </cell>
          <cell r="LN40">
            <v>0</v>
          </cell>
          <cell r="LP40">
            <v>0</v>
          </cell>
          <cell r="LQ40">
            <v>0</v>
          </cell>
          <cell r="LR40">
            <v>0</v>
          </cell>
          <cell r="LT40" t="str">
            <v>660-22</v>
          </cell>
        </row>
        <row r="41">
          <cell r="B41">
            <v>73.268493150684932</v>
          </cell>
          <cell r="C41">
            <v>87</v>
          </cell>
          <cell r="D41">
            <v>26743</v>
          </cell>
          <cell r="E41">
            <v>31755</v>
          </cell>
          <cell r="F41">
            <v>0.84216658793890731</v>
          </cell>
          <cell r="G41">
            <v>0.84216658793890731</v>
          </cell>
          <cell r="H41">
            <v>7.9999999999999988E-2</v>
          </cell>
          <cell r="I41">
            <v>1.4721485044712663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W41">
            <v>63.060273972602737</v>
          </cell>
          <cell r="X41">
            <v>87</v>
          </cell>
          <cell r="Y41">
            <v>23017</v>
          </cell>
          <cell r="Z41">
            <v>31755</v>
          </cell>
          <cell r="AA41">
            <v>0.72483073531727282</v>
          </cell>
          <cell r="AB41">
            <v>0.72483073531727282</v>
          </cell>
          <cell r="AC41">
            <v>7.9999999999999988E-2</v>
          </cell>
          <cell r="AD41">
            <v>1.5671583523692545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R41">
            <v>0</v>
          </cell>
          <cell r="AS41">
            <v>87</v>
          </cell>
          <cell r="AT41">
            <v>0</v>
          </cell>
          <cell r="AU41">
            <v>31842</v>
          </cell>
          <cell r="AV41">
            <v>0</v>
          </cell>
          <cell r="AW41">
            <v>0</v>
          </cell>
          <cell r="AX41">
            <v>3.0000000000000009E-2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9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H41">
            <v>9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9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E41">
            <v>9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12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GE41">
            <v>0</v>
          </cell>
          <cell r="GF41">
            <v>0</v>
          </cell>
          <cell r="GG41">
            <v>0</v>
          </cell>
          <cell r="GH41">
            <v>0</v>
          </cell>
          <cell r="GI41">
            <v>0</v>
          </cell>
          <cell r="GJ41">
            <v>0</v>
          </cell>
          <cell r="GK41">
            <v>0</v>
          </cell>
          <cell r="GL41">
            <v>0</v>
          </cell>
          <cell r="GM41">
            <v>0</v>
          </cell>
          <cell r="GN41">
            <v>0</v>
          </cell>
          <cell r="GO41">
            <v>0</v>
          </cell>
          <cell r="GP41">
            <v>0</v>
          </cell>
          <cell r="GQ41">
            <v>0</v>
          </cell>
          <cell r="GR41">
            <v>0</v>
          </cell>
          <cell r="GS41">
            <v>0</v>
          </cell>
          <cell r="GT41">
            <v>0</v>
          </cell>
          <cell r="GU41">
            <v>0</v>
          </cell>
          <cell r="GV41">
            <v>0</v>
          </cell>
          <cell r="GW41">
            <v>0</v>
          </cell>
          <cell r="GX41">
            <v>0</v>
          </cell>
          <cell r="GY41">
            <v>0</v>
          </cell>
          <cell r="GZ41">
            <v>0</v>
          </cell>
          <cell r="HB41">
            <v>12</v>
          </cell>
          <cell r="HD41">
            <v>0</v>
          </cell>
          <cell r="HE41">
            <v>0</v>
          </cell>
          <cell r="HF41">
            <v>0</v>
          </cell>
          <cell r="HG41">
            <v>0</v>
          </cell>
          <cell r="HH41">
            <v>0</v>
          </cell>
          <cell r="HI41">
            <v>0</v>
          </cell>
          <cell r="HJ41">
            <v>0</v>
          </cell>
          <cell r="HK41">
            <v>0</v>
          </cell>
          <cell r="HL41">
            <v>0</v>
          </cell>
          <cell r="HM41">
            <v>0</v>
          </cell>
          <cell r="HN41">
            <v>0</v>
          </cell>
          <cell r="HO41">
            <v>0</v>
          </cell>
          <cell r="HQ41">
            <v>0</v>
          </cell>
          <cell r="HS41">
            <v>0</v>
          </cell>
          <cell r="HT41">
            <v>0</v>
          </cell>
          <cell r="HU41">
            <v>0</v>
          </cell>
          <cell r="HV41">
            <v>0</v>
          </cell>
          <cell r="HW41">
            <v>0</v>
          </cell>
          <cell r="HX41">
            <v>0</v>
          </cell>
          <cell r="HY41">
            <v>0</v>
          </cell>
          <cell r="HZ41">
            <v>0</v>
          </cell>
          <cell r="IA41">
            <v>0</v>
          </cell>
          <cell r="IB41">
            <v>0</v>
          </cell>
          <cell r="IC41">
            <v>0</v>
          </cell>
          <cell r="ID41">
            <v>0</v>
          </cell>
          <cell r="IF41">
            <v>0</v>
          </cell>
          <cell r="IH41">
            <v>0</v>
          </cell>
          <cell r="II41">
            <v>0</v>
          </cell>
          <cell r="IJ41">
            <v>0</v>
          </cell>
          <cell r="IK41">
            <v>0</v>
          </cell>
          <cell r="IL41">
            <v>0</v>
          </cell>
          <cell r="IM41">
            <v>0</v>
          </cell>
          <cell r="IN41">
            <v>0</v>
          </cell>
          <cell r="IO41">
            <v>0</v>
          </cell>
          <cell r="IP41">
            <v>0</v>
          </cell>
          <cell r="IQ41">
            <v>0</v>
          </cell>
          <cell r="IR41">
            <v>0</v>
          </cell>
          <cell r="IS41">
            <v>0</v>
          </cell>
          <cell r="IU41">
            <v>0</v>
          </cell>
          <cell r="IW41">
            <v>0</v>
          </cell>
          <cell r="IX41">
            <v>0</v>
          </cell>
          <cell r="IY41">
            <v>0</v>
          </cell>
          <cell r="IZ41">
            <v>0</v>
          </cell>
          <cell r="JB41">
            <v>0</v>
          </cell>
          <cell r="JC41">
            <v>0</v>
          </cell>
          <cell r="JD41">
            <v>0</v>
          </cell>
          <cell r="JE41">
            <v>0</v>
          </cell>
          <cell r="JG41">
            <v>0</v>
          </cell>
          <cell r="JH41">
            <v>0</v>
          </cell>
          <cell r="JI41">
            <v>0</v>
          </cell>
          <cell r="JJ41">
            <v>0</v>
          </cell>
          <cell r="JL41">
            <v>0</v>
          </cell>
          <cell r="JM41">
            <v>0</v>
          </cell>
          <cell r="JN41">
            <v>0</v>
          </cell>
          <cell r="JO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KA41">
            <v>0</v>
          </cell>
          <cell r="KB41">
            <v>0</v>
          </cell>
          <cell r="KC41">
            <v>0</v>
          </cell>
          <cell r="KD41">
            <v>0</v>
          </cell>
          <cell r="KF41">
            <v>0</v>
          </cell>
          <cell r="KG41">
            <v>0</v>
          </cell>
          <cell r="KH41">
            <v>0</v>
          </cell>
          <cell r="KI41">
            <v>0</v>
          </cell>
          <cell r="KK41">
            <v>0</v>
          </cell>
          <cell r="KL41">
            <v>0</v>
          </cell>
          <cell r="KM41">
            <v>0</v>
          </cell>
          <cell r="KN41">
            <v>0</v>
          </cell>
          <cell r="KP41">
            <v>0</v>
          </cell>
          <cell r="KQ41">
            <v>0</v>
          </cell>
          <cell r="KR41">
            <v>0</v>
          </cell>
          <cell r="KT41">
            <v>0</v>
          </cell>
          <cell r="KV41">
            <v>0</v>
          </cell>
          <cell r="KW41">
            <v>0</v>
          </cell>
          <cell r="KX41">
            <v>0</v>
          </cell>
          <cell r="KZ41">
            <v>0</v>
          </cell>
          <cell r="LA41">
            <v>0</v>
          </cell>
          <cell r="LB41">
            <v>0</v>
          </cell>
          <cell r="LD41">
            <v>0</v>
          </cell>
          <cell r="LF41">
            <v>0</v>
          </cell>
          <cell r="LG41">
            <v>0</v>
          </cell>
          <cell r="LH41">
            <v>0</v>
          </cell>
          <cell r="LJ41">
            <v>0</v>
          </cell>
          <cell r="LK41">
            <v>0</v>
          </cell>
          <cell r="LL41">
            <v>0</v>
          </cell>
          <cell r="LN41">
            <v>0</v>
          </cell>
          <cell r="LP41">
            <v>0</v>
          </cell>
          <cell r="LQ41">
            <v>0</v>
          </cell>
          <cell r="LR41">
            <v>0</v>
          </cell>
          <cell r="LT41" t="str">
            <v>660-31</v>
          </cell>
        </row>
        <row r="42">
          <cell r="B42">
            <v>44.100000000000009</v>
          </cell>
          <cell r="C42">
            <v>49</v>
          </cell>
          <cell r="D42">
            <v>16096.500000000002</v>
          </cell>
          <cell r="E42">
            <v>17885</v>
          </cell>
          <cell r="F42">
            <v>0.90000000000000013</v>
          </cell>
          <cell r="G42">
            <v>0.90000000000000013</v>
          </cell>
          <cell r="H42">
            <v>7.9999999999999988E-2</v>
          </cell>
          <cell r="I42">
            <v>1.3405653407299545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W42">
            <v>41.901369863013699</v>
          </cell>
          <cell r="X42">
            <v>49</v>
          </cell>
          <cell r="Y42">
            <v>15294</v>
          </cell>
          <cell r="Z42">
            <v>17885</v>
          </cell>
          <cell r="AA42">
            <v>0.85512999720436123</v>
          </cell>
          <cell r="AB42">
            <v>0.85512999720436123</v>
          </cell>
          <cell r="AC42">
            <v>7.9999999999999988E-2</v>
          </cell>
          <cell r="AD42">
            <v>1.2628019246909099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R42">
            <v>0</v>
          </cell>
          <cell r="AS42">
            <v>49</v>
          </cell>
          <cell r="AT42">
            <v>0</v>
          </cell>
          <cell r="AU42">
            <v>17934</v>
          </cell>
          <cell r="AV42">
            <v>0</v>
          </cell>
          <cell r="AW42">
            <v>0</v>
          </cell>
          <cell r="AX42">
            <v>3.0000000000000009E-2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H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E42">
            <v>0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GE42">
            <v>0</v>
          </cell>
          <cell r="GF42">
            <v>0</v>
          </cell>
          <cell r="GG42">
            <v>0</v>
          </cell>
          <cell r="GH42">
            <v>0</v>
          </cell>
          <cell r="GI42">
            <v>0</v>
          </cell>
          <cell r="GJ42">
            <v>0</v>
          </cell>
          <cell r="GK42">
            <v>0</v>
          </cell>
          <cell r="GL42">
            <v>0</v>
          </cell>
          <cell r="GM42">
            <v>0</v>
          </cell>
          <cell r="GN42">
            <v>0</v>
          </cell>
          <cell r="GO42">
            <v>0</v>
          </cell>
          <cell r="GP42">
            <v>0</v>
          </cell>
          <cell r="GQ42">
            <v>0</v>
          </cell>
          <cell r="GR42">
            <v>0</v>
          </cell>
          <cell r="GS42">
            <v>0</v>
          </cell>
          <cell r="GT42">
            <v>0</v>
          </cell>
          <cell r="GU42">
            <v>0</v>
          </cell>
          <cell r="GV42">
            <v>0</v>
          </cell>
          <cell r="GW42">
            <v>0</v>
          </cell>
          <cell r="GX42">
            <v>0</v>
          </cell>
          <cell r="GY42">
            <v>0</v>
          </cell>
          <cell r="GZ42">
            <v>0</v>
          </cell>
          <cell r="HB42">
            <v>0</v>
          </cell>
          <cell r="HD42">
            <v>0</v>
          </cell>
          <cell r="HE42">
            <v>0</v>
          </cell>
          <cell r="HF42">
            <v>0</v>
          </cell>
          <cell r="HG42">
            <v>0</v>
          </cell>
          <cell r="HH42">
            <v>0</v>
          </cell>
          <cell r="HI42">
            <v>0</v>
          </cell>
          <cell r="HJ42">
            <v>0</v>
          </cell>
          <cell r="HK42">
            <v>0</v>
          </cell>
          <cell r="HL42">
            <v>0</v>
          </cell>
          <cell r="HM42">
            <v>0</v>
          </cell>
          <cell r="HN42">
            <v>0</v>
          </cell>
          <cell r="HO42">
            <v>0</v>
          </cell>
          <cell r="HQ42">
            <v>0</v>
          </cell>
          <cell r="HS42">
            <v>0</v>
          </cell>
          <cell r="HT42">
            <v>0</v>
          </cell>
          <cell r="HU42">
            <v>0</v>
          </cell>
          <cell r="HV42">
            <v>0</v>
          </cell>
          <cell r="HW42">
            <v>0</v>
          </cell>
          <cell r="HX42">
            <v>0</v>
          </cell>
          <cell r="HY42">
            <v>0</v>
          </cell>
          <cell r="HZ42">
            <v>0</v>
          </cell>
          <cell r="IA42">
            <v>0</v>
          </cell>
          <cell r="IB42">
            <v>0</v>
          </cell>
          <cell r="IC42">
            <v>0</v>
          </cell>
          <cell r="ID42">
            <v>0</v>
          </cell>
          <cell r="IF42">
            <v>0</v>
          </cell>
          <cell r="IH42">
            <v>0</v>
          </cell>
          <cell r="II42">
            <v>0</v>
          </cell>
          <cell r="IJ42">
            <v>0</v>
          </cell>
          <cell r="IK42">
            <v>0</v>
          </cell>
          <cell r="IL42">
            <v>0</v>
          </cell>
          <cell r="IM42">
            <v>0</v>
          </cell>
          <cell r="IN42">
            <v>0</v>
          </cell>
          <cell r="IO42">
            <v>0</v>
          </cell>
          <cell r="IP42">
            <v>0</v>
          </cell>
          <cell r="IQ42">
            <v>0</v>
          </cell>
          <cell r="IR42">
            <v>0</v>
          </cell>
          <cell r="IS42">
            <v>0</v>
          </cell>
          <cell r="IU42">
            <v>0</v>
          </cell>
          <cell r="IW42">
            <v>0</v>
          </cell>
          <cell r="IX42">
            <v>0</v>
          </cell>
          <cell r="IY42">
            <v>0</v>
          </cell>
          <cell r="IZ42">
            <v>0</v>
          </cell>
          <cell r="JB42">
            <v>0</v>
          </cell>
          <cell r="JC42">
            <v>0</v>
          </cell>
          <cell r="JD42">
            <v>0</v>
          </cell>
          <cell r="JE42">
            <v>0</v>
          </cell>
          <cell r="JG42">
            <v>0</v>
          </cell>
          <cell r="JH42">
            <v>0</v>
          </cell>
          <cell r="JI42">
            <v>0</v>
          </cell>
          <cell r="JJ42">
            <v>0</v>
          </cell>
          <cell r="JL42">
            <v>0</v>
          </cell>
          <cell r="JM42">
            <v>0</v>
          </cell>
          <cell r="JN42">
            <v>0</v>
          </cell>
          <cell r="JO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KA42">
            <v>0</v>
          </cell>
          <cell r="KB42">
            <v>0</v>
          </cell>
          <cell r="KC42">
            <v>0</v>
          </cell>
          <cell r="KD42">
            <v>0</v>
          </cell>
          <cell r="KF42">
            <v>0</v>
          </cell>
          <cell r="KG42">
            <v>0</v>
          </cell>
          <cell r="KH42">
            <v>0</v>
          </cell>
          <cell r="KI42">
            <v>0</v>
          </cell>
          <cell r="KK42">
            <v>0</v>
          </cell>
          <cell r="KL42">
            <v>0</v>
          </cell>
          <cell r="KM42">
            <v>0</v>
          </cell>
          <cell r="KN42">
            <v>0</v>
          </cell>
          <cell r="KP42">
            <v>0</v>
          </cell>
          <cell r="KQ42">
            <v>0</v>
          </cell>
          <cell r="KR42">
            <v>0</v>
          </cell>
          <cell r="KT42">
            <v>0</v>
          </cell>
          <cell r="KV42">
            <v>0</v>
          </cell>
          <cell r="KW42">
            <v>0</v>
          </cell>
          <cell r="KX42">
            <v>0</v>
          </cell>
          <cell r="KZ42">
            <v>0</v>
          </cell>
          <cell r="LA42">
            <v>0</v>
          </cell>
          <cell r="LB42">
            <v>0</v>
          </cell>
          <cell r="LD42">
            <v>0</v>
          </cell>
          <cell r="LF42">
            <v>0</v>
          </cell>
          <cell r="LG42">
            <v>0</v>
          </cell>
          <cell r="LH42">
            <v>0</v>
          </cell>
          <cell r="LJ42">
            <v>0</v>
          </cell>
          <cell r="LK42">
            <v>0</v>
          </cell>
          <cell r="LL42">
            <v>0</v>
          </cell>
          <cell r="LN42">
            <v>0</v>
          </cell>
          <cell r="LP42">
            <v>0</v>
          </cell>
          <cell r="LQ42">
            <v>0</v>
          </cell>
          <cell r="LR42">
            <v>0</v>
          </cell>
          <cell r="LT42" t="str">
            <v>660-52</v>
          </cell>
        </row>
        <row r="43">
          <cell r="B43">
            <v>34.174520547945207</v>
          </cell>
          <cell r="C43">
            <v>45</v>
          </cell>
          <cell r="D43">
            <v>12473.7</v>
          </cell>
          <cell r="E43">
            <v>16425</v>
          </cell>
          <cell r="F43">
            <v>0.75943378995433775</v>
          </cell>
          <cell r="G43">
            <v>0.75943378995433775</v>
          </cell>
          <cell r="H43">
            <v>7.9999999999999988E-2</v>
          </cell>
          <cell r="I43">
            <v>1.3257466011252088</v>
          </cell>
          <cell r="J43">
            <v>5.2088349733333335</v>
          </cell>
          <cell r="K43">
            <v>18.752051759999997</v>
          </cell>
          <cell r="L43">
            <v>0</v>
          </cell>
          <cell r="M43">
            <v>0</v>
          </cell>
          <cell r="N43">
            <v>10.18581408</v>
          </cell>
          <cell r="O43">
            <v>0</v>
          </cell>
          <cell r="P43">
            <v>457.92</v>
          </cell>
          <cell r="Q43">
            <v>414.18999999999994</v>
          </cell>
          <cell r="R43">
            <v>0</v>
          </cell>
          <cell r="S43">
            <v>393</v>
          </cell>
          <cell r="T43">
            <v>343.84999999999997</v>
          </cell>
          <cell r="U43">
            <v>0</v>
          </cell>
          <cell r="W43">
            <v>22.194520547945206</v>
          </cell>
          <cell r="X43">
            <v>45</v>
          </cell>
          <cell r="Y43">
            <v>8101</v>
          </cell>
          <cell r="Z43">
            <v>16425</v>
          </cell>
          <cell r="AA43">
            <v>0.49321156773211566</v>
          </cell>
          <cell r="AB43">
            <v>0.49321156773211566</v>
          </cell>
          <cell r="AC43">
            <v>7.9999999999999988E-2</v>
          </cell>
          <cell r="AD43">
            <v>1.6555672015708032</v>
          </cell>
          <cell r="AE43">
            <v>3.9130581157194069</v>
          </cell>
          <cell r="AF43">
            <v>7.935124167946749</v>
          </cell>
          <cell r="AG43">
            <v>0</v>
          </cell>
          <cell r="AH43">
            <v>8.1989247311827398E-2</v>
          </cell>
          <cell r="AI43">
            <v>10.26373527905786</v>
          </cell>
          <cell r="AJ43">
            <v>0</v>
          </cell>
          <cell r="AK43">
            <v>478.75378220862103</v>
          </cell>
          <cell r="AL43">
            <v>445.32649800293433</v>
          </cell>
          <cell r="AM43">
            <v>0</v>
          </cell>
          <cell r="AN43">
            <v>68.316673003332951</v>
          </cell>
          <cell r="AO43">
            <v>345.93619986350035</v>
          </cell>
          <cell r="AP43">
            <v>0</v>
          </cell>
          <cell r="AR43">
            <v>0</v>
          </cell>
          <cell r="AS43">
            <v>45</v>
          </cell>
          <cell r="AT43">
            <v>0</v>
          </cell>
          <cell r="AU43">
            <v>16470</v>
          </cell>
          <cell r="AV43">
            <v>0</v>
          </cell>
          <cell r="AW43">
            <v>0</v>
          </cell>
          <cell r="AX43">
            <v>3.0000000000000009E-2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H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>
            <v>0</v>
          </cell>
          <cell r="EY43">
            <v>0</v>
          </cell>
          <cell r="EZ43">
            <v>0</v>
          </cell>
          <cell r="FA43">
            <v>0</v>
          </cell>
          <cell r="FB43">
            <v>0</v>
          </cell>
          <cell r="FC43">
            <v>0</v>
          </cell>
          <cell r="FE43">
            <v>0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GE43">
            <v>0</v>
          </cell>
          <cell r="GF43">
            <v>0</v>
          </cell>
          <cell r="GG43">
            <v>0</v>
          </cell>
          <cell r="GH43">
            <v>0</v>
          </cell>
          <cell r="GI43">
            <v>0</v>
          </cell>
          <cell r="GJ43">
            <v>0</v>
          </cell>
          <cell r="GK43">
            <v>0</v>
          </cell>
          <cell r="GL43">
            <v>0</v>
          </cell>
          <cell r="GM43">
            <v>0</v>
          </cell>
          <cell r="GN43">
            <v>0</v>
          </cell>
          <cell r="GO43">
            <v>0</v>
          </cell>
          <cell r="GP43">
            <v>0</v>
          </cell>
          <cell r="GQ43">
            <v>0</v>
          </cell>
          <cell r="GR43">
            <v>0</v>
          </cell>
          <cell r="GS43">
            <v>0</v>
          </cell>
          <cell r="GT43">
            <v>0</v>
          </cell>
          <cell r="GU43">
            <v>0</v>
          </cell>
          <cell r="GV43">
            <v>0</v>
          </cell>
          <cell r="GW43">
            <v>0</v>
          </cell>
          <cell r="GX43">
            <v>0</v>
          </cell>
          <cell r="GY43">
            <v>0</v>
          </cell>
          <cell r="GZ43">
            <v>0</v>
          </cell>
          <cell r="HB43">
            <v>0</v>
          </cell>
          <cell r="HD43">
            <v>0</v>
          </cell>
          <cell r="HE43">
            <v>0</v>
          </cell>
          <cell r="HF43">
            <v>0</v>
          </cell>
          <cell r="HG43">
            <v>0</v>
          </cell>
          <cell r="HH43">
            <v>0</v>
          </cell>
          <cell r="HI43">
            <v>0</v>
          </cell>
          <cell r="HJ43">
            <v>0</v>
          </cell>
          <cell r="HK43">
            <v>0</v>
          </cell>
          <cell r="HL43">
            <v>0</v>
          </cell>
          <cell r="HM43">
            <v>0</v>
          </cell>
          <cell r="HN43">
            <v>0</v>
          </cell>
          <cell r="HO43">
            <v>0</v>
          </cell>
          <cell r="HQ43">
            <v>0</v>
          </cell>
          <cell r="HS43">
            <v>0</v>
          </cell>
          <cell r="HT43">
            <v>0</v>
          </cell>
          <cell r="HU43">
            <v>0</v>
          </cell>
          <cell r="HV43">
            <v>0</v>
          </cell>
          <cell r="HW43">
            <v>0</v>
          </cell>
          <cell r="HX43">
            <v>0</v>
          </cell>
          <cell r="HY43">
            <v>0</v>
          </cell>
          <cell r="HZ43">
            <v>0</v>
          </cell>
          <cell r="IA43">
            <v>0</v>
          </cell>
          <cell r="IB43">
            <v>0</v>
          </cell>
          <cell r="IC43">
            <v>0</v>
          </cell>
          <cell r="ID43">
            <v>0</v>
          </cell>
          <cell r="IF43">
            <v>0</v>
          </cell>
          <cell r="IH43">
            <v>0</v>
          </cell>
          <cell r="II43">
            <v>0</v>
          </cell>
          <cell r="IJ43">
            <v>0</v>
          </cell>
          <cell r="IK43">
            <v>0</v>
          </cell>
          <cell r="IL43">
            <v>0</v>
          </cell>
          <cell r="IM43">
            <v>0</v>
          </cell>
          <cell r="IN43">
            <v>0</v>
          </cell>
          <cell r="IO43">
            <v>0</v>
          </cell>
          <cell r="IP43">
            <v>0</v>
          </cell>
          <cell r="IQ43">
            <v>0</v>
          </cell>
          <cell r="IR43">
            <v>0</v>
          </cell>
          <cell r="IS43">
            <v>0</v>
          </cell>
          <cell r="IU43">
            <v>0</v>
          </cell>
          <cell r="IW43">
            <v>0</v>
          </cell>
          <cell r="IX43">
            <v>0</v>
          </cell>
          <cell r="IY43">
            <v>0</v>
          </cell>
          <cell r="IZ43">
            <v>0</v>
          </cell>
          <cell r="JB43">
            <v>0</v>
          </cell>
          <cell r="JC43">
            <v>0</v>
          </cell>
          <cell r="JD43">
            <v>0</v>
          </cell>
          <cell r="JE43">
            <v>0</v>
          </cell>
          <cell r="JG43">
            <v>0</v>
          </cell>
          <cell r="JH43">
            <v>0</v>
          </cell>
          <cell r="JI43">
            <v>0</v>
          </cell>
          <cell r="JJ43">
            <v>0</v>
          </cell>
          <cell r="JL43">
            <v>0</v>
          </cell>
          <cell r="JM43">
            <v>0</v>
          </cell>
          <cell r="JN43">
            <v>0</v>
          </cell>
          <cell r="JO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KA43">
            <v>0</v>
          </cell>
          <cell r="KB43">
            <v>0</v>
          </cell>
          <cell r="KC43">
            <v>0</v>
          </cell>
          <cell r="KD43">
            <v>0</v>
          </cell>
          <cell r="KF43">
            <v>0</v>
          </cell>
          <cell r="KG43">
            <v>0</v>
          </cell>
          <cell r="KH43">
            <v>0</v>
          </cell>
          <cell r="KI43">
            <v>0</v>
          </cell>
          <cell r="KK43">
            <v>0</v>
          </cell>
          <cell r="KL43">
            <v>0</v>
          </cell>
          <cell r="KM43">
            <v>0</v>
          </cell>
          <cell r="KN43">
            <v>0</v>
          </cell>
          <cell r="KP43">
            <v>0</v>
          </cell>
          <cell r="KQ43">
            <v>0</v>
          </cell>
          <cell r="KR43">
            <v>0</v>
          </cell>
          <cell r="KT43">
            <v>0</v>
          </cell>
          <cell r="KV43">
            <v>0</v>
          </cell>
          <cell r="KW43">
            <v>0</v>
          </cell>
          <cell r="KX43">
            <v>0</v>
          </cell>
          <cell r="KZ43">
            <v>0</v>
          </cell>
          <cell r="LA43">
            <v>0</v>
          </cell>
          <cell r="LB43">
            <v>0</v>
          </cell>
          <cell r="LD43">
            <v>0</v>
          </cell>
          <cell r="LF43">
            <v>0</v>
          </cell>
          <cell r="LG43">
            <v>0</v>
          </cell>
          <cell r="LH43">
            <v>0</v>
          </cell>
          <cell r="LJ43">
            <v>0</v>
          </cell>
          <cell r="LK43">
            <v>0</v>
          </cell>
          <cell r="LL43">
            <v>0</v>
          </cell>
          <cell r="LN43">
            <v>0</v>
          </cell>
          <cell r="LP43">
            <v>0</v>
          </cell>
          <cell r="LQ43">
            <v>0</v>
          </cell>
          <cell r="LR43">
            <v>0</v>
          </cell>
          <cell r="LT43" t="str">
            <v>660-61</v>
          </cell>
        </row>
        <row r="44">
          <cell r="B44">
            <v>20.020000000000003</v>
          </cell>
          <cell r="C44">
            <v>22</v>
          </cell>
          <cell r="D44">
            <v>7307.3</v>
          </cell>
          <cell r="E44">
            <v>8030</v>
          </cell>
          <cell r="F44">
            <v>0.91</v>
          </cell>
          <cell r="G44">
            <v>0.91</v>
          </cell>
          <cell r="H44">
            <v>7.9999999999999988E-2</v>
          </cell>
          <cell r="I44">
            <v>0.3493970156625209</v>
          </cell>
          <cell r="J44">
            <v>1.9999980000000004</v>
          </cell>
          <cell r="K44">
            <v>3.9999960000000008</v>
          </cell>
          <cell r="L44">
            <v>0</v>
          </cell>
          <cell r="M44">
            <v>0</v>
          </cell>
          <cell r="N44">
            <v>14.020005999999997</v>
          </cell>
          <cell r="O44">
            <v>0</v>
          </cell>
          <cell r="P44">
            <v>457.92</v>
          </cell>
          <cell r="Q44">
            <v>414.19000000000005</v>
          </cell>
          <cell r="R44">
            <v>0</v>
          </cell>
          <cell r="S44">
            <v>0</v>
          </cell>
          <cell r="T44">
            <v>361.80000000000007</v>
          </cell>
          <cell r="U44">
            <v>0</v>
          </cell>
          <cell r="W44">
            <v>9.087671232876712</v>
          </cell>
          <cell r="X44">
            <v>22</v>
          </cell>
          <cell r="Y44">
            <v>3317</v>
          </cell>
          <cell r="Z44">
            <v>8030</v>
          </cell>
          <cell r="AA44">
            <v>0.41307596513075967</v>
          </cell>
          <cell r="AB44">
            <v>0.41307596513075967</v>
          </cell>
          <cell r="AC44">
            <v>7.9999999999999988E-2</v>
          </cell>
          <cell r="AD44">
            <v>0.2764140454057738</v>
          </cell>
          <cell r="AE44">
            <v>0.99626216077829077</v>
          </cell>
          <cell r="AF44">
            <v>2.1671594982078854</v>
          </cell>
          <cell r="AG44">
            <v>0</v>
          </cell>
          <cell r="AH44">
            <v>0</v>
          </cell>
          <cell r="AI44">
            <v>5.9573284690220172</v>
          </cell>
          <cell r="AJ44">
            <v>0</v>
          </cell>
          <cell r="AK44">
            <v>366.34216626637271</v>
          </cell>
          <cell r="AL44">
            <v>426.66137273113389</v>
          </cell>
          <cell r="AM44">
            <v>0</v>
          </cell>
          <cell r="AN44">
            <v>0</v>
          </cell>
          <cell r="AO44">
            <v>351.0367217555995</v>
          </cell>
          <cell r="AP44">
            <v>0</v>
          </cell>
          <cell r="AR44">
            <v>0</v>
          </cell>
          <cell r="AS44">
            <v>22</v>
          </cell>
          <cell r="AT44">
            <v>0</v>
          </cell>
          <cell r="AU44">
            <v>8052</v>
          </cell>
          <cell r="AV44">
            <v>0</v>
          </cell>
          <cell r="AW44">
            <v>0</v>
          </cell>
          <cell r="AX44">
            <v>3.0000000000000009E-2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H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</v>
          </cell>
          <cell r="EP44">
            <v>0</v>
          </cell>
          <cell r="EQ44">
            <v>0</v>
          </cell>
          <cell r="ER44">
            <v>0</v>
          </cell>
          <cell r="ES44">
            <v>0</v>
          </cell>
          <cell r="ET44">
            <v>0</v>
          </cell>
          <cell r="EU44">
            <v>0</v>
          </cell>
          <cell r="EV44">
            <v>0</v>
          </cell>
          <cell r="EW44">
            <v>0</v>
          </cell>
          <cell r="EX44">
            <v>0</v>
          </cell>
          <cell r="EY44">
            <v>0</v>
          </cell>
          <cell r="EZ44">
            <v>0</v>
          </cell>
          <cell r="FA44">
            <v>0</v>
          </cell>
          <cell r="FB44">
            <v>0</v>
          </cell>
          <cell r="FC44">
            <v>0</v>
          </cell>
          <cell r="FE44">
            <v>0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GE44">
            <v>0</v>
          </cell>
          <cell r="GF44">
            <v>0</v>
          </cell>
          <cell r="GG44">
            <v>0</v>
          </cell>
          <cell r="GH44">
            <v>0</v>
          </cell>
          <cell r="GI44">
            <v>0</v>
          </cell>
          <cell r="GJ44">
            <v>0</v>
          </cell>
          <cell r="GK44">
            <v>0</v>
          </cell>
          <cell r="GL44">
            <v>0</v>
          </cell>
          <cell r="GM44">
            <v>0</v>
          </cell>
          <cell r="GN44">
            <v>0</v>
          </cell>
          <cell r="GO44">
            <v>0</v>
          </cell>
          <cell r="GP44">
            <v>0</v>
          </cell>
          <cell r="GQ44">
            <v>0</v>
          </cell>
          <cell r="GR44">
            <v>0</v>
          </cell>
          <cell r="GS44">
            <v>0</v>
          </cell>
          <cell r="GT44">
            <v>0</v>
          </cell>
          <cell r="GU44">
            <v>0</v>
          </cell>
          <cell r="GV44">
            <v>0</v>
          </cell>
          <cell r="GW44">
            <v>0</v>
          </cell>
          <cell r="GX44">
            <v>0</v>
          </cell>
          <cell r="GY44">
            <v>0</v>
          </cell>
          <cell r="GZ44">
            <v>0</v>
          </cell>
          <cell r="HB44">
            <v>0</v>
          </cell>
          <cell r="HD44">
            <v>0</v>
          </cell>
          <cell r="HE44">
            <v>0</v>
          </cell>
          <cell r="HF44">
            <v>0</v>
          </cell>
          <cell r="HG44">
            <v>0</v>
          </cell>
          <cell r="HH44">
            <v>0</v>
          </cell>
          <cell r="HI44">
            <v>0</v>
          </cell>
          <cell r="HJ44">
            <v>0</v>
          </cell>
          <cell r="HK44">
            <v>0</v>
          </cell>
          <cell r="HL44">
            <v>0</v>
          </cell>
          <cell r="HM44">
            <v>0</v>
          </cell>
          <cell r="HN44">
            <v>0</v>
          </cell>
          <cell r="HO44">
            <v>0</v>
          </cell>
          <cell r="HQ44">
            <v>0</v>
          </cell>
          <cell r="HS44">
            <v>0</v>
          </cell>
          <cell r="HT44">
            <v>0</v>
          </cell>
          <cell r="HU44">
            <v>0</v>
          </cell>
          <cell r="HV44">
            <v>0</v>
          </cell>
          <cell r="HW44">
            <v>0</v>
          </cell>
          <cell r="HX44">
            <v>0</v>
          </cell>
          <cell r="HY44">
            <v>0</v>
          </cell>
          <cell r="HZ44">
            <v>0</v>
          </cell>
          <cell r="IA44">
            <v>0</v>
          </cell>
          <cell r="IB44">
            <v>0</v>
          </cell>
          <cell r="IC44">
            <v>0</v>
          </cell>
          <cell r="ID44">
            <v>0</v>
          </cell>
          <cell r="IF44">
            <v>0</v>
          </cell>
          <cell r="IH44">
            <v>0</v>
          </cell>
          <cell r="II44">
            <v>0</v>
          </cell>
          <cell r="IJ44">
            <v>0</v>
          </cell>
          <cell r="IK44">
            <v>0</v>
          </cell>
          <cell r="IL44">
            <v>0</v>
          </cell>
          <cell r="IM44">
            <v>0</v>
          </cell>
          <cell r="IN44">
            <v>0</v>
          </cell>
          <cell r="IO44">
            <v>0</v>
          </cell>
          <cell r="IP44">
            <v>0</v>
          </cell>
          <cell r="IQ44">
            <v>0</v>
          </cell>
          <cell r="IR44">
            <v>0</v>
          </cell>
          <cell r="IS44">
            <v>0</v>
          </cell>
          <cell r="IU44">
            <v>0</v>
          </cell>
          <cell r="IW44">
            <v>0</v>
          </cell>
          <cell r="IX44">
            <v>0</v>
          </cell>
          <cell r="IY44">
            <v>0</v>
          </cell>
          <cell r="IZ44">
            <v>0</v>
          </cell>
          <cell r="JB44">
            <v>0</v>
          </cell>
          <cell r="JC44">
            <v>0</v>
          </cell>
          <cell r="JD44">
            <v>0</v>
          </cell>
          <cell r="JE44">
            <v>0</v>
          </cell>
          <cell r="JG44">
            <v>0</v>
          </cell>
          <cell r="JH44">
            <v>0</v>
          </cell>
          <cell r="JI44">
            <v>0</v>
          </cell>
          <cell r="JJ44">
            <v>0</v>
          </cell>
          <cell r="JL44">
            <v>0</v>
          </cell>
          <cell r="JM44">
            <v>0</v>
          </cell>
          <cell r="JN44">
            <v>0</v>
          </cell>
          <cell r="JO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KA44">
            <v>0</v>
          </cell>
          <cell r="KB44">
            <v>0</v>
          </cell>
          <cell r="KC44">
            <v>0</v>
          </cell>
          <cell r="KD44">
            <v>0</v>
          </cell>
          <cell r="KF44">
            <v>0</v>
          </cell>
          <cell r="KG44">
            <v>0</v>
          </cell>
          <cell r="KH44">
            <v>0</v>
          </cell>
          <cell r="KI44">
            <v>0</v>
          </cell>
          <cell r="KK44">
            <v>0</v>
          </cell>
          <cell r="KL44">
            <v>0</v>
          </cell>
          <cell r="KM44">
            <v>0</v>
          </cell>
          <cell r="KN44">
            <v>0</v>
          </cell>
          <cell r="KP44">
            <v>0</v>
          </cell>
          <cell r="KQ44">
            <v>0</v>
          </cell>
          <cell r="KR44">
            <v>0</v>
          </cell>
          <cell r="KT44">
            <v>0</v>
          </cell>
          <cell r="KV44">
            <v>0</v>
          </cell>
          <cell r="KW44">
            <v>0</v>
          </cell>
          <cell r="KX44">
            <v>0</v>
          </cell>
          <cell r="KZ44">
            <v>0</v>
          </cell>
          <cell r="LA44">
            <v>0</v>
          </cell>
          <cell r="LB44">
            <v>0</v>
          </cell>
          <cell r="LD44">
            <v>0</v>
          </cell>
          <cell r="LF44">
            <v>0</v>
          </cell>
          <cell r="LG44">
            <v>0</v>
          </cell>
          <cell r="LH44">
            <v>0</v>
          </cell>
          <cell r="LJ44">
            <v>0</v>
          </cell>
          <cell r="LK44">
            <v>0</v>
          </cell>
          <cell r="LL44">
            <v>0</v>
          </cell>
          <cell r="LN44">
            <v>0</v>
          </cell>
          <cell r="LP44">
            <v>0</v>
          </cell>
          <cell r="LQ44">
            <v>0</v>
          </cell>
          <cell r="LR44">
            <v>0</v>
          </cell>
          <cell r="LT44" t="str">
            <v>660-62</v>
          </cell>
        </row>
        <row r="45">
          <cell r="B45">
            <v>195.81301369863016</v>
          </cell>
          <cell r="C45">
            <v>228</v>
          </cell>
          <cell r="D45">
            <v>71471.75</v>
          </cell>
          <cell r="E45">
            <v>83220</v>
          </cell>
          <cell r="F45">
            <v>0.85882900745013213</v>
          </cell>
          <cell r="G45">
            <v>0.85882900745013213</v>
          </cell>
          <cell r="H45">
            <v>7.9999999999999988E-2</v>
          </cell>
          <cell r="I45">
            <v>1.0736627271878629</v>
          </cell>
          <cell r="J45">
            <v>7.2088329733333323</v>
          </cell>
          <cell r="K45">
            <v>22.752047759999996</v>
          </cell>
          <cell r="L45">
            <v>0</v>
          </cell>
          <cell r="M45">
            <v>0</v>
          </cell>
          <cell r="N45">
            <v>24.205820079999999</v>
          </cell>
          <cell r="O45">
            <v>0</v>
          </cell>
          <cell r="P45">
            <v>915.84</v>
          </cell>
          <cell r="Q45">
            <v>828.38000000000011</v>
          </cell>
          <cell r="R45">
            <v>0</v>
          </cell>
          <cell r="S45">
            <v>392.99999999999994</v>
          </cell>
          <cell r="T45">
            <v>705.65000000000009</v>
          </cell>
          <cell r="U45">
            <v>0</v>
          </cell>
          <cell r="W45">
            <v>160.50136986301371</v>
          </cell>
          <cell r="X45">
            <v>228</v>
          </cell>
          <cell r="Y45">
            <v>58583</v>
          </cell>
          <cell r="Z45">
            <v>83220</v>
          </cell>
          <cell r="AA45">
            <v>0.70395337659216539</v>
          </cell>
          <cell r="AB45">
            <v>0.70395337659216539</v>
          </cell>
          <cell r="AC45">
            <v>7.9999999999999988E-2</v>
          </cell>
          <cell r="AD45">
            <v>1.2333647810894803</v>
          </cell>
          <cell r="AE45">
            <v>4.9093202764976978</v>
          </cell>
          <cell r="AF45">
            <v>10.102283666154632</v>
          </cell>
          <cell r="AG45">
            <v>0</v>
          </cell>
          <cell r="AH45">
            <v>8.1989247311827398E-2</v>
          </cell>
          <cell r="AI45">
            <v>16.221063748079875</v>
          </cell>
          <cell r="AJ45">
            <v>0</v>
          </cell>
          <cell r="AK45">
            <v>876.62608600071701</v>
          </cell>
          <cell r="AL45">
            <v>873.11238973347065</v>
          </cell>
          <cell r="AM45">
            <v>0</v>
          </cell>
          <cell r="AN45">
            <v>86.451183044316011</v>
          </cell>
          <cell r="AO45">
            <v>697.07501081256783</v>
          </cell>
          <cell r="AP45">
            <v>0</v>
          </cell>
          <cell r="AR45">
            <v>0</v>
          </cell>
          <cell r="AS45">
            <v>228</v>
          </cell>
          <cell r="AT45">
            <v>0</v>
          </cell>
          <cell r="AU45">
            <v>83448</v>
          </cell>
          <cell r="AV45">
            <v>0</v>
          </cell>
          <cell r="AW45">
            <v>0</v>
          </cell>
          <cell r="AX45">
            <v>3.0000000000000009E-2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9</v>
          </cell>
          <cell r="BR45">
            <v>16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H45">
            <v>25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9</v>
          </cell>
          <cell r="DO45">
            <v>16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</v>
          </cell>
          <cell r="EQ45">
            <v>0</v>
          </cell>
          <cell r="ER45">
            <v>0</v>
          </cell>
          <cell r="ES45">
            <v>0</v>
          </cell>
          <cell r="ET45">
            <v>0</v>
          </cell>
          <cell r="EU45">
            <v>0</v>
          </cell>
          <cell r="EV45">
            <v>0</v>
          </cell>
          <cell r="EW45">
            <v>0</v>
          </cell>
          <cell r="EX45">
            <v>0</v>
          </cell>
          <cell r="EY45">
            <v>0</v>
          </cell>
          <cell r="EZ45">
            <v>0</v>
          </cell>
          <cell r="FA45">
            <v>0</v>
          </cell>
          <cell r="FB45">
            <v>0</v>
          </cell>
          <cell r="FC45">
            <v>0</v>
          </cell>
          <cell r="FE45">
            <v>25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12</v>
          </cell>
          <cell r="FL45">
            <v>15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GE45">
            <v>0</v>
          </cell>
          <cell r="GF45">
            <v>0</v>
          </cell>
          <cell r="GG45">
            <v>0</v>
          </cell>
          <cell r="GH45">
            <v>0</v>
          </cell>
          <cell r="GI45">
            <v>0</v>
          </cell>
          <cell r="GJ45">
            <v>0</v>
          </cell>
          <cell r="GK45">
            <v>0</v>
          </cell>
          <cell r="GL45">
            <v>0</v>
          </cell>
          <cell r="GM45">
            <v>0</v>
          </cell>
          <cell r="GN45">
            <v>0</v>
          </cell>
          <cell r="GO45">
            <v>0</v>
          </cell>
          <cell r="GP45">
            <v>0</v>
          </cell>
          <cell r="GQ45">
            <v>0</v>
          </cell>
          <cell r="GR45">
            <v>0</v>
          </cell>
          <cell r="GS45">
            <v>0</v>
          </cell>
          <cell r="GT45">
            <v>0</v>
          </cell>
          <cell r="GU45">
            <v>0</v>
          </cell>
          <cell r="GV45">
            <v>0</v>
          </cell>
          <cell r="GW45">
            <v>0</v>
          </cell>
          <cell r="GX45">
            <v>0</v>
          </cell>
          <cell r="GY45">
            <v>0</v>
          </cell>
          <cell r="GZ45">
            <v>0</v>
          </cell>
          <cell r="HB45">
            <v>27</v>
          </cell>
          <cell r="HD45">
            <v>0</v>
          </cell>
          <cell r="HE45">
            <v>0</v>
          </cell>
          <cell r="HF45">
            <v>0</v>
          </cell>
          <cell r="HG45">
            <v>0</v>
          </cell>
          <cell r="HH45">
            <v>0</v>
          </cell>
          <cell r="HI45">
            <v>0</v>
          </cell>
          <cell r="HJ45">
            <v>0</v>
          </cell>
          <cell r="HK45">
            <v>0</v>
          </cell>
          <cell r="HL45">
            <v>0</v>
          </cell>
          <cell r="HM45">
            <v>0</v>
          </cell>
          <cell r="HN45">
            <v>0</v>
          </cell>
          <cell r="HO45">
            <v>0</v>
          </cell>
          <cell r="HQ45">
            <v>0</v>
          </cell>
          <cell r="HS45">
            <v>0</v>
          </cell>
          <cell r="HT45">
            <v>0</v>
          </cell>
          <cell r="HU45">
            <v>0</v>
          </cell>
          <cell r="HV45">
            <v>0</v>
          </cell>
          <cell r="HW45">
            <v>0</v>
          </cell>
          <cell r="HX45">
            <v>0</v>
          </cell>
          <cell r="HY45">
            <v>0</v>
          </cell>
          <cell r="HZ45">
            <v>0</v>
          </cell>
          <cell r="IA45">
            <v>0</v>
          </cell>
          <cell r="IB45">
            <v>0</v>
          </cell>
          <cell r="IC45">
            <v>0</v>
          </cell>
          <cell r="ID45">
            <v>0</v>
          </cell>
          <cell r="IF45">
            <v>0</v>
          </cell>
          <cell r="IH45">
            <v>0</v>
          </cell>
          <cell r="II45">
            <v>0</v>
          </cell>
          <cell r="IJ45">
            <v>0</v>
          </cell>
          <cell r="IK45">
            <v>0</v>
          </cell>
          <cell r="IL45">
            <v>0</v>
          </cell>
          <cell r="IM45">
            <v>0</v>
          </cell>
          <cell r="IN45">
            <v>0</v>
          </cell>
          <cell r="IO45">
            <v>0</v>
          </cell>
          <cell r="IP45">
            <v>0</v>
          </cell>
          <cell r="IQ45">
            <v>0</v>
          </cell>
          <cell r="IR45">
            <v>0</v>
          </cell>
          <cell r="IS45">
            <v>0</v>
          </cell>
          <cell r="IU45">
            <v>0</v>
          </cell>
          <cell r="IW45">
            <v>0</v>
          </cell>
          <cell r="IX45">
            <v>0</v>
          </cell>
          <cell r="IY45">
            <v>0</v>
          </cell>
          <cell r="IZ45">
            <v>0</v>
          </cell>
          <cell r="JB45">
            <v>0</v>
          </cell>
          <cell r="JC45">
            <v>0</v>
          </cell>
          <cell r="JD45">
            <v>0</v>
          </cell>
          <cell r="JE45">
            <v>0</v>
          </cell>
          <cell r="JG45">
            <v>0</v>
          </cell>
          <cell r="JH45">
            <v>0</v>
          </cell>
          <cell r="JI45">
            <v>0</v>
          </cell>
          <cell r="JJ45">
            <v>0</v>
          </cell>
          <cell r="JL45">
            <v>0</v>
          </cell>
          <cell r="JM45">
            <v>0</v>
          </cell>
          <cell r="JN45">
            <v>0</v>
          </cell>
          <cell r="JO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KA45">
            <v>0</v>
          </cell>
          <cell r="KB45">
            <v>0</v>
          </cell>
          <cell r="KC45">
            <v>0</v>
          </cell>
          <cell r="KD45">
            <v>0</v>
          </cell>
          <cell r="KF45">
            <v>0</v>
          </cell>
          <cell r="KG45">
            <v>0</v>
          </cell>
          <cell r="KH45">
            <v>0</v>
          </cell>
          <cell r="KI45">
            <v>0</v>
          </cell>
          <cell r="KK45">
            <v>0</v>
          </cell>
          <cell r="KL45">
            <v>0</v>
          </cell>
          <cell r="KM45">
            <v>0</v>
          </cell>
          <cell r="KN45">
            <v>0</v>
          </cell>
          <cell r="KP45">
            <v>0</v>
          </cell>
          <cell r="KQ45">
            <v>0</v>
          </cell>
          <cell r="KR45">
            <v>0</v>
          </cell>
          <cell r="KT45">
            <v>0</v>
          </cell>
          <cell r="KV45">
            <v>0</v>
          </cell>
          <cell r="KW45">
            <v>0</v>
          </cell>
          <cell r="KX45">
            <v>0</v>
          </cell>
          <cell r="KZ45">
            <v>0</v>
          </cell>
          <cell r="LA45">
            <v>0</v>
          </cell>
          <cell r="LB45">
            <v>0</v>
          </cell>
          <cell r="LD45">
            <v>0</v>
          </cell>
          <cell r="LF45">
            <v>0</v>
          </cell>
          <cell r="LG45">
            <v>0</v>
          </cell>
          <cell r="LH45">
            <v>0</v>
          </cell>
          <cell r="LJ45">
            <v>0</v>
          </cell>
          <cell r="LK45">
            <v>0</v>
          </cell>
          <cell r="LL45">
            <v>0</v>
          </cell>
          <cell r="LN45">
            <v>0</v>
          </cell>
          <cell r="LP45">
            <v>0</v>
          </cell>
          <cell r="LQ45">
            <v>0</v>
          </cell>
          <cell r="LR45">
            <v>0</v>
          </cell>
          <cell r="LT45" t="str">
            <v>660-Entity</v>
          </cell>
        </row>
        <row r="46">
          <cell r="B46">
            <v>92.15</v>
          </cell>
          <cell r="C46">
            <v>95</v>
          </cell>
          <cell r="D46">
            <v>33634.750000000007</v>
          </cell>
          <cell r="E46">
            <v>34675</v>
          </cell>
          <cell r="F46">
            <v>0.9700000000000002</v>
          </cell>
          <cell r="G46">
            <v>0.9700000000000002</v>
          </cell>
          <cell r="H46">
            <v>0.05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W46">
            <v>93.208219178082203</v>
          </cell>
          <cell r="X46">
            <v>95</v>
          </cell>
          <cell r="Y46">
            <v>34021</v>
          </cell>
          <cell r="Z46">
            <v>34675</v>
          </cell>
          <cell r="AA46">
            <v>0.98113914924297041</v>
          </cell>
          <cell r="AB46">
            <v>0.98113914924297041</v>
          </cell>
          <cell r="AC46">
            <v>0.05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R46">
            <v>92.15</v>
          </cell>
          <cell r="AS46">
            <v>95</v>
          </cell>
          <cell r="AT46">
            <v>33726.9</v>
          </cell>
          <cell r="AU46">
            <v>34770</v>
          </cell>
          <cell r="AV46">
            <v>0.97</v>
          </cell>
          <cell r="AW46">
            <v>0.97</v>
          </cell>
          <cell r="AX46">
            <v>3.500000000000001E-2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H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</v>
          </cell>
          <cell r="ES46">
            <v>0</v>
          </cell>
          <cell r="ET46">
            <v>0</v>
          </cell>
          <cell r="EU46">
            <v>0</v>
          </cell>
          <cell r="EV46">
            <v>0</v>
          </cell>
          <cell r="EW46">
            <v>0</v>
          </cell>
          <cell r="EX46">
            <v>0</v>
          </cell>
          <cell r="EY46">
            <v>0</v>
          </cell>
          <cell r="EZ46">
            <v>0</v>
          </cell>
          <cell r="FA46">
            <v>0</v>
          </cell>
          <cell r="FB46">
            <v>0</v>
          </cell>
          <cell r="FC46">
            <v>0</v>
          </cell>
          <cell r="FE46">
            <v>0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GE46">
            <v>0</v>
          </cell>
          <cell r="GF46">
            <v>0</v>
          </cell>
          <cell r="GG46">
            <v>0</v>
          </cell>
          <cell r="GH46">
            <v>0</v>
          </cell>
          <cell r="GI46">
            <v>0</v>
          </cell>
          <cell r="GJ46">
            <v>0</v>
          </cell>
          <cell r="GK46">
            <v>0</v>
          </cell>
          <cell r="GL46">
            <v>0</v>
          </cell>
          <cell r="GM46">
            <v>0</v>
          </cell>
          <cell r="GN46">
            <v>0</v>
          </cell>
          <cell r="GO46">
            <v>0</v>
          </cell>
          <cell r="GP46">
            <v>0</v>
          </cell>
          <cell r="GQ46">
            <v>0</v>
          </cell>
          <cell r="GR46">
            <v>0</v>
          </cell>
          <cell r="GS46">
            <v>0</v>
          </cell>
          <cell r="GT46">
            <v>0</v>
          </cell>
          <cell r="GU46">
            <v>0</v>
          </cell>
          <cell r="GV46">
            <v>0</v>
          </cell>
          <cell r="GW46">
            <v>2</v>
          </cell>
          <cell r="GX46">
            <v>0</v>
          </cell>
          <cell r="GY46">
            <v>0</v>
          </cell>
          <cell r="GZ46">
            <v>0</v>
          </cell>
          <cell r="HB46">
            <v>2</v>
          </cell>
          <cell r="HD46">
            <v>0</v>
          </cell>
          <cell r="HE46">
            <v>0</v>
          </cell>
          <cell r="HF46">
            <v>0</v>
          </cell>
          <cell r="HG46">
            <v>0</v>
          </cell>
          <cell r="HH46">
            <v>0</v>
          </cell>
          <cell r="HI46">
            <v>0</v>
          </cell>
          <cell r="HJ46">
            <v>0</v>
          </cell>
          <cell r="HK46">
            <v>0</v>
          </cell>
          <cell r="HL46">
            <v>0</v>
          </cell>
          <cell r="HM46">
            <v>0</v>
          </cell>
          <cell r="HN46">
            <v>0</v>
          </cell>
          <cell r="HO46">
            <v>0</v>
          </cell>
          <cell r="HQ46">
            <v>0</v>
          </cell>
          <cell r="HS46">
            <v>0</v>
          </cell>
          <cell r="HT46">
            <v>0</v>
          </cell>
          <cell r="HU46">
            <v>0</v>
          </cell>
          <cell r="HV46">
            <v>0</v>
          </cell>
          <cell r="HW46">
            <v>0</v>
          </cell>
          <cell r="HX46">
            <v>0</v>
          </cell>
          <cell r="HY46">
            <v>0</v>
          </cell>
          <cell r="HZ46">
            <v>0</v>
          </cell>
          <cell r="IA46">
            <v>0</v>
          </cell>
          <cell r="IB46">
            <v>0</v>
          </cell>
          <cell r="IC46">
            <v>0</v>
          </cell>
          <cell r="ID46">
            <v>0</v>
          </cell>
          <cell r="IF46">
            <v>0</v>
          </cell>
          <cell r="IH46">
            <v>0</v>
          </cell>
          <cell r="II46">
            <v>0</v>
          </cell>
          <cell r="IJ46">
            <v>0</v>
          </cell>
          <cell r="IK46">
            <v>0</v>
          </cell>
          <cell r="IL46">
            <v>0</v>
          </cell>
          <cell r="IM46">
            <v>0</v>
          </cell>
          <cell r="IN46">
            <v>0</v>
          </cell>
          <cell r="IO46">
            <v>0</v>
          </cell>
          <cell r="IP46">
            <v>0</v>
          </cell>
          <cell r="IQ46">
            <v>0</v>
          </cell>
          <cell r="IR46">
            <v>0</v>
          </cell>
          <cell r="IS46">
            <v>0</v>
          </cell>
          <cell r="IU46">
            <v>0</v>
          </cell>
          <cell r="IW46">
            <v>0</v>
          </cell>
          <cell r="IX46">
            <v>0</v>
          </cell>
          <cell r="IY46">
            <v>0</v>
          </cell>
          <cell r="IZ46">
            <v>0</v>
          </cell>
          <cell r="JB46">
            <v>0</v>
          </cell>
          <cell r="JC46">
            <v>0</v>
          </cell>
          <cell r="JD46">
            <v>0</v>
          </cell>
          <cell r="JE46">
            <v>0</v>
          </cell>
          <cell r="JG46">
            <v>0</v>
          </cell>
          <cell r="JH46">
            <v>0</v>
          </cell>
          <cell r="JI46">
            <v>0</v>
          </cell>
          <cell r="JJ46">
            <v>0</v>
          </cell>
          <cell r="JL46">
            <v>0</v>
          </cell>
          <cell r="JM46">
            <v>0</v>
          </cell>
          <cell r="JN46">
            <v>0</v>
          </cell>
          <cell r="JO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KA46">
            <v>0</v>
          </cell>
          <cell r="KB46">
            <v>0</v>
          </cell>
          <cell r="KC46">
            <v>0</v>
          </cell>
          <cell r="KD46">
            <v>0</v>
          </cell>
          <cell r="KF46">
            <v>0</v>
          </cell>
          <cell r="KG46">
            <v>0</v>
          </cell>
          <cell r="KH46">
            <v>0</v>
          </cell>
          <cell r="KI46">
            <v>0</v>
          </cell>
          <cell r="KK46">
            <v>0</v>
          </cell>
          <cell r="KL46">
            <v>0</v>
          </cell>
          <cell r="KM46">
            <v>0</v>
          </cell>
          <cell r="KN46">
            <v>0</v>
          </cell>
          <cell r="KP46">
            <v>0</v>
          </cell>
          <cell r="KQ46">
            <v>0</v>
          </cell>
          <cell r="KR46">
            <v>0</v>
          </cell>
          <cell r="KT46">
            <v>0</v>
          </cell>
          <cell r="KV46">
            <v>0</v>
          </cell>
          <cell r="KW46">
            <v>0</v>
          </cell>
          <cell r="KX46">
            <v>0</v>
          </cell>
          <cell r="KZ46">
            <v>0</v>
          </cell>
          <cell r="LA46">
            <v>0</v>
          </cell>
          <cell r="LB46">
            <v>0</v>
          </cell>
          <cell r="LD46">
            <v>0</v>
          </cell>
          <cell r="LF46">
            <v>0</v>
          </cell>
          <cell r="LG46">
            <v>0</v>
          </cell>
          <cell r="LH46">
            <v>0</v>
          </cell>
          <cell r="LJ46">
            <v>0</v>
          </cell>
          <cell r="LK46">
            <v>0</v>
          </cell>
          <cell r="LL46">
            <v>0</v>
          </cell>
          <cell r="LN46">
            <v>0</v>
          </cell>
          <cell r="LP46">
            <v>0</v>
          </cell>
          <cell r="LQ46">
            <v>0</v>
          </cell>
          <cell r="LR46">
            <v>0</v>
          </cell>
          <cell r="LT46" t="str">
            <v>810-21</v>
          </cell>
        </row>
        <row r="47">
          <cell r="B47">
            <v>46.06</v>
          </cell>
          <cell r="C47">
            <v>47</v>
          </cell>
          <cell r="D47">
            <v>16811.900000000001</v>
          </cell>
          <cell r="E47">
            <v>17155</v>
          </cell>
          <cell r="F47">
            <v>0.98</v>
          </cell>
          <cell r="G47">
            <v>0.98</v>
          </cell>
          <cell r="H47">
            <v>0.05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W47">
            <v>46.246575342465754</v>
          </cell>
          <cell r="X47">
            <v>47</v>
          </cell>
          <cell r="Y47">
            <v>16880</v>
          </cell>
          <cell r="Z47">
            <v>17155</v>
          </cell>
          <cell r="AA47">
            <v>0.98396968813756924</v>
          </cell>
          <cell r="AB47">
            <v>0.98396968813756924</v>
          </cell>
          <cell r="AC47">
            <v>0.05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R47">
            <v>46.06</v>
          </cell>
          <cell r="AS47">
            <v>47</v>
          </cell>
          <cell r="AT47">
            <v>16857.960000000003</v>
          </cell>
          <cell r="AU47">
            <v>17202</v>
          </cell>
          <cell r="AV47">
            <v>0.9800000000000002</v>
          </cell>
          <cell r="AW47">
            <v>0.9800000000000002</v>
          </cell>
          <cell r="AX47">
            <v>3.500000000000001E-2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H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0</v>
          </cell>
          <cell r="EM47">
            <v>0</v>
          </cell>
          <cell r="EN47">
            <v>0</v>
          </cell>
          <cell r="EO47">
            <v>0</v>
          </cell>
          <cell r="EP47">
            <v>0</v>
          </cell>
          <cell r="EQ47">
            <v>0</v>
          </cell>
          <cell r="ER47">
            <v>0</v>
          </cell>
          <cell r="ES47">
            <v>0</v>
          </cell>
          <cell r="ET47">
            <v>0</v>
          </cell>
          <cell r="EU47">
            <v>0</v>
          </cell>
          <cell r="EV47">
            <v>0</v>
          </cell>
          <cell r="EW47">
            <v>0</v>
          </cell>
          <cell r="EX47">
            <v>0</v>
          </cell>
          <cell r="EY47">
            <v>0</v>
          </cell>
          <cell r="EZ47">
            <v>0</v>
          </cell>
          <cell r="FA47">
            <v>0</v>
          </cell>
          <cell r="FB47">
            <v>0</v>
          </cell>
          <cell r="FC47">
            <v>0</v>
          </cell>
          <cell r="FE47">
            <v>0</v>
          </cell>
          <cell r="FG47">
            <v>0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GE47">
            <v>0</v>
          </cell>
          <cell r="GF47">
            <v>0</v>
          </cell>
          <cell r="GG47">
            <v>0</v>
          </cell>
          <cell r="GH47">
            <v>0</v>
          </cell>
          <cell r="GI47">
            <v>0</v>
          </cell>
          <cell r="GJ47">
            <v>0</v>
          </cell>
          <cell r="GK47">
            <v>0</v>
          </cell>
          <cell r="GL47">
            <v>0</v>
          </cell>
          <cell r="GM47">
            <v>0</v>
          </cell>
          <cell r="GN47">
            <v>0</v>
          </cell>
          <cell r="GO47">
            <v>0</v>
          </cell>
          <cell r="GP47">
            <v>0</v>
          </cell>
          <cell r="GQ47">
            <v>0</v>
          </cell>
          <cell r="GR47">
            <v>0</v>
          </cell>
          <cell r="GS47">
            <v>0</v>
          </cell>
          <cell r="GT47">
            <v>0</v>
          </cell>
          <cell r="GU47">
            <v>0</v>
          </cell>
          <cell r="GV47">
            <v>0</v>
          </cell>
          <cell r="GW47">
            <v>0</v>
          </cell>
          <cell r="GX47">
            <v>1</v>
          </cell>
          <cell r="GY47">
            <v>0</v>
          </cell>
          <cell r="GZ47">
            <v>0</v>
          </cell>
          <cell r="HB47">
            <v>1</v>
          </cell>
          <cell r="HD47">
            <v>0</v>
          </cell>
          <cell r="HE47">
            <v>0</v>
          </cell>
          <cell r="HF47">
            <v>0</v>
          </cell>
          <cell r="HG47">
            <v>0</v>
          </cell>
          <cell r="HH47">
            <v>0</v>
          </cell>
          <cell r="HI47">
            <v>0</v>
          </cell>
          <cell r="HJ47">
            <v>0</v>
          </cell>
          <cell r="HK47">
            <v>0</v>
          </cell>
          <cell r="HL47">
            <v>0</v>
          </cell>
          <cell r="HM47">
            <v>0</v>
          </cell>
          <cell r="HN47">
            <v>0</v>
          </cell>
          <cell r="HO47">
            <v>0</v>
          </cell>
          <cell r="HQ47">
            <v>0</v>
          </cell>
          <cell r="HS47">
            <v>0</v>
          </cell>
          <cell r="HT47">
            <v>0</v>
          </cell>
          <cell r="HU47">
            <v>0</v>
          </cell>
          <cell r="HV47">
            <v>0</v>
          </cell>
          <cell r="HW47">
            <v>0</v>
          </cell>
          <cell r="HX47">
            <v>0</v>
          </cell>
          <cell r="HY47">
            <v>0</v>
          </cell>
          <cell r="HZ47">
            <v>0</v>
          </cell>
          <cell r="IA47">
            <v>0</v>
          </cell>
          <cell r="IB47">
            <v>0</v>
          </cell>
          <cell r="IC47">
            <v>0</v>
          </cell>
          <cell r="ID47">
            <v>0</v>
          </cell>
          <cell r="IF47">
            <v>0</v>
          </cell>
          <cell r="IH47">
            <v>0</v>
          </cell>
          <cell r="II47">
            <v>0</v>
          </cell>
          <cell r="IJ47">
            <v>0</v>
          </cell>
          <cell r="IK47">
            <v>0</v>
          </cell>
          <cell r="IL47">
            <v>0</v>
          </cell>
          <cell r="IM47">
            <v>0</v>
          </cell>
          <cell r="IN47">
            <v>0</v>
          </cell>
          <cell r="IO47">
            <v>0</v>
          </cell>
          <cell r="IP47">
            <v>0</v>
          </cell>
          <cell r="IQ47">
            <v>0</v>
          </cell>
          <cell r="IR47">
            <v>0</v>
          </cell>
          <cell r="IS47">
            <v>0</v>
          </cell>
          <cell r="IU47">
            <v>0</v>
          </cell>
          <cell r="IW47">
            <v>0</v>
          </cell>
          <cell r="IX47">
            <v>0</v>
          </cell>
          <cell r="IY47">
            <v>0</v>
          </cell>
          <cell r="IZ47">
            <v>0</v>
          </cell>
          <cell r="JB47">
            <v>0</v>
          </cell>
          <cell r="JC47">
            <v>0</v>
          </cell>
          <cell r="JD47">
            <v>0</v>
          </cell>
          <cell r="JE47">
            <v>0</v>
          </cell>
          <cell r="JG47">
            <v>0</v>
          </cell>
          <cell r="JH47">
            <v>0</v>
          </cell>
          <cell r="JI47">
            <v>0</v>
          </cell>
          <cell r="JJ47">
            <v>0</v>
          </cell>
          <cell r="JL47">
            <v>0</v>
          </cell>
          <cell r="JM47">
            <v>0</v>
          </cell>
          <cell r="JN47">
            <v>0</v>
          </cell>
          <cell r="JO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V47">
            <v>0</v>
          </cell>
          <cell r="JW47">
            <v>0</v>
          </cell>
          <cell r="JX47">
            <v>0</v>
          </cell>
          <cell r="JY47">
            <v>0</v>
          </cell>
          <cell r="KA47">
            <v>0</v>
          </cell>
          <cell r="KB47">
            <v>0</v>
          </cell>
          <cell r="KC47">
            <v>0</v>
          </cell>
          <cell r="KD47">
            <v>0</v>
          </cell>
          <cell r="KF47">
            <v>0</v>
          </cell>
          <cell r="KG47">
            <v>0</v>
          </cell>
          <cell r="KH47">
            <v>0</v>
          </cell>
          <cell r="KI47">
            <v>0</v>
          </cell>
          <cell r="KK47">
            <v>0</v>
          </cell>
          <cell r="KL47">
            <v>0</v>
          </cell>
          <cell r="KM47">
            <v>0</v>
          </cell>
          <cell r="KN47">
            <v>0</v>
          </cell>
          <cell r="KP47">
            <v>0</v>
          </cell>
          <cell r="KQ47">
            <v>0</v>
          </cell>
          <cell r="KR47">
            <v>0</v>
          </cell>
          <cell r="KT47">
            <v>0</v>
          </cell>
          <cell r="KV47">
            <v>0</v>
          </cell>
          <cell r="KW47">
            <v>0</v>
          </cell>
          <cell r="KX47">
            <v>0</v>
          </cell>
          <cell r="KZ47">
            <v>0</v>
          </cell>
          <cell r="LA47">
            <v>0</v>
          </cell>
          <cell r="LB47">
            <v>0</v>
          </cell>
          <cell r="LD47">
            <v>0</v>
          </cell>
          <cell r="LF47">
            <v>0</v>
          </cell>
          <cell r="LG47">
            <v>0</v>
          </cell>
          <cell r="LH47">
            <v>0</v>
          </cell>
          <cell r="LJ47">
            <v>0</v>
          </cell>
          <cell r="LK47">
            <v>0</v>
          </cell>
          <cell r="LL47">
            <v>0</v>
          </cell>
          <cell r="LN47">
            <v>0</v>
          </cell>
          <cell r="LP47">
            <v>0</v>
          </cell>
          <cell r="LQ47">
            <v>0</v>
          </cell>
          <cell r="LR47">
            <v>0</v>
          </cell>
          <cell r="LT47" t="str">
            <v>810-22</v>
          </cell>
        </row>
        <row r="48">
          <cell r="B48">
            <v>16.489999999999998</v>
          </cell>
          <cell r="C48">
            <v>17</v>
          </cell>
          <cell r="D48">
            <v>6018.8499999999985</v>
          </cell>
          <cell r="E48">
            <v>6205</v>
          </cell>
          <cell r="F48">
            <v>0.96999999999999975</v>
          </cell>
          <cell r="G48">
            <v>0.96999999999999975</v>
          </cell>
          <cell r="H48">
            <v>0.05</v>
          </cell>
          <cell r="I48">
            <v>9.8637361146459099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W48">
            <v>16.446575342465753</v>
          </cell>
          <cell r="X48">
            <v>17</v>
          </cell>
          <cell r="Y48">
            <v>6003</v>
          </cell>
          <cell r="Z48">
            <v>6205</v>
          </cell>
          <cell r="AA48">
            <v>0.96744560838033844</v>
          </cell>
          <cell r="AB48">
            <v>0.96744560838033844</v>
          </cell>
          <cell r="AC48">
            <v>0.05</v>
          </cell>
          <cell r="AD48">
            <v>5.7200376321060364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R48">
            <v>16.32</v>
          </cell>
          <cell r="AS48">
            <v>17</v>
          </cell>
          <cell r="AT48">
            <v>5973.1200000000008</v>
          </cell>
          <cell r="AU48">
            <v>6222</v>
          </cell>
          <cell r="AV48">
            <v>0.96</v>
          </cell>
          <cell r="AW48">
            <v>0.96</v>
          </cell>
          <cell r="AX48">
            <v>3.500000000000001E-2</v>
          </cell>
          <cell r="AY48">
            <v>7.8351664900260447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1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H48">
            <v>1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1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0</v>
          </cell>
          <cell r="EV48">
            <v>0</v>
          </cell>
          <cell r="EW48">
            <v>0</v>
          </cell>
          <cell r="EX48">
            <v>0</v>
          </cell>
          <cell r="EY48">
            <v>0</v>
          </cell>
          <cell r="EZ48">
            <v>0</v>
          </cell>
          <cell r="FA48">
            <v>0</v>
          </cell>
          <cell r="FB48">
            <v>0</v>
          </cell>
          <cell r="FC48">
            <v>0</v>
          </cell>
          <cell r="FE48">
            <v>1</v>
          </cell>
          <cell r="FG48">
            <v>0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GE48">
            <v>0</v>
          </cell>
          <cell r="GF48">
            <v>0</v>
          </cell>
          <cell r="GG48">
            <v>0</v>
          </cell>
          <cell r="GH48">
            <v>0</v>
          </cell>
          <cell r="GI48">
            <v>0</v>
          </cell>
          <cell r="GJ48">
            <v>0</v>
          </cell>
          <cell r="GK48">
            <v>0</v>
          </cell>
          <cell r="GL48">
            <v>0</v>
          </cell>
          <cell r="GM48">
            <v>0</v>
          </cell>
          <cell r="GN48">
            <v>0</v>
          </cell>
          <cell r="GO48">
            <v>0</v>
          </cell>
          <cell r="GP48">
            <v>0</v>
          </cell>
          <cell r="GQ48">
            <v>0</v>
          </cell>
          <cell r="GR48">
            <v>0</v>
          </cell>
          <cell r="GS48">
            <v>0</v>
          </cell>
          <cell r="GT48">
            <v>0</v>
          </cell>
          <cell r="GU48">
            <v>0</v>
          </cell>
          <cell r="GV48">
            <v>0</v>
          </cell>
          <cell r="GW48">
            <v>0</v>
          </cell>
          <cell r="GX48">
            <v>0</v>
          </cell>
          <cell r="GY48">
            <v>0</v>
          </cell>
          <cell r="GZ48">
            <v>0</v>
          </cell>
          <cell r="HB48">
            <v>0</v>
          </cell>
          <cell r="HD48">
            <v>0</v>
          </cell>
          <cell r="HE48">
            <v>0</v>
          </cell>
          <cell r="HF48">
            <v>0</v>
          </cell>
          <cell r="HG48">
            <v>0</v>
          </cell>
          <cell r="HH48">
            <v>0</v>
          </cell>
          <cell r="HI48">
            <v>0</v>
          </cell>
          <cell r="HJ48">
            <v>0</v>
          </cell>
          <cell r="HK48">
            <v>0</v>
          </cell>
          <cell r="HL48">
            <v>0</v>
          </cell>
          <cell r="HM48">
            <v>0</v>
          </cell>
          <cell r="HN48">
            <v>13.999999999999998</v>
          </cell>
          <cell r="HO48">
            <v>3</v>
          </cell>
          <cell r="HQ48">
            <v>17</v>
          </cell>
          <cell r="HS48">
            <v>0</v>
          </cell>
          <cell r="HT48">
            <v>0</v>
          </cell>
          <cell r="HU48">
            <v>0</v>
          </cell>
          <cell r="HV48">
            <v>0</v>
          </cell>
          <cell r="HW48">
            <v>0</v>
          </cell>
          <cell r="HX48">
            <v>0</v>
          </cell>
          <cell r="HY48">
            <v>0</v>
          </cell>
          <cell r="HZ48">
            <v>0</v>
          </cell>
          <cell r="IA48">
            <v>0</v>
          </cell>
          <cell r="IB48">
            <v>0</v>
          </cell>
          <cell r="IC48">
            <v>13.999999999999998</v>
          </cell>
          <cell r="ID48">
            <v>3</v>
          </cell>
          <cell r="IF48">
            <v>17</v>
          </cell>
          <cell r="IH48">
            <v>0</v>
          </cell>
          <cell r="II48">
            <v>0</v>
          </cell>
          <cell r="IJ48">
            <v>0</v>
          </cell>
          <cell r="IK48">
            <v>0</v>
          </cell>
          <cell r="IL48">
            <v>0</v>
          </cell>
          <cell r="IM48">
            <v>0</v>
          </cell>
          <cell r="IN48">
            <v>0</v>
          </cell>
          <cell r="IO48">
            <v>0</v>
          </cell>
          <cell r="IP48">
            <v>0</v>
          </cell>
          <cell r="IQ48">
            <v>0</v>
          </cell>
          <cell r="IR48">
            <v>13.999999999999998</v>
          </cell>
          <cell r="IS48">
            <v>3</v>
          </cell>
          <cell r="IU48">
            <v>17</v>
          </cell>
          <cell r="IW48">
            <v>0</v>
          </cell>
          <cell r="IX48">
            <v>0</v>
          </cell>
          <cell r="IY48">
            <v>0</v>
          </cell>
          <cell r="IZ48">
            <v>0</v>
          </cell>
          <cell r="JB48">
            <v>0</v>
          </cell>
          <cell r="JC48">
            <v>0</v>
          </cell>
          <cell r="JD48">
            <v>0</v>
          </cell>
          <cell r="JE48">
            <v>0</v>
          </cell>
          <cell r="JG48">
            <v>0</v>
          </cell>
          <cell r="JH48">
            <v>0</v>
          </cell>
          <cell r="JI48">
            <v>0</v>
          </cell>
          <cell r="JJ48">
            <v>0</v>
          </cell>
          <cell r="JL48">
            <v>0</v>
          </cell>
          <cell r="JM48">
            <v>0</v>
          </cell>
          <cell r="JN48">
            <v>0</v>
          </cell>
          <cell r="JO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KA48">
            <v>0</v>
          </cell>
          <cell r="KB48">
            <v>0</v>
          </cell>
          <cell r="KC48">
            <v>0</v>
          </cell>
          <cell r="KD48">
            <v>0</v>
          </cell>
          <cell r="KF48">
            <v>0</v>
          </cell>
          <cell r="KG48">
            <v>0</v>
          </cell>
          <cell r="KH48">
            <v>0</v>
          </cell>
          <cell r="KI48">
            <v>0</v>
          </cell>
          <cell r="KK48">
            <v>0</v>
          </cell>
          <cell r="KL48">
            <v>0</v>
          </cell>
          <cell r="KM48">
            <v>0</v>
          </cell>
          <cell r="KN48">
            <v>0</v>
          </cell>
          <cell r="KP48">
            <v>0</v>
          </cell>
          <cell r="KQ48">
            <v>0</v>
          </cell>
          <cell r="KR48">
            <v>0</v>
          </cell>
          <cell r="KT48">
            <v>0</v>
          </cell>
          <cell r="KV48">
            <v>0</v>
          </cell>
          <cell r="KW48">
            <v>0</v>
          </cell>
          <cell r="KX48">
            <v>0</v>
          </cell>
          <cell r="KZ48">
            <v>0</v>
          </cell>
          <cell r="LA48">
            <v>0</v>
          </cell>
          <cell r="LB48">
            <v>0</v>
          </cell>
          <cell r="LD48">
            <v>0</v>
          </cell>
          <cell r="LF48">
            <v>0</v>
          </cell>
          <cell r="LG48">
            <v>0</v>
          </cell>
          <cell r="LH48">
            <v>0</v>
          </cell>
          <cell r="LJ48">
            <v>0</v>
          </cell>
          <cell r="LK48">
            <v>0</v>
          </cell>
          <cell r="LL48">
            <v>0</v>
          </cell>
          <cell r="LN48">
            <v>0</v>
          </cell>
          <cell r="LP48">
            <v>0</v>
          </cell>
          <cell r="LQ48">
            <v>0</v>
          </cell>
          <cell r="LR48">
            <v>0</v>
          </cell>
          <cell r="LT48" t="str">
            <v>810-31</v>
          </cell>
        </row>
        <row r="49">
          <cell r="B49">
            <v>87.419999999999973</v>
          </cell>
          <cell r="C49">
            <v>94</v>
          </cell>
          <cell r="D49">
            <v>31908.3</v>
          </cell>
          <cell r="E49">
            <v>34310</v>
          </cell>
          <cell r="F49">
            <v>0.93</v>
          </cell>
          <cell r="G49">
            <v>0.93</v>
          </cell>
          <cell r="H49">
            <v>0.05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W49">
            <v>90.032876712328772</v>
          </cell>
          <cell r="X49">
            <v>94</v>
          </cell>
          <cell r="Y49">
            <v>32862</v>
          </cell>
          <cell r="Z49">
            <v>34310</v>
          </cell>
          <cell r="AA49">
            <v>0.95779656076945496</v>
          </cell>
          <cell r="AB49">
            <v>0.95779656076945496</v>
          </cell>
          <cell r="AC49">
            <v>0.05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R49">
            <v>90</v>
          </cell>
          <cell r="AS49">
            <v>94</v>
          </cell>
          <cell r="AT49">
            <v>32940</v>
          </cell>
          <cell r="AU49">
            <v>34404</v>
          </cell>
          <cell r="AV49">
            <v>0.95744680851063835</v>
          </cell>
          <cell r="AW49">
            <v>0.95744680851063835</v>
          </cell>
          <cell r="AX49">
            <v>3.500000000000001E-2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13.000000000000002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H49">
            <v>13.000000000000002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13.000000000000002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E49">
            <v>13.000000000000002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10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GE49">
            <v>0</v>
          </cell>
          <cell r="GF49">
            <v>0</v>
          </cell>
          <cell r="GG49">
            <v>0</v>
          </cell>
          <cell r="GH49">
            <v>0</v>
          </cell>
          <cell r="GI49">
            <v>0</v>
          </cell>
          <cell r="GJ49">
            <v>0</v>
          </cell>
          <cell r="GK49">
            <v>0</v>
          </cell>
          <cell r="GL49">
            <v>0</v>
          </cell>
          <cell r="GM49">
            <v>0</v>
          </cell>
          <cell r="GN49">
            <v>0</v>
          </cell>
          <cell r="GO49">
            <v>0</v>
          </cell>
          <cell r="GP49">
            <v>0</v>
          </cell>
          <cell r="GQ49">
            <v>0</v>
          </cell>
          <cell r="GR49">
            <v>0</v>
          </cell>
          <cell r="GS49">
            <v>0</v>
          </cell>
          <cell r="GT49">
            <v>0</v>
          </cell>
          <cell r="GU49">
            <v>0</v>
          </cell>
          <cell r="GV49">
            <v>0</v>
          </cell>
          <cell r="GW49">
            <v>0</v>
          </cell>
          <cell r="GX49">
            <v>0</v>
          </cell>
          <cell r="GY49">
            <v>0</v>
          </cell>
          <cell r="GZ49">
            <v>0</v>
          </cell>
          <cell r="HB49">
            <v>10</v>
          </cell>
          <cell r="HD49">
            <v>0</v>
          </cell>
          <cell r="HE49">
            <v>0</v>
          </cell>
          <cell r="HF49">
            <v>0</v>
          </cell>
          <cell r="HG49">
            <v>0</v>
          </cell>
          <cell r="HH49">
            <v>0</v>
          </cell>
          <cell r="HI49">
            <v>0</v>
          </cell>
          <cell r="HJ49">
            <v>0</v>
          </cell>
          <cell r="HK49">
            <v>0</v>
          </cell>
          <cell r="HL49">
            <v>0</v>
          </cell>
          <cell r="HM49">
            <v>0</v>
          </cell>
          <cell r="HN49">
            <v>0</v>
          </cell>
          <cell r="HO49">
            <v>0</v>
          </cell>
          <cell r="HQ49">
            <v>0</v>
          </cell>
          <cell r="HS49">
            <v>0</v>
          </cell>
          <cell r="HT49">
            <v>0</v>
          </cell>
          <cell r="HU49">
            <v>0</v>
          </cell>
          <cell r="HV49">
            <v>0</v>
          </cell>
          <cell r="HW49">
            <v>0</v>
          </cell>
          <cell r="HX49">
            <v>0</v>
          </cell>
          <cell r="HY49">
            <v>0</v>
          </cell>
          <cell r="HZ49">
            <v>0</v>
          </cell>
          <cell r="IA49">
            <v>0</v>
          </cell>
          <cell r="IB49">
            <v>0</v>
          </cell>
          <cell r="IC49">
            <v>0</v>
          </cell>
          <cell r="ID49">
            <v>0</v>
          </cell>
          <cell r="IF49">
            <v>0</v>
          </cell>
          <cell r="IH49">
            <v>0</v>
          </cell>
          <cell r="II49">
            <v>0</v>
          </cell>
          <cell r="IJ49">
            <v>0</v>
          </cell>
          <cell r="IK49">
            <v>0</v>
          </cell>
          <cell r="IL49">
            <v>0</v>
          </cell>
          <cell r="IM49">
            <v>0</v>
          </cell>
          <cell r="IN49">
            <v>0</v>
          </cell>
          <cell r="IO49">
            <v>0</v>
          </cell>
          <cell r="IP49">
            <v>0</v>
          </cell>
          <cell r="IQ49">
            <v>0</v>
          </cell>
          <cell r="IR49">
            <v>0</v>
          </cell>
          <cell r="IS49">
            <v>0</v>
          </cell>
          <cell r="IU49">
            <v>0</v>
          </cell>
          <cell r="IW49">
            <v>0</v>
          </cell>
          <cell r="IX49">
            <v>0</v>
          </cell>
          <cell r="IY49">
            <v>0</v>
          </cell>
          <cell r="IZ49">
            <v>0</v>
          </cell>
          <cell r="JB49">
            <v>0</v>
          </cell>
          <cell r="JC49">
            <v>0</v>
          </cell>
          <cell r="JD49">
            <v>0</v>
          </cell>
          <cell r="JE49">
            <v>0</v>
          </cell>
          <cell r="JG49">
            <v>0</v>
          </cell>
          <cell r="JH49">
            <v>0</v>
          </cell>
          <cell r="JI49">
            <v>0</v>
          </cell>
          <cell r="JJ49">
            <v>0</v>
          </cell>
          <cell r="JL49">
            <v>0</v>
          </cell>
          <cell r="JM49">
            <v>0</v>
          </cell>
          <cell r="JN49">
            <v>0</v>
          </cell>
          <cell r="JO49">
            <v>0</v>
          </cell>
          <cell r="JQ49">
            <v>0</v>
          </cell>
          <cell r="JR49">
            <v>0</v>
          </cell>
          <cell r="JS49">
            <v>0</v>
          </cell>
          <cell r="JT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F49">
            <v>0</v>
          </cell>
          <cell r="KG49">
            <v>0</v>
          </cell>
          <cell r="KH49">
            <v>0</v>
          </cell>
          <cell r="KI49">
            <v>0</v>
          </cell>
          <cell r="KK49">
            <v>0</v>
          </cell>
          <cell r="KL49">
            <v>0</v>
          </cell>
          <cell r="KM49">
            <v>0</v>
          </cell>
          <cell r="KN49">
            <v>0</v>
          </cell>
          <cell r="KP49">
            <v>0</v>
          </cell>
          <cell r="KQ49">
            <v>0</v>
          </cell>
          <cell r="KR49">
            <v>0</v>
          </cell>
          <cell r="KT49">
            <v>0</v>
          </cell>
          <cell r="KV49">
            <v>0</v>
          </cell>
          <cell r="KW49">
            <v>0</v>
          </cell>
          <cell r="KX49">
            <v>0</v>
          </cell>
          <cell r="KZ49">
            <v>0</v>
          </cell>
          <cell r="LA49">
            <v>0</v>
          </cell>
          <cell r="LB49">
            <v>0</v>
          </cell>
          <cell r="LD49">
            <v>0</v>
          </cell>
          <cell r="LF49">
            <v>0</v>
          </cell>
          <cell r="LG49">
            <v>0</v>
          </cell>
          <cell r="LH49">
            <v>0</v>
          </cell>
          <cell r="LJ49">
            <v>0</v>
          </cell>
          <cell r="LK49">
            <v>0</v>
          </cell>
          <cell r="LL49">
            <v>0</v>
          </cell>
          <cell r="LN49">
            <v>0</v>
          </cell>
          <cell r="LP49">
            <v>0</v>
          </cell>
          <cell r="LQ49">
            <v>0</v>
          </cell>
          <cell r="LR49">
            <v>0</v>
          </cell>
          <cell r="LT49" t="str">
            <v>810-32</v>
          </cell>
        </row>
        <row r="50">
          <cell r="B50">
            <v>125.58000000000004</v>
          </cell>
          <cell r="C50">
            <v>138</v>
          </cell>
          <cell r="D50">
            <v>45836.7</v>
          </cell>
          <cell r="E50">
            <v>50370</v>
          </cell>
          <cell r="F50">
            <v>0.91</v>
          </cell>
          <cell r="G50">
            <v>0.91</v>
          </cell>
          <cell r="H50">
            <v>0.05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W50">
            <v>127.8082191780822</v>
          </cell>
          <cell r="X50">
            <v>138</v>
          </cell>
          <cell r="Y50">
            <v>46650</v>
          </cell>
          <cell r="Z50">
            <v>50370</v>
          </cell>
          <cell r="AA50">
            <v>0.92614651578320439</v>
          </cell>
          <cell r="AB50">
            <v>0.92614651578320439</v>
          </cell>
          <cell r="AC50">
            <v>0.05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R50">
            <v>127</v>
          </cell>
          <cell r="AS50">
            <v>138</v>
          </cell>
          <cell r="AT50">
            <v>46482</v>
          </cell>
          <cell r="AU50">
            <v>50508</v>
          </cell>
          <cell r="AV50">
            <v>0.92028985507246364</v>
          </cell>
          <cell r="AW50">
            <v>0.92028985507246364</v>
          </cell>
          <cell r="AX50">
            <v>3.500000000000001E-2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38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H50">
            <v>38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38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E50">
            <v>38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GE50">
            <v>0</v>
          </cell>
          <cell r="GF50">
            <v>0</v>
          </cell>
          <cell r="GG50">
            <v>0</v>
          </cell>
          <cell r="GH50">
            <v>0</v>
          </cell>
          <cell r="GI50">
            <v>0</v>
          </cell>
          <cell r="GJ50">
            <v>0</v>
          </cell>
          <cell r="GK50">
            <v>0</v>
          </cell>
          <cell r="GL50">
            <v>0</v>
          </cell>
          <cell r="GM50">
            <v>0</v>
          </cell>
          <cell r="GN50">
            <v>0</v>
          </cell>
          <cell r="GO50">
            <v>0</v>
          </cell>
          <cell r="GP50">
            <v>0</v>
          </cell>
          <cell r="GQ50">
            <v>46.999999999999993</v>
          </cell>
          <cell r="GR50">
            <v>0</v>
          </cell>
          <cell r="GS50">
            <v>0</v>
          </cell>
          <cell r="GT50">
            <v>0</v>
          </cell>
          <cell r="GU50">
            <v>0</v>
          </cell>
          <cell r="GV50">
            <v>0</v>
          </cell>
          <cell r="GW50">
            <v>0</v>
          </cell>
          <cell r="GX50">
            <v>0</v>
          </cell>
          <cell r="GY50">
            <v>0</v>
          </cell>
          <cell r="GZ50">
            <v>0</v>
          </cell>
          <cell r="HB50">
            <v>46.999999999999993</v>
          </cell>
          <cell r="HD50">
            <v>0</v>
          </cell>
          <cell r="HE50">
            <v>0</v>
          </cell>
          <cell r="HF50">
            <v>0</v>
          </cell>
          <cell r="HG50">
            <v>0</v>
          </cell>
          <cell r="HH50">
            <v>0</v>
          </cell>
          <cell r="HI50">
            <v>0</v>
          </cell>
          <cell r="HJ50">
            <v>0</v>
          </cell>
          <cell r="HK50">
            <v>0</v>
          </cell>
          <cell r="HL50">
            <v>0</v>
          </cell>
          <cell r="HM50">
            <v>0</v>
          </cell>
          <cell r="HN50">
            <v>0</v>
          </cell>
          <cell r="HO50">
            <v>0</v>
          </cell>
          <cell r="HQ50">
            <v>0</v>
          </cell>
          <cell r="HS50">
            <v>0</v>
          </cell>
          <cell r="HT50">
            <v>0</v>
          </cell>
          <cell r="HU50">
            <v>0</v>
          </cell>
          <cell r="HV50">
            <v>0</v>
          </cell>
          <cell r="HW50">
            <v>0</v>
          </cell>
          <cell r="HX50">
            <v>0</v>
          </cell>
          <cell r="HY50">
            <v>0</v>
          </cell>
          <cell r="HZ50">
            <v>0</v>
          </cell>
          <cell r="IA50">
            <v>0</v>
          </cell>
          <cell r="IB50">
            <v>0</v>
          </cell>
          <cell r="IC50">
            <v>0</v>
          </cell>
          <cell r="ID50">
            <v>0</v>
          </cell>
          <cell r="IF50">
            <v>0</v>
          </cell>
          <cell r="IH50">
            <v>0</v>
          </cell>
          <cell r="II50">
            <v>0</v>
          </cell>
          <cell r="IJ50">
            <v>0</v>
          </cell>
          <cell r="IK50">
            <v>0</v>
          </cell>
          <cell r="IL50">
            <v>0</v>
          </cell>
          <cell r="IM50">
            <v>0</v>
          </cell>
          <cell r="IN50">
            <v>0</v>
          </cell>
          <cell r="IO50">
            <v>0</v>
          </cell>
          <cell r="IP50">
            <v>0</v>
          </cell>
          <cell r="IQ50">
            <v>0</v>
          </cell>
          <cell r="IR50">
            <v>0</v>
          </cell>
          <cell r="IS50">
            <v>0</v>
          </cell>
          <cell r="IU50">
            <v>0</v>
          </cell>
          <cell r="IW50">
            <v>0</v>
          </cell>
          <cell r="IX50">
            <v>0</v>
          </cell>
          <cell r="IY50">
            <v>0</v>
          </cell>
          <cell r="IZ50">
            <v>0</v>
          </cell>
          <cell r="JB50">
            <v>0</v>
          </cell>
          <cell r="JC50">
            <v>0</v>
          </cell>
          <cell r="JD50">
            <v>0</v>
          </cell>
          <cell r="JE50">
            <v>0</v>
          </cell>
          <cell r="JG50">
            <v>0</v>
          </cell>
          <cell r="JH50">
            <v>0</v>
          </cell>
          <cell r="JI50">
            <v>0</v>
          </cell>
          <cell r="JJ50">
            <v>0</v>
          </cell>
          <cell r="JL50">
            <v>0</v>
          </cell>
          <cell r="JM50">
            <v>0</v>
          </cell>
          <cell r="JN50">
            <v>0</v>
          </cell>
          <cell r="JO50">
            <v>0</v>
          </cell>
          <cell r="JQ50">
            <v>0</v>
          </cell>
          <cell r="JR50">
            <v>0</v>
          </cell>
          <cell r="JS50">
            <v>0</v>
          </cell>
          <cell r="JT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F50">
            <v>0</v>
          </cell>
          <cell r="KG50">
            <v>0</v>
          </cell>
          <cell r="KH50">
            <v>0</v>
          </cell>
          <cell r="KI50">
            <v>0</v>
          </cell>
          <cell r="KK50">
            <v>0</v>
          </cell>
          <cell r="KL50">
            <v>0</v>
          </cell>
          <cell r="KM50">
            <v>0</v>
          </cell>
          <cell r="KN50">
            <v>0</v>
          </cell>
          <cell r="KP50">
            <v>0</v>
          </cell>
          <cell r="KQ50">
            <v>0</v>
          </cell>
          <cell r="KR50">
            <v>0</v>
          </cell>
          <cell r="KT50">
            <v>0</v>
          </cell>
          <cell r="KV50">
            <v>0</v>
          </cell>
          <cell r="KW50">
            <v>0</v>
          </cell>
          <cell r="KX50">
            <v>0</v>
          </cell>
          <cell r="KZ50">
            <v>0</v>
          </cell>
          <cell r="LA50">
            <v>0</v>
          </cell>
          <cell r="LB50">
            <v>0</v>
          </cell>
          <cell r="LD50">
            <v>0</v>
          </cell>
          <cell r="LF50">
            <v>0</v>
          </cell>
          <cell r="LG50">
            <v>0</v>
          </cell>
          <cell r="LH50">
            <v>0</v>
          </cell>
          <cell r="LJ50">
            <v>0</v>
          </cell>
          <cell r="LK50">
            <v>0</v>
          </cell>
          <cell r="LL50">
            <v>0</v>
          </cell>
          <cell r="LN50">
            <v>0</v>
          </cell>
          <cell r="LP50">
            <v>0</v>
          </cell>
          <cell r="LQ50">
            <v>0</v>
          </cell>
          <cell r="LR50">
            <v>0</v>
          </cell>
          <cell r="LT50" t="str">
            <v>810-33</v>
          </cell>
        </row>
        <row r="51">
          <cell r="B51">
            <v>97</v>
          </cell>
          <cell r="C51">
            <v>100</v>
          </cell>
          <cell r="D51">
            <v>35405</v>
          </cell>
          <cell r="E51">
            <v>36500</v>
          </cell>
          <cell r="F51">
            <v>0.97</v>
          </cell>
          <cell r="G51">
            <v>0.97</v>
          </cell>
          <cell r="H51">
            <v>6.0000000000000019E-2</v>
          </cell>
          <cell r="I51">
            <v>0.82997422156279954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W51">
            <v>95.180821917808217</v>
          </cell>
          <cell r="X51">
            <v>100</v>
          </cell>
          <cell r="Y51">
            <v>34741</v>
          </cell>
          <cell r="Z51">
            <v>36500</v>
          </cell>
          <cell r="AA51">
            <v>0.95180821917808223</v>
          </cell>
          <cell r="AB51">
            <v>0.95180821917808223</v>
          </cell>
          <cell r="AC51">
            <v>6.0000000000000019E-2</v>
          </cell>
          <cell r="AD51">
            <v>0.81651916941535729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R51">
            <v>96</v>
          </cell>
          <cell r="AS51">
            <v>100</v>
          </cell>
          <cell r="AT51">
            <v>35136</v>
          </cell>
          <cell r="AU51">
            <v>36600</v>
          </cell>
          <cell r="AV51">
            <v>0.96</v>
          </cell>
          <cell r="AW51">
            <v>0.96</v>
          </cell>
          <cell r="AX51">
            <v>3.0000000000000009E-2</v>
          </cell>
          <cell r="AY51">
            <v>0.91044834402006136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2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H51">
            <v>2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2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E51">
            <v>2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1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GE51">
            <v>0</v>
          </cell>
          <cell r="GF51">
            <v>0</v>
          </cell>
          <cell r="GG51">
            <v>0</v>
          </cell>
          <cell r="GH51">
            <v>0</v>
          </cell>
          <cell r="GI51">
            <v>0</v>
          </cell>
          <cell r="GJ51">
            <v>0</v>
          </cell>
          <cell r="GK51">
            <v>0</v>
          </cell>
          <cell r="GL51">
            <v>0</v>
          </cell>
          <cell r="GM51">
            <v>0</v>
          </cell>
          <cell r="GN51">
            <v>0</v>
          </cell>
          <cell r="GO51">
            <v>0</v>
          </cell>
          <cell r="GP51">
            <v>0</v>
          </cell>
          <cell r="GQ51">
            <v>0</v>
          </cell>
          <cell r="GR51">
            <v>0</v>
          </cell>
          <cell r="GS51">
            <v>0</v>
          </cell>
          <cell r="GT51">
            <v>0</v>
          </cell>
          <cell r="GU51">
            <v>0</v>
          </cell>
          <cell r="GV51">
            <v>0</v>
          </cell>
          <cell r="GW51">
            <v>0</v>
          </cell>
          <cell r="GX51">
            <v>0</v>
          </cell>
          <cell r="GY51">
            <v>0</v>
          </cell>
          <cell r="GZ51">
            <v>0</v>
          </cell>
          <cell r="HB51">
            <v>1</v>
          </cell>
          <cell r="HD51">
            <v>0</v>
          </cell>
          <cell r="HE51">
            <v>0</v>
          </cell>
          <cell r="HF51">
            <v>0</v>
          </cell>
          <cell r="HG51">
            <v>0</v>
          </cell>
          <cell r="HH51">
            <v>0</v>
          </cell>
          <cell r="HI51">
            <v>0</v>
          </cell>
          <cell r="HJ51">
            <v>0</v>
          </cell>
          <cell r="HK51">
            <v>0</v>
          </cell>
          <cell r="HL51">
            <v>0</v>
          </cell>
          <cell r="HM51">
            <v>0</v>
          </cell>
          <cell r="HN51">
            <v>0</v>
          </cell>
          <cell r="HO51">
            <v>0</v>
          </cell>
          <cell r="HQ51">
            <v>0</v>
          </cell>
          <cell r="HS51">
            <v>0</v>
          </cell>
          <cell r="HT51">
            <v>0</v>
          </cell>
          <cell r="HU51">
            <v>0</v>
          </cell>
          <cell r="HV51">
            <v>0</v>
          </cell>
          <cell r="HW51">
            <v>0</v>
          </cell>
          <cell r="HX51">
            <v>0</v>
          </cell>
          <cell r="HY51">
            <v>0</v>
          </cell>
          <cell r="HZ51">
            <v>0</v>
          </cell>
          <cell r="IA51">
            <v>0</v>
          </cell>
          <cell r="IB51">
            <v>0</v>
          </cell>
          <cell r="IC51">
            <v>0</v>
          </cell>
          <cell r="ID51">
            <v>0</v>
          </cell>
          <cell r="IF51">
            <v>0</v>
          </cell>
          <cell r="IH51">
            <v>0</v>
          </cell>
          <cell r="II51">
            <v>0</v>
          </cell>
          <cell r="IJ51">
            <v>0</v>
          </cell>
          <cell r="IK51">
            <v>0</v>
          </cell>
          <cell r="IL51">
            <v>0</v>
          </cell>
          <cell r="IM51">
            <v>0</v>
          </cell>
          <cell r="IN51">
            <v>0</v>
          </cell>
          <cell r="IO51">
            <v>0</v>
          </cell>
          <cell r="IP51">
            <v>0</v>
          </cell>
          <cell r="IQ51">
            <v>0</v>
          </cell>
          <cell r="IR51">
            <v>0</v>
          </cell>
          <cell r="IS51">
            <v>0</v>
          </cell>
          <cell r="IU51">
            <v>0</v>
          </cell>
          <cell r="IW51">
            <v>0</v>
          </cell>
          <cell r="IX51">
            <v>0</v>
          </cell>
          <cell r="IY51">
            <v>0</v>
          </cell>
          <cell r="IZ51">
            <v>0</v>
          </cell>
          <cell r="JB51">
            <v>0</v>
          </cell>
          <cell r="JC51">
            <v>0</v>
          </cell>
          <cell r="JD51">
            <v>0</v>
          </cell>
          <cell r="JE51">
            <v>0</v>
          </cell>
          <cell r="JG51">
            <v>0</v>
          </cell>
          <cell r="JH51">
            <v>0</v>
          </cell>
          <cell r="JI51">
            <v>0</v>
          </cell>
          <cell r="JJ51">
            <v>0</v>
          </cell>
          <cell r="JL51">
            <v>0</v>
          </cell>
          <cell r="JM51">
            <v>0</v>
          </cell>
          <cell r="JN51">
            <v>0</v>
          </cell>
          <cell r="JO51">
            <v>0</v>
          </cell>
          <cell r="JQ51">
            <v>0</v>
          </cell>
          <cell r="JR51">
            <v>0</v>
          </cell>
          <cell r="JS51">
            <v>0</v>
          </cell>
          <cell r="JT51">
            <v>0</v>
          </cell>
          <cell r="JV51">
            <v>0</v>
          </cell>
          <cell r="JW51">
            <v>0</v>
          </cell>
          <cell r="JX51">
            <v>0</v>
          </cell>
          <cell r="JY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F51">
            <v>0</v>
          </cell>
          <cell r="KG51">
            <v>0</v>
          </cell>
          <cell r="KH51">
            <v>0</v>
          </cell>
          <cell r="KI51">
            <v>0</v>
          </cell>
          <cell r="KK51">
            <v>0</v>
          </cell>
          <cell r="KL51">
            <v>0</v>
          </cell>
          <cell r="KM51">
            <v>0</v>
          </cell>
          <cell r="KN51">
            <v>0</v>
          </cell>
          <cell r="KP51">
            <v>0</v>
          </cell>
          <cell r="KQ51">
            <v>0</v>
          </cell>
          <cell r="KR51">
            <v>0</v>
          </cell>
          <cell r="KT51">
            <v>0</v>
          </cell>
          <cell r="KV51">
            <v>0</v>
          </cell>
          <cell r="KW51">
            <v>0</v>
          </cell>
          <cell r="KX51">
            <v>0</v>
          </cell>
          <cell r="KZ51">
            <v>0</v>
          </cell>
          <cell r="LA51">
            <v>0</v>
          </cell>
          <cell r="LB51">
            <v>0</v>
          </cell>
          <cell r="LD51">
            <v>0</v>
          </cell>
          <cell r="LF51">
            <v>0</v>
          </cell>
          <cell r="LG51">
            <v>0</v>
          </cell>
          <cell r="LH51">
            <v>0</v>
          </cell>
          <cell r="LJ51">
            <v>0</v>
          </cell>
          <cell r="LK51">
            <v>0</v>
          </cell>
          <cell r="LL51">
            <v>0</v>
          </cell>
          <cell r="LN51">
            <v>0</v>
          </cell>
          <cell r="LP51">
            <v>0</v>
          </cell>
          <cell r="LQ51">
            <v>0</v>
          </cell>
          <cell r="LR51">
            <v>0</v>
          </cell>
          <cell r="LT51" t="str">
            <v>810-51</v>
          </cell>
        </row>
        <row r="52">
          <cell r="B52">
            <v>66.03</v>
          </cell>
          <cell r="C52">
            <v>69</v>
          </cell>
          <cell r="D52">
            <v>24100.950000000004</v>
          </cell>
          <cell r="E52">
            <v>25185</v>
          </cell>
          <cell r="F52">
            <v>0.95695652173913059</v>
          </cell>
          <cell r="G52">
            <v>0.95695652173913059</v>
          </cell>
          <cell r="H52">
            <v>6.0000000000000019E-2</v>
          </cell>
          <cell r="I52">
            <v>0.96328232042174278</v>
          </cell>
          <cell r="J52">
            <v>4.9999896899999996</v>
          </cell>
          <cell r="K52">
            <v>2.5000278599999999</v>
          </cell>
          <cell r="L52">
            <v>18.500021279999999</v>
          </cell>
          <cell r="M52">
            <v>0</v>
          </cell>
          <cell r="N52">
            <v>40.030027199999999</v>
          </cell>
          <cell r="O52">
            <v>0</v>
          </cell>
          <cell r="P52">
            <v>585.92999999999984</v>
          </cell>
          <cell r="Q52">
            <v>397.63000000000005</v>
          </cell>
          <cell r="R52">
            <v>260.00000000000006</v>
          </cell>
          <cell r="S52">
            <v>0</v>
          </cell>
          <cell r="T52">
            <v>511.24000000000012</v>
          </cell>
          <cell r="U52">
            <v>0</v>
          </cell>
          <cell r="W52">
            <v>66.219178082191775</v>
          </cell>
          <cell r="X52">
            <v>69</v>
          </cell>
          <cell r="Y52">
            <v>24170</v>
          </cell>
          <cell r="Z52">
            <v>25185</v>
          </cell>
          <cell r="AA52">
            <v>0.95969823307524316</v>
          </cell>
          <cell r="AB52">
            <v>0.95969823307524316</v>
          </cell>
          <cell r="AC52">
            <v>6.0000000000000019E-2</v>
          </cell>
          <cell r="AD52">
            <v>0.92811557352183283</v>
          </cell>
          <cell r="AE52">
            <v>3.1163433179723441</v>
          </cell>
          <cell r="AF52">
            <v>1.8400416479774675</v>
          </cell>
          <cell r="AG52">
            <v>19.53143722478239</v>
          </cell>
          <cell r="AH52">
            <v>0</v>
          </cell>
          <cell r="AI52">
            <v>41.724465642601132</v>
          </cell>
          <cell r="AJ52">
            <v>0</v>
          </cell>
          <cell r="AK52">
            <v>599.60997840179573</v>
          </cell>
          <cell r="AL52">
            <v>439.09318234283091</v>
          </cell>
          <cell r="AM52">
            <v>323.97904859505195</v>
          </cell>
          <cell r="AN52">
            <v>0</v>
          </cell>
          <cell r="AO52">
            <v>504.64013726785311</v>
          </cell>
          <cell r="AP52">
            <v>0</v>
          </cell>
          <cell r="AR52">
            <v>65.549999999999983</v>
          </cell>
          <cell r="AS52">
            <v>69</v>
          </cell>
          <cell r="AT52">
            <v>23991.299999999996</v>
          </cell>
          <cell r="AU52">
            <v>25254</v>
          </cell>
          <cell r="AV52">
            <v>0.94999999999999984</v>
          </cell>
          <cell r="AW52">
            <v>0.94999999999999984</v>
          </cell>
          <cell r="AX52">
            <v>3.9999999999999994E-2</v>
          </cell>
          <cell r="AY52">
            <v>0.97555507031453659</v>
          </cell>
          <cell r="AZ52">
            <v>4.1558699999999993</v>
          </cell>
          <cell r="BA52">
            <v>2.3925750000000003</v>
          </cell>
          <cell r="BB52">
            <v>19.527345</v>
          </cell>
          <cell r="BC52">
            <v>0</v>
          </cell>
          <cell r="BD52">
            <v>39.474209999999985</v>
          </cell>
          <cell r="BE52">
            <v>0</v>
          </cell>
          <cell r="BF52">
            <v>609.26</v>
          </cell>
          <cell r="BG52">
            <v>451.83</v>
          </cell>
          <cell r="BH52">
            <v>314.44999999999993</v>
          </cell>
          <cell r="BI52">
            <v>0</v>
          </cell>
          <cell r="BJ52">
            <v>531.9</v>
          </cell>
          <cell r="BK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H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E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GE52">
            <v>0</v>
          </cell>
          <cell r="GF52">
            <v>0</v>
          </cell>
          <cell r="GG52">
            <v>0</v>
          </cell>
          <cell r="GH52">
            <v>0</v>
          </cell>
          <cell r="GI52">
            <v>0</v>
          </cell>
          <cell r="GJ52">
            <v>0</v>
          </cell>
          <cell r="GK52">
            <v>0</v>
          </cell>
          <cell r="GL52">
            <v>0</v>
          </cell>
          <cell r="GM52">
            <v>0</v>
          </cell>
          <cell r="GN52">
            <v>0</v>
          </cell>
          <cell r="GO52">
            <v>0</v>
          </cell>
          <cell r="GP52">
            <v>0</v>
          </cell>
          <cell r="GQ52">
            <v>0</v>
          </cell>
          <cell r="GR52">
            <v>0</v>
          </cell>
          <cell r="GS52">
            <v>0</v>
          </cell>
          <cell r="GT52">
            <v>0</v>
          </cell>
          <cell r="GU52">
            <v>0</v>
          </cell>
          <cell r="GV52">
            <v>0</v>
          </cell>
          <cell r="GW52">
            <v>0</v>
          </cell>
          <cell r="GX52">
            <v>0</v>
          </cell>
          <cell r="GY52">
            <v>0</v>
          </cell>
          <cell r="GZ52">
            <v>0</v>
          </cell>
          <cell r="HB52">
            <v>0</v>
          </cell>
          <cell r="HD52">
            <v>0</v>
          </cell>
          <cell r="HE52">
            <v>0</v>
          </cell>
          <cell r="HF52">
            <v>0</v>
          </cell>
          <cell r="HG52">
            <v>0</v>
          </cell>
          <cell r="HH52">
            <v>0</v>
          </cell>
          <cell r="HI52">
            <v>0</v>
          </cell>
          <cell r="HJ52">
            <v>0</v>
          </cell>
          <cell r="HK52">
            <v>0</v>
          </cell>
          <cell r="HL52">
            <v>0</v>
          </cell>
          <cell r="HM52">
            <v>0</v>
          </cell>
          <cell r="HN52">
            <v>0</v>
          </cell>
          <cell r="HO52">
            <v>0</v>
          </cell>
          <cell r="HQ52">
            <v>0</v>
          </cell>
          <cell r="HS52">
            <v>0</v>
          </cell>
          <cell r="HT52">
            <v>0</v>
          </cell>
          <cell r="HU52">
            <v>0</v>
          </cell>
          <cell r="HV52">
            <v>0</v>
          </cell>
          <cell r="HW52">
            <v>0</v>
          </cell>
          <cell r="HX52">
            <v>0</v>
          </cell>
          <cell r="HY52">
            <v>0</v>
          </cell>
          <cell r="HZ52">
            <v>0</v>
          </cell>
          <cell r="IA52">
            <v>0</v>
          </cell>
          <cell r="IB52">
            <v>0</v>
          </cell>
          <cell r="IC52">
            <v>0</v>
          </cell>
          <cell r="ID52">
            <v>0</v>
          </cell>
          <cell r="IF52">
            <v>0</v>
          </cell>
          <cell r="IH52">
            <v>0</v>
          </cell>
          <cell r="II52">
            <v>0</v>
          </cell>
          <cell r="IJ52">
            <v>0</v>
          </cell>
          <cell r="IK52">
            <v>0</v>
          </cell>
          <cell r="IL52">
            <v>0</v>
          </cell>
          <cell r="IM52">
            <v>0</v>
          </cell>
          <cell r="IN52">
            <v>0</v>
          </cell>
          <cell r="IO52">
            <v>0</v>
          </cell>
          <cell r="IP52">
            <v>0</v>
          </cell>
          <cell r="IQ52">
            <v>0</v>
          </cell>
          <cell r="IR52">
            <v>0</v>
          </cell>
          <cell r="IS52">
            <v>0</v>
          </cell>
          <cell r="IU52">
            <v>0</v>
          </cell>
          <cell r="IW52">
            <v>0</v>
          </cell>
          <cell r="IX52">
            <v>0</v>
          </cell>
          <cell r="IY52">
            <v>0</v>
          </cell>
          <cell r="IZ52">
            <v>0</v>
          </cell>
          <cell r="JB52">
            <v>0</v>
          </cell>
          <cell r="JC52">
            <v>0</v>
          </cell>
          <cell r="JD52">
            <v>0</v>
          </cell>
          <cell r="JE52">
            <v>0</v>
          </cell>
          <cell r="JG52">
            <v>0</v>
          </cell>
          <cell r="JH52">
            <v>0</v>
          </cell>
          <cell r="JI52">
            <v>0</v>
          </cell>
          <cell r="JJ52">
            <v>0</v>
          </cell>
          <cell r="JL52">
            <v>0</v>
          </cell>
          <cell r="JM52">
            <v>0</v>
          </cell>
          <cell r="JN52">
            <v>0</v>
          </cell>
          <cell r="JO52">
            <v>0</v>
          </cell>
          <cell r="JQ52">
            <v>0</v>
          </cell>
          <cell r="JR52">
            <v>0</v>
          </cell>
          <cell r="JS52">
            <v>0</v>
          </cell>
          <cell r="JT52">
            <v>0</v>
          </cell>
          <cell r="JV52">
            <v>0</v>
          </cell>
          <cell r="JW52">
            <v>0</v>
          </cell>
          <cell r="JX52">
            <v>0</v>
          </cell>
          <cell r="JY52">
            <v>0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F52">
            <v>0</v>
          </cell>
          <cell r="KG52">
            <v>0</v>
          </cell>
          <cell r="KH52">
            <v>0</v>
          </cell>
          <cell r="KI52">
            <v>0</v>
          </cell>
          <cell r="KK52">
            <v>0</v>
          </cell>
          <cell r="KL52">
            <v>0</v>
          </cell>
          <cell r="KM52">
            <v>0</v>
          </cell>
          <cell r="KN52">
            <v>0</v>
          </cell>
          <cell r="KP52">
            <v>0</v>
          </cell>
          <cell r="KQ52">
            <v>0</v>
          </cell>
          <cell r="KR52">
            <v>0</v>
          </cell>
          <cell r="KT52">
            <v>0</v>
          </cell>
          <cell r="KV52">
            <v>0</v>
          </cell>
          <cell r="KW52">
            <v>0</v>
          </cell>
          <cell r="KX52">
            <v>0</v>
          </cell>
          <cell r="KZ52">
            <v>0</v>
          </cell>
          <cell r="LA52">
            <v>0</v>
          </cell>
          <cell r="LB52">
            <v>0</v>
          </cell>
          <cell r="LD52">
            <v>0</v>
          </cell>
          <cell r="LF52">
            <v>0</v>
          </cell>
          <cell r="LG52">
            <v>0</v>
          </cell>
          <cell r="LH52">
            <v>0</v>
          </cell>
          <cell r="LJ52">
            <v>0</v>
          </cell>
          <cell r="LK52">
            <v>0</v>
          </cell>
          <cell r="LL52">
            <v>0</v>
          </cell>
          <cell r="LN52">
            <v>0</v>
          </cell>
          <cell r="LP52">
            <v>0</v>
          </cell>
          <cell r="LQ52">
            <v>0</v>
          </cell>
          <cell r="LR52">
            <v>0</v>
          </cell>
          <cell r="LT52" t="str">
            <v>810-61</v>
          </cell>
        </row>
        <row r="53">
          <cell r="B53">
            <v>530.7299999999999</v>
          </cell>
          <cell r="C53">
            <v>560</v>
          </cell>
          <cell r="D53">
            <v>193716.45</v>
          </cell>
          <cell r="E53">
            <v>204400</v>
          </cell>
          <cell r="F53">
            <v>0.9477321428571428</v>
          </cell>
          <cell r="G53">
            <v>0.9477321428571428</v>
          </cell>
          <cell r="H53">
            <v>5.2857142857142859E-2</v>
          </cell>
          <cell r="I53">
            <v>0.9281992573179636</v>
          </cell>
          <cell r="J53">
            <v>4.9999896899999996</v>
          </cell>
          <cell r="K53">
            <v>2.5000278599999999</v>
          </cell>
          <cell r="L53">
            <v>18.500021279999999</v>
          </cell>
          <cell r="M53">
            <v>0</v>
          </cell>
          <cell r="N53">
            <v>40.030027199999999</v>
          </cell>
          <cell r="O53">
            <v>0</v>
          </cell>
          <cell r="P53">
            <v>585.92999999999984</v>
          </cell>
          <cell r="Q53">
            <v>397.63000000000005</v>
          </cell>
          <cell r="R53">
            <v>260.00000000000006</v>
          </cell>
          <cell r="S53">
            <v>0</v>
          </cell>
          <cell r="T53">
            <v>511.24000000000012</v>
          </cell>
          <cell r="U53">
            <v>0</v>
          </cell>
          <cell r="W53">
            <v>535.14246575342463</v>
          </cell>
          <cell r="X53">
            <v>560</v>
          </cell>
          <cell r="Y53">
            <v>195327</v>
          </cell>
          <cell r="Z53">
            <v>204400</v>
          </cell>
          <cell r="AA53">
            <v>0.95561154598825837</v>
          </cell>
          <cell r="AB53">
            <v>0.95561154598825837</v>
          </cell>
          <cell r="AC53">
            <v>5.2857142857142859E-2</v>
          </cell>
          <cell r="AD53">
            <v>0.89119811452578712</v>
          </cell>
          <cell r="AE53">
            <v>3.1163433179723441</v>
          </cell>
          <cell r="AF53">
            <v>1.8400416479774675</v>
          </cell>
          <cell r="AG53">
            <v>19.53143722478239</v>
          </cell>
          <cell r="AH53">
            <v>0</v>
          </cell>
          <cell r="AI53">
            <v>41.724465642601132</v>
          </cell>
          <cell r="AJ53">
            <v>0</v>
          </cell>
          <cell r="AK53">
            <v>599.60997840179573</v>
          </cell>
          <cell r="AL53">
            <v>439.09318234283091</v>
          </cell>
          <cell r="AM53">
            <v>323.97904859505195</v>
          </cell>
          <cell r="AN53">
            <v>0</v>
          </cell>
          <cell r="AO53">
            <v>504.64013726785311</v>
          </cell>
          <cell r="AP53">
            <v>0</v>
          </cell>
          <cell r="AR53">
            <v>533.07999999999993</v>
          </cell>
          <cell r="AS53">
            <v>560</v>
          </cell>
          <cell r="AT53">
            <v>195107.28</v>
          </cell>
          <cell r="AU53">
            <v>204960</v>
          </cell>
          <cell r="AV53">
            <v>0.95192857142857157</v>
          </cell>
          <cell r="AW53">
            <v>0.95192857142857157</v>
          </cell>
          <cell r="AX53">
            <v>3.500000000000001E-2</v>
          </cell>
          <cell r="AY53">
            <v>0.92697831226845717</v>
          </cell>
          <cell r="AZ53">
            <v>4.1558699999999993</v>
          </cell>
          <cell r="BA53">
            <v>2.3925750000000003</v>
          </cell>
          <cell r="BB53">
            <v>19.527345</v>
          </cell>
          <cell r="BC53">
            <v>0</v>
          </cell>
          <cell r="BD53">
            <v>39.474209999999985</v>
          </cell>
          <cell r="BE53">
            <v>0</v>
          </cell>
          <cell r="BF53">
            <v>609.26</v>
          </cell>
          <cell r="BG53">
            <v>451.83</v>
          </cell>
          <cell r="BH53">
            <v>314.44999999999993</v>
          </cell>
          <cell r="BI53">
            <v>0</v>
          </cell>
          <cell r="BJ53">
            <v>531.9</v>
          </cell>
          <cell r="BK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2</v>
          </cell>
          <cell r="BZ53">
            <v>1</v>
          </cell>
          <cell r="CA53">
            <v>13.000000000000002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38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H53">
            <v>54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2</v>
          </cell>
          <cell r="DW53">
            <v>1</v>
          </cell>
          <cell r="DX53">
            <v>13.000000000000002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0</v>
          </cell>
          <cell r="EM53">
            <v>0</v>
          </cell>
          <cell r="EN53">
            <v>0</v>
          </cell>
          <cell r="EO53">
            <v>0</v>
          </cell>
          <cell r="EP53">
            <v>0</v>
          </cell>
          <cell r="EQ53">
            <v>0</v>
          </cell>
          <cell r="ER53">
            <v>0</v>
          </cell>
          <cell r="ES53">
            <v>0</v>
          </cell>
          <cell r="ET53">
            <v>38</v>
          </cell>
          <cell r="EU53">
            <v>0</v>
          </cell>
          <cell r="EV53">
            <v>0</v>
          </cell>
          <cell r="EW53">
            <v>0</v>
          </cell>
          <cell r="EX53">
            <v>0</v>
          </cell>
          <cell r="EY53">
            <v>0</v>
          </cell>
          <cell r="EZ53">
            <v>0</v>
          </cell>
          <cell r="FA53">
            <v>0</v>
          </cell>
          <cell r="FB53">
            <v>0</v>
          </cell>
          <cell r="FC53">
            <v>0</v>
          </cell>
          <cell r="FE53">
            <v>54</v>
          </cell>
          <cell r="FG53">
            <v>0</v>
          </cell>
          <cell r="FH53">
            <v>0</v>
          </cell>
          <cell r="FI53">
            <v>0</v>
          </cell>
          <cell r="FJ53">
            <v>0</v>
          </cell>
          <cell r="FK53">
            <v>0</v>
          </cell>
          <cell r="FL53">
            <v>0</v>
          </cell>
          <cell r="FM53">
            <v>0</v>
          </cell>
          <cell r="FN53">
            <v>0</v>
          </cell>
          <cell r="FO53">
            <v>0</v>
          </cell>
          <cell r="FP53">
            <v>0</v>
          </cell>
          <cell r="FQ53">
            <v>0</v>
          </cell>
          <cell r="FR53">
            <v>0</v>
          </cell>
          <cell r="FS53">
            <v>1</v>
          </cell>
          <cell r="FT53">
            <v>0</v>
          </cell>
          <cell r="FU53">
            <v>10</v>
          </cell>
          <cell r="FV53">
            <v>0</v>
          </cell>
          <cell r="FW53">
            <v>0</v>
          </cell>
          <cell r="FX53">
            <v>0</v>
          </cell>
          <cell r="FY53">
            <v>0</v>
          </cell>
          <cell r="FZ53">
            <v>0</v>
          </cell>
          <cell r="GA53">
            <v>0</v>
          </cell>
          <cell r="GB53">
            <v>0</v>
          </cell>
          <cell r="GC53">
            <v>0</v>
          </cell>
          <cell r="GD53">
            <v>0</v>
          </cell>
          <cell r="GE53">
            <v>0</v>
          </cell>
          <cell r="GF53">
            <v>0</v>
          </cell>
          <cell r="GG53">
            <v>0</v>
          </cell>
          <cell r="GH53">
            <v>0</v>
          </cell>
          <cell r="GI53">
            <v>0</v>
          </cell>
          <cell r="GJ53">
            <v>0</v>
          </cell>
          <cell r="GK53">
            <v>0</v>
          </cell>
          <cell r="GL53">
            <v>0</v>
          </cell>
          <cell r="GM53">
            <v>0</v>
          </cell>
          <cell r="GN53">
            <v>0</v>
          </cell>
          <cell r="GO53">
            <v>0</v>
          </cell>
          <cell r="GP53">
            <v>0</v>
          </cell>
          <cell r="GQ53">
            <v>46.999999999999993</v>
          </cell>
          <cell r="GR53">
            <v>0</v>
          </cell>
          <cell r="GS53">
            <v>0</v>
          </cell>
          <cell r="GT53">
            <v>0</v>
          </cell>
          <cell r="GU53">
            <v>0</v>
          </cell>
          <cell r="GV53">
            <v>0</v>
          </cell>
          <cell r="GW53">
            <v>2</v>
          </cell>
          <cell r="GX53">
            <v>1</v>
          </cell>
          <cell r="GY53">
            <v>0</v>
          </cell>
          <cell r="GZ53">
            <v>0</v>
          </cell>
          <cell r="HB53">
            <v>60.999999999999993</v>
          </cell>
          <cell r="HD53">
            <v>0</v>
          </cell>
          <cell r="HE53">
            <v>0</v>
          </cell>
          <cell r="HF53">
            <v>0</v>
          </cell>
          <cell r="HG53">
            <v>0</v>
          </cell>
          <cell r="HH53">
            <v>0</v>
          </cell>
          <cell r="HI53">
            <v>0</v>
          </cell>
          <cell r="HJ53">
            <v>0</v>
          </cell>
          <cell r="HK53">
            <v>0</v>
          </cell>
          <cell r="HL53">
            <v>0</v>
          </cell>
          <cell r="HM53">
            <v>0</v>
          </cell>
          <cell r="HN53">
            <v>13.999999999999998</v>
          </cell>
          <cell r="HO53">
            <v>3</v>
          </cell>
          <cell r="HQ53">
            <v>17</v>
          </cell>
          <cell r="HS53">
            <v>0</v>
          </cell>
          <cell r="HT53">
            <v>0</v>
          </cell>
          <cell r="HU53">
            <v>0</v>
          </cell>
          <cell r="HV53">
            <v>0</v>
          </cell>
          <cell r="HW53">
            <v>0</v>
          </cell>
          <cell r="HX53">
            <v>0</v>
          </cell>
          <cell r="HY53">
            <v>0</v>
          </cell>
          <cell r="HZ53">
            <v>0</v>
          </cell>
          <cell r="IA53">
            <v>0</v>
          </cell>
          <cell r="IB53">
            <v>0</v>
          </cell>
          <cell r="IC53">
            <v>13.999999999999998</v>
          </cell>
          <cell r="ID53">
            <v>3</v>
          </cell>
          <cell r="IF53">
            <v>17</v>
          </cell>
          <cell r="IH53">
            <v>0</v>
          </cell>
          <cell r="II53">
            <v>0</v>
          </cell>
          <cell r="IJ53">
            <v>0</v>
          </cell>
          <cell r="IK53">
            <v>0</v>
          </cell>
          <cell r="IL53">
            <v>0</v>
          </cell>
          <cell r="IM53">
            <v>0</v>
          </cell>
          <cell r="IN53">
            <v>0</v>
          </cell>
          <cell r="IO53">
            <v>0</v>
          </cell>
          <cell r="IP53">
            <v>0</v>
          </cell>
          <cell r="IQ53">
            <v>0</v>
          </cell>
          <cell r="IR53">
            <v>13.999999999999998</v>
          </cell>
          <cell r="IS53">
            <v>3</v>
          </cell>
          <cell r="IU53">
            <v>17</v>
          </cell>
          <cell r="IW53">
            <v>0</v>
          </cell>
          <cell r="IX53">
            <v>0</v>
          </cell>
          <cell r="IY53">
            <v>0</v>
          </cell>
          <cell r="IZ53">
            <v>0</v>
          </cell>
          <cell r="JB53">
            <v>0</v>
          </cell>
          <cell r="JC53">
            <v>0</v>
          </cell>
          <cell r="JD53">
            <v>0</v>
          </cell>
          <cell r="JE53">
            <v>0</v>
          </cell>
          <cell r="JG53">
            <v>0</v>
          </cell>
          <cell r="JH53">
            <v>0</v>
          </cell>
          <cell r="JI53">
            <v>0</v>
          </cell>
          <cell r="JJ53">
            <v>0</v>
          </cell>
          <cell r="JL53">
            <v>0</v>
          </cell>
          <cell r="JM53">
            <v>0</v>
          </cell>
          <cell r="JN53">
            <v>0</v>
          </cell>
          <cell r="JO53">
            <v>0</v>
          </cell>
          <cell r="JQ53">
            <v>0</v>
          </cell>
          <cell r="JR53">
            <v>0</v>
          </cell>
          <cell r="JS53">
            <v>0</v>
          </cell>
          <cell r="JT53">
            <v>0</v>
          </cell>
          <cell r="JV53">
            <v>0</v>
          </cell>
          <cell r="JW53">
            <v>0</v>
          </cell>
          <cell r="JX53">
            <v>0</v>
          </cell>
          <cell r="JY53">
            <v>0</v>
          </cell>
          <cell r="KA53">
            <v>0</v>
          </cell>
          <cell r="KB53">
            <v>0</v>
          </cell>
          <cell r="KC53">
            <v>0</v>
          </cell>
          <cell r="KD53">
            <v>0</v>
          </cell>
          <cell r="KF53">
            <v>0</v>
          </cell>
          <cell r="KG53">
            <v>0</v>
          </cell>
          <cell r="KH53">
            <v>0</v>
          </cell>
          <cell r="KI53">
            <v>0</v>
          </cell>
          <cell r="KK53">
            <v>0</v>
          </cell>
          <cell r="KL53">
            <v>0</v>
          </cell>
          <cell r="KM53">
            <v>0</v>
          </cell>
          <cell r="KN53">
            <v>0</v>
          </cell>
          <cell r="KP53">
            <v>0</v>
          </cell>
          <cell r="KQ53">
            <v>0</v>
          </cell>
          <cell r="KR53">
            <v>0</v>
          </cell>
          <cell r="KT53">
            <v>0</v>
          </cell>
          <cell r="KV53">
            <v>0</v>
          </cell>
          <cell r="KW53">
            <v>0</v>
          </cell>
          <cell r="KX53">
            <v>0</v>
          </cell>
          <cell r="KZ53">
            <v>0</v>
          </cell>
          <cell r="LA53">
            <v>0</v>
          </cell>
          <cell r="LB53">
            <v>0</v>
          </cell>
          <cell r="LD53">
            <v>0</v>
          </cell>
          <cell r="LF53">
            <v>0</v>
          </cell>
          <cell r="LG53">
            <v>0</v>
          </cell>
          <cell r="LH53">
            <v>0</v>
          </cell>
          <cell r="LJ53">
            <v>0</v>
          </cell>
          <cell r="LK53">
            <v>0</v>
          </cell>
          <cell r="LL53">
            <v>0</v>
          </cell>
          <cell r="LN53">
            <v>0</v>
          </cell>
          <cell r="LP53">
            <v>0</v>
          </cell>
          <cell r="LQ53">
            <v>0</v>
          </cell>
          <cell r="LR53">
            <v>0</v>
          </cell>
          <cell r="LT53" t="str">
            <v>810-Entity</v>
          </cell>
        </row>
        <row r="54">
          <cell r="B54">
            <v>30</v>
          </cell>
          <cell r="C54">
            <v>31</v>
          </cell>
          <cell r="D54">
            <v>10950</v>
          </cell>
          <cell r="E54">
            <v>11315</v>
          </cell>
          <cell r="F54">
            <v>0.967741935483871</v>
          </cell>
          <cell r="G54">
            <v>0.967741935483871</v>
          </cell>
          <cell r="H54">
            <v>3.9999999999999994E-2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W54">
            <v>30.36986301369863</v>
          </cell>
          <cell r="X54">
            <v>31</v>
          </cell>
          <cell r="Y54">
            <v>11085</v>
          </cell>
          <cell r="Z54">
            <v>11315</v>
          </cell>
          <cell r="AA54">
            <v>0.97967300044189121</v>
          </cell>
          <cell r="AB54">
            <v>0.97967300044189121</v>
          </cell>
          <cell r="AC54">
            <v>3.9999999999999994E-2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R54">
            <v>30</v>
          </cell>
          <cell r="AS54">
            <v>31</v>
          </cell>
          <cell r="AT54">
            <v>10980</v>
          </cell>
          <cell r="AU54">
            <v>11346</v>
          </cell>
          <cell r="AV54">
            <v>0.967741935483871</v>
          </cell>
          <cell r="AW54">
            <v>0.967741935483871</v>
          </cell>
          <cell r="AX54">
            <v>3.9999999999999994E-2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H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>
            <v>0</v>
          </cell>
          <cell r="EY54">
            <v>0</v>
          </cell>
          <cell r="EZ54">
            <v>0</v>
          </cell>
          <cell r="FA54">
            <v>0</v>
          </cell>
          <cell r="FB54">
            <v>0</v>
          </cell>
          <cell r="FC54">
            <v>0</v>
          </cell>
          <cell r="FE54">
            <v>0</v>
          </cell>
          <cell r="FG54">
            <v>0</v>
          </cell>
          <cell r="FH54">
            <v>0</v>
          </cell>
          <cell r="FI54">
            <v>0</v>
          </cell>
          <cell r="FJ54">
            <v>0</v>
          </cell>
          <cell r="FK54">
            <v>0</v>
          </cell>
          <cell r="FL54">
            <v>0</v>
          </cell>
          <cell r="FM54">
            <v>0</v>
          </cell>
          <cell r="FN54">
            <v>0</v>
          </cell>
          <cell r="FO54">
            <v>0</v>
          </cell>
          <cell r="FP54">
            <v>0</v>
          </cell>
          <cell r="FQ54">
            <v>0</v>
          </cell>
          <cell r="FR54">
            <v>0</v>
          </cell>
          <cell r="FS54">
            <v>0</v>
          </cell>
          <cell r="FT54">
            <v>0</v>
          </cell>
          <cell r="FU54">
            <v>0</v>
          </cell>
          <cell r="FV54">
            <v>0</v>
          </cell>
          <cell r="FW54">
            <v>0</v>
          </cell>
          <cell r="FX54">
            <v>0</v>
          </cell>
          <cell r="FY54">
            <v>0</v>
          </cell>
          <cell r="FZ54">
            <v>0</v>
          </cell>
          <cell r="GA54">
            <v>0</v>
          </cell>
          <cell r="GB54">
            <v>0</v>
          </cell>
          <cell r="GC54">
            <v>0</v>
          </cell>
          <cell r="GD54">
            <v>0</v>
          </cell>
          <cell r="GE54">
            <v>0</v>
          </cell>
          <cell r="GF54">
            <v>0</v>
          </cell>
          <cell r="GG54">
            <v>0</v>
          </cell>
          <cell r="GH54">
            <v>0</v>
          </cell>
          <cell r="GI54">
            <v>0</v>
          </cell>
          <cell r="GJ54">
            <v>0</v>
          </cell>
          <cell r="GK54">
            <v>0</v>
          </cell>
          <cell r="GL54">
            <v>0</v>
          </cell>
          <cell r="GM54">
            <v>0</v>
          </cell>
          <cell r="GN54">
            <v>0</v>
          </cell>
          <cell r="GO54">
            <v>0</v>
          </cell>
          <cell r="GP54">
            <v>0</v>
          </cell>
          <cell r="GQ54">
            <v>0</v>
          </cell>
          <cell r="GR54">
            <v>0</v>
          </cell>
          <cell r="GS54">
            <v>0</v>
          </cell>
          <cell r="GT54">
            <v>0</v>
          </cell>
          <cell r="GU54">
            <v>0</v>
          </cell>
          <cell r="GV54">
            <v>0</v>
          </cell>
          <cell r="GW54">
            <v>0</v>
          </cell>
          <cell r="GX54">
            <v>0</v>
          </cell>
          <cell r="GY54">
            <v>0</v>
          </cell>
          <cell r="GZ54">
            <v>0</v>
          </cell>
          <cell r="HB54">
            <v>0</v>
          </cell>
          <cell r="HD54">
            <v>0</v>
          </cell>
          <cell r="HE54">
            <v>0</v>
          </cell>
          <cell r="HF54">
            <v>0</v>
          </cell>
          <cell r="HG54">
            <v>0</v>
          </cell>
          <cell r="HH54">
            <v>0</v>
          </cell>
          <cell r="HI54">
            <v>0</v>
          </cell>
          <cell r="HJ54">
            <v>0</v>
          </cell>
          <cell r="HK54">
            <v>0</v>
          </cell>
          <cell r="HL54">
            <v>0</v>
          </cell>
          <cell r="HM54">
            <v>0</v>
          </cell>
          <cell r="HN54">
            <v>0</v>
          </cell>
          <cell r="HO54">
            <v>0</v>
          </cell>
          <cell r="HQ54">
            <v>0</v>
          </cell>
          <cell r="HS54">
            <v>0</v>
          </cell>
          <cell r="HT54">
            <v>0</v>
          </cell>
          <cell r="HU54">
            <v>0</v>
          </cell>
          <cell r="HV54">
            <v>0</v>
          </cell>
          <cell r="HW54">
            <v>0</v>
          </cell>
          <cell r="HX54">
            <v>0</v>
          </cell>
          <cell r="HY54">
            <v>0</v>
          </cell>
          <cell r="HZ54">
            <v>0</v>
          </cell>
          <cell r="IA54">
            <v>0</v>
          </cell>
          <cell r="IB54">
            <v>0</v>
          </cell>
          <cell r="IC54">
            <v>0</v>
          </cell>
          <cell r="ID54">
            <v>0</v>
          </cell>
          <cell r="IF54">
            <v>0</v>
          </cell>
          <cell r="IH54">
            <v>0</v>
          </cell>
          <cell r="II54">
            <v>0</v>
          </cell>
          <cell r="IJ54">
            <v>0</v>
          </cell>
          <cell r="IK54">
            <v>0</v>
          </cell>
          <cell r="IL54">
            <v>0</v>
          </cell>
          <cell r="IM54">
            <v>0</v>
          </cell>
          <cell r="IN54">
            <v>0</v>
          </cell>
          <cell r="IO54">
            <v>0</v>
          </cell>
          <cell r="IP54">
            <v>0</v>
          </cell>
          <cell r="IQ54">
            <v>0</v>
          </cell>
          <cell r="IR54">
            <v>0</v>
          </cell>
          <cell r="IS54">
            <v>0</v>
          </cell>
          <cell r="IU54">
            <v>0</v>
          </cell>
          <cell r="IW54">
            <v>0</v>
          </cell>
          <cell r="IX54">
            <v>0</v>
          </cell>
          <cell r="IY54">
            <v>0</v>
          </cell>
          <cell r="IZ54">
            <v>0</v>
          </cell>
          <cell r="JB54">
            <v>0</v>
          </cell>
          <cell r="JC54">
            <v>0</v>
          </cell>
          <cell r="JD54">
            <v>0</v>
          </cell>
          <cell r="JE54">
            <v>0</v>
          </cell>
          <cell r="JG54">
            <v>0</v>
          </cell>
          <cell r="JH54">
            <v>0</v>
          </cell>
          <cell r="JI54">
            <v>0</v>
          </cell>
          <cell r="JJ54">
            <v>0</v>
          </cell>
          <cell r="JL54">
            <v>0</v>
          </cell>
          <cell r="JM54">
            <v>0</v>
          </cell>
          <cell r="JN54">
            <v>0</v>
          </cell>
          <cell r="JO54">
            <v>0</v>
          </cell>
          <cell r="JQ54">
            <v>0</v>
          </cell>
          <cell r="JR54">
            <v>0</v>
          </cell>
          <cell r="JS54">
            <v>0</v>
          </cell>
          <cell r="JT54">
            <v>0</v>
          </cell>
          <cell r="JV54">
            <v>0</v>
          </cell>
          <cell r="JW54">
            <v>0</v>
          </cell>
          <cell r="JX54">
            <v>0</v>
          </cell>
          <cell r="JY54">
            <v>0</v>
          </cell>
          <cell r="KA54">
            <v>0</v>
          </cell>
          <cell r="KB54">
            <v>0</v>
          </cell>
          <cell r="KC54">
            <v>0</v>
          </cell>
          <cell r="KD54">
            <v>0</v>
          </cell>
          <cell r="KF54">
            <v>0</v>
          </cell>
          <cell r="KG54">
            <v>0</v>
          </cell>
          <cell r="KH54">
            <v>0</v>
          </cell>
          <cell r="KI54">
            <v>0</v>
          </cell>
          <cell r="KK54">
            <v>0</v>
          </cell>
          <cell r="KL54">
            <v>0</v>
          </cell>
          <cell r="KM54">
            <v>0</v>
          </cell>
          <cell r="KN54">
            <v>0</v>
          </cell>
          <cell r="KP54">
            <v>0</v>
          </cell>
          <cell r="KQ54">
            <v>0</v>
          </cell>
          <cell r="KR54">
            <v>0</v>
          </cell>
          <cell r="KT54">
            <v>0</v>
          </cell>
          <cell r="KV54">
            <v>0</v>
          </cell>
          <cell r="KW54">
            <v>0</v>
          </cell>
          <cell r="KX54">
            <v>0</v>
          </cell>
          <cell r="KZ54">
            <v>0</v>
          </cell>
          <cell r="LA54">
            <v>0</v>
          </cell>
          <cell r="LB54">
            <v>0</v>
          </cell>
          <cell r="LD54">
            <v>0</v>
          </cell>
          <cell r="LF54">
            <v>0</v>
          </cell>
          <cell r="LG54">
            <v>0</v>
          </cell>
          <cell r="LH54">
            <v>0</v>
          </cell>
          <cell r="LJ54">
            <v>0</v>
          </cell>
          <cell r="LK54">
            <v>0</v>
          </cell>
          <cell r="LL54">
            <v>0</v>
          </cell>
          <cell r="LN54">
            <v>0</v>
          </cell>
          <cell r="LP54">
            <v>0</v>
          </cell>
          <cell r="LQ54">
            <v>0</v>
          </cell>
          <cell r="LR54">
            <v>0</v>
          </cell>
          <cell r="LT54" t="str">
            <v>925-21</v>
          </cell>
        </row>
        <row r="55">
          <cell r="B55">
            <v>35</v>
          </cell>
          <cell r="C55">
            <v>36</v>
          </cell>
          <cell r="D55">
            <v>12775</v>
          </cell>
          <cell r="E55">
            <v>13140</v>
          </cell>
          <cell r="F55">
            <v>0.97222222222222221</v>
          </cell>
          <cell r="G55">
            <v>0.97222222222222221</v>
          </cell>
          <cell r="H55">
            <v>3.9999999999999994E-2</v>
          </cell>
          <cell r="I55">
            <v>1.3288950784761482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35.706849315068496</v>
          </cell>
          <cell r="X55">
            <v>36</v>
          </cell>
          <cell r="Y55">
            <v>13033</v>
          </cell>
          <cell r="Z55">
            <v>13140</v>
          </cell>
          <cell r="AA55">
            <v>0.99185692541856918</v>
          </cell>
          <cell r="AB55">
            <v>0.99185692541856918</v>
          </cell>
          <cell r="AC55">
            <v>3.9999999999999994E-2</v>
          </cell>
          <cell r="AD55">
            <v>1.1851405672163509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R55">
            <v>35</v>
          </cell>
          <cell r="AS55">
            <v>36</v>
          </cell>
          <cell r="AT55">
            <v>12810</v>
          </cell>
          <cell r="AU55">
            <v>13176</v>
          </cell>
          <cell r="AV55">
            <v>0.97222222222222221</v>
          </cell>
          <cell r="AW55">
            <v>0.97222222222222221</v>
          </cell>
          <cell r="AX55">
            <v>0.05</v>
          </cell>
          <cell r="AY55">
            <v>1.072585208723408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H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>
            <v>0</v>
          </cell>
          <cell r="EY55">
            <v>0</v>
          </cell>
          <cell r="EZ55">
            <v>0</v>
          </cell>
          <cell r="FA55">
            <v>0</v>
          </cell>
          <cell r="FB55">
            <v>0</v>
          </cell>
          <cell r="FC55">
            <v>0</v>
          </cell>
          <cell r="FE55">
            <v>0</v>
          </cell>
          <cell r="FG55">
            <v>0</v>
          </cell>
          <cell r="FH55">
            <v>0</v>
          </cell>
          <cell r="FI55">
            <v>0</v>
          </cell>
          <cell r="FJ55">
            <v>0</v>
          </cell>
          <cell r="FK55">
            <v>0</v>
          </cell>
          <cell r="FL55">
            <v>0</v>
          </cell>
          <cell r="FM55">
            <v>0</v>
          </cell>
          <cell r="FN55">
            <v>0</v>
          </cell>
          <cell r="FO55">
            <v>0</v>
          </cell>
          <cell r="FP55">
            <v>0</v>
          </cell>
          <cell r="FQ55">
            <v>0</v>
          </cell>
          <cell r="FR55">
            <v>0</v>
          </cell>
          <cell r="FS55">
            <v>0</v>
          </cell>
          <cell r="FT55">
            <v>0</v>
          </cell>
          <cell r="FU55">
            <v>0</v>
          </cell>
          <cell r="FV55">
            <v>0</v>
          </cell>
          <cell r="FW55">
            <v>0</v>
          </cell>
          <cell r="FX55">
            <v>0</v>
          </cell>
          <cell r="FY55">
            <v>0</v>
          </cell>
          <cell r="FZ55">
            <v>0</v>
          </cell>
          <cell r="GA55">
            <v>0</v>
          </cell>
          <cell r="GB55">
            <v>0</v>
          </cell>
          <cell r="GC55">
            <v>0</v>
          </cell>
          <cell r="GD55">
            <v>0</v>
          </cell>
          <cell r="GE55">
            <v>0</v>
          </cell>
          <cell r="GF55">
            <v>0</v>
          </cell>
          <cell r="GG55">
            <v>0</v>
          </cell>
          <cell r="GH55">
            <v>0</v>
          </cell>
          <cell r="GI55">
            <v>0</v>
          </cell>
          <cell r="GJ55">
            <v>0</v>
          </cell>
          <cell r="GK55">
            <v>0</v>
          </cell>
          <cell r="GL55">
            <v>0</v>
          </cell>
          <cell r="GM55">
            <v>0</v>
          </cell>
          <cell r="GN55">
            <v>0</v>
          </cell>
          <cell r="GO55">
            <v>0</v>
          </cell>
          <cell r="GP55">
            <v>0</v>
          </cell>
          <cell r="GQ55">
            <v>0</v>
          </cell>
          <cell r="GR55">
            <v>0</v>
          </cell>
          <cell r="GS55">
            <v>0</v>
          </cell>
          <cell r="GT55">
            <v>0</v>
          </cell>
          <cell r="GU55">
            <v>0</v>
          </cell>
          <cell r="GV55">
            <v>0</v>
          </cell>
          <cell r="GW55">
            <v>0</v>
          </cell>
          <cell r="GX55">
            <v>0</v>
          </cell>
          <cell r="GY55">
            <v>0</v>
          </cell>
          <cell r="GZ55">
            <v>0</v>
          </cell>
          <cell r="HB55">
            <v>0</v>
          </cell>
          <cell r="HD55">
            <v>0</v>
          </cell>
          <cell r="HE55">
            <v>0</v>
          </cell>
          <cell r="HF55">
            <v>0</v>
          </cell>
          <cell r="HG55">
            <v>0</v>
          </cell>
          <cell r="HH55">
            <v>0</v>
          </cell>
          <cell r="HI55">
            <v>0</v>
          </cell>
          <cell r="HJ55">
            <v>0</v>
          </cell>
          <cell r="HK55">
            <v>0</v>
          </cell>
          <cell r="HL55">
            <v>0</v>
          </cell>
          <cell r="HM55">
            <v>0</v>
          </cell>
          <cell r="HN55">
            <v>0</v>
          </cell>
          <cell r="HO55">
            <v>0</v>
          </cell>
          <cell r="HQ55">
            <v>0</v>
          </cell>
          <cell r="HS55">
            <v>0</v>
          </cell>
          <cell r="HT55">
            <v>0</v>
          </cell>
          <cell r="HU55">
            <v>0</v>
          </cell>
          <cell r="HV55">
            <v>0</v>
          </cell>
          <cell r="HW55">
            <v>0</v>
          </cell>
          <cell r="HX55">
            <v>0</v>
          </cell>
          <cell r="HY55">
            <v>0</v>
          </cell>
          <cell r="HZ55">
            <v>0</v>
          </cell>
          <cell r="IA55">
            <v>0</v>
          </cell>
          <cell r="IB55">
            <v>0</v>
          </cell>
          <cell r="IC55">
            <v>0</v>
          </cell>
          <cell r="ID55">
            <v>0</v>
          </cell>
          <cell r="IF55">
            <v>0</v>
          </cell>
          <cell r="IH55">
            <v>0</v>
          </cell>
          <cell r="II55">
            <v>0</v>
          </cell>
          <cell r="IJ55">
            <v>0</v>
          </cell>
          <cell r="IK55">
            <v>0</v>
          </cell>
          <cell r="IL55">
            <v>0</v>
          </cell>
          <cell r="IM55">
            <v>0</v>
          </cell>
          <cell r="IN55">
            <v>0</v>
          </cell>
          <cell r="IO55">
            <v>0</v>
          </cell>
          <cell r="IP55">
            <v>0</v>
          </cell>
          <cell r="IQ55">
            <v>0</v>
          </cell>
          <cell r="IR55">
            <v>0</v>
          </cell>
          <cell r="IS55">
            <v>0</v>
          </cell>
          <cell r="IU55">
            <v>0</v>
          </cell>
          <cell r="IW55">
            <v>0</v>
          </cell>
          <cell r="IX55">
            <v>0</v>
          </cell>
          <cell r="IY55">
            <v>0</v>
          </cell>
          <cell r="IZ55">
            <v>0</v>
          </cell>
          <cell r="JB55">
            <v>0</v>
          </cell>
          <cell r="JC55">
            <v>0</v>
          </cell>
          <cell r="JD55">
            <v>0</v>
          </cell>
          <cell r="JE55">
            <v>0</v>
          </cell>
          <cell r="JG55">
            <v>0</v>
          </cell>
          <cell r="JH55">
            <v>0</v>
          </cell>
          <cell r="JI55">
            <v>0</v>
          </cell>
          <cell r="JJ55">
            <v>0</v>
          </cell>
          <cell r="JL55">
            <v>0</v>
          </cell>
          <cell r="JM55">
            <v>0</v>
          </cell>
          <cell r="JN55">
            <v>0</v>
          </cell>
          <cell r="JO55">
            <v>0</v>
          </cell>
          <cell r="JQ55">
            <v>0</v>
          </cell>
          <cell r="JR55">
            <v>0</v>
          </cell>
          <cell r="JS55">
            <v>0</v>
          </cell>
          <cell r="JT55">
            <v>0</v>
          </cell>
          <cell r="JV55">
            <v>0</v>
          </cell>
          <cell r="JW55">
            <v>0</v>
          </cell>
          <cell r="JX55">
            <v>0</v>
          </cell>
          <cell r="JY55">
            <v>0</v>
          </cell>
          <cell r="KA55">
            <v>0</v>
          </cell>
          <cell r="KB55">
            <v>0</v>
          </cell>
          <cell r="KC55">
            <v>0</v>
          </cell>
          <cell r="KD55">
            <v>0</v>
          </cell>
          <cell r="KF55">
            <v>0</v>
          </cell>
          <cell r="KG55">
            <v>0</v>
          </cell>
          <cell r="KH55">
            <v>0</v>
          </cell>
          <cell r="KI55">
            <v>0</v>
          </cell>
          <cell r="KK55">
            <v>0</v>
          </cell>
          <cell r="KL55">
            <v>0</v>
          </cell>
          <cell r="KM55">
            <v>0</v>
          </cell>
          <cell r="KN55">
            <v>0</v>
          </cell>
          <cell r="KP55">
            <v>0</v>
          </cell>
          <cell r="KQ55">
            <v>0</v>
          </cell>
          <cell r="KR55">
            <v>0</v>
          </cell>
          <cell r="KT55">
            <v>0</v>
          </cell>
          <cell r="KV55">
            <v>0</v>
          </cell>
          <cell r="KW55">
            <v>0</v>
          </cell>
          <cell r="KX55">
            <v>0</v>
          </cell>
          <cell r="KZ55">
            <v>0</v>
          </cell>
          <cell r="LA55">
            <v>0</v>
          </cell>
          <cell r="LB55">
            <v>0</v>
          </cell>
          <cell r="LD55">
            <v>0</v>
          </cell>
          <cell r="LF55">
            <v>0</v>
          </cell>
          <cell r="LG55">
            <v>0</v>
          </cell>
          <cell r="LH55">
            <v>0</v>
          </cell>
          <cell r="LJ55">
            <v>0</v>
          </cell>
          <cell r="LK55">
            <v>0</v>
          </cell>
          <cell r="LL55">
            <v>0</v>
          </cell>
          <cell r="LN55">
            <v>0</v>
          </cell>
          <cell r="LP55">
            <v>0</v>
          </cell>
          <cell r="LQ55">
            <v>0</v>
          </cell>
          <cell r="LR55">
            <v>0</v>
          </cell>
          <cell r="LT55" t="str">
            <v>925-31</v>
          </cell>
        </row>
        <row r="56">
          <cell r="B56">
            <v>38</v>
          </cell>
          <cell r="C56">
            <v>39</v>
          </cell>
          <cell r="D56">
            <v>13870</v>
          </cell>
          <cell r="E56">
            <v>14235</v>
          </cell>
          <cell r="F56">
            <v>0.97435897435897445</v>
          </cell>
          <cell r="G56">
            <v>0.97435897435897445</v>
          </cell>
          <cell r="H56">
            <v>3.9999999999999994E-2</v>
          </cell>
          <cell r="I56">
            <v>0.94481658730529305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W56">
            <v>37.919178082191777</v>
          </cell>
          <cell r="X56">
            <v>39</v>
          </cell>
          <cell r="Y56">
            <v>13840.5</v>
          </cell>
          <cell r="Z56">
            <v>14235</v>
          </cell>
          <cell r="AA56">
            <v>0.97228661749209699</v>
          </cell>
          <cell r="AB56">
            <v>0.97228661749209699</v>
          </cell>
          <cell r="AC56">
            <v>3.9999999999999994E-2</v>
          </cell>
          <cell r="AD56">
            <v>0.89912621836707329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R56">
            <v>38</v>
          </cell>
          <cell r="AS56">
            <v>39</v>
          </cell>
          <cell r="AT56">
            <v>13908</v>
          </cell>
          <cell r="AU56">
            <v>14274</v>
          </cell>
          <cell r="AV56">
            <v>0.97435897435897445</v>
          </cell>
          <cell r="AW56">
            <v>0.97435897435897445</v>
          </cell>
          <cell r="AX56">
            <v>3.9999999999999994E-2</v>
          </cell>
          <cell r="AY56">
            <v>1.0099325814715066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H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>
            <v>0</v>
          </cell>
          <cell r="EK56">
            <v>0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>
            <v>0</v>
          </cell>
          <cell r="EW56">
            <v>0</v>
          </cell>
          <cell r="EX56">
            <v>0</v>
          </cell>
          <cell r="EY56">
            <v>0</v>
          </cell>
          <cell r="EZ56">
            <v>0</v>
          </cell>
          <cell r="FA56">
            <v>0</v>
          </cell>
          <cell r="FB56">
            <v>0</v>
          </cell>
          <cell r="FC56">
            <v>0</v>
          </cell>
          <cell r="FE56">
            <v>0</v>
          </cell>
          <cell r="FG56">
            <v>0</v>
          </cell>
          <cell r="FH56">
            <v>0</v>
          </cell>
          <cell r="FI56">
            <v>0</v>
          </cell>
          <cell r="FJ56">
            <v>0</v>
          </cell>
          <cell r="FK56">
            <v>0</v>
          </cell>
          <cell r="FL56">
            <v>0</v>
          </cell>
          <cell r="FM56">
            <v>0</v>
          </cell>
          <cell r="FN56">
            <v>0</v>
          </cell>
          <cell r="FO56">
            <v>0</v>
          </cell>
          <cell r="FP56">
            <v>0</v>
          </cell>
          <cell r="FQ56">
            <v>0</v>
          </cell>
          <cell r="FR56">
            <v>0</v>
          </cell>
          <cell r="FS56">
            <v>0</v>
          </cell>
          <cell r="FT56">
            <v>0</v>
          </cell>
          <cell r="FU56">
            <v>0</v>
          </cell>
          <cell r="FV56">
            <v>0</v>
          </cell>
          <cell r="FW56">
            <v>0</v>
          </cell>
          <cell r="FX56">
            <v>0</v>
          </cell>
          <cell r="FY56">
            <v>0</v>
          </cell>
          <cell r="FZ56">
            <v>0</v>
          </cell>
          <cell r="GA56">
            <v>0</v>
          </cell>
          <cell r="GB56">
            <v>0</v>
          </cell>
          <cell r="GC56">
            <v>0</v>
          </cell>
          <cell r="GD56">
            <v>0</v>
          </cell>
          <cell r="GE56">
            <v>0</v>
          </cell>
          <cell r="GF56">
            <v>0</v>
          </cell>
          <cell r="GG56">
            <v>0</v>
          </cell>
          <cell r="GH56">
            <v>0</v>
          </cell>
          <cell r="GI56">
            <v>0</v>
          </cell>
          <cell r="GJ56">
            <v>0</v>
          </cell>
          <cell r="GK56">
            <v>0</v>
          </cell>
          <cell r="GL56">
            <v>0</v>
          </cell>
          <cell r="GM56">
            <v>0</v>
          </cell>
          <cell r="GN56">
            <v>0</v>
          </cell>
          <cell r="GO56">
            <v>0</v>
          </cell>
          <cell r="GP56">
            <v>0</v>
          </cell>
          <cell r="GQ56">
            <v>0</v>
          </cell>
          <cell r="GR56">
            <v>0</v>
          </cell>
          <cell r="GS56">
            <v>0</v>
          </cell>
          <cell r="GT56">
            <v>0</v>
          </cell>
          <cell r="GU56">
            <v>0</v>
          </cell>
          <cell r="GV56">
            <v>0</v>
          </cell>
          <cell r="GW56">
            <v>0</v>
          </cell>
          <cell r="GX56">
            <v>0</v>
          </cell>
          <cell r="GY56">
            <v>0</v>
          </cell>
          <cell r="GZ56">
            <v>0</v>
          </cell>
          <cell r="HB56">
            <v>0</v>
          </cell>
          <cell r="HD56">
            <v>0</v>
          </cell>
          <cell r="HE56">
            <v>0</v>
          </cell>
          <cell r="HF56">
            <v>0</v>
          </cell>
          <cell r="HG56">
            <v>0</v>
          </cell>
          <cell r="HH56">
            <v>0</v>
          </cell>
          <cell r="HI56">
            <v>0</v>
          </cell>
          <cell r="HJ56">
            <v>0</v>
          </cell>
          <cell r="HK56">
            <v>0</v>
          </cell>
          <cell r="HL56">
            <v>0</v>
          </cell>
          <cell r="HM56">
            <v>0</v>
          </cell>
          <cell r="HN56">
            <v>0</v>
          </cell>
          <cell r="HO56">
            <v>0</v>
          </cell>
          <cell r="HQ56">
            <v>0</v>
          </cell>
          <cell r="HS56">
            <v>0</v>
          </cell>
          <cell r="HT56">
            <v>0</v>
          </cell>
          <cell r="HU56">
            <v>0</v>
          </cell>
          <cell r="HV56">
            <v>0</v>
          </cell>
          <cell r="HW56">
            <v>0</v>
          </cell>
          <cell r="HX56">
            <v>0</v>
          </cell>
          <cell r="HY56">
            <v>0</v>
          </cell>
          <cell r="HZ56">
            <v>0</v>
          </cell>
          <cell r="IA56">
            <v>0</v>
          </cell>
          <cell r="IB56">
            <v>0</v>
          </cell>
          <cell r="IC56">
            <v>0</v>
          </cell>
          <cell r="ID56">
            <v>0</v>
          </cell>
          <cell r="IF56">
            <v>0</v>
          </cell>
          <cell r="IH56">
            <v>0</v>
          </cell>
          <cell r="II56">
            <v>0</v>
          </cell>
          <cell r="IJ56">
            <v>0</v>
          </cell>
          <cell r="IK56">
            <v>0</v>
          </cell>
          <cell r="IL56">
            <v>0</v>
          </cell>
          <cell r="IM56">
            <v>0</v>
          </cell>
          <cell r="IN56">
            <v>0</v>
          </cell>
          <cell r="IO56">
            <v>0</v>
          </cell>
          <cell r="IP56">
            <v>0</v>
          </cell>
          <cell r="IQ56">
            <v>0</v>
          </cell>
          <cell r="IR56">
            <v>0</v>
          </cell>
          <cell r="IS56">
            <v>0</v>
          </cell>
          <cell r="IU56">
            <v>0</v>
          </cell>
          <cell r="IW56">
            <v>0</v>
          </cell>
          <cell r="IX56">
            <v>0</v>
          </cell>
          <cell r="IY56">
            <v>0</v>
          </cell>
          <cell r="IZ56">
            <v>0</v>
          </cell>
          <cell r="JB56">
            <v>0</v>
          </cell>
          <cell r="JC56">
            <v>0</v>
          </cell>
          <cell r="JD56">
            <v>0</v>
          </cell>
          <cell r="JE56">
            <v>0</v>
          </cell>
          <cell r="JG56">
            <v>0</v>
          </cell>
          <cell r="JH56">
            <v>0</v>
          </cell>
          <cell r="JI56">
            <v>0</v>
          </cell>
          <cell r="JJ56">
            <v>0</v>
          </cell>
          <cell r="JL56">
            <v>0</v>
          </cell>
          <cell r="JM56">
            <v>0</v>
          </cell>
          <cell r="JN56">
            <v>0</v>
          </cell>
          <cell r="JO56">
            <v>0</v>
          </cell>
          <cell r="JQ56">
            <v>0</v>
          </cell>
          <cell r="JR56">
            <v>0</v>
          </cell>
          <cell r="JS56">
            <v>0</v>
          </cell>
          <cell r="JT56">
            <v>0</v>
          </cell>
          <cell r="JV56">
            <v>0</v>
          </cell>
          <cell r="JW56">
            <v>0</v>
          </cell>
          <cell r="JX56">
            <v>0</v>
          </cell>
          <cell r="JY56">
            <v>0</v>
          </cell>
          <cell r="KA56">
            <v>0</v>
          </cell>
          <cell r="KB56">
            <v>0</v>
          </cell>
          <cell r="KC56">
            <v>0</v>
          </cell>
          <cell r="KD56">
            <v>0</v>
          </cell>
          <cell r="KF56">
            <v>0</v>
          </cell>
          <cell r="KG56">
            <v>0</v>
          </cell>
          <cell r="KH56">
            <v>0</v>
          </cell>
          <cell r="KI56">
            <v>0</v>
          </cell>
          <cell r="KK56">
            <v>0</v>
          </cell>
          <cell r="KL56">
            <v>0</v>
          </cell>
          <cell r="KM56">
            <v>0</v>
          </cell>
          <cell r="KN56">
            <v>0</v>
          </cell>
          <cell r="KP56">
            <v>0</v>
          </cell>
          <cell r="KQ56">
            <v>0</v>
          </cell>
          <cell r="KR56">
            <v>0</v>
          </cell>
          <cell r="KT56">
            <v>0</v>
          </cell>
          <cell r="KV56">
            <v>0</v>
          </cell>
          <cell r="KW56">
            <v>0</v>
          </cell>
          <cell r="KX56">
            <v>0</v>
          </cell>
          <cell r="KZ56">
            <v>0</v>
          </cell>
          <cell r="LA56">
            <v>0</v>
          </cell>
          <cell r="LB56">
            <v>0</v>
          </cell>
          <cell r="LD56">
            <v>0</v>
          </cell>
          <cell r="LF56">
            <v>0</v>
          </cell>
          <cell r="LG56">
            <v>0</v>
          </cell>
          <cell r="LH56">
            <v>0</v>
          </cell>
          <cell r="LJ56">
            <v>0</v>
          </cell>
          <cell r="LK56">
            <v>0</v>
          </cell>
          <cell r="LL56">
            <v>0</v>
          </cell>
          <cell r="LN56">
            <v>0</v>
          </cell>
          <cell r="LP56">
            <v>0</v>
          </cell>
          <cell r="LQ56">
            <v>0</v>
          </cell>
          <cell r="LR56">
            <v>0</v>
          </cell>
          <cell r="LT56" t="str">
            <v>925-51</v>
          </cell>
        </row>
        <row r="57">
          <cell r="B57">
            <v>103</v>
          </cell>
          <cell r="C57">
            <v>106</v>
          </cell>
          <cell r="D57">
            <v>37595</v>
          </cell>
          <cell r="E57">
            <v>38690</v>
          </cell>
          <cell r="F57">
            <v>0.97169811320754718</v>
          </cell>
          <cell r="G57">
            <v>0.97169811320754718</v>
          </cell>
          <cell r="H57">
            <v>3.9999999999999994E-2</v>
          </cell>
          <cell r="I57">
            <v>0.84281156608517804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W57">
            <v>103.99589041095891</v>
          </cell>
          <cell r="X57">
            <v>106</v>
          </cell>
          <cell r="Y57">
            <v>37958.5</v>
          </cell>
          <cell r="Z57">
            <v>38690</v>
          </cell>
          <cell r="AA57">
            <v>0.98109330576376319</v>
          </cell>
          <cell r="AB57">
            <v>0.98109330576376319</v>
          </cell>
          <cell r="AC57">
            <v>3.9999999999999994E-2</v>
          </cell>
          <cell r="AD57">
            <v>0.73811793400367565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R57">
            <v>103</v>
          </cell>
          <cell r="AS57">
            <v>106</v>
          </cell>
          <cell r="AT57">
            <v>37698</v>
          </cell>
          <cell r="AU57">
            <v>38796</v>
          </cell>
          <cell r="AV57">
            <v>0.97169811320754718</v>
          </cell>
          <cell r="AW57">
            <v>0.97169811320754718</v>
          </cell>
          <cell r="AX57">
            <v>4.3333333333333335E-2</v>
          </cell>
          <cell r="AY57">
            <v>0.83065700010863364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H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>
            <v>0</v>
          </cell>
          <cell r="EK57">
            <v>0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>
            <v>0</v>
          </cell>
          <cell r="EW57">
            <v>0</v>
          </cell>
          <cell r="EX57">
            <v>0</v>
          </cell>
          <cell r="EY57">
            <v>0</v>
          </cell>
          <cell r="EZ57">
            <v>0</v>
          </cell>
          <cell r="FA57">
            <v>0</v>
          </cell>
          <cell r="FB57">
            <v>0</v>
          </cell>
          <cell r="FC57">
            <v>0</v>
          </cell>
          <cell r="FE57">
            <v>0</v>
          </cell>
          <cell r="FG57">
            <v>0</v>
          </cell>
          <cell r="FH57">
            <v>0</v>
          </cell>
          <cell r="FI57">
            <v>0</v>
          </cell>
          <cell r="FJ57">
            <v>0</v>
          </cell>
          <cell r="FK57">
            <v>0</v>
          </cell>
          <cell r="FL57">
            <v>0</v>
          </cell>
          <cell r="FM57">
            <v>0</v>
          </cell>
          <cell r="FN57">
            <v>0</v>
          </cell>
          <cell r="FO57">
            <v>0</v>
          </cell>
          <cell r="FP57">
            <v>0</v>
          </cell>
          <cell r="FQ57">
            <v>0</v>
          </cell>
          <cell r="FR57">
            <v>0</v>
          </cell>
          <cell r="FS57">
            <v>0</v>
          </cell>
          <cell r="FT57">
            <v>0</v>
          </cell>
          <cell r="FU57">
            <v>0</v>
          </cell>
          <cell r="FV57">
            <v>0</v>
          </cell>
          <cell r="FW57">
            <v>0</v>
          </cell>
          <cell r="FX57">
            <v>0</v>
          </cell>
          <cell r="FY57">
            <v>0</v>
          </cell>
          <cell r="FZ57">
            <v>0</v>
          </cell>
          <cell r="GA57">
            <v>0</v>
          </cell>
          <cell r="GB57">
            <v>0</v>
          </cell>
          <cell r="GC57">
            <v>0</v>
          </cell>
          <cell r="GD57">
            <v>0</v>
          </cell>
          <cell r="GE57">
            <v>0</v>
          </cell>
          <cell r="GF57">
            <v>0</v>
          </cell>
          <cell r="GG57">
            <v>0</v>
          </cell>
          <cell r="GH57">
            <v>0</v>
          </cell>
          <cell r="GI57">
            <v>0</v>
          </cell>
          <cell r="GJ57">
            <v>0</v>
          </cell>
          <cell r="GK57">
            <v>0</v>
          </cell>
          <cell r="GL57">
            <v>0</v>
          </cell>
          <cell r="GM57">
            <v>0</v>
          </cell>
          <cell r="GN57">
            <v>0</v>
          </cell>
          <cell r="GO57">
            <v>0</v>
          </cell>
          <cell r="GP57">
            <v>0</v>
          </cell>
          <cell r="GQ57">
            <v>0</v>
          </cell>
          <cell r="GR57">
            <v>0</v>
          </cell>
          <cell r="GS57">
            <v>0</v>
          </cell>
          <cell r="GT57">
            <v>0</v>
          </cell>
          <cell r="GU57">
            <v>0</v>
          </cell>
          <cell r="GV57">
            <v>0</v>
          </cell>
          <cell r="GW57">
            <v>0</v>
          </cell>
          <cell r="GX57">
            <v>0</v>
          </cell>
          <cell r="GY57">
            <v>0</v>
          </cell>
          <cell r="GZ57">
            <v>0</v>
          </cell>
          <cell r="HB57">
            <v>0</v>
          </cell>
          <cell r="HD57">
            <v>0</v>
          </cell>
          <cell r="HE57">
            <v>0</v>
          </cell>
          <cell r="HF57">
            <v>0</v>
          </cell>
          <cell r="HG57">
            <v>0</v>
          </cell>
          <cell r="HH57">
            <v>0</v>
          </cell>
          <cell r="HI57">
            <v>0</v>
          </cell>
          <cell r="HJ57">
            <v>0</v>
          </cell>
          <cell r="HK57">
            <v>0</v>
          </cell>
          <cell r="HL57">
            <v>0</v>
          </cell>
          <cell r="HM57">
            <v>0</v>
          </cell>
          <cell r="HN57">
            <v>0</v>
          </cell>
          <cell r="HO57">
            <v>0</v>
          </cell>
          <cell r="HQ57">
            <v>0</v>
          </cell>
          <cell r="HS57">
            <v>0</v>
          </cell>
          <cell r="HT57">
            <v>0</v>
          </cell>
          <cell r="HU57">
            <v>0</v>
          </cell>
          <cell r="HV57">
            <v>0</v>
          </cell>
          <cell r="HW57">
            <v>0</v>
          </cell>
          <cell r="HX57">
            <v>0</v>
          </cell>
          <cell r="HY57">
            <v>0</v>
          </cell>
          <cell r="HZ57">
            <v>0</v>
          </cell>
          <cell r="IA57">
            <v>0</v>
          </cell>
          <cell r="IB57">
            <v>0</v>
          </cell>
          <cell r="IC57">
            <v>0</v>
          </cell>
          <cell r="ID57">
            <v>0</v>
          </cell>
          <cell r="IF57">
            <v>0</v>
          </cell>
          <cell r="IH57">
            <v>0</v>
          </cell>
          <cell r="II57">
            <v>0</v>
          </cell>
          <cell r="IJ57">
            <v>0</v>
          </cell>
          <cell r="IK57">
            <v>0</v>
          </cell>
          <cell r="IL57">
            <v>0</v>
          </cell>
          <cell r="IM57">
            <v>0</v>
          </cell>
          <cell r="IN57">
            <v>0</v>
          </cell>
          <cell r="IO57">
            <v>0</v>
          </cell>
          <cell r="IP57">
            <v>0</v>
          </cell>
          <cell r="IQ57">
            <v>0</v>
          </cell>
          <cell r="IR57">
            <v>0</v>
          </cell>
          <cell r="IS57">
            <v>0</v>
          </cell>
          <cell r="IU57">
            <v>0</v>
          </cell>
          <cell r="IW57">
            <v>0</v>
          </cell>
          <cell r="IX57">
            <v>0</v>
          </cell>
          <cell r="IY57">
            <v>0</v>
          </cell>
          <cell r="IZ57">
            <v>0</v>
          </cell>
          <cell r="JB57">
            <v>0</v>
          </cell>
          <cell r="JC57">
            <v>0</v>
          </cell>
          <cell r="JD57">
            <v>0</v>
          </cell>
          <cell r="JE57">
            <v>0</v>
          </cell>
          <cell r="JG57">
            <v>0</v>
          </cell>
          <cell r="JH57">
            <v>0</v>
          </cell>
          <cell r="JI57">
            <v>0</v>
          </cell>
          <cell r="JJ57">
            <v>0</v>
          </cell>
          <cell r="JL57">
            <v>0</v>
          </cell>
          <cell r="JM57">
            <v>0</v>
          </cell>
          <cell r="JN57">
            <v>0</v>
          </cell>
          <cell r="JO57">
            <v>0</v>
          </cell>
          <cell r="JQ57">
            <v>0</v>
          </cell>
          <cell r="JR57">
            <v>0</v>
          </cell>
          <cell r="JS57">
            <v>0</v>
          </cell>
          <cell r="JT57">
            <v>0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KA57">
            <v>0</v>
          </cell>
          <cell r="KB57">
            <v>0</v>
          </cell>
          <cell r="KC57">
            <v>0</v>
          </cell>
          <cell r="KD57">
            <v>0</v>
          </cell>
          <cell r="KF57">
            <v>0</v>
          </cell>
          <cell r="KG57">
            <v>0</v>
          </cell>
          <cell r="KH57">
            <v>0</v>
          </cell>
          <cell r="KI57">
            <v>0</v>
          </cell>
          <cell r="KK57">
            <v>0</v>
          </cell>
          <cell r="KL57">
            <v>0</v>
          </cell>
          <cell r="KM57">
            <v>0</v>
          </cell>
          <cell r="KN57">
            <v>0</v>
          </cell>
          <cell r="KP57">
            <v>0</v>
          </cell>
          <cell r="KQ57">
            <v>0</v>
          </cell>
          <cell r="KR57">
            <v>0</v>
          </cell>
          <cell r="KT57">
            <v>0</v>
          </cell>
          <cell r="KV57">
            <v>0</v>
          </cell>
          <cell r="KW57">
            <v>0</v>
          </cell>
          <cell r="KX57">
            <v>0</v>
          </cell>
          <cell r="KZ57">
            <v>0</v>
          </cell>
          <cell r="LA57">
            <v>0</v>
          </cell>
          <cell r="LB57">
            <v>0</v>
          </cell>
          <cell r="LD57">
            <v>0</v>
          </cell>
          <cell r="LF57">
            <v>0</v>
          </cell>
          <cell r="LG57">
            <v>0</v>
          </cell>
          <cell r="LH57">
            <v>0</v>
          </cell>
          <cell r="LJ57">
            <v>0</v>
          </cell>
          <cell r="LK57">
            <v>0</v>
          </cell>
          <cell r="LL57">
            <v>0</v>
          </cell>
          <cell r="LN57">
            <v>0</v>
          </cell>
          <cell r="LP57">
            <v>0</v>
          </cell>
          <cell r="LQ57">
            <v>0</v>
          </cell>
          <cell r="LR57">
            <v>0</v>
          </cell>
          <cell r="LT57" t="str">
            <v>925-Entity</v>
          </cell>
        </row>
        <row r="58">
          <cell r="B58">
            <v>2713.3095890410964</v>
          </cell>
          <cell r="C58">
            <v>2989</v>
          </cell>
          <cell r="D58">
            <v>990358</v>
          </cell>
          <cell r="E58">
            <v>1090985</v>
          </cell>
          <cell r="F58">
            <v>0.90776500135198923</v>
          </cell>
          <cell r="G58">
            <v>0.90776500135198923</v>
          </cell>
          <cell r="H58">
            <v>5.7976190476190487E-2</v>
          </cell>
          <cell r="I58">
            <v>0.9926275830643756</v>
          </cell>
          <cell r="J58">
            <v>68.094002763333336</v>
          </cell>
          <cell r="K58">
            <v>44.57094965000001</v>
          </cell>
          <cell r="L58">
            <v>207.69137448999996</v>
          </cell>
          <cell r="M58">
            <v>1.6161626600000003</v>
          </cell>
          <cell r="N58">
            <v>191.34307769</v>
          </cell>
          <cell r="O58">
            <v>4.1706281000000009</v>
          </cell>
          <cell r="P58">
            <v>4330.5000000000009</v>
          </cell>
          <cell r="Q58">
            <v>3056.5400000000004</v>
          </cell>
          <cell r="R58">
            <v>1285.27</v>
          </cell>
          <cell r="S58">
            <v>1187.3000000000002</v>
          </cell>
          <cell r="T58">
            <v>4146.130000000001</v>
          </cell>
          <cell r="U58">
            <v>489.06000000000012</v>
          </cell>
          <cell r="W58">
            <v>2569.9602672458718</v>
          </cell>
          <cell r="X58">
            <v>2991.8153435196018</v>
          </cell>
          <cell r="Y58">
            <v>938038.12</v>
          </cell>
          <cell r="Z58">
            <v>1092012</v>
          </cell>
          <cell r="AA58">
            <v>0.85899982784071971</v>
          </cell>
          <cell r="AB58">
            <v>0.85980844832880376</v>
          </cell>
          <cell r="AC58">
            <v>5.7976190476190487E-2</v>
          </cell>
          <cell r="AD58">
            <v>0.99842950246526796</v>
          </cell>
          <cell r="AE58">
            <v>47.801798478327889</v>
          </cell>
          <cell r="AF58">
            <v>25.618740782484597</v>
          </cell>
          <cell r="AG58">
            <v>199.02213773351252</v>
          </cell>
          <cell r="AH58">
            <v>3.7818255908259868</v>
          </cell>
          <cell r="AI58">
            <v>181.26431684989765</v>
          </cell>
          <cell r="AJ58">
            <v>11.753936315322573</v>
          </cell>
          <cell r="AK58">
            <v>4706.9171268420359</v>
          </cell>
          <cell r="AL58">
            <v>3698.3632413320961</v>
          </cell>
          <cell r="AM58">
            <v>1397.2565141439325</v>
          </cell>
          <cell r="AN58">
            <v>1303.6473089209526</v>
          </cell>
          <cell r="AO58">
            <v>3922.048912491899</v>
          </cell>
          <cell r="AP58">
            <v>564.7464874139182</v>
          </cell>
          <cell r="AR58">
            <v>2215.4718579234973</v>
          </cell>
          <cell r="AS58">
            <v>2988</v>
          </cell>
          <cell r="AT58">
            <v>810862.7</v>
          </cell>
          <cell r="AU58">
            <v>1093608</v>
          </cell>
          <cell r="AV58">
            <v>0.74145644508818509</v>
          </cell>
          <cell r="AW58">
            <v>0.74145644508818509</v>
          </cell>
          <cell r="AX58">
            <v>3.6011904761904759E-2</v>
          </cell>
          <cell r="AY58">
            <v>0.96189107250136563</v>
          </cell>
          <cell r="AZ58">
            <v>38.972565833333334</v>
          </cell>
          <cell r="BA58">
            <v>11.584771249999998</v>
          </cell>
          <cell r="BB58">
            <v>153.29725791666667</v>
          </cell>
          <cell r="BC58">
            <v>1.841105</v>
          </cell>
          <cell r="BD58">
            <v>146.20118499999998</v>
          </cell>
          <cell r="BE58">
            <v>2.7536495833333334</v>
          </cell>
          <cell r="BF58">
            <v>5010.3899999999985</v>
          </cell>
          <cell r="BG58">
            <v>3731.9299999999989</v>
          </cell>
          <cell r="BH58">
            <v>1356.2299999999998</v>
          </cell>
          <cell r="BI58">
            <v>664.27355776782508</v>
          </cell>
          <cell r="BJ58">
            <v>4255.57</v>
          </cell>
          <cell r="BK58">
            <v>509.77999999999975</v>
          </cell>
          <cell r="BM58">
            <v>0</v>
          </cell>
          <cell r="BN58">
            <v>1</v>
          </cell>
          <cell r="BO58">
            <v>0</v>
          </cell>
          <cell r="BP58">
            <v>0</v>
          </cell>
          <cell r="BQ58">
            <v>9</v>
          </cell>
          <cell r="BR58">
            <v>16</v>
          </cell>
          <cell r="BS58">
            <v>0</v>
          </cell>
          <cell r="BT58">
            <v>1</v>
          </cell>
          <cell r="BU58">
            <v>19</v>
          </cell>
          <cell r="BV58">
            <v>1</v>
          </cell>
          <cell r="BW58">
            <v>55.000000000000021</v>
          </cell>
          <cell r="BX58">
            <v>36</v>
          </cell>
          <cell r="BY58">
            <v>2</v>
          </cell>
          <cell r="BZ58">
            <v>1</v>
          </cell>
          <cell r="CA58">
            <v>13.000000000000002</v>
          </cell>
          <cell r="CB58">
            <v>32.000000000000007</v>
          </cell>
          <cell r="CC58">
            <v>19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6.9999999999999991</v>
          </cell>
          <cell r="CI58">
            <v>9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1</v>
          </cell>
          <cell r="CO58">
            <v>0</v>
          </cell>
          <cell r="CP58">
            <v>20</v>
          </cell>
          <cell r="CQ58">
            <v>0</v>
          </cell>
          <cell r="CR58">
            <v>0</v>
          </cell>
          <cell r="CS58">
            <v>0</v>
          </cell>
          <cell r="CT58">
            <v>8</v>
          </cell>
          <cell r="CU58">
            <v>9</v>
          </cell>
          <cell r="CV58">
            <v>33.999999999999993</v>
          </cell>
          <cell r="CW58">
            <v>38</v>
          </cell>
          <cell r="CX58">
            <v>1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13.999999999999998</v>
          </cell>
          <cell r="DH58">
            <v>346</v>
          </cell>
          <cell r="DJ58">
            <v>0</v>
          </cell>
          <cell r="DK58">
            <v>1</v>
          </cell>
          <cell r="DL58">
            <v>0</v>
          </cell>
          <cell r="DM58">
            <v>0</v>
          </cell>
          <cell r="DN58">
            <v>9</v>
          </cell>
          <cell r="DO58">
            <v>16</v>
          </cell>
          <cell r="DP58">
            <v>0</v>
          </cell>
          <cell r="DQ58">
            <v>1</v>
          </cell>
          <cell r="DR58">
            <v>19</v>
          </cell>
          <cell r="DS58">
            <v>1</v>
          </cell>
          <cell r="DT58">
            <v>55.000000000000021</v>
          </cell>
          <cell r="DU58">
            <v>36</v>
          </cell>
          <cell r="DV58">
            <v>2</v>
          </cell>
          <cell r="DW58">
            <v>1</v>
          </cell>
          <cell r="DX58">
            <v>13.000000000000002</v>
          </cell>
          <cell r="DY58">
            <v>32.000000000000007</v>
          </cell>
          <cell r="DZ58">
            <v>19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6.9999999999999991</v>
          </cell>
          <cell r="EF58">
            <v>9</v>
          </cell>
          <cell r="EG58">
            <v>0</v>
          </cell>
          <cell r="EH58">
            <v>0</v>
          </cell>
          <cell r="EI58">
            <v>0</v>
          </cell>
          <cell r="EJ58">
            <v>0</v>
          </cell>
          <cell r="EK58">
            <v>1</v>
          </cell>
          <cell r="EL58">
            <v>0</v>
          </cell>
          <cell r="EM58">
            <v>20</v>
          </cell>
          <cell r="EN58">
            <v>0</v>
          </cell>
          <cell r="EO58">
            <v>0</v>
          </cell>
          <cell r="EP58">
            <v>0</v>
          </cell>
          <cell r="EQ58">
            <v>8</v>
          </cell>
          <cell r="ER58">
            <v>9</v>
          </cell>
          <cell r="ES58">
            <v>33.999999999999993</v>
          </cell>
          <cell r="ET58">
            <v>38</v>
          </cell>
          <cell r="EU58">
            <v>1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13.999999999999998</v>
          </cell>
          <cell r="FE58">
            <v>346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12</v>
          </cell>
          <cell r="FL58">
            <v>15</v>
          </cell>
          <cell r="FM58">
            <v>0</v>
          </cell>
          <cell r="FN58">
            <v>1</v>
          </cell>
          <cell r="FO58">
            <v>19</v>
          </cell>
          <cell r="FP58">
            <v>1</v>
          </cell>
          <cell r="FQ58">
            <v>52.999999999999993</v>
          </cell>
          <cell r="FR58">
            <v>37</v>
          </cell>
          <cell r="FS58">
            <v>1</v>
          </cell>
          <cell r="FT58">
            <v>0</v>
          </cell>
          <cell r="FU58">
            <v>10</v>
          </cell>
          <cell r="FV58">
            <v>32</v>
          </cell>
          <cell r="FW58">
            <v>24</v>
          </cell>
          <cell r="FX58">
            <v>0</v>
          </cell>
          <cell r="FY58">
            <v>0</v>
          </cell>
          <cell r="FZ58">
            <v>0</v>
          </cell>
          <cell r="GA58">
            <v>0</v>
          </cell>
          <cell r="GB58">
            <v>9</v>
          </cell>
          <cell r="GC58">
            <v>10</v>
          </cell>
          <cell r="GD58">
            <v>0</v>
          </cell>
          <cell r="GE58">
            <v>0</v>
          </cell>
          <cell r="GF58">
            <v>0</v>
          </cell>
          <cell r="GG58">
            <v>0</v>
          </cell>
          <cell r="GH58">
            <v>0</v>
          </cell>
          <cell r="GI58">
            <v>0</v>
          </cell>
          <cell r="GJ58">
            <v>23</v>
          </cell>
          <cell r="GK58">
            <v>0</v>
          </cell>
          <cell r="GL58">
            <v>0</v>
          </cell>
          <cell r="GM58">
            <v>0</v>
          </cell>
          <cell r="GN58">
            <v>6.9999999999999991</v>
          </cell>
          <cell r="GO58">
            <v>9</v>
          </cell>
          <cell r="GP58">
            <v>36</v>
          </cell>
          <cell r="GQ58">
            <v>46.999999999999993</v>
          </cell>
          <cell r="GR58">
            <v>0</v>
          </cell>
          <cell r="GS58">
            <v>0</v>
          </cell>
          <cell r="GT58">
            <v>0</v>
          </cell>
          <cell r="GU58">
            <v>1</v>
          </cell>
          <cell r="GV58">
            <v>2</v>
          </cell>
          <cell r="GW58">
            <v>2</v>
          </cell>
          <cell r="GX58">
            <v>1</v>
          </cell>
          <cell r="GY58">
            <v>2</v>
          </cell>
          <cell r="GZ58">
            <v>9</v>
          </cell>
          <cell r="HB58">
            <v>363</v>
          </cell>
          <cell r="HD58">
            <v>2</v>
          </cell>
          <cell r="HE58">
            <v>4</v>
          </cell>
          <cell r="HF58">
            <v>3</v>
          </cell>
          <cell r="HG58">
            <v>2</v>
          </cell>
          <cell r="HH58">
            <v>1</v>
          </cell>
          <cell r="HI58">
            <v>2</v>
          </cell>
          <cell r="HJ58">
            <v>2</v>
          </cell>
          <cell r="HK58">
            <v>1</v>
          </cell>
          <cell r="HL58">
            <v>3</v>
          </cell>
          <cell r="HM58">
            <v>1</v>
          </cell>
          <cell r="HN58">
            <v>13.999999999999998</v>
          </cell>
          <cell r="HO58">
            <v>3</v>
          </cell>
          <cell r="HQ58">
            <v>38</v>
          </cell>
          <cell r="HS58">
            <v>2</v>
          </cell>
          <cell r="HT58">
            <v>4</v>
          </cell>
          <cell r="HU58">
            <v>3</v>
          </cell>
          <cell r="HV58">
            <v>2</v>
          </cell>
          <cell r="HW58">
            <v>1</v>
          </cell>
          <cell r="HX58">
            <v>2</v>
          </cell>
          <cell r="HY58">
            <v>2</v>
          </cell>
          <cell r="HZ58">
            <v>1</v>
          </cell>
          <cell r="IA58">
            <v>3</v>
          </cell>
          <cell r="IB58">
            <v>1</v>
          </cell>
          <cell r="IC58">
            <v>13.999999999999998</v>
          </cell>
          <cell r="ID58">
            <v>3</v>
          </cell>
          <cell r="IF58">
            <v>38</v>
          </cell>
          <cell r="IH58">
            <v>2</v>
          </cell>
          <cell r="II58">
            <v>4</v>
          </cell>
          <cell r="IJ58">
            <v>3</v>
          </cell>
          <cell r="IK58">
            <v>2</v>
          </cell>
          <cell r="IL58">
            <v>1</v>
          </cell>
          <cell r="IM58">
            <v>2</v>
          </cell>
          <cell r="IN58">
            <v>2</v>
          </cell>
          <cell r="IO58">
            <v>1</v>
          </cell>
          <cell r="IP58">
            <v>3</v>
          </cell>
          <cell r="IQ58">
            <v>1</v>
          </cell>
          <cell r="IR58">
            <v>13.999999999999998</v>
          </cell>
          <cell r="IS58">
            <v>3</v>
          </cell>
          <cell r="IU58">
            <v>38</v>
          </cell>
          <cell r="IW58">
            <v>0</v>
          </cell>
          <cell r="IX58">
            <v>0</v>
          </cell>
          <cell r="IY58">
            <v>0</v>
          </cell>
          <cell r="IZ58">
            <v>0</v>
          </cell>
          <cell r="JB58">
            <v>0</v>
          </cell>
          <cell r="JC58">
            <v>0</v>
          </cell>
          <cell r="JD58">
            <v>0</v>
          </cell>
          <cell r="JE58">
            <v>0</v>
          </cell>
          <cell r="JG58">
            <v>0</v>
          </cell>
          <cell r="JH58">
            <v>0</v>
          </cell>
          <cell r="JI58">
            <v>0</v>
          </cell>
          <cell r="JJ58">
            <v>0</v>
          </cell>
          <cell r="JL58">
            <v>0</v>
          </cell>
          <cell r="JM58">
            <v>0</v>
          </cell>
          <cell r="JN58">
            <v>0</v>
          </cell>
          <cell r="JO58">
            <v>0</v>
          </cell>
          <cell r="JQ58">
            <v>0</v>
          </cell>
          <cell r="JR58">
            <v>0</v>
          </cell>
          <cell r="JS58">
            <v>0</v>
          </cell>
          <cell r="JT58">
            <v>0</v>
          </cell>
          <cell r="JV58">
            <v>0</v>
          </cell>
          <cell r="JW58">
            <v>0</v>
          </cell>
          <cell r="JX58">
            <v>0</v>
          </cell>
          <cell r="JY58">
            <v>0</v>
          </cell>
          <cell r="KA58">
            <v>0</v>
          </cell>
          <cell r="KB58">
            <v>0</v>
          </cell>
          <cell r="KC58">
            <v>0</v>
          </cell>
          <cell r="KD58">
            <v>0</v>
          </cell>
          <cell r="KF58">
            <v>0</v>
          </cell>
          <cell r="KG58">
            <v>0</v>
          </cell>
          <cell r="KH58">
            <v>0</v>
          </cell>
          <cell r="KI58">
            <v>0</v>
          </cell>
          <cell r="KK58">
            <v>0</v>
          </cell>
          <cell r="KL58">
            <v>0</v>
          </cell>
          <cell r="KM58">
            <v>0</v>
          </cell>
          <cell r="KN58">
            <v>0</v>
          </cell>
          <cell r="KP58">
            <v>10.999999999999998</v>
          </cell>
          <cell r="KQ58">
            <v>39.000000000000007</v>
          </cell>
          <cell r="KR58">
            <v>6</v>
          </cell>
          <cell r="KT58">
            <v>19</v>
          </cell>
          <cell r="KV58">
            <v>10.999999999999998</v>
          </cell>
          <cell r="KW58">
            <v>20.000000000000007</v>
          </cell>
          <cell r="KX58">
            <v>6</v>
          </cell>
          <cell r="KZ58">
            <v>10.999999999999998</v>
          </cell>
          <cell r="LA58">
            <v>39.000000000000007</v>
          </cell>
          <cell r="LB58">
            <v>6</v>
          </cell>
          <cell r="LD58">
            <v>19</v>
          </cell>
          <cell r="LF58">
            <v>10.999999999999998</v>
          </cell>
          <cell r="LG58">
            <v>20.000000000000007</v>
          </cell>
          <cell r="LH58">
            <v>6</v>
          </cell>
          <cell r="LJ58">
            <v>11</v>
          </cell>
          <cell r="LK58">
            <v>39.000000000000007</v>
          </cell>
          <cell r="LL58">
            <v>6</v>
          </cell>
          <cell r="LN58">
            <v>19</v>
          </cell>
          <cell r="LP58">
            <v>11</v>
          </cell>
          <cell r="LQ58">
            <v>20.000000000000007</v>
          </cell>
          <cell r="LR58">
            <v>6</v>
          </cell>
          <cell r="LT58" t="str">
            <v>Asbury-Asbury</v>
          </cell>
        </row>
        <row r="59">
          <cell r="B59">
            <v>2713.3095890410964</v>
          </cell>
          <cell r="C59">
            <v>2989</v>
          </cell>
          <cell r="D59">
            <v>990358</v>
          </cell>
          <cell r="E59">
            <v>1090985</v>
          </cell>
          <cell r="F59">
            <v>0.90776500135198923</v>
          </cell>
          <cell r="G59">
            <v>0.90776500135198923</v>
          </cell>
          <cell r="H59">
            <v>5.7976190476190487E-2</v>
          </cell>
          <cell r="I59">
            <v>0.99112872043527001</v>
          </cell>
          <cell r="J59">
            <v>68.094002763333336</v>
          </cell>
          <cell r="K59">
            <v>44.57094965000001</v>
          </cell>
          <cell r="L59">
            <v>207.69137448999996</v>
          </cell>
          <cell r="M59">
            <v>1.6161626600000003</v>
          </cell>
          <cell r="N59">
            <v>191.34307769</v>
          </cell>
          <cell r="O59">
            <v>4.1706281000000009</v>
          </cell>
          <cell r="P59">
            <v>4330.5000000000009</v>
          </cell>
          <cell r="Q59">
            <v>3056.5400000000004</v>
          </cell>
          <cell r="R59">
            <v>1285.27</v>
          </cell>
          <cell r="S59">
            <v>1187.3000000000002</v>
          </cell>
          <cell r="T59">
            <v>4146.130000000001</v>
          </cell>
          <cell r="U59">
            <v>489.06000000000012</v>
          </cell>
          <cell r="W59">
            <v>2569.9602672458718</v>
          </cell>
          <cell r="X59">
            <v>2991.8153435196018</v>
          </cell>
          <cell r="Y59">
            <v>938038.12</v>
          </cell>
          <cell r="Z59">
            <v>1092012</v>
          </cell>
          <cell r="AA59">
            <v>0.85899982784071971</v>
          </cell>
          <cell r="AB59">
            <v>0.85980844832880376</v>
          </cell>
          <cell r="AC59">
            <v>5.7976190476190487E-2</v>
          </cell>
          <cell r="AD59">
            <v>0.99849876975570118</v>
          </cell>
          <cell r="AE59">
            <v>47.801798478327889</v>
          </cell>
          <cell r="AF59">
            <v>25.618740782484597</v>
          </cell>
          <cell r="AG59">
            <v>199.02213773351252</v>
          </cell>
          <cell r="AH59">
            <v>3.7818255908259868</v>
          </cell>
          <cell r="AI59">
            <v>181.26431684989765</v>
          </cell>
          <cell r="AJ59">
            <v>11.753936315322573</v>
          </cell>
          <cell r="AK59">
            <v>4706.9171268420359</v>
          </cell>
          <cell r="AL59">
            <v>3698.3632413320961</v>
          </cell>
          <cell r="AM59">
            <v>1397.2565141439325</v>
          </cell>
          <cell r="AN59">
            <v>1303.6473089209526</v>
          </cell>
          <cell r="AO59">
            <v>3922.048912491899</v>
          </cell>
          <cell r="AP59">
            <v>564.7464874139182</v>
          </cell>
          <cell r="AR59">
            <v>2215.4718579234973</v>
          </cell>
          <cell r="AS59">
            <v>2988</v>
          </cell>
          <cell r="AT59">
            <v>810862.7</v>
          </cell>
          <cell r="AU59">
            <v>1093608</v>
          </cell>
          <cell r="AV59">
            <v>0.74145644508818509</v>
          </cell>
          <cell r="AW59">
            <v>0.74145644508818509</v>
          </cell>
          <cell r="AX59">
            <v>3.6011904761904759E-2</v>
          </cell>
          <cell r="AY59">
            <v>0.95288210516528038</v>
          </cell>
          <cell r="AZ59">
            <v>38.972565833333334</v>
          </cell>
          <cell r="BA59">
            <v>11.584771249999998</v>
          </cell>
          <cell r="BB59">
            <v>153.29725791666667</v>
          </cell>
          <cell r="BC59">
            <v>1.841105</v>
          </cell>
          <cell r="BD59">
            <v>146.20118499999998</v>
          </cell>
          <cell r="BE59">
            <v>2.7536495833333334</v>
          </cell>
          <cell r="BF59">
            <v>5010.3899999999985</v>
          </cell>
          <cell r="BG59">
            <v>3731.9299999999989</v>
          </cell>
          <cell r="BH59">
            <v>1356.2299999999998</v>
          </cell>
          <cell r="BI59">
            <v>664.27355776782508</v>
          </cell>
          <cell r="BJ59">
            <v>4255.57</v>
          </cell>
          <cell r="BK59">
            <v>509.77999999999975</v>
          </cell>
          <cell r="BM59">
            <v>0</v>
          </cell>
          <cell r="BN59">
            <v>1</v>
          </cell>
          <cell r="BO59">
            <v>0</v>
          </cell>
          <cell r="BP59">
            <v>0</v>
          </cell>
          <cell r="BQ59">
            <v>9</v>
          </cell>
          <cell r="BR59">
            <v>16</v>
          </cell>
          <cell r="BS59">
            <v>0</v>
          </cell>
          <cell r="BT59">
            <v>1</v>
          </cell>
          <cell r="BU59">
            <v>19</v>
          </cell>
          <cell r="BV59">
            <v>1</v>
          </cell>
          <cell r="BW59">
            <v>55.000000000000021</v>
          </cell>
          <cell r="BX59">
            <v>36</v>
          </cell>
          <cell r="BY59">
            <v>2</v>
          </cell>
          <cell r="BZ59">
            <v>1</v>
          </cell>
          <cell r="CA59">
            <v>13.000000000000002</v>
          </cell>
          <cell r="CB59">
            <v>32.000000000000007</v>
          </cell>
          <cell r="CC59">
            <v>19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6.9999999999999991</v>
          </cell>
          <cell r="CI59">
            <v>9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1</v>
          </cell>
          <cell r="CO59">
            <v>0</v>
          </cell>
          <cell r="CP59">
            <v>20</v>
          </cell>
          <cell r="CQ59">
            <v>0</v>
          </cell>
          <cell r="CR59">
            <v>0</v>
          </cell>
          <cell r="CS59">
            <v>0</v>
          </cell>
          <cell r="CT59">
            <v>8</v>
          </cell>
          <cell r="CU59">
            <v>9</v>
          </cell>
          <cell r="CV59">
            <v>33.999999999999993</v>
          </cell>
          <cell r="CW59">
            <v>38</v>
          </cell>
          <cell r="CX59">
            <v>1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13.999999999999998</v>
          </cell>
          <cell r="DH59">
            <v>346</v>
          </cell>
          <cell r="DJ59">
            <v>0</v>
          </cell>
          <cell r="DK59">
            <v>1</v>
          </cell>
          <cell r="DL59">
            <v>0</v>
          </cell>
          <cell r="DM59">
            <v>0</v>
          </cell>
          <cell r="DN59">
            <v>9</v>
          </cell>
          <cell r="DO59">
            <v>16</v>
          </cell>
          <cell r="DP59">
            <v>0</v>
          </cell>
          <cell r="DQ59">
            <v>1</v>
          </cell>
          <cell r="DR59">
            <v>19</v>
          </cell>
          <cell r="DS59">
            <v>1</v>
          </cell>
          <cell r="DT59">
            <v>55.000000000000021</v>
          </cell>
          <cell r="DU59">
            <v>36</v>
          </cell>
          <cell r="DV59">
            <v>2</v>
          </cell>
          <cell r="DW59">
            <v>1</v>
          </cell>
          <cell r="DX59">
            <v>13.000000000000002</v>
          </cell>
          <cell r="DY59">
            <v>32.000000000000007</v>
          </cell>
          <cell r="DZ59">
            <v>19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6.9999999999999991</v>
          </cell>
          <cell r="EF59">
            <v>9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1</v>
          </cell>
          <cell r="EL59">
            <v>0</v>
          </cell>
          <cell r="EM59">
            <v>20</v>
          </cell>
          <cell r="EN59">
            <v>0</v>
          </cell>
          <cell r="EO59">
            <v>0</v>
          </cell>
          <cell r="EP59">
            <v>0</v>
          </cell>
          <cell r="EQ59">
            <v>8</v>
          </cell>
          <cell r="ER59">
            <v>9</v>
          </cell>
          <cell r="ES59">
            <v>33.999999999999993</v>
          </cell>
          <cell r="ET59">
            <v>38</v>
          </cell>
          <cell r="EU59">
            <v>1</v>
          </cell>
          <cell r="EV59">
            <v>0</v>
          </cell>
          <cell r="EW59">
            <v>0</v>
          </cell>
          <cell r="EX59">
            <v>0</v>
          </cell>
          <cell r="EY59">
            <v>0</v>
          </cell>
          <cell r="EZ59">
            <v>0</v>
          </cell>
          <cell r="FA59">
            <v>0</v>
          </cell>
          <cell r="FB59">
            <v>0</v>
          </cell>
          <cell r="FC59">
            <v>13.999999999999998</v>
          </cell>
          <cell r="FE59">
            <v>346</v>
          </cell>
          <cell r="FG59">
            <v>0</v>
          </cell>
          <cell r="FH59">
            <v>0</v>
          </cell>
          <cell r="FI59">
            <v>0</v>
          </cell>
          <cell r="FJ59">
            <v>0</v>
          </cell>
          <cell r="FK59">
            <v>12</v>
          </cell>
          <cell r="FL59">
            <v>15</v>
          </cell>
          <cell r="FM59">
            <v>0</v>
          </cell>
          <cell r="FN59">
            <v>1</v>
          </cell>
          <cell r="FO59">
            <v>19</v>
          </cell>
          <cell r="FP59">
            <v>1</v>
          </cell>
          <cell r="FQ59">
            <v>52.999999999999993</v>
          </cell>
          <cell r="FR59">
            <v>37</v>
          </cell>
          <cell r="FS59">
            <v>1</v>
          </cell>
          <cell r="FT59">
            <v>0</v>
          </cell>
          <cell r="FU59">
            <v>10</v>
          </cell>
          <cell r="FV59">
            <v>32</v>
          </cell>
          <cell r="FW59">
            <v>24</v>
          </cell>
          <cell r="FX59">
            <v>0</v>
          </cell>
          <cell r="FY59">
            <v>0</v>
          </cell>
          <cell r="FZ59">
            <v>0</v>
          </cell>
          <cell r="GA59">
            <v>0</v>
          </cell>
          <cell r="GB59">
            <v>9</v>
          </cell>
          <cell r="GC59">
            <v>10</v>
          </cell>
          <cell r="GD59">
            <v>0</v>
          </cell>
          <cell r="GE59">
            <v>0</v>
          </cell>
          <cell r="GF59">
            <v>0</v>
          </cell>
          <cell r="GG59">
            <v>0</v>
          </cell>
          <cell r="GH59">
            <v>0</v>
          </cell>
          <cell r="GI59">
            <v>0</v>
          </cell>
          <cell r="GJ59">
            <v>23</v>
          </cell>
          <cell r="GK59">
            <v>0</v>
          </cell>
          <cell r="GL59">
            <v>0</v>
          </cell>
          <cell r="GM59">
            <v>0</v>
          </cell>
          <cell r="GN59">
            <v>6.9999999999999991</v>
          </cell>
          <cell r="GO59">
            <v>9</v>
          </cell>
          <cell r="GP59">
            <v>36</v>
          </cell>
          <cell r="GQ59">
            <v>46.999999999999993</v>
          </cell>
          <cell r="GR59">
            <v>0</v>
          </cell>
          <cell r="GS59">
            <v>0</v>
          </cell>
          <cell r="GT59">
            <v>0</v>
          </cell>
          <cell r="GU59">
            <v>1</v>
          </cell>
          <cell r="GV59">
            <v>2</v>
          </cell>
          <cell r="GW59">
            <v>2</v>
          </cell>
          <cell r="GX59">
            <v>1</v>
          </cell>
          <cell r="GY59">
            <v>2</v>
          </cell>
          <cell r="GZ59">
            <v>9</v>
          </cell>
          <cell r="HB59">
            <v>363</v>
          </cell>
          <cell r="HD59">
            <v>2</v>
          </cell>
          <cell r="HE59">
            <v>4</v>
          </cell>
          <cell r="HF59">
            <v>3</v>
          </cell>
          <cell r="HG59">
            <v>2</v>
          </cell>
          <cell r="HH59">
            <v>1</v>
          </cell>
          <cell r="HI59">
            <v>2</v>
          </cell>
          <cell r="HJ59">
            <v>2</v>
          </cell>
          <cell r="HK59">
            <v>1</v>
          </cell>
          <cell r="HL59">
            <v>3</v>
          </cell>
          <cell r="HM59">
            <v>1</v>
          </cell>
          <cell r="HN59">
            <v>13.999999999999998</v>
          </cell>
          <cell r="HO59">
            <v>3</v>
          </cell>
          <cell r="HQ59">
            <v>38</v>
          </cell>
          <cell r="HS59">
            <v>2</v>
          </cell>
          <cell r="HT59">
            <v>4</v>
          </cell>
          <cell r="HU59">
            <v>3</v>
          </cell>
          <cell r="HV59">
            <v>2</v>
          </cell>
          <cell r="HW59">
            <v>1</v>
          </cell>
          <cell r="HX59">
            <v>2</v>
          </cell>
          <cell r="HY59">
            <v>2</v>
          </cell>
          <cell r="HZ59">
            <v>1</v>
          </cell>
          <cell r="IA59">
            <v>3</v>
          </cell>
          <cell r="IB59">
            <v>1</v>
          </cell>
          <cell r="IC59">
            <v>13.999999999999998</v>
          </cell>
          <cell r="ID59">
            <v>3</v>
          </cell>
          <cell r="IF59">
            <v>38</v>
          </cell>
          <cell r="IH59">
            <v>2</v>
          </cell>
          <cell r="II59">
            <v>4</v>
          </cell>
          <cell r="IJ59">
            <v>3</v>
          </cell>
          <cell r="IK59">
            <v>2</v>
          </cell>
          <cell r="IL59">
            <v>1</v>
          </cell>
          <cell r="IM59">
            <v>2</v>
          </cell>
          <cell r="IN59">
            <v>2</v>
          </cell>
          <cell r="IO59">
            <v>1</v>
          </cell>
          <cell r="IP59">
            <v>3</v>
          </cell>
          <cell r="IQ59">
            <v>1</v>
          </cell>
          <cell r="IR59">
            <v>13.999999999999998</v>
          </cell>
          <cell r="IS59">
            <v>3</v>
          </cell>
          <cell r="IU59">
            <v>38</v>
          </cell>
          <cell r="IW59">
            <v>0</v>
          </cell>
          <cell r="IX59">
            <v>0</v>
          </cell>
          <cell r="IY59">
            <v>0</v>
          </cell>
          <cell r="IZ59">
            <v>0</v>
          </cell>
          <cell r="JB59">
            <v>0</v>
          </cell>
          <cell r="JC59">
            <v>0</v>
          </cell>
          <cell r="JD59">
            <v>0</v>
          </cell>
          <cell r="JE59">
            <v>0</v>
          </cell>
          <cell r="JG59">
            <v>0</v>
          </cell>
          <cell r="JH59">
            <v>0</v>
          </cell>
          <cell r="JI59">
            <v>0</v>
          </cell>
          <cell r="JJ59">
            <v>0</v>
          </cell>
          <cell r="JL59">
            <v>0</v>
          </cell>
          <cell r="JM59">
            <v>0</v>
          </cell>
          <cell r="JN59">
            <v>0</v>
          </cell>
          <cell r="JO59">
            <v>0</v>
          </cell>
          <cell r="JQ59">
            <v>0</v>
          </cell>
          <cell r="JR59">
            <v>0</v>
          </cell>
          <cell r="JS59">
            <v>0</v>
          </cell>
          <cell r="JT59">
            <v>0</v>
          </cell>
          <cell r="JV59">
            <v>0</v>
          </cell>
          <cell r="JW59">
            <v>0</v>
          </cell>
          <cell r="JX59">
            <v>0</v>
          </cell>
          <cell r="JY59">
            <v>0</v>
          </cell>
          <cell r="KA59">
            <v>0</v>
          </cell>
          <cell r="KB59">
            <v>0</v>
          </cell>
          <cell r="KC59">
            <v>0</v>
          </cell>
          <cell r="KD59">
            <v>0</v>
          </cell>
          <cell r="KF59">
            <v>0</v>
          </cell>
          <cell r="KG59">
            <v>0</v>
          </cell>
          <cell r="KH59">
            <v>0</v>
          </cell>
          <cell r="KI59">
            <v>0</v>
          </cell>
          <cell r="KK59">
            <v>0</v>
          </cell>
          <cell r="KL59">
            <v>0</v>
          </cell>
          <cell r="KM59">
            <v>0</v>
          </cell>
          <cell r="KN59">
            <v>0</v>
          </cell>
          <cell r="KP59">
            <v>10.999999999999998</v>
          </cell>
          <cell r="KQ59">
            <v>39.000000000000007</v>
          </cell>
          <cell r="KR59">
            <v>6</v>
          </cell>
          <cell r="KT59">
            <v>19</v>
          </cell>
          <cell r="KV59">
            <v>10.999999999999998</v>
          </cell>
          <cell r="KW59">
            <v>20.000000000000007</v>
          </cell>
          <cell r="KX59">
            <v>6</v>
          </cell>
          <cell r="KZ59">
            <v>10.999999999999998</v>
          </cell>
          <cell r="LA59">
            <v>39.000000000000007</v>
          </cell>
          <cell r="LB59">
            <v>6</v>
          </cell>
          <cell r="LD59">
            <v>19</v>
          </cell>
          <cell r="LF59">
            <v>10.999999999999998</v>
          </cell>
          <cell r="LG59">
            <v>20.000000000000007</v>
          </cell>
          <cell r="LH59">
            <v>6</v>
          </cell>
          <cell r="LJ59">
            <v>11</v>
          </cell>
          <cell r="LK59">
            <v>39.000000000000007</v>
          </cell>
          <cell r="LL59">
            <v>6</v>
          </cell>
          <cell r="LN59">
            <v>19</v>
          </cell>
          <cell r="LP59">
            <v>11</v>
          </cell>
          <cell r="LQ59">
            <v>20.000000000000007</v>
          </cell>
          <cell r="LR59">
            <v>6</v>
          </cell>
          <cell r="LT59" t="str">
            <v>Asbury (Consolidated)-Asbury (Consolidated)</v>
          </cell>
        </row>
        <row r="60">
          <cell r="B60">
            <v>48</v>
          </cell>
          <cell r="C60">
            <v>52</v>
          </cell>
          <cell r="D60">
            <v>17520</v>
          </cell>
          <cell r="E60">
            <v>18980</v>
          </cell>
          <cell r="F60">
            <v>0.92307692307692324</v>
          </cell>
          <cell r="G60">
            <v>0.92307692307692324</v>
          </cell>
          <cell r="H60">
            <v>7.9999999999999988E-2</v>
          </cell>
          <cell r="I60">
            <v>0.63737150903302131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W60">
            <v>50.42739726027397</v>
          </cell>
          <cell r="X60">
            <v>52</v>
          </cell>
          <cell r="Y60">
            <v>18406</v>
          </cell>
          <cell r="Z60">
            <v>18980</v>
          </cell>
          <cell r="AA60">
            <v>0.9697576396206532</v>
          </cell>
          <cell r="AB60">
            <v>0.9697576396206532</v>
          </cell>
          <cell r="AC60">
            <v>7.9999999999999988E-2</v>
          </cell>
          <cell r="AD60">
            <v>0.40267899887416686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R60">
            <v>50</v>
          </cell>
          <cell r="AS60">
            <v>52</v>
          </cell>
          <cell r="AT60">
            <v>18300</v>
          </cell>
          <cell r="AU60">
            <v>19032</v>
          </cell>
          <cell r="AV60">
            <v>0.96153846153846156</v>
          </cell>
          <cell r="AW60">
            <v>0.96153846153846156</v>
          </cell>
          <cell r="AX60">
            <v>0.05</v>
          </cell>
          <cell r="AY60">
            <v>0.1231965526598774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H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0</v>
          </cell>
          <cell r="EY60">
            <v>0</v>
          </cell>
          <cell r="EZ60">
            <v>0</v>
          </cell>
          <cell r="FA60">
            <v>0</v>
          </cell>
          <cell r="FB60">
            <v>0</v>
          </cell>
          <cell r="FC60">
            <v>0</v>
          </cell>
          <cell r="FE60">
            <v>0</v>
          </cell>
          <cell r="FG60">
            <v>0</v>
          </cell>
          <cell r="FH60">
            <v>0</v>
          </cell>
          <cell r="FI60">
            <v>0</v>
          </cell>
          <cell r="FJ60">
            <v>0</v>
          </cell>
          <cell r="FK60">
            <v>0</v>
          </cell>
          <cell r="FL60">
            <v>0</v>
          </cell>
          <cell r="FM60">
            <v>0</v>
          </cell>
          <cell r="FN60">
            <v>0</v>
          </cell>
          <cell r="FO60">
            <v>0</v>
          </cell>
          <cell r="FP60">
            <v>0</v>
          </cell>
          <cell r="FQ60">
            <v>0</v>
          </cell>
          <cell r="FR60">
            <v>0</v>
          </cell>
          <cell r="FS60">
            <v>0</v>
          </cell>
          <cell r="FT60">
            <v>0</v>
          </cell>
          <cell r="FU60">
            <v>0</v>
          </cell>
          <cell r="FV60">
            <v>0</v>
          </cell>
          <cell r="FW60">
            <v>0</v>
          </cell>
          <cell r="FX60">
            <v>0</v>
          </cell>
          <cell r="FY60">
            <v>0</v>
          </cell>
          <cell r="FZ60">
            <v>0</v>
          </cell>
          <cell r="GA60">
            <v>0</v>
          </cell>
          <cell r="GB60">
            <v>0</v>
          </cell>
          <cell r="GC60">
            <v>0</v>
          </cell>
          <cell r="GD60">
            <v>0</v>
          </cell>
          <cell r="GE60">
            <v>0</v>
          </cell>
          <cell r="GF60">
            <v>0</v>
          </cell>
          <cell r="GG60">
            <v>0</v>
          </cell>
          <cell r="GH60">
            <v>0</v>
          </cell>
          <cell r="GI60">
            <v>0</v>
          </cell>
          <cell r="GJ60">
            <v>0</v>
          </cell>
          <cell r="GK60">
            <v>0</v>
          </cell>
          <cell r="GL60">
            <v>1</v>
          </cell>
          <cell r="GM60">
            <v>0</v>
          </cell>
          <cell r="GN60">
            <v>0</v>
          </cell>
          <cell r="GO60">
            <v>0</v>
          </cell>
          <cell r="GP60">
            <v>0</v>
          </cell>
          <cell r="GQ60">
            <v>0</v>
          </cell>
          <cell r="GR60">
            <v>0</v>
          </cell>
          <cell r="GS60">
            <v>0</v>
          </cell>
          <cell r="GT60">
            <v>0</v>
          </cell>
          <cell r="GU60">
            <v>0</v>
          </cell>
          <cell r="GV60">
            <v>0</v>
          </cell>
          <cell r="GW60">
            <v>0</v>
          </cell>
          <cell r="GX60">
            <v>0</v>
          </cell>
          <cell r="GY60">
            <v>0</v>
          </cell>
          <cell r="GZ60">
            <v>0</v>
          </cell>
          <cell r="HB60">
            <v>1</v>
          </cell>
          <cell r="HD60">
            <v>0</v>
          </cell>
          <cell r="HE60">
            <v>0</v>
          </cell>
          <cell r="HF60">
            <v>0</v>
          </cell>
          <cell r="HG60">
            <v>0</v>
          </cell>
          <cell r="HH60">
            <v>0</v>
          </cell>
          <cell r="HI60">
            <v>0</v>
          </cell>
          <cell r="HJ60">
            <v>0</v>
          </cell>
          <cell r="HK60">
            <v>0</v>
          </cell>
          <cell r="HL60">
            <v>0</v>
          </cell>
          <cell r="HM60">
            <v>0</v>
          </cell>
          <cell r="HN60">
            <v>0</v>
          </cell>
          <cell r="HO60">
            <v>0</v>
          </cell>
          <cell r="HQ60">
            <v>0</v>
          </cell>
          <cell r="HS60">
            <v>0</v>
          </cell>
          <cell r="HT60">
            <v>0</v>
          </cell>
          <cell r="HU60">
            <v>0</v>
          </cell>
          <cell r="HV60">
            <v>0</v>
          </cell>
          <cell r="HW60">
            <v>0</v>
          </cell>
          <cell r="HX60">
            <v>0</v>
          </cell>
          <cell r="HY60">
            <v>0</v>
          </cell>
          <cell r="HZ60">
            <v>0</v>
          </cell>
          <cell r="IA60">
            <v>0</v>
          </cell>
          <cell r="IB60">
            <v>0</v>
          </cell>
          <cell r="IC60">
            <v>0</v>
          </cell>
          <cell r="ID60">
            <v>0</v>
          </cell>
          <cell r="IF60">
            <v>0</v>
          </cell>
          <cell r="IH60">
            <v>0</v>
          </cell>
          <cell r="II60">
            <v>0</v>
          </cell>
          <cell r="IJ60">
            <v>0</v>
          </cell>
          <cell r="IK60">
            <v>0</v>
          </cell>
          <cell r="IL60">
            <v>0</v>
          </cell>
          <cell r="IM60">
            <v>0</v>
          </cell>
          <cell r="IN60">
            <v>0</v>
          </cell>
          <cell r="IO60">
            <v>0</v>
          </cell>
          <cell r="IP60">
            <v>0</v>
          </cell>
          <cell r="IQ60">
            <v>0</v>
          </cell>
          <cell r="IR60">
            <v>0</v>
          </cell>
          <cell r="IS60">
            <v>0</v>
          </cell>
          <cell r="IU60">
            <v>0</v>
          </cell>
          <cell r="IW60">
            <v>0</v>
          </cell>
          <cell r="IX60">
            <v>0</v>
          </cell>
          <cell r="IY60">
            <v>0</v>
          </cell>
          <cell r="IZ60">
            <v>0</v>
          </cell>
          <cell r="JB60">
            <v>0</v>
          </cell>
          <cell r="JC60">
            <v>0</v>
          </cell>
          <cell r="JD60">
            <v>0</v>
          </cell>
          <cell r="JE60">
            <v>0</v>
          </cell>
          <cell r="JG60">
            <v>0</v>
          </cell>
          <cell r="JH60">
            <v>0</v>
          </cell>
          <cell r="JI60">
            <v>0</v>
          </cell>
          <cell r="JJ60">
            <v>0</v>
          </cell>
          <cell r="JL60">
            <v>0</v>
          </cell>
          <cell r="JM60">
            <v>0</v>
          </cell>
          <cell r="JN60">
            <v>0</v>
          </cell>
          <cell r="JO60">
            <v>0</v>
          </cell>
          <cell r="JQ60">
            <v>0</v>
          </cell>
          <cell r="JR60">
            <v>0</v>
          </cell>
          <cell r="JS60">
            <v>0</v>
          </cell>
          <cell r="JT60">
            <v>0</v>
          </cell>
          <cell r="JV60">
            <v>0</v>
          </cell>
          <cell r="JW60">
            <v>0</v>
          </cell>
          <cell r="JX60">
            <v>0</v>
          </cell>
          <cell r="JY60">
            <v>0</v>
          </cell>
          <cell r="KA60">
            <v>0</v>
          </cell>
          <cell r="KB60">
            <v>0</v>
          </cell>
          <cell r="KC60">
            <v>0</v>
          </cell>
          <cell r="KD60">
            <v>0</v>
          </cell>
          <cell r="KF60">
            <v>0</v>
          </cell>
          <cell r="KG60">
            <v>0</v>
          </cell>
          <cell r="KH60">
            <v>0</v>
          </cell>
          <cell r="KI60">
            <v>0</v>
          </cell>
          <cell r="KK60">
            <v>0</v>
          </cell>
          <cell r="KL60">
            <v>0</v>
          </cell>
          <cell r="KM60">
            <v>0</v>
          </cell>
          <cell r="KN60">
            <v>0</v>
          </cell>
          <cell r="KP60">
            <v>0</v>
          </cell>
          <cell r="KQ60">
            <v>0</v>
          </cell>
          <cell r="KR60">
            <v>0</v>
          </cell>
          <cell r="KT60">
            <v>0</v>
          </cell>
          <cell r="KV60">
            <v>0</v>
          </cell>
          <cell r="KW60">
            <v>0</v>
          </cell>
          <cell r="KX60">
            <v>0</v>
          </cell>
          <cell r="KZ60">
            <v>0</v>
          </cell>
          <cell r="LA60">
            <v>0</v>
          </cell>
          <cell r="LB60">
            <v>0</v>
          </cell>
          <cell r="LD60">
            <v>0</v>
          </cell>
          <cell r="LF60">
            <v>0</v>
          </cell>
          <cell r="LG60">
            <v>0</v>
          </cell>
          <cell r="LH60">
            <v>0</v>
          </cell>
          <cell r="LJ60">
            <v>0</v>
          </cell>
          <cell r="LK60">
            <v>0</v>
          </cell>
          <cell r="LL60">
            <v>0</v>
          </cell>
          <cell r="LN60">
            <v>0</v>
          </cell>
          <cell r="LP60">
            <v>0</v>
          </cell>
          <cell r="LQ60">
            <v>0</v>
          </cell>
          <cell r="LR60">
            <v>0</v>
          </cell>
          <cell r="LT60" t="str">
            <v>835-21</v>
          </cell>
        </row>
        <row r="61">
          <cell r="B61">
            <v>72.929999999999993</v>
          </cell>
          <cell r="C61">
            <v>78</v>
          </cell>
          <cell r="D61">
            <v>26619.450000000008</v>
          </cell>
          <cell r="E61">
            <v>28470</v>
          </cell>
          <cell r="F61">
            <v>0.93500000000000039</v>
          </cell>
          <cell r="G61">
            <v>0.93500000000000039</v>
          </cell>
          <cell r="H61">
            <v>7.9999999999999988E-2</v>
          </cell>
          <cell r="I61">
            <v>2.4166115936996184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W61">
            <v>70.704109589041096</v>
          </cell>
          <cell r="X61">
            <v>78</v>
          </cell>
          <cell r="Y61">
            <v>25807</v>
          </cell>
          <cell r="Z61">
            <v>28470</v>
          </cell>
          <cell r="AA61">
            <v>0.90646294344924483</v>
          </cell>
          <cell r="AB61">
            <v>0.90646294344924483</v>
          </cell>
          <cell r="AC61">
            <v>7.9999999999999988E-2</v>
          </cell>
          <cell r="AD61">
            <v>2.3973584541207633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R61">
            <v>72</v>
          </cell>
          <cell r="AS61">
            <v>78</v>
          </cell>
          <cell r="AT61">
            <v>26352</v>
          </cell>
          <cell r="AU61">
            <v>28548</v>
          </cell>
          <cell r="AV61">
            <v>0.92307692307692324</v>
          </cell>
          <cell r="AW61">
            <v>0.92307692307692324</v>
          </cell>
          <cell r="AX61">
            <v>0.05</v>
          </cell>
          <cell r="AY61">
            <v>1.6639768130359609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5</v>
          </cell>
          <cell r="CR61">
            <v>0</v>
          </cell>
          <cell r="CS61">
            <v>13.999999999999998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H61">
            <v>19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5</v>
          </cell>
          <cell r="EO61">
            <v>0</v>
          </cell>
          <cell r="EP61">
            <v>13.999999999999998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0</v>
          </cell>
          <cell r="EY61">
            <v>0</v>
          </cell>
          <cell r="EZ61">
            <v>0</v>
          </cell>
          <cell r="FA61">
            <v>0</v>
          </cell>
          <cell r="FB61">
            <v>0</v>
          </cell>
          <cell r="FC61">
            <v>0</v>
          </cell>
          <cell r="FE61">
            <v>19</v>
          </cell>
          <cell r="FG61">
            <v>0</v>
          </cell>
          <cell r="FH61">
            <v>0</v>
          </cell>
          <cell r="FI61">
            <v>0</v>
          </cell>
          <cell r="FJ61">
            <v>0</v>
          </cell>
          <cell r="FK61">
            <v>0</v>
          </cell>
          <cell r="FL61">
            <v>0</v>
          </cell>
          <cell r="FM61">
            <v>0</v>
          </cell>
          <cell r="FN61">
            <v>0</v>
          </cell>
          <cell r="FO61">
            <v>0</v>
          </cell>
          <cell r="FP61">
            <v>0</v>
          </cell>
          <cell r="FQ61">
            <v>0</v>
          </cell>
          <cell r="FR61">
            <v>0</v>
          </cell>
          <cell r="FS61">
            <v>0</v>
          </cell>
          <cell r="FT61">
            <v>0</v>
          </cell>
          <cell r="FU61">
            <v>0</v>
          </cell>
          <cell r="FV61">
            <v>0</v>
          </cell>
          <cell r="FW61">
            <v>0</v>
          </cell>
          <cell r="FX61">
            <v>0</v>
          </cell>
          <cell r="FY61">
            <v>0</v>
          </cell>
          <cell r="FZ61">
            <v>0</v>
          </cell>
          <cell r="GA61">
            <v>0</v>
          </cell>
          <cell r="GB61">
            <v>0</v>
          </cell>
          <cell r="GC61">
            <v>0</v>
          </cell>
          <cell r="GD61">
            <v>0</v>
          </cell>
          <cell r="GE61">
            <v>0</v>
          </cell>
          <cell r="GF61">
            <v>0</v>
          </cell>
          <cell r="GG61">
            <v>0</v>
          </cell>
          <cell r="GH61">
            <v>0</v>
          </cell>
          <cell r="GI61">
            <v>0</v>
          </cell>
          <cell r="GJ61">
            <v>0</v>
          </cell>
          <cell r="GK61">
            <v>4</v>
          </cell>
          <cell r="GL61">
            <v>0</v>
          </cell>
          <cell r="GM61">
            <v>13.000000000000002</v>
          </cell>
          <cell r="GN61">
            <v>0</v>
          </cell>
          <cell r="GO61">
            <v>0</v>
          </cell>
          <cell r="GP61">
            <v>0</v>
          </cell>
          <cell r="GQ61">
            <v>0</v>
          </cell>
          <cell r="GR61">
            <v>0</v>
          </cell>
          <cell r="GS61">
            <v>0</v>
          </cell>
          <cell r="GT61">
            <v>0</v>
          </cell>
          <cell r="GU61">
            <v>0</v>
          </cell>
          <cell r="GV61">
            <v>0</v>
          </cell>
          <cell r="GW61">
            <v>0</v>
          </cell>
          <cell r="GX61">
            <v>0</v>
          </cell>
          <cell r="GY61">
            <v>0</v>
          </cell>
          <cell r="GZ61">
            <v>0</v>
          </cell>
          <cell r="HB61">
            <v>17</v>
          </cell>
          <cell r="HD61">
            <v>0</v>
          </cell>
          <cell r="HE61">
            <v>0</v>
          </cell>
          <cell r="HF61">
            <v>0</v>
          </cell>
          <cell r="HG61">
            <v>0</v>
          </cell>
          <cell r="HH61">
            <v>0</v>
          </cell>
          <cell r="HI61">
            <v>0</v>
          </cell>
          <cell r="HJ61">
            <v>0</v>
          </cell>
          <cell r="HK61">
            <v>0</v>
          </cell>
          <cell r="HL61">
            <v>0</v>
          </cell>
          <cell r="HM61">
            <v>0</v>
          </cell>
          <cell r="HN61">
            <v>0</v>
          </cell>
          <cell r="HO61">
            <v>0</v>
          </cell>
          <cell r="HQ61">
            <v>0</v>
          </cell>
          <cell r="HS61">
            <v>0</v>
          </cell>
          <cell r="HT61">
            <v>0</v>
          </cell>
          <cell r="HU61">
            <v>0</v>
          </cell>
          <cell r="HV61">
            <v>0</v>
          </cell>
          <cell r="HW61">
            <v>0</v>
          </cell>
          <cell r="HX61">
            <v>0</v>
          </cell>
          <cell r="HY61">
            <v>0</v>
          </cell>
          <cell r="HZ61">
            <v>0</v>
          </cell>
          <cell r="IA61">
            <v>0</v>
          </cell>
          <cell r="IB61">
            <v>0</v>
          </cell>
          <cell r="IC61">
            <v>0</v>
          </cell>
          <cell r="ID61">
            <v>0</v>
          </cell>
          <cell r="IF61">
            <v>0</v>
          </cell>
          <cell r="IH61">
            <v>0</v>
          </cell>
          <cell r="II61">
            <v>0</v>
          </cell>
          <cell r="IJ61">
            <v>0</v>
          </cell>
          <cell r="IK61">
            <v>0</v>
          </cell>
          <cell r="IL61">
            <v>0</v>
          </cell>
          <cell r="IM61">
            <v>0</v>
          </cell>
          <cell r="IN61">
            <v>0</v>
          </cell>
          <cell r="IO61">
            <v>0</v>
          </cell>
          <cell r="IP61">
            <v>0</v>
          </cell>
          <cell r="IQ61">
            <v>0</v>
          </cell>
          <cell r="IR61">
            <v>0</v>
          </cell>
          <cell r="IS61">
            <v>0</v>
          </cell>
          <cell r="IU61">
            <v>0</v>
          </cell>
          <cell r="IW61">
            <v>19</v>
          </cell>
          <cell r="IX61">
            <v>78.000000000000014</v>
          </cell>
          <cell r="IY61">
            <v>0</v>
          </cell>
          <cell r="IZ61">
            <v>0</v>
          </cell>
          <cell r="JB61">
            <v>5</v>
          </cell>
          <cell r="JC61">
            <v>13.999999999999998</v>
          </cell>
          <cell r="JD61">
            <v>0</v>
          </cell>
          <cell r="JE61">
            <v>0</v>
          </cell>
          <cell r="JG61">
            <v>5</v>
          </cell>
          <cell r="JH61">
            <v>13.999999999999998</v>
          </cell>
          <cell r="JI61">
            <v>14</v>
          </cell>
          <cell r="JJ61">
            <v>64.000000000000014</v>
          </cell>
          <cell r="JL61">
            <v>19</v>
          </cell>
          <cell r="JM61">
            <v>78.000000000000014</v>
          </cell>
          <cell r="JN61">
            <v>0</v>
          </cell>
          <cell r="JO61">
            <v>0</v>
          </cell>
          <cell r="JQ61">
            <v>5</v>
          </cell>
          <cell r="JR61">
            <v>13.999999999999998</v>
          </cell>
          <cell r="JS61">
            <v>0</v>
          </cell>
          <cell r="JT61">
            <v>0</v>
          </cell>
          <cell r="JV61">
            <v>5</v>
          </cell>
          <cell r="JW61">
            <v>13.999999999999998</v>
          </cell>
          <cell r="JX61">
            <v>14</v>
          </cell>
          <cell r="JY61">
            <v>64.000000000000014</v>
          </cell>
          <cell r="KA61">
            <v>17.999999999999996</v>
          </cell>
          <cell r="KB61">
            <v>77</v>
          </cell>
          <cell r="KC61">
            <v>0</v>
          </cell>
          <cell r="KD61">
            <v>0</v>
          </cell>
          <cell r="KF61">
            <v>4</v>
          </cell>
          <cell r="KG61">
            <v>13.000000000000002</v>
          </cell>
          <cell r="KH61">
            <v>0</v>
          </cell>
          <cell r="KI61">
            <v>0</v>
          </cell>
          <cell r="KK61">
            <v>4</v>
          </cell>
          <cell r="KL61">
            <v>13.000000000000002</v>
          </cell>
          <cell r="KM61">
            <v>13.999999999999996</v>
          </cell>
          <cell r="KN61">
            <v>64</v>
          </cell>
          <cell r="KP61">
            <v>0</v>
          </cell>
          <cell r="KQ61">
            <v>0</v>
          </cell>
          <cell r="KR61">
            <v>0</v>
          </cell>
          <cell r="KT61">
            <v>0</v>
          </cell>
          <cell r="KV61">
            <v>0</v>
          </cell>
          <cell r="KW61">
            <v>0</v>
          </cell>
          <cell r="KX61">
            <v>0</v>
          </cell>
          <cell r="KZ61">
            <v>0</v>
          </cell>
          <cell r="LA61">
            <v>0</v>
          </cell>
          <cell r="LB61">
            <v>0</v>
          </cell>
          <cell r="LD61">
            <v>0</v>
          </cell>
          <cell r="LF61">
            <v>0</v>
          </cell>
          <cell r="LG61">
            <v>0</v>
          </cell>
          <cell r="LH61">
            <v>0</v>
          </cell>
          <cell r="LJ61">
            <v>0</v>
          </cell>
          <cell r="LK61">
            <v>0</v>
          </cell>
          <cell r="LL61">
            <v>0</v>
          </cell>
          <cell r="LN61">
            <v>0</v>
          </cell>
          <cell r="LP61">
            <v>0</v>
          </cell>
          <cell r="LQ61">
            <v>0</v>
          </cell>
          <cell r="LR61">
            <v>0</v>
          </cell>
          <cell r="LT61" t="str">
            <v>835-31</v>
          </cell>
        </row>
        <row r="62">
          <cell r="B62">
            <v>36</v>
          </cell>
          <cell r="C62">
            <v>38</v>
          </cell>
          <cell r="D62">
            <v>13140</v>
          </cell>
          <cell r="E62">
            <v>13870</v>
          </cell>
          <cell r="F62">
            <v>0.94736842105263164</v>
          </cell>
          <cell r="G62">
            <v>0.94736842105263164</v>
          </cell>
          <cell r="H62">
            <v>7.9999999999999988E-2</v>
          </cell>
          <cell r="I62">
            <v>0.93744776147366404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W62">
            <v>34.104109589041094</v>
          </cell>
          <cell r="X62">
            <v>38</v>
          </cell>
          <cell r="Y62">
            <v>12448</v>
          </cell>
          <cell r="Z62">
            <v>13870</v>
          </cell>
          <cell r="AA62">
            <v>0.89747656813266041</v>
          </cell>
          <cell r="AB62">
            <v>0.89747656813266041</v>
          </cell>
          <cell r="AC62">
            <v>7.9999999999999988E-2</v>
          </cell>
          <cell r="AD62">
            <v>0.8773250960961444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R62">
            <v>35.340000000000003</v>
          </cell>
          <cell r="AS62">
            <v>38</v>
          </cell>
          <cell r="AT62">
            <v>12934.440000000004</v>
          </cell>
          <cell r="AU62">
            <v>13908</v>
          </cell>
          <cell r="AV62">
            <v>0.93000000000000038</v>
          </cell>
          <cell r="AW62">
            <v>0.93000000000000038</v>
          </cell>
          <cell r="AX62">
            <v>3.0000000000000009E-2</v>
          </cell>
          <cell r="AY62">
            <v>1.2433546229479606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M62">
            <v>0</v>
          </cell>
          <cell r="BN62">
            <v>0</v>
          </cell>
          <cell r="BO62">
            <v>3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H62">
            <v>3</v>
          </cell>
          <cell r="DJ62">
            <v>0</v>
          </cell>
          <cell r="DK62">
            <v>0</v>
          </cell>
          <cell r="DL62">
            <v>3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0</v>
          </cell>
          <cell r="EY62">
            <v>0</v>
          </cell>
          <cell r="EZ62">
            <v>0</v>
          </cell>
          <cell r="FA62">
            <v>0</v>
          </cell>
          <cell r="FB62">
            <v>0</v>
          </cell>
          <cell r="FC62">
            <v>0</v>
          </cell>
          <cell r="FE62">
            <v>3</v>
          </cell>
          <cell r="FG62">
            <v>0</v>
          </cell>
          <cell r="FH62">
            <v>0</v>
          </cell>
          <cell r="FI62">
            <v>1</v>
          </cell>
          <cell r="FJ62">
            <v>0</v>
          </cell>
          <cell r="FK62">
            <v>0</v>
          </cell>
          <cell r="FL62">
            <v>0</v>
          </cell>
          <cell r="FM62">
            <v>0</v>
          </cell>
          <cell r="FN62">
            <v>0</v>
          </cell>
          <cell r="FO62">
            <v>0</v>
          </cell>
          <cell r="FP62">
            <v>0</v>
          </cell>
          <cell r="FQ62">
            <v>0</v>
          </cell>
          <cell r="FR62">
            <v>0</v>
          </cell>
          <cell r="FS62">
            <v>0</v>
          </cell>
          <cell r="FT62">
            <v>0</v>
          </cell>
          <cell r="FU62">
            <v>0</v>
          </cell>
          <cell r="FV62">
            <v>0</v>
          </cell>
          <cell r="FW62">
            <v>0</v>
          </cell>
          <cell r="FX62">
            <v>0</v>
          </cell>
          <cell r="FY62">
            <v>0</v>
          </cell>
          <cell r="FZ62">
            <v>0</v>
          </cell>
          <cell r="GA62">
            <v>0</v>
          </cell>
          <cell r="GB62">
            <v>0</v>
          </cell>
          <cell r="GC62">
            <v>0</v>
          </cell>
          <cell r="GD62">
            <v>0</v>
          </cell>
          <cell r="GE62">
            <v>0</v>
          </cell>
          <cell r="GF62">
            <v>0</v>
          </cell>
          <cell r="GG62">
            <v>0</v>
          </cell>
          <cell r="GH62">
            <v>0</v>
          </cell>
          <cell r="GI62">
            <v>0</v>
          </cell>
          <cell r="GJ62">
            <v>0</v>
          </cell>
          <cell r="GK62">
            <v>0</v>
          </cell>
          <cell r="GL62">
            <v>0</v>
          </cell>
          <cell r="GM62">
            <v>0</v>
          </cell>
          <cell r="GN62">
            <v>0</v>
          </cell>
          <cell r="GO62">
            <v>0</v>
          </cell>
          <cell r="GP62">
            <v>0</v>
          </cell>
          <cell r="GQ62">
            <v>0</v>
          </cell>
          <cell r="GR62">
            <v>0</v>
          </cell>
          <cell r="GS62">
            <v>0</v>
          </cell>
          <cell r="GT62">
            <v>0</v>
          </cell>
          <cell r="GU62">
            <v>0</v>
          </cell>
          <cell r="GV62">
            <v>0</v>
          </cell>
          <cell r="GW62">
            <v>0</v>
          </cell>
          <cell r="GX62">
            <v>0</v>
          </cell>
          <cell r="GY62">
            <v>0</v>
          </cell>
          <cell r="GZ62">
            <v>0</v>
          </cell>
          <cell r="HB62">
            <v>1</v>
          </cell>
          <cell r="HD62">
            <v>0</v>
          </cell>
          <cell r="HE62">
            <v>0</v>
          </cell>
          <cell r="HF62">
            <v>0</v>
          </cell>
          <cell r="HG62">
            <v>0</v>
          </cell>
          <cell r="HH62">
            <v>0</v>
          </cell>
          <cell r="HI62">
            <v>0</v>
          </cell>
          <cell r="HJ62">
            <v>0</v>
          </cell>
          <cell r="HK62">
            <v>0</v>
          </cell>
          <cell r="HL62">
            <v>0</v>
          </cell>
          <cell r="HM62">
            <v>0</v>
          </cell>
          <cell r="HN62">
            <v>0</v>
          </cell>
          <cell r="HO62">
            <v>0</v>
          </cell>
          <cell r="HQ62">
            <v>0</v>
          </cell>
          <cell r="HS62">
            <v>0</v>
          </cell>
          <cell r="HT62">
            <v>0</v>
          </cell>
          <cell r="HU62">
            <v>0</v>
          </cell>
          <cell r="HV62">
            <v>0</v>
          </cell>
          <cell r="HW62">
            <v>0</v>
          </cell>
          <cell r="HX62">
            <v>0</v>
          </cell>
          <cell r="HY62">
            <v>0</v>
          </cell>
          <cell r="HZ62">
            <v>0</v>
          </cell>
          <cell r="IA62">
            <v>0</v>
          </cell>
          <cell r="IB62">
            <v>0</v>
          </cell>
          <cell r="IC62">
            <v>0</v>
          </cell>
          <cell r="ID62">
            <v>0</v>
          </cell>
          <cell r="IF62">
            <v>0</v>
          </cell>
          <cell r="IH62">
            <v>0</v>
          </cell>
          <cell r="II62">
            <v>0</v>
          </cell>
          <cell r="IJ62">
            <v>0</v>
          </cell>
          <cell r="IK62">
            <v>0</v>
          </cell>
          <cell r="IL62">
            <v>0</v>
          </cell>
          <cell r="IM62">
            <v>0</v>
          </cell>
          <cell r="IN62">
            <v>0</v>
          </cell>
          <cell r="IO62">
            <v>0</v>
          </cell>
          <cell r="IP62">
            <v>0</v>
          </cell>
          <cell r="IQ62">
            <v>0</v>
          </cell>
          <cell r="IR62">
            <v>0</v>
          </cell>
          <cell r="IS62">
            <v>0</v>
          </cell>
          <cell r="IU62">
            <v>0</v>
          </cell>
          <cell r="IW62">
            <v>0</v>
          </cell>
          <cell r="IX62">
            <v>0</v>
          </cell>
          <cell r="IY62">
            <v>0</v>
          </cell>
          <cell r="IZ62">
            <v>0</v>
          </cell>
          <cell r="JB62">
            <v>0</v>
          </cell>
          <cell r="JC62">
            <v>0</v>
          </cell>
          <cell r="JD62">
            <v>0</v>
          </cell>
          <cell r="JE62">
            <v>0</v>
          </cell>
          <cell r="JG62">
            <v>0</v>
          </cell>
          <cell r="JH62">
            <v>0</v>
          </cell>
          <cell r="JI62">
            <v>0</v>
          </cell>
          <cell r="JJ62">
            <v>0</v>
          </cell>
          <cell r="JL62">
            <v>0</v>
          </cell>
          <cell r="JM62">
            <v>0</v>
          </cell>
          <cell r="JN62">
            <v>0</v>
          </cell>
          <cell r="JO62">
            <v>0</v>
          </cell>
          <cell r="JQ62">
            <v>0</v>
          </cell>
          <cell r="JR62">
            <v>0</v>
          </cell>
          <cell r="JS62">
            <v>0</v>
          </cell>
          <cell r="JT62">
            <v>0</v>
          </cell>
          <cell r="JV62">
            <v>0</v>
          </cell>
          <cell r="JW62">
            <v>0</v>
          </cell>
          <cell r="JX62">
            <v>0</v>
          </cell>
          <cell r="JY62">
            <v>0</v>
          </cell>
          <cell r="KA62">
            <v>0</v>
          </cell>
          <cell r="KB62">
            <v>0</v>
          </cell>
          <cell r="KC62">
            <v>0</v>
          </cell>
          <cell r="KD62">
            <v>0</v>
          </cell>
          <cell r="KF62">
            <v>0</v>
          </cell>
          <cell r="KG62">
            <v>0</v>
          </cell>
          <cell r="KH62">
            <v>0</v>
          </cell>
          <cell r="KI62">
            <v>0</v>
          </cell>
          <cell r="KK62">
            <v>0</v>
          </cell>
          <cell r="KL62">
            <v>0</v>
          </cell>
          <cell r="KM62">
            <v>0</v>
          </cell>
          <cell r="KN62">
            <v>0</v>
          </cell>
          <cell r="KP62">
            <v>0</v>
          </cell>
          <cell r="KQ62">
            <v>0</v>
          </cell>
          <cell r="KR62">
            <v>0</v>
          </cell>
          <cell r="KT62">
            <v>0</v>
          </cell>
          <cell r="KV62">
            <v>0</v>
          </cell>
          <cell r="KW62">
            <v>0</v>
          </cell>
          <cell r="KX62">
            <v>0</v>
          </cell>
          <cell r="KZ62">
            <v>0</v>
          </cell>
          <cell r="LA62">
            <v>0</v>
          </cell>
          <cell r="LB62">
            <v>0</v>
          </cell>
          <cell r="LD62">
            <v>0</v>
          </cell>
          <cell r="LF62">
            <v>0</v>
          </cell>
          <cell r="LG62">
            <v>0</v>
          </cell>
          <cell r="LH62">
            <v>0</v>
          </cell>
          <cell r="LJ62">
            <v>0</v>
          </cell>
          <cell r="LK62">
            <v>0</v>
          </cell>
          <cell r="LL62">
            <v>0</v>
          </cell>
          <cell r="LN62">
            <v>0</v>
          </cell>
          <cell r="LP62">
            <v>0</v>
          </cell>
          <cell r="LQ62">
            <v>0</v>
          </cell>
          <cell r="LR62">
            <v>0</v>
          </cell>
          <cell r="LT62" t="str">
            <v>835-51</v>
          </cell>
        </row>
        <row r="63">
          <cell r="B63">
            <v>90</v>
          </cell>
          <cell r="C63">
            <v>119</v>
          </cell>
          <cell r="D63">
            <v>32850</v>
          </cell>
          <cell r="E63">
            <v>43435</v>
          </cell>
          <cell r="F63">
            <v>0.75630252100840334</v>
          </cell>
          <cell r="G63">
            <v>0.75630252100840334</v>
          </cell>
          <cell r="H63">
            <v>8.8999999999999982E-2</v>
          </cell>
          <cell r="I63">
            <v>1.2305812111559395</v>
          </cell>
          <cell r="J63">
            <v>8.0999999999999979</v>
          </cell>
          <cell r="K63">
            <v>4.5</v>
          </cell>
          <cell r="L63">
            <v>57.203999999999986</v>
          </cell>
          <cell r="M63">
            <v>0.999</v>
          </cell>
          <cell r="N63">
            <v>19.196999999999999</v>
          </cell>
          <cell r="O63">
            <v>0</v>
          </cell>
          <cell r="P63">
            <v>539.08000000000015</v>
          </cell>
          <cell r="Q63">
            <v>384.00000000000006</v>
          </cell>
          <cell r="R63">
            <v>206</v>
          </cell>
          <cell r="S63">
            <v>212.08000000000007</v>
          </cell>
          <cell r="T63">
            <v>456.7600000000001</v>
          </cell>
          <cell r="U63">
            <v>0</v>
          </cell>
          <cell r="W63">
            <v>92.468493150684935</v>
          </cell>
          <cell r="X63">
            <v>119</v>
          </cell>
          <cell r="Y63">
            <v>33751</v>
          </cell>
          <cell r="Z63">
            <v>43435</v>
          </cell>
          <cell r="AA63">
            <v>0.77704616093012546</v>
          </cell>
          <cell r="AB63">
            <v>0.77704616093012546</v>
          </cell>
          <cell r="AC63">
            <v>8.8999999999999982E-2</v>
          </cell>
          <cell r="AD63">
            <v>1.0372969519123294</v>
          </cell>
          <cell r="AE63">
            <v>7.7705084752417974</v>
          </cell>
          <cell r="AF63">
            <v>7.658656131985083</v>
          </cell>
          <cell r="AG63">
            <v>57.208951597039622</v>
          </cell>
          <cell r="AH63">
            <v>2.9439045880335075</v>
          </cell>
          <cell r="AI63">
            <v>16.904717558954456</v>
          </cell>
          <cell r="AJ63">
            <v>0</v>
          </cell>
          <cell r="AK63">
            <v>539.80045999744266</v>
          </cell>
          <cell r="AL63">
            <v>373.89462997431701</v>
          </cell>
          <cell r="AM63">
            <v>214.58134700761681</v>
          </cell>
          <cell r="AN63">
            <v>238.46670011602976</v>
          </cell>
          <cell r="AO63">
            <v>431.80298100371016</v>
          </cell>
          <cell r="AP63">
            <v>0</v>
          </cell>
          <cell r="AR63">
            <v>92</v>
          </cell>
          <cell r="AS63">
            <v>119</v>
          </cell>
          <cell r="AT63">
            <v>33672</v>
          </cell>
          <cell r="AU63">
            <v>43554</v>
          </cell>
          <cell r="AV63">
            <v>0.77310924369747902</v>
          </cell>
          <cell r="AW63">
            <v>0.77310924369747902</v>
          </cell>
          <cell r="AX63">
            <v>3.0000000000000009E-2</v>
          </cell>
          <cell r="AY63">
            <v>1.4009447429982449</v>
          </cell>
          <cell r="AZ63">
            <v>8.2799999999999994</v>
          </cell>
          <cell r="BA63">
            <v>8.0003200000000003</v>
          </cell>
          <cell r="BB63">
            <v>58.015200000000014</v>
          </cell>
          <cell r="BC63">
            <v>3.70024</v>
          </cell>
          <cell r="BD63">
            <v>14.000560000000004</v>
          </cell>
          <cell r="BE63">
            <v>0</v>
          </cell>
          <cell r="BF63">
            <v>545.42999999999995</v>
          </cell>
          <cell r="BG63">
            <v>387.09999999999991</v>
          </cell>
          <cell r="BH63">
            <v>222.72999999999993</v>
          </cell>
          <cell r="BI63">
            <v>229.99999999999991</v>
          </cell>
          <cell r="BJ63">
            <v>435.68000000000006</v>
          </cell>
          <cell r="BK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H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0</v>
          </cell>
          <cell r="EY63">
            <v>0</v>
          </cell>
          <cell r="EZ63">
            <v>0</v>
          </cell>
          <cell r="FA63">
            <v>0</v>
          </cell>
          <cell r="FB63">
            <v>0</v>
          </cell>
          <cell r="FC63">
            <v>0</v>
          </cell>
          <cell r="FE63">
            <v>0</v>
          </cell>
          <cell r="FG63">
            <v>0</v>
          </cell>
          <cell r="FH63">
            <v>0</v>
          </cell>
          <cell r="FI63">
            <v>0</v>
          </cell>
          <cell r="FJ63">
            <v>0</v>
          </cell>
          <cell r="FK63">
            <v>0</v>
          </cell>
          <cell r="FL63">
            <v>0</v>
          </cell>
          <cell r="FM63">
            <v>0</v>
          </cell>
          <cell r="FN63">
            <v>0</v>
          </cell>
          <cell r="FO63">
            <v>0</v>
          </cell>
          <cell r="FP63">
            <v>0</v>
          </cell>
          <cell r="FQ63">
            <v>0</v>
          </cell>
          <cell r="FR63">
            <v>0</v>
          </cell>
          <cell r="FS63">
            <v>0</v>
          </cell>
          <cell r="FT63">
            <v>0</v>
          </cell>
          <cell r="FU63">
            <v>0</v>
          </cell>
          <cell r="FV63">
            <v>0</v>
          </cell>
          <cell r="FW63">
            <v>0</v>
          </cell>
          <cell r="FX63">
            <v>0</v>
          </cell>
          <cell r="FY63">
            <v>0</v>
          </cell>
          <cell r="FZ63">
            <v>0</v>
          </cell>
          <cell r="GA63">
            <v>0</v>
          </cell>
          <cell r="GB63">
            <v>0</v>
          </cell>
          <cell r="GC63">
            <v>0</v>
          </cell>
          <cell r="GD63">
            <v>0</v>
          </cell>
          <cell r="GE63">
            <v>0</v>
          </cell>
          <cell r="GF63">
            <v>0</v>
          </cell>
          <cell r="GG63">
            <v>0</v>
          </cell>
          <cell r="GH63">
            <v>0</v>
          </cell>
          <cell r="GI63">
            <v>0</v>
          </cell>
          <cell r="GJ63">
            <v>0</v>
          </cell>
          <cell r="GK63">
            <v>0</v>
          </cell>
          <cell r="GL63">
            <v>0</v>
          </cell>
          <cell r="GM63">
            <v>0</v>
          </cell>
          <cell r="GN63">
            <v>0</v>
          </cell>
          <cell r="GO63">
            <v>0</v>
          </cell>
          <cell r="GP63">
            <v>0</v>
          </cell>
          <cell r="GQ63">
            <v>0</v>
          </cell>
          <cell r="GR63">
            <v>0</v>
          </cell>
          <cell r="GS63">
            <v>0</v>
          </cell>
          <cell r="GT63">
            <v>0</v>
          </cell>
          <cell r="GU63">
            <v>0</v>
          </cell>
          <cell r="GV63">
            <v>0</v>
          </cell>
          <cell r="GW63">
            <v>0</v>
          </cell>
          <cell r="GX63">
            <v>0</v>
          </cell>
          <cell r="GY63">
            <v>0</v>
          </cell>
          <cell r="GZ63">
            <v>0</v>
          </cell>
          <cell r="HB63">
            <v>0</v>
          </cell>
          <cell r="HD63">
            <v>0</v>
          </cell>
          <cell r="HE63">
            <v>0</v>
          </cell>
          <cell r="HF63">
            <v>0</v>
          </cell>
          <cell r="HG63">
            <v>0</v>
          </cell>
          <cell r="HH63">
            <v>0</v>
          </cell>
          <cell r="HI63">
            <v>0</v>
          </cell>
          <cell r="HJ63">
            <v>0</v>
          </cell>
          <cell r="HK63">
            <v>0</v>
          </cell>
          <cell r="HL63">
            <v>0</v>
          </cell>
          <cell r="HM63">
            <v>0</v>
          </cell>
          <cell r="HN63">
            <v>0</v>
          </cell>
          <cell r="HO63">
            <v>0</v>
          </cell>
          <cell r="HQ63">
            <v>0</v>
          </cell>
          <cell r="HS63">
            <v>0</v>
          </cell>
          <cell r="HT63">
            <v>0</v>
          </cell>
          <cell r="HU63">
            <v>0</v>
          </cell>
          <cell r="HV63">
            <v>0</v>
          </cell>
          <cell r="HW63">
            <v>0</v>
          </cell>
          <cell r="HX63">
            <v>0</v>
          </cell>
          <cell r="HY63">
            <v>0</v>
          </cell>
          <cell r="HZ63">
            <v>0</v>
          </cell>
          <cell r="IA63">
            <v>0</v>
          </cell>
          <cell r="IB63">
            <v>0</v>
          </cell>
          <cell r="IC63">
            <v>0</v>
          </cell>
          <cell r="ID63">
            <v>0</v>
          </cell>
          <cell r="IF63">
            <v>0</v>
          </cell>
          <cell r="IH63">
            <v>0</v>
          </cell>
          <cell r="II63">
            <v>0</v>
          </cell>
          <cell r="IJ63">
            <v>0</v>
          </cell>
          <cell r="IK63">
            <v>0</v>
          </cell>
          <cell r="IL63">
            <v>0</v>
          </cell>
          <cell r="IM63">
            <v>0</v>
          </cell>
          <cell r="IN63">
            <v>0</v>
          </cell>
          <cell r="IO63">
            <v>0</v>
          </cell>
          <cell r="IP63">
            <v>0</v>
          </cell>
          <cell r="IQ63">
            <v>0</v>
          </cell>
          <cell r="IR63">
            <v>0</v>
          </cell>
          <cell r="IS63">
            <v>0</v>
          </cell>
          <cell r="IU63">
            <v>0</v>
          </cell>
          <cell r="IW63">
            <v>0</v>
          </cell>
          <cell r="IX63">
            <v>0</v>
          </cell>
          <cell r="IY63">
            <v>0</v>
          </cell>
          <cell r="IZ63">
            <v>0</v>
          </cell>
          <cell r="JB63">
            <v>0</v>
          </cell>
          <cell r="JC63">
            <v>0</v>
          </cell>
          <cell r="JD63">
            <v>0</v>
          </cell>
          <cell r="JE63">
            <v>0</v>
          </cell>
          <cell r="JG63">
            <v>0</v>
          </cell>
          <cell r="JH63">
            <v>0</v>
          </cell>
          <cell r="JI63">
            <v>0</v>
          </cell>
          <cell r="JJ63">
            <v>0</v>
          </cell>
          <cell r="JL63">
            <v>0</v>
          </cell>
          <cell r="JM63">
            <v>0</v>
          </cell>
          <cell r="JN63">
            <v>0</v>
          </cell>
          <cell r="JO63">
            <v>0</v>
          </cell>
          <cell r="JQ63">
            <v>0</v>
          </cell>
          <cell r="JR63">
            <v>0</v>
          </cell>
          <cell r="JS63">
            <v>0</v>
          </cell>
          <cell r="JT63">
            <v>0</v>
          </cell>
          <cell r="JV63">
            <v>0</v>
          </cell>
          <cell r="JW63">
            <v>0</v>
          </cell>
          <cell r="JX63">
            <v>0</v>
          </cell>
          <cell r="JY63">
            <v>0</v>
          </cell>
          <cell r="KA63">
            <v>0</v>
          </cell>
          <cell r="KB63">
            <v>0</v>
          </cell>
          <cell r="KC63">
            <v>0</v>
          </cell>
          <cell r="KD63">
            <v>0</v>
          </cell>
          <cell r="KF63">
            <v>0</v>
          </cell>
          <cell r="KG63">
            <v>0</v>
          </cell>
          <cell r="KH63">
            <v>0</v>
          </cell>
          <cell r="KI63">
            <v>0</v>
          </cell>
          <cell r="KK63">
            <v>0</v>
          </cell>
          <cell r="KL63">
            <v>0</v>
          </cell>
          <cell r="KM63">
            <v>0</v>
          </cell>
          <cell r="KN63">
            <v>0</v>
          </cell>
          <cell r="KP63">
            <v>0</v>
          </cell>
          <cell r="KQ63">
            <v>0</v>
          </cell>
          <cell r="KR63">
            <v>0</v>
          </cell>
          <cell r="KT63">
            <v>0</v>
          </cell>
          <cell r="KV63">
            <v>0</v>
          </cell>
          <cell r="KW63">
            <v>0</v>
          </cell>
          <cell r="KX63">
            <v>0</v>
          </cell>
          <cell r="KZ63">
            <v>0</v>
          </cell>
          <cell r="LA63">
            <v>0</v>
          </cell>
          <cell r="LB63">
            <v>0</v>
          </cell>
          <cell r="LD63">
            <v>0</v>
          </cell>
          <cell r="LF63">
            <v>0</v>
          </cell>
          <cell r="LG63">
            <v>0</v>
          </cell>
          <cell r="LH63">
            <v>0</v>
          </cell>
          <cell r="LJ63">
            <v>0</v>
          </cell>
          <cell r="LK63">
            <v>0</v>
          </cell>
          <cell r="LL63">
            <v>0</v>
          </cell>
          <cell r="LN63">
            <v>0</v>
          </cell>
          <cell r="LP63">
            <v>0</v>
          </cell>
          <cell r="LQ63">
            <v>0</v>
          </cell>
          <cell r="LR63">
            <v>0</v>
          </cell>
          <cell r="LT63" t="str">
            <v>835-61</v>
          </cell>
        </row>
        <row r="64">
          <cell r="B64">
            <v>246.93000000000009</v>
          </cell>
          <cell r="C64">
            <v>287</v>
          </cell>
          <cell r="D64">
            <v>90129.45</v>
          </cell>
          <cell r="E64">
            <v>104755</v>
          </cell>
          <cell r="F64">
            <v>0.86038327526132397</v>
          </cell>
          <cell r="G64">
            <v>0.86038327526132397</v>
          </cell>
          <cell r="H64">
            <v>8.2250000000000018E-2</v>
          </cell>
          <cell r="I64">
            <v>1.2712114879258003</v>
          </cell>
          <cell r="J64">
            <v>8.0999999999999979</v>
          </cell>
          <cell r="K64">
            <v>4.5</v>
          </cell>
          <cell r="L64">
            <v>57.203999999999986</v>
          </cell>
          <cell r="M64">
            <v>0.999</v>
          </cell>
          <cell r="N64">
            <v>19.196999999999999</v>
          </cell>
          <cell r="O64">
            <v>0</v>
          </cell>
          <cell r="P64">
            <v>539.08000000000015</v>
          </cell>
          <cell r="Q64">
            <v>384.00000000000006</v>
          </cell>
          <cell r="R64">
            <v>206</v>
          </cell>
          <cell r="S64">
            <v>212.08000000000007</v>
          </cell>
          <cell r="T64">
            <v>456.7600000000001</v>
          </cell>
          <cell r="U64">
            <v>0</v>
          </cell>
          <cell r="W64">
            <v>247.70410958904111</v>
          </cell>
          <cell r="X64">
            <v>287</v>
          </cell>
          <cell r="Y64">
            <v>90412</v>
          </cell>
          <cell r="Z64">
            <v>104755</v>
          </cell>
          <cell r="AA64">
            <v>0.86308052121617107</v>
          </cell>
          <cell r="AB64">
            <v>0.86308052121617107</v>
          </cell>
          <cell r="AC64">
            <v>8.2250000000000018E-2</v>
          </cell>
          <cell r="AD64">
            <v>1.1194907429886141</v>
          </cell>
          <cell r="AE64">
            <v>7.7705084752417974</v>
          </cell>
          <cell r="AF64">
            <v>7.658656131985083</v>
          </cell>
          <cell r="AG64">
            <v>57.208951597039622</v>
          </cell>
          <cell r="AH64">
            <v>2.9439045880335075</v>
          </cell>
          <cell r="AI64">
            <v>16.904717558954456</v>
          </cell>
          <cell r="AJ64">
            <v>0</v>
          </cell>
          <cell r="AK64">
            <v>539.80045999744266</v>
          </cell>
          <cell r="AL64">
            <v>373.89462997431701</v>
          </cell>
          <cell r="AM64">
            <v>214.58134700761681</v>
          </cell>
          <cell r="AN64">
            <v>238.46670011602976</v>
          </cell>
          <cell r="AO64">
            <v>431.80298100371016</v>
          </cell>
          <cell r="AP64">
            <v>0</v>
          </cell>
          <cell r="AR64">
            <v>249.33999999999995</v>
          </cell>
          <cell r="AS64">
            <v>287</v>
          </cell>
          <cell r="AT64">
            <v>91258.44</v>
          </cell>
          <cell r="AU64">
            <v>105042</v>
          </cell>
          <cell r="AV64">
            <v>0.86878048780487793</v>
          </cell>
          <cell r="AW64">
            <v>0.86878048780487793</v>
          </cell>
          <cell r="AX64">
            <v>3.9999999999999994E-2</v>
          </cell>
          <cell r="AY64">
            <v>1.3169275105291949</v>
          </cell>
          <cell r="AZ64">
            <v>8.2799999999999994</v>
          </cell>
          <cell r="BA64">
            <v>8.0003200000000003</v>
          </cell>
          <cell r="BB64">
            <v>58.015200000000014</v>
          </cell>
          <cell r="BC64">
            <v>3.70024</v>
          </cell>
          <cell r="BD64">
            <v>14.000560000000004</v>
          </cell>
          <cell r="BE64">
            <v>0</v>
          </cell>
          <cell r="BF64">
            <v>545.42999999999995</v>
          </cell>
          <cell r="BG64">
            <v>387.09999999999991</v>
          </cell>
          <cell r="BH64">
            <v>222.72999999999993</v>
          </cell>
          <cell r="BI64">
            <v>229.99999999999991</v>
          </cell>
          <cell r="BJ64">
            <v>435.68000000000006</v>
          </cell>
          <cell r="BK64">
            <v>0</v>
          </cell>
          <cell r="BM64">
            <v>0</v>
          </cell>
          <cell r="BN64">
            <v>0</v>
          </cell>
          <cell r="BO64">
            <v>3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5</v>
          </cell>
          <cell r="CR64">
            <v>0</v>
          </cell>
          <cell r="CS64">
            <v>13.999999999999998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H64">
            <v>22</v>
          </cell>
          <cell r="DJ64">
            <v>0</v>
          </cell>
          <cell r="DK64">
            <v>0</v>
          </cell>
          <cell r="DL64">
            <v>3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5</v>
          </cell>
          <cell r="EO64">
            <v>0</v>
          </cell>
          <cell r="EP64">
            <v>13.999999999999998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0</v>
          </cell>
          <cell r="EY64">
            <v>0</v>
          </cell>
          <cell r="EZ64">
            <v>0</v>
          </cell>
          <cell r="FA64">
            <v>0</v>
          </cell>
          <cell r="FB64">
            <v>0</v>
          </cell>
          <cell r="FC64">
            <v>0</v>
          </cell>
          <cell r="FE64">
            <v>22</v>
          </cell>
          <cell r="FG64">
            <v>0</v>
          </cell>
          <cell r="FH64">
            <v>0</v>
          </cell>
          <cell r="FI64">
            <v>1</v>
          </cell>
          <cell r="FJ64">
            <v>0</v>
          </cell>
          <cell r="FK64">
            <v>0</v>
          </cell>
          <cell r="FL64">
            <v>0</v>
          </cell>
          <cell r="FM64">
            <v>0</v>
          </cell>
          <cell r="FN64">
            <v>0</v>
          </cell>
          <cell r="FO64">
            <v>0</v>
          </cell>
          <cell r="FP64">
            <v>0</v>
          </cell>
          <cell r="FQ64">
            <v>0</v>
          </cell>
          <cell r="FR64">
            <v>0</v>
          </cell>
          <cell r="FS64">
            <v>0</v>
          </cell>
          <cell r="FT64">
            <v>0</v>
          </cell>
          <cell r="FU64">
            <v>0</v>
          </cell>
          <cell r="FV64">
            <v>0</v>
          </cell>
          <cell r="FW64">
            <v>0</v>
          </cell>
          <cell r="FX64">
            <v>0</v>
          </cell>
          <cell r="FY64">
            <v>0</v>
          </cell>
          <cell r="FZ64">
            <v>0</v>
          </cell>
          <cell r="GA64">
            <v>0</v>
          </cell>
          <cell r="GB64">
            <v>0</v>
          </cell>
          <cell r="GC64">
            <v>0</v>
          </cell>
          <cell r="GD64">
            <v>0</v>
          </cell>
          <cell r="GE64">
            <v>0</v>
          </cell>
          <cell r="GF64">
            <v>0</v>
          </cell>
          <cell r="GG64">
            <v>0</v>
          </cell>
          <cell r="GH64">
            <v>0</v>
          </cell>
          <cell r="GI64">
            <v>0</v>
          </cell>
          <cell r="GJ64">
            <v>0</v>
          </cell>
          <cell r="GK64">
            <v>4</v>
          </cell>
          <cell r="GL64">
            <v>1</v>
          </cell>
          <cell r="GM64">
            <v>13.000000000000002</v>
          </cell>
          <cell r="GN64">
            <v>0</v>
          </cell>
          <cell r="GO64">
            <v>0</v>
          </cell>
          <cell r="GP64">
            <v>0</v>
          </cell>
          <cell r="GQ64">
            <v>0</v>
          </cell>
          <cell r="GR64">
            <v>0</v>
          </cell>
          <cell r="GS64">
            <v>0</v>
          </cell>
          <cell r="GT64">
            <v>0</v>
          </cell>
          <cell r="GU64">
            <v>0</v>
          </cell>
          <cell r="GV64">
            <v>0</v>
          </cell>
          <cell r="GW64">
            <v>0</v>
          </cell>
          <cell r="GX64">
            <v>0</v>
          </cell>
          <cell r="GY64">
            <v>0</v>
          </cell>
          <cell r="GZ64">
            <v>0</v>
          </cell>
          <cell r="HB64">
            <v>19</v>
          </cell>
          <cell r="HD64">
            <v>0</v>
          </cell>
          <cell r="HE64">
            <v>0</v>
          </cell>
          <cell r="HF64">
            <v>0</v>
          </cell>
          <cell r="HG64">
            <v>0</v>
          </cell>
          <cell r="HH64">
            <v>0</v>
          </cell>
          <cell r="HI64">
            <v>0</v>
          </cell>
          <cell r="HJ64">
            <v>0</v>
          </cell>
          <cell r="HK64">
            <v>0</v>
          </cell>
          <cell r="HL64">
            <v>0</v>
          </cell>
          <cell r="HM64">
            <v>0</v>
          </cell>
          <cell r="HN64">
            <v>0</v>
          </cell>
          <cell r="HO64">
            <v>0</v>
          </cell>
          <cell r="HQ64">
            <v>0</v>
          </cell>
          <cell r="HS64">
            <v>0</v>
          </cell>
          <cell r="HT64">
            <v>0</v>
          </cell>
          <cell r="HU64">
            <v>0</v>
          </cell>
          <cell r="HV64">
            <v>0</v>
          </cell>
          <cell r="HW64">
            <v>0</v>
          </cell>
          <cell r="HX64">
            <v>0</v>
          </cell>
          <cell r="HY64">
            <v>0</v>
          </cell>
          <cell r="HZ64">
            <v>0</v>
          </cell>
          <cell r="IA64">
            <v>0</v>
          </cell>
          <cell r="IB64">
            <v>0</v>
          </cell>
          <cell r="IC64">
            <v>0</v>
          </cell>
          <cell r="ID64">
            <v>0</v>
          </cell>
          <cell r="IF64">
            <v>0</v>
          </cell>
          <cell r="IH64">
            <v>0</v>
          </cell>
          <cell r="II64">
            <v>0</v>
          </cell>
          <cell r="IJ64">
            <v>0</v>
          </cell>
          <cell r="IK64">
            <v>0</v>
          </cell>
          <cell r="IL64">
            <v>0</v>
          </cell>
          <cell r="IM64">
            <v>0</v>
          </cell>
          <cell r="IN64">
            <v>0</v>
          </cell>
          <cell r="IO64">
            <v>0</v>
          </cell>
          <cell r="IP64">
            <v>0</v>
          </cell>
          <cell r="IQ64">
            <v>0</v>
          </cell>
          <cell r="IR64">
            <v>0</v>
          </cell>
          <cell r="IS64">
            <v>0</v>
          </cell>
          <cell r="IU64">
            <v>0</v>
          </cell>
          <cell r="IW64">
            <v>19</v>
          </cell>
          <cell r="IX64">
            <v>78.000000000000014</v>
          </cell>
          <cell r="IY64">
            <v>0</v>
          </cell>
          <cell r="IZ64">
            <v>0</v>
          </cell>
          <cell r="JB64">
            <v>5</v>
          </cell>
          <cell r="JC64">
            <v>13.999999999999998</v>
          </cell>
          <cell r="JD64">
            <v>0</v>
          </cell>
          <cell r="JE64">
            <v>0</v>
          </cell>
          <cell r="JG64">
            <v>5</v>
          </cell>
          <cell r="JH64">
            <v>13.999999999999998</v>
          </cell>
          <cell r="JI64">
            <v>14</v>
          </cell>
          <cell r="JJ64">
            <v>64.000000000000014</v>
          </cell>
          <cell r="JL64">
            <v>19</v>
          </cell>
          <cell r="JM64">
            <v>78.000000000000014</v>
          </cell>
          <cell r="JN64">
            <v>0</v>
          </cell>
          <cell r="JO64">
            <v>0</v>
          </cell>
          <cell r="JQ64">
            <v>5</v>
          </cell>
          <cell r="JR64">
            <v>13.999999999999998</v>
          </cell>
          <cell r="JS64">
            <v>0</v>
          </cell>
          <cell r="JT64">
            <v>0</v>
          </cell>
          <cell r="JV64">
            <v>5</v>
          </cell>
          <cell r="JW64">
            <v>13.999999999999998</v>
          </cell>
          <cell r="JX64">
            <v>14</v>
          </cell>
          <cell r="JY64">
            <v>64.000000000000014</v>
          </cell>
          <cell r="KA64">
            <v>17.999999999999996</v>
          </cell>
          <cell r="KB64">
            <v>77</v>
          </cell>
          <cell r="KC64">
            <v>0</v>
          </cell>
          <cell r="KD64">
            <v>0</v>
          </cell>
          <cell r="KF64">
            <v>4</v>
          </cell>
          <cell r="KG64">
            <v>13.000000000000002</v>
          </cell>
          <cell r="KH64">
            <v>0</v>
          </cell>
          <cell r="KI64">
            <v>0</v>
          </cell>
          <cell r="KK64">
            <v>4</v>
          </cell>
          <cell r="KL64">
            <v>13.000000000000002</v>
          </cell>
          <cell r="KM64">
            <v>13.999999999999996</v>
          </cell>
          <cell r="KN64">
            <v>64</v>
          </cell>
          <cell r="KP64">
            <v>0</v>
          </cell>
          <cell r="KQ64">
            <v>0</v>
          </cell>
          <cell r="KR64">
            <v>0</v>
          </cell>
          <cell r="KT64">
            <v>0</v>
          </cell>
          <cell r="KV64">
            <v>0</v>
          </cell>
          <cell r="KW64">
            <v>0</v>
          </cell>
          <cell r="KX64">
            <v>0</v>
          </cell>
          <cell r="KZ64">
            <v>0</v>
          </cell>
          <cell r="LA64">
            <v>0</v>
          </cell>
          <cell r="LB64">
            <v>0</v>
          </cell>
          <cell r="LD64">
            <v>0</v>
          </cell>
          <cell r="LF64">
            <v>0</v>
          </cell>
          <cell r="LG64">
            <v>0</v>
          </cell>
          <cell r="LH64">
            <v>0</v>
          </cell>
          <cell r="LJ64">
            <v>0</v>
          </cell>
          <cell r="LK64">
            <v>0</v>
          </cell>
          <cell r="LL64">
            <v>0</v>
          </cell>
          <cell r="LN64">
            <v>0</v>
          </cell>
          <cell r="LP64">
            <v>0</v>
          </cell>
          <cell r="LQ64">
            <v>0</v>
          </cell>
          <cell r="LR64">
            <v>0</v>
          </cell>
          <cell r="LT64" t="str">
            <v>835-Entity</v>
          </cell>
        </row>
        <row r="65">
          <cell r="B65">
            <v>62</v>
          </cell>
          <cell r="C65">
            <v>66</v>
          </cell>
          <cell r="D65">
            <v>22630</v>
          </cell>
          <cell r="E65">
            <v>24090</v>
          </cell>
          <cell r="F65">
            <v>0.93939393939393945</v>
          </cell>
          <cell r="G65">
            <v>0.93939393939393945</v>
          </cell>
          <cell r="H65">
            <v>7.9999999999999988E-2</v>
          </cell>
          <cell r="I65">
            <v>0.22985095953412235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W65">
            <v>62.798630136986304</v>
          </cell>
          <cell r="X65">
            <v>66</v>
          </cell>
          <cell r="Y65">
            <v>22921.5</v>
          </cell>
          <cell r="Z65">
            <v>24090</v>
          </cell>
          <cell r="AA65">
            <v>0.95149439601494401</v>
          </cell>
          <cell r="AB65">
            <v>0.95149439601494401</v>
          </cell>
          <cell r="AC65">
            <v>7.9999999999999988E-2</v>
          </cell>
          <cell r="AD65">
            <v>0.16572896801416381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R65">
            <v>62</v>
          </cell>
          <cell r="AS65">
            <v>66</v>
          </cell>
          <cell r="AT65">
            <v>22692</v>
          </cell>
          <cell r="AU65">
            <v>24156</v>
          </cell>
          <cell r="AV65">
            <v>0.93939393939393945</v>
          </cell>
          <cell r="AW65">
            <v>0.93939393939393945</v>
          </cell>
          <cell r="AX65">
            <v>3.9999999999999994E-2</v>
          </cell>
          <cell r="AY65">
            <v>0.10734899014614284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24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H65">
            <v>24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24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0</v>
          </cell>
          <cell r="EY65">
            <v>0</v>
          </cell>
          <cell r="EZ65">
            <v>0</v>
          </cell>
          <cell r="FA65">
            <v>0</v>
          </cell>
          <cell r="FB65">
            <v>0</v>
          </cell>
          <cell r="FC65">
            <v>0</v>
          </cell>
          <cell r="FE65">
            <v>24</v>
          </cell>
          <cell r="FG65">
            <v>0</v>
          </cell>
          <cell r="FH65">
            <v>0</v>
          </cell>
          <cell r="FI65">
            <v>0</v>
          </cell>
          <cell r="FJ65">
            <v>0</v>
          </cell>
          <cell r="FK65">
            <v>0</v>
          </cell>
          <cell r="FL65">
            <v>0</v>
          </cell>
          <cell r="FM65">
            <v>0</v>
          </cell>
          <cell r="FN65">
            <v>0</v>
          </cell>
          <cell r="FO65">
            <v>0</v>
          </cell>
          <cell r="FP65">
            <v>0</v>
          </cell>
          <cell r="FQ65">
            <v>0</v>
          </cell>
          <cell r="FR65">
            <v>0</v>
          </cell>
          <cell r="FS65">
            <v>0</v>
          </cell>
          <cell r="FT65">
            <v>0</v>
          </cell>
          <cell r="FU65">
            <v>0</v>
          </cell>
          <cell r="FV65">
            <v>0</v>
          </cell>
          <cell r="FW65">
            <v>0</v>
          </cell>
          <cell r="FX65">
            <v>0</v>
          </cell>
          <cell r="FY65">
            <v>0</v>
          </cell>
          <cell r="FZ65">
            <v>0</v>
          </cell>
          <cell r="GA65">
            <v>0</v>
          </cell>
          <cell r="GB65">
            <v>0</v>
          </cell>
          <cell r="GC65">
            <v>0</v>
          </cell>
          <cell r="GD65">
            <v>0</v>
          </cell>
          <cell r="GE65">
            <v>24</v>
          </cell>
          <cell r="GF65">
            <v>0</v>
          </cell>
          <cell r="GG65">
            <v>0</v>
          </cell>
          <cell r="GH65">
            <v>0</v>
          </cell>
          <cell r="GI65">
            <v>0</v>
          </cell>
          <cell r="GJ65">
            <v>0</v>
          </cell>
          <cell r="GK65">
            <v>0</v>
          </cell>
          <cell r="GL65">
            <v>0</v>
          </cell>
          <cell r="GM65">
            <v>0</v>
          </cell>
          <cell r="GN65">
            <v>0</v>
          </cell>
          <cell r="GO65">
            <v>0</v>
          </cell>
          <cell r="GP65">
            <v>0</v>
          </cell>
          <cell r="GQ65">
            <v>0</v>
          </cell>
          <cell r="GR65">
            <v>0</v>
          </cell>
          <cell r="GS65">
            <v>0</v>
          </cell>
          <cell r="GT65">
            <v>0</v>
          </cell>
          <cell r="GU65">
            <v>0</v>
          </cell>
          <cell r="GV65">
            <v>0</v>
          </cell>
          <cell r="GW65">
            <v>0</v>
          </cell>
          <cell r="GX65">
            <v>0</v>
          </cell>
          <cell r="GY65">
            <v>0</v>
          </cell>
          <cell r="GZ65">
            <v>0</v>
          </cell>
          <cell r="HB65">
            <v>24</v>
          </cell>
          <cell r="HD65">
            <v>0</v>
          </cell>
          <cell r="HE65">
            <v>0</v>
          </cell>
          <cell r="HF65">
            <v>0</v>
          </cell>
          <cell r="HG65">
            <v>0</v>
          </cell>
          <cell r="HH65">
            <v>0</v>
          </cell>
          <cell r="HI65">
            <v>0</v>
          </cell>
          <cell r="HJ65">
            <v>0</v>
          </cell>
          <cell r="HK65">
            <v>0</v>
          </cell>
          <cell r="HL65">
            <v>0</v>
          </cell>
          <cell r="HM65">
            <v>0</v>
          </cell>
          <cell r="HN65">
            <v>0</v>
          </cell>
          <cell r="HO65">
            <v>0</v>
          </cell>
          <cell r="HQ65">
            <v>0</v>
          </cell>
          <cell r="HS65">
            <v>0</v>
          </cell>
          <cell r="HT65">
            <v>0</v>
          </cell>
          <cell r="HU65">
            <v>0</v>
          </cell>
          <cell r="HV65">
            <v>0</v>
          </cell>
          <cell r="HW65">
            <v>0</v>
          </cell>
          <cell r="HX65">
            <v>0</v>
          </cell>
          <cell r="HY65">
            <v>0</v>
          </cell>
          <cell r="HZ65">
            <v>0</v>
          </cell>
          <cell r="IA65">
            <v>0</v>
          </cell>
          <cell r="IB65">
            <v>0</v>
          </cell>
          <cell r="IC65">
            <v>0</v>
          </cell>
          <cell r="ID65">
            <v>0</v>
          </cell>
          <cell r="IF65">
            <v>0</v>
          </cell>
          <cell r="IH65">
            <v>0</v>
          </cell>
          <cell r="II65">
            <v>0</v>
          </cell>
          <cell r="IJ65">
            <v>0</v>
          </cell>
          <cell r="IK65">
            <v>0</v>
          </cell>
          <cell r="IL65">
            <v>0</v>
          </cell>
          <cell r="IM65">
            <v>0</v>
          </cell>
          <cell r="IN65">
            <v>0</v>
          </cell>
          <cell r="IO65">
            <v>0</v>
          </cell>
          <cell r="IP65">
            <v>0</v>
          </cell>
          <cell r="IQ65">
            <v>0</v>
          </cell>
          <cell r="IR65">
            <v>0</v>
          </cell>
          <cell r="IS65">
            <v>0</v>
          </cell>
          <cell r="IU65">
            <v>0</v>
          </cell>
          <cell r="IW65">
            <v>0</v>
          </cell>
          <cell r="IX65">
            <v>0</v>
          </cell>
          <cell r="IY65">
            <v>0</v>
          </cell>
          <cell r="IZ65">
            <v>0</v>
          </cell>
          <cell r="JB65">
            <v>0</v>
          </cell>
          <cell r="JC65">
            <v>0</v>
          </cell>
          <cell r="JD65">
            <v>0</v>
          </cell>
          <cell r="JE65">
            <v>0</v>
          </cell>
          <cell r="JG65">
            <v>0</v>
          </cell>
          <cell r="JH65">
            <v>0</v>
          </cell>
          <cell r="JI65">
            <v>0</v>
          </cell>
          <cell r="JJ65">
            <v>0</v>
          </cell>
          <cell r="JL65">
            <v>0</v>
          </cell>
          <cell r="JM65">
            <v>0</v>
          </cell>
          <cell r="JN65">
            <v>0</v>
          </cell>
          <cell r="JO65">
            <v>0</v>
          </cell>
          <cell r="JQ65">
            <v>0</v>
          </cell>
          <cell r="JR65">
            <v>0</v>
          </cell>
          <cell r="JS65">
            <v>0</v>
          </cell>
          <cell r="JT65">
            <v>0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KA65">
            <v>0</v>
          </cell>
          <cell r="KB65">
            <v>0</v>
          </cell>
          <cell r="KC65">
            <v>0</v>
          </cell>
          <cell r="KD65">
            <v>0</v>
          </cell>
          <cell r="KF65">
            <v>0</v>
          </cell>
          <cell r="KG65">
            <v>0</v>
          </cell>
          <cell r="KH65">
            <v>0</v>
          </cell>
          <cell r="KI65">
            <v>0</v>
          </cell>
          <cell r="KK65">
            <v>0</v>
          </cell>
          <cell r="KL65">
            <v>0</v>
          </cell>
          <cell r="KM65">
            <v>0</v>
          </cell>
          <cell r="KN65">
            <v>0</v>
          </cell>
          <cell r="KP65">
            <v>0</v>
          </cell>
          <cell r="KQ65">
            <v>0</v>
          </cell>
          <cell r="KR65">
            <v>0</v>
          </cell>
          <cell r="KT65">
            <v>0</v>
          </cell>
          <cell r="KV65">
            <v>0</v>
          </cell>
          <cell r="KW65">
            <v>0</v>
          </cell>
          <cell r="KX65">
            <v>0</v>
          </cell>
          <cell r="KZ65">
            <v>0</v>
          </cell>
          <cell r="LA65">
            <v>0</v>
          </cell>
          <cell r="LB65">
            <v>0</v>
          </cell>
          <cell r="LD65">
            <v>0</v>
          </cell>
          <cell r="LF65">
            <v>0</v>
          </cell>
          <cell r="LG65">
            <v>0</v>
          </cell>
          <cell r="LH65">
            <v>0</v>
          </cell>
          <cell r="LJ65">
            <v>0</v>
          </cell>
          <cell r="LK65">
            <v>0</v>
          </cell>
          <cell r="LL65">
            <v>0</v>
          </cell>
          <cell r="LN65">
            <v>0</v>
          </cell>
          <cell r="LP65">
            <v>0</v>
          </cell>
          <cell r="LQ65">
            <v>0</v>
          </cell>
          <cell r="LR65">
            <v>0</v>
          </cell>
          <cell r="LT65" t="str">
            <v>840-21</v>
          </cell>
        </row>
        <row r="66">
          <cell r="B66">
            <v>86.24</v>
          </cell>
          <cell r="C66">
            <v>88</v>
          </cell>
          <cell r="D66">
            <v>31477.599999999995</v>
          </cell>
          <cell r="E66">
            <v>32120</v>
          </cell>
          <cell r="F66">
            <v>0.98</v>
          </cell>
          <cell r="G66">
            <v>0.98</v>
          </cell>
          <cell r="H66">
            <v>7.9999999999999988E-2</v>
          </cell>
          <cell r="I66">
            <v>2.016101291839969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W66">
            <v>84.126027397260273</v>
          </cell>
          <cell r="X66">
            <v>88</v>
          </cell>
          <cell r="Y66">
            <v>30706</v>
          </cell>
          <cell r="Z66">
            <v>32120</v>
          </cell>
          <cell r="AA66">
            <v>0.95597758405977584</v>
          </cell>
          <cell r="AB66">
            <v>0.95597758405977584</v>
          </cell>
          <cell r="AC66">
            <v>7.9999999999999988E-2</v>
          </cell>
          <cell r="AD66">
            <v>2.2789279368354389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R66">
            <v>84.47999999999999</v>
          </cell>
          <cell r="AS66">
            <v>88</v>
          </cell>
          <cell r="AT66">
            <v>30919.680000000004</v>
          </cell>
          <cell r="AU66">
            <v>32208</v>
          </cell>
          <cell r="AV66">
            <v>0.96</v>
          </cell>
          <cell r="AW66">
            <v>0.96</v>
          </cell>
          <cell r="AX66">
            <v>3.9999999999999994E-2</v>
          </cell>
          <cell r="AY66">
            <v>2.2716865729999238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2</v>
          </cell>
          <cell r="CK66">
            <v>0</v>
          </cell>
          <cell r="CL66">
            <v>18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H66">
            <v>20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2</v>
          </cell>
          <cell r="EH66">
            <v>0</v>
          </cell>
          <cell r="EI66">
            <v>18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>
            <v>0</v>
          </cell>
          <cell r="EY66">
            <v>0</v>
          </cell>
          <cell r="EZ66">
            <v>0</v>
          </cell>
          <cell r="FA66">
            <v>0</v>
          </cell>
          <cell r="FB66">
            <v>0</v>
          </cell>
          <cell r="FC66">
            <v>0</v>
          </cell>
          <cell r="FE66">
            <v>20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0</v>
          </cell>
          <cell r="FY66">
            <v>0</v>
          </cell>
          <cell r="FZ66">
            <v>0</v>
          </cell>
          <cell r="GA66">
            <v>0</v>
          </cell>
          <cell r="GB66">
            <v>0</v>
          </cell>
          <cell r="GC66">
            <v>0</v>
          </cell>
          <cell r="GD66">
            <v>0</v>
          </cell>
          <cell r="GE66">
            <v>0</v>
          </cell>
          <cell r="GF66">
            <v>18</v>
          </cell>
          <cell r="GG66">
            <v>0</v>
          </cell>
          <cell r="GH66">
            <v>0</v>
          </cell>
          <cell r="GI66">
            <v>0</v>
          </cell>
          <cell r="GJ66">
            <v>0</v>
          </cell>
          <cell r="GK66">
            <v>0</v>
          </cell>
          <cell r="GL66">
            <v>0</v>
          </cell>
          <cell r="GM66">
            <v>0</v>
          </cell>
          <cell r="GN66">
            <v>0</v>
          </cell>
          <cell r="GO66">
            <v>0</v>
          </cell>
          <cell r="GP66">
            <v>0</v>
          </cell>
          <cell r="GQ66">
            <v>0</v>
          </cell>
          <cell r="GR66">
            <v>0</v>
          </cell>
          <cell r="GS66">
            <v>0</v>
          </cell>
          <cell r="GT66">
            <v>0</v>
          </cell>
          <cell r="GU66">
            <v>0</v>
          </cell>
          <cell r="GV66">
            <v>0</v>
          </cell>
          <cell r="GW66">
            <v>0</v>
          </cell>
          <cell r="GX66">
            <v>0</v>
          </cell>
          <cell r="GY66">
            <v>0</v>
          </cell>
          <cell r="GZ66">
            <v>0</v>
          </cell>
          <cell r="HB66">
            <v>18</v>
          </cell>
          <cell r="HD66">
            <v>0</v>
          </cell>
          <cell r="HE66">
            <v>0</v>
          </cell>
          <cell r="HF66">
            <v>0</v>
          </cell>
          <cell r="HG66">
            <v>0</v>
          </cell>
          <cell r="HH66">
            <v>0</v>
          </cell>
          <cell r="HI66">
            <v>0</v>
          </cell>
          <cell r="HJ66">
            <v>0</v>
          </cell>
          <cell r="HK66">
            <v>0</v>
          </cell>
          <cell r="HL66">
            <v>0</v>
          </cell>
          <cell r="HM66">
            <v>0</v>
          </cell>
          <cell r="HN66">
            <v>0</v>
          </cell>
          <cell r="HO66">
            <v>0</v>
          </cell>
          <cell r="HQ66">
            <v>0</v>
          </cell>
          <cell r="HS66">
            <v>0</v>
          </cell>
          <cell r="HT66">
            <v>0</v>
          </cell>
          <cell r="HU66">
            <v>0</v>
          </cell>
          <cell r="HV66">
            <v>0</v>
          </cell>
          <cell r="HW66">
            <v>0</v>
          </cell>
          <cell r="HX66">
            <v>0</v>
          </cell>
          <cell r="HY66">
            <v>0</v>
          </cell>
          <cell r="HZ66">
            <v>0</v>
          </cell>
          <cell r="IA66">
            <v>0</v>
          </cell>
          <cell r="IB66">
            <v>0</v>
          </cell>
          <cell r="IC66">
            <v>0</v>
          </cell>
          <cell r="ID66">
            <v>0</v>
          </cell>
          <cell r="IF66">
            <v>0</v>
          </cell>
          <cell r="IH66">
            <v>0</v>
          </cell>
          <cell r="II66">
            <v>0</v>
          </cell>
          <cell r="IJ66">
            <v>0</v>
          </cell>
          <cell r="IK66">
            <v>0</v>
          </cell>
          <cell r="IL66">
            <v>0</v>
          </cell>
          <cell r="IM66">
            <v>0</v>
          </cell>
          <cell r="IN66">
            <v>0</v>
          </cell>
          <cell r="IO66">
            <v>0</v>
          </cell>
          <cell r="IP66">
            <v>0</v>
          </cell>
          <cell r="IQ66">
            <v>0</v>
          </cell>
          <cell r="IR66">
            <v>0</v>
          </cell>
          <cell r="IS66">
            <v>0</v>
          </cell>
          <cell r="IU66">
            <v>0</v>
          </cell>
          <cell r="IW66">
            <v>0</v>
          </cell>
          <cell r="IX66">
            <v>0</v>
          </cell>
          <cell r="IY66">
            <v>15</v>
          </cell>
          <cell r="IZ66">
            <v>93</v>
          </cell>
          <cell r="JB66">
            <v>0</v>
          </cell>
          <cell r="JC66">
            <v>0</v>
          </cell>
          <cell r="JD66">
            <v>2</v>
          </cell>
          <cell r="JE66">
            <v>18</v>
          </cell>
          <cell r="JG66">
            <v>2</v>
          </cell>
          <cell r="JH66">
            <v>18</v>
          </cell>
          <cell r="JI66">
            <v>13</v>
          </cell>
          <cell r="JJ66">
            <v>75</v>
          </cell>
          <cell r="JL66">
            <v>0</v>
          </cell>
          <cell r="JM66">
            <v>0</v>
          </cell>
          <cell r="JN66">
            <v>15</v>
          </cell>
          <cell r="JO66">
            <v>93</v>
          </cell>
          <cell r="JQ66">
            <v>0</v>
          </cell>
          <cell r="JR66">
            <v>0</v>
          </cell>
          <cell r="JS66">
            <v>2</v>
          </cell>
          <cell r="JT66">
            <v>18</v>
          </cell>
          <cell r="JV66">
            <v>2</v>
          </cell>
          <cell r="JW66">
            <v>18</v>
          </cell>
          <cell r="JX66">
            <v>13</v>
          </cell>
          <cell r="JY66">
            <v>75</v>
          </cell>
          <cell r="KA66">
            <v>0</v>
          </cell>
          <cell r="KB66">
            <v>0</v>
          </cell>
          <cell r="KC66">
            <v>13.000000000000002</v>
          </cell>
          <cell r="KD66">
            <v>93</v>
          </cell>
          <cell r="KF66">
            <v>0</v>
          </cell>
          <cell r="KG66">
            <v>0</v>
          </cell>
          <cell r="KH66">
            <v>0</v>
          </cell>
          <cell r="KI66">
            <v>18</v>
          </cell>
          <cell r="KK66">
            <v>0</v>
          </cell>
          <cell r="KL66">
            <v>18</v>
          </cell>
          <cell r="KM66">
            <v>13.000000000000002</v>
          </cell>
          <cell r="KN66">
            <v>75</v>
          </cell>
          <cell r="KP66">
            <v>0</v>
          </cell>
          <cell r="KQ66">
            <v>0</v>
          </cell>
          <cell r="KR66">
            <v>0</v>
          </cell>
          <cell r="KT66">
            <v>0</v>
          </cell>
          <cell r="KV66">
            <v>0</v>
          </cell>
          <cell r="KW66">
            <v>0</v>
          </cell>
          <cell r="KX66">
            <v>0</v>
          </cell>
          <cell r="KZ66">
            <v>0</v>
          </cell>
          <cell r="LA66">
            <v>0</v>
          </cell>
          <cell r="LB66">
            <v>0</v>
          </cell>
          <cell r="LD66">
            <v>0</v>
          </cell>
          <cell r="LF66">
            <v>0</v>
          </cell>
          <cell r="LG66">
            <v>0</v>
          </cell>
          <cell r="LH66">
            <v>0</v>
          </cell>
          <cell r="LJ66">
            <v>0</v>
          </cell>
          <cell r="LK66">
            <v>0</v>
          </cell>
          <cell r="LL66">
            <v>0</v>
          </cell>
          <cell r="LN66">
            <v>0</v>
          </cell>
          <cell r="LP66">
            <v>0</v>
          </cell>
          <cell r="LQ66">
            <v>0</v>
          </cell>
          <cell r="LR66">
            <v>0</v>
          </cell>
          <cell r="LT66" t="str">
            <v>840-31</v>
          </cell>
        </row>
        <row r="67">
          <cell r="B67">
            <v>7</v>
          </cell>
          <cell r="C67">
            <v>9</v>
          </cell>
          <cell r="D67">
            <v>2555</v>
          </cell>
          <cell r="E67">
            <v>3285</v>
          </cell>
          <cell r="F67">
            <v>0.77777777777777779</v>
          </cell>
          <cell r="G67">
            <v>0.77777777777777779</v>
          </cell>
          <cell r="H67">
            <v>7.9999999999999988E-2</v>
          </cell>
          <cell r="I67">
            <v>1.6052680845371972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W67">
            <v>8.5835616438356173</v>
          </cell>
          <cell r="X67">
            <v>9</v>
          </cell>
          <cell r="Y67">
            <v>3133</v>
          </cell>
          <cell r="Z67">
            <v>3285</v>
          </cell>
          <cell r="AA67">
            <v>0.95372907153729081</v>
          </cell>
          <cell r="AB67">
            <v>0.95372907153729081</v>
          </cell>
          <cell r="AC67">
            <v>7.9999999999999988E-2</v>
          </cell>
          <cell r="AD67">
            <v>1.3741061320266197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R67">
            <v>8</v>
          </cell>
          <cell r="AS67">
            <v>9</v>
          </cell>
          <cell r="AT67">
            <v>2928</v>
          </cell>
          <cell r="AU67">
            <v>3294</v>
          </cell>
          <cell r="AV67">
            <v>0.88888888888888884</v>
          </cell>
          <cell r="AW67">
            <v>0.88888888888888884</v>
          </cell>
          <cell r="AX67">
            <v>3.0000000000000009E-2</v>
          </cell>
          <cell r="AY67">
            <v>1.9780132957080427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1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H67">
            <v>1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1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>
            <v>0</v>
          </cell>
          <cell r="EY67">
            <v>0</v>
          </cell>
          <cell r="EZ67">
            <v>0</v>
          </cell>
          <cell r="FA67">
            <v>0</v>
          </cell>
          <cell r="FB67">
            <v>0</v>
          </cell>
          <cell r="FC67">
            <v>0</v>
          </cell>
          <cell r="FE67">
            <v>1</v>
          </cell>
          <cell r="FG67">
            <v>0</v>
          </cell>
          <cell r="FH67">
            <v>0</v>
          </cell>
          <cell r="FI67">
            <v>0</v>
          </cell>
          <cell r="FJ67">
            <v>0</v>
          </cell>
          <cell r="FK67">
            <v>0</v>
          </cell>
          <cell r="FL67">
            <v>0</v>
          </cell>
          <cell r="FM67">
            <v>0</v>
          </cell>
          <cell r="FN67">
            <v>0</v>
          </cell>
          <cell r="FO67">
            <v>0</v>
          </cell>
          <cell r="FP67">
            <v>0</v>
          </cell>
          <cell r="FQ67">
            <v>0</v>
          </cell>
          <cell r="FR67">
            <v>0</v>
          </cell>
          <cell r="FS67">
            <v>0</v>
          </cell>
          <cell r="FT67">
            <v>0</v>
          </cell>
          <cell r="FU67">
            <v>0</v>
          </cell>
          <cell r="FV67">
            <v>0</v>
          </cell>
          <cell r="FW67">
            <v>0</v>
          </cell>
          <cell r="FX67">
            <v>0</v>
          </cell>
          <cell r="FY67">
            <v>0</v>
          </cell>
          <cell r="FZ67">
            <v>0</v>
          </cell>
          <cell r="GA67">
            <v>0</v>
          </cell>
          <cell r="GB67">
            <v>0</v>
          </cell>
          <cell r="GC67">
            <v>0</v>
          </cell>
          <cell r="GD67">
            <v>0</v>
          </cell>
          <cell r="GE67">
            <v>0</v>
          </cell>
          <cell r="GF67">
            <v>0</v>
          </cell>
          <cell r="GG67">
            <v>0</v>
          </cell>
          <cell r="GH67">
            <v>0</v>
          </cell>
          <cell r="GI67">
            <v>0</v>
          </cell>
          <cell r="GJ67">
            <v>0</v>
          </cell>
          <cell r="GK67">
            <v>0</v>
          </cell>
          <cell r="GL67">
            <v>0</v>
          </cell>
          <cell r="GM67">
            <v>0</v>
          </cell>
          <cell r="GN67">
            <v>0</v>
          </cell>
          <cell r="GO67">
            <v>0</v>
          </cell>
          <cell r="GP67">
            <v>0</v>
          </cell>
          <cell r="GQ67">
            <v>0</v>
          </cell>
          <cell r="GR67">
            <v>0</v>
          </cell>
          <cell r="GS67">
            <v>0</v>
          </cell>
          <cell r="GT67">
            <v>0</v>
          </cell>
          <cell r="GU67">
            <v>0</v>
          </cell>
          <cell r="GV67">
            <v>0</v>
          </cell>
          <cell r="GW67">
            <v>0</v>
          </cell>
          <cell r="GX67">
            <v>0</v>
          </cell>
          <cell r="GY67">
            <v>0</v>
          </cell>
          <cell r="GZ67">
            <v>0</v>
          </cell>
          <cell r="HB67">
            <v>0</v>
          </cell>
          <cell r="HD67">
            <v>0</v>
          </cell>
          <cell r="HE67">
            <v>0</v>
          </cell>
          <cell r="HF67">
            <v>0</v>
          </cell>
          <cell r="HG67">
            <v>0</v>
          </cell>
          <cell r="HH67">
            <v>0</v>
          </cell>
          <cell r="HI67">
            <v>0</v>
          </cell>
          <cell r="HJ67">
            <v>0</v>
          </cell>
          <cell r="HK67">
            <v>0</v>
          </cell>
          <cell r="HL67">
            <v>0</v>
          </cell>
          <cell r="HM67">
            <v>0</v>
          </cell>
          <cell r="HN67">
            <v>0</v>
          </cell>
          <cell r="HO67">
            <v>0</v>
          </cell>
          <cell r="HQ67">
            <v>0</v>
          </cell>
          <cell r="HS67">
            <v>0</v>
          </cell>
          <cell r="HT67">
            <v>0</v>
          </cell>
          <cell r="HU67">
            <v>0</v>
          </cell>
          <cell r="HV67">
            <v>0</v>
          </cell>
          <cell r="HW67">
            <v>0</v>
          </cell>
          <cell r="HX67">
            <v>0</v>
          </cell>
          <cell r="HY67">
            <v>0</v>
          </cell>
          <cell r="HZ67">
            <v>0</v>
          </cell>
          <cell r="IA67">
            <v>0</v>
          </cell>
          <cell r="IB67">
            <v>0</v>
          </cell>
          <cell r="IC67">
            <v>0</v>
          </cell>
          <cell r="ID67">
            <v>0</v>
          </cell>
          <cell r="IF67">
            <v>0</v>
          </cell>
          <cell r="IH67">
            <v>0</v>
          </cell>
          <cell r="II67">
            <v>0</v>
          </cell>
          <cell r="IJ67">
            <v>0</v>
          </cell>
          <cell r="IK67">
            <v>0</v>
          </cell>
          <cell r="IL67">
            <v>0</v>
          </cell>
          <cell r="IM67">
            <v>0</v>
          </cell>
          <cell r="IN67">
            <v>0</v>
          </cell>
          <cell r="IO67">
            <v>0</v>
          </cell>
          <cell r="IP67">
            <v>0</v>
          </cell>
          <cell r="IQ67">
            <v>0</v>
          </cell>
          <cell r="IR67">
            <v>0</v>
          </cell>
          <cell r="IS67">
            <v>0</v>
          </cell>
          <cell r="IU67">
            <v>0</v>
          </cell>
          <cell r="IW67">
            <v>0</v>
          </cell>
          <cell r="IX67">
            <v>0</v>
          </cell>
          <cell r="IY67">
            <v>0</v>
          </cell>
          <cell r="IZ67">
            <v>0</v>
          </cell>
          <cell r="JB67">
            <v>0</v>
          </cell>
          <cell r="JC67">
            <v>0</v>
          </cell>
          <cell r="JD67">
            <v>0</v>
          </cell>
          <cell r="JE67">
            <v>0</v>
          </cell>
          <cell r="JG67">
            <v>0</v>
          </cell>
          <cell r="JH67">
            <v>0</v>
          </cell>
          <cell r="JI67">
            <v>0</v>
          </cell>
          <cell r="JJ67">
            <v>0</v>
          </cell>
          <cell r="JL67">
            <v>0</v>
          </cell>
          <cell r="JM67">
            <v>0</v>
          </cell>
          <cell r="JN67">
            <v>0</v>
          </cell>
          <cell r="JO67">
            <v>0</v>
          </cell>
          <cell r="JQ67">
            <v>0</v>
          </cell>
          <cell r="JR67">
            <v>0</v>
          </cell>
          <cell r="JS67">
            <v>0</v>
          </cell>
          <cell r="JT67">
            <v>0</v>
          </cell>
          <cell r="JV67">
            <v>0</v>
          </cell>
          <cell r="JW67">
            <v>0</v>
          </cell>
          <cell r="JX67">
            <v>0</v>
          </cell>
          <cell r="JY67">
            <v>0</v>
          </cell>
          <cell r="KA67">
            <v>0</v>
          </cell>
          <cell r="KB67">
            <v>0</v>
          </cell>
          <cell r="KC67">
            <v>0</v>
          </cell>
          <cell r="KD67">
            <v>0</v>
          </cell>
          <cell r="KF67">
            <v>0</v>
          </cell>
          <cell r="KG67">
            <v>0</v>
          </cell>
          <cell r="KH67">
            <v>0</v>
          </cell>
          <cell r="KI67">
            <v>0</v>
          </cell>
          <cell r="KK67">
            <v>0</v>
          </cell>
          <cell r="KL67">
            <v>0</v>
          </cell>
          <cell r="KM67">
            <v>0</v>
          </cell>
          <cell r="KN67">
            <v>0</v>
          </cell>
          <cell r="KP67">
            <v>0</v>
          </cell>
          <cell r="KQ67">
            <v>0</v>
          </cell>
          <cell r="KR67">
            <v>0</v>
          </cell>
          <cell r="KT67">
            <v>0</v>
          </cell>
          <cell r="KV67">
            <v>0</v>
          </cell>
          <cell r="KW67">
            <v>0</v>
          </cell>
          <cell r="KX67">
            <v>0</v>
          </cell>
          <cell r="KZ67">
            <v>0</v>
          </cell>
          <cell r="LA67">
            <v>0</v>
          </cell>
          <cell r="LB67">
            <v>0</v>
          </cell>
          <cell r="LD67">
            <v>0</v>
          </cell>
          <cell r="LF67">
            <v>0</v>
          </cell>
          <cell r="LG67">
            <v>0</v>
          </cell>
          <cell r="LH67">
            <v>0</v>
          </cell>
          <cell r="LJ67">
            <v>0</v>
          </cell>
          <cell r="LK67">
            <v>0</v>
          </cell>
          <cell r="LL67">
            <v>0</v>
          </cell>
          <cell r="LN67">
            <v>0</v>
          </cell>
          <cell r="LP67">
            <v>0</v>
          </cell>
          <cell r="LQ67">
            <v>0</v>
          </cell>
          <cell r="LR67">
            <v>0</v>
          </cell>
          <cell r="LT67" t="str">
            <v>840-51</v>
          </cell>
        </row>
        <row r="68">
          <cell r="B68">
            <v>15.52</v>
          </cell>
          <cell r="C68">
            <v>16</v>
          </cell>
          <cell r="D68">
            <v>5664.8</v>
          </cell>
          <cell r="E68">
            <v>5840</v>
          </cell>
          <cell r="F68">
            <v>0.97</v>
          </cell>
          <cell r="G68">
            <v>0.97</v>
          </cell>
          <cell r="H68">
            <v>7.9999999999999988E-2</v>
          </cell>
          <cell r="I68">
            <v>0.45721733775451057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W68">
            <v>15.70958904109589</v>
          </cell>
          <cell r="X68">
            <v>16</v>
          </cell>
          <cell r="Y68">
            <v>5734</v>
          </cell>
          <cell r="Z68">
            <v>5840</v>
          </cell>
          <cell r="AA68">
            <v>0.98184931506849316</v>
          </cell>
          <cell r="AB68">
            <v>0.98184931506849316</v>
          </cell>
          <cell r="AC68">
            <v>7.9999999999999988E-2</v>
          </cell>
          <cell r="AD68">
            <v>0.57547024982640926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R68">
            <v>15</v>
          </cell>
          <cell r="AS68">
            <v>16</v>
          </cell>
          <cell r="AT68">
            <v>5490</v>
          </cell>
          <cell r="AU68">
            <v>5856</v>
          </cell>
          <cell r="AV68">
            <v>0.9375</v>
          </cell>
          <cell r="AW68">
            <v>0.9375</v>
          </cell>
          <cell r="AX68">
            <v>3.0000000000000009E-2</v>
          </cell>
          <cell r="AY68">
            <v>0.48881641633807182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M68">
            <v>1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H68">
            <v>1</v>
          </cell>
          <cell r="DJ68">
            <v>1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>
            <v>0</v>
          </cell>
          <cell r="DS68">
            <v>0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0</v>
          </cell>
          <cell r="EF68">
            <v>0</v>
          </cell>
          <cell r="EG68">
            <v>0</v>
          </cell>
          <cell r="EH68">
            <v>0</v>
          </cell>
          <cell r="EI68">
            <v>0</v>
          </cell>
          <cell r="EJ68">
            <v>0</v>
          </cell>
          <cell r="EK68">
            <v>0</v>
          </cell>
          <cell r="EL68">
            <v>0</v>
          </cell>
          <cell r="EM68">
            <v>0</v>
          </cell>
          <cell r="EN68">
            <v>0</v>
          </cell>
          <cell r="EO68">
            <v>0</v>
          </cell>
          <cell r="EP68">
            <v>0</v>
          </cell>
          <cell r="EQ68">
            <v>0</v>
          </cell>
          <cell r="ER68">
            <v>0</v>
          </cell>
          <cell r="ES68">
            <v>0</v>
          </cell>
          <cell r="ET68">
            <v>0</v>
          </cell>
          <cell r="EU68">
            <v>0</v>
          </cell>
          <cell r="EV68">
            <v>0</v>
          </cell>
          <cell r="EW68">
            <v>0</v>
          </cell>
          <cell r="EX68">
            <v>0</v>
          </cell>
          <cell r="EY68">
            <v>0</v>
          </cell>
          <cell r="EZ68">
            <v>0</v>
          </cell>
          <cell r="FA68">
            <v>0</v>
          </cell>
          <cell r="FB68">
            <v>0</v>
          </cell>
          <cell r="FC68">
            <v>0</v>
          </cell>
          <cell r="FE68">
            <v>1</v>
          </cell>
          <cell r="FG68">
            <v>2</v>
          </cell>
          <cell r="FH68">
            <v>0</v>
          </cell>
          <cell r="FI68">
            <v>0</v>
          </cell>
          <cell r="FJ68">
            <v>0</v>
          </cell>
          <cell r="FK68">
            <v>0</v>
          </cell>
          <cell r="FL68">
            <v>0</v>
          </cell>
          <cell r="FM68">
            <v>0</v>
          </cell>
          <cell r="FN68">
            <v>0</v>
          </cell>
          <cell r="FO68">
            <v>0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FY68">
            <v>0</v>
          </cell>
          <cell r="FZ68">
            <v>0</v>
          </cell>
          <cell r="GA68">
            <v>0</v>
          </cell>
          <cell r="GB68">
            <v>0</v>
          </cell>
          <cell r="GC68">
            <v>0</v>
          </cell>
          <cell r="GD68">
            <v>0</v>
          </cell>
          <cell r="GE68">
            <v>0</v>
          </cell>
          <cell r="GF68">
            <v>0</v>
          </cell>
          <cell r="GG68">
            <v>0</v>
          </cell>
          <cell r="GH68">
            <v>0</v>
          </cell>
          <cell r="GI68">
            <v>0</v>
          </cell>
          <cell r="GJ68">
            <v>0</v>
          </cell>
          <cell r="GK68">
            <v>0</v>
          </cell>
          <cell r="GL68">
            <v>0</v>
          </cell>
          <cell r="GM68">
            <v>0</v>
          </cell>
          <cell r="GN68">
            <v>0</v>
          </cell>
          <cell r="GO68">
            <v>0</v>
          </cell>
          <cell r="GP68">
            <v>0</v>
          </cell>
          <cell r="GQ68">
            <v>0</v>
          </cell>
          <cell r="GR68">
            <v>0</v>
          </cell>
          <cell r="GS68">
            <v>0</v>
          </cell>
          <cell r="GT68">
            <v>0</v>
          </cell>
          <cell r="GU68">
            <v>0</v>
          </cell>
          <cell r="GV68">
            <v>0</v>
          </cell>
          <cell r="GW68">
            <v>0</v>
          </cell>
          <cell r="GX68">
            <v>0</v>
          </cell>
          <cell r="GY68">
            <v>0</v>
          </cell>
          <cell r="GZ68">
            <v>0</v>
          </cell>
          <cell r="HB68">
            <v>2</v>
          </cell>
          <cell r="HD68">
            <v>0</v>
          </cell>
          <cell r="HE68">
            <v>0</v>
          </cell>
          <cell r="HF68">
            <v>0</v>
          </cell>
          <cell r="HG68">
            <v>0</v>
          </cell>
          <cell r="HH68">
            <v>0</v>
          </cell>
          <cell r="HI68">
            <v>0</v>
          </cell>
          <cell r="HJ68">
            <v>0</v>
          </cell>
          <cell r="HK68">
            <v>0</v>
          </cell>
          <cell r="HL68">
            <v>0</v>
          </cell>
          <cell r="HM68">
            <v>0</v>
          </cell>
          <cell r="HN68">
            <v>0</v>
          </cell>
          <cell r="HO68">
            <v>0</v>
          </cell>
          <cell r="HQ68">
            <v>0</v>
          </cell>
          <cell r="HS68">
            <v>0</v>
          </cell>
          <cell r="HT68">
            <v>0</v>
          </cell>
          <cell r="HU68">
            <v>0</v>
          </cell>
          <cell r="HV68">
            <v>0</v>
          </cell>
          <cell r="HW68">
            <v>0</v>
          </cell>
          <cell r="HX68">
            <v>0</v>
          </cell>
          <cell r="HY68">
            <v>0</v>
          </cell>
          <cell r="HZ68">
            <v>0</v>
          </cell>
          <cell r="IA68">
            <v>0</v>
          </cell>
          <cell r="IB68">
            <v>0</v>
          </cell>
          <cell r="IC68">
            <v>0</v>
          </cell>
          <cell r="ID68">
            <v>0</v>
          </cell>
          <cell r="IF68">
            <v>0</v>
          </cell>
          <cell r="IH68">
            <v>0</v>
          </cell>
          <cell r="II68">
            <v>0</v>
          </cell>
          <cell r="IJ68">
            <v>0</v>
          </cell>
          <cell r="IK68">
            <v>0</v>
          </cell>
          <cell r="IL68">
            <v>0</v>
          </cell>
          <cell r="IM68">
            <v>0</v>
          </cell>
          <cell r="IN68">
            <v>0</v>
          </cell>
          <cell r="IO68">
            <v>0</v>
          </cell>
          <cell r="IP68">
            <v>0</v>
          </cell>
          <cell r="IQ68">
            <v>0</v>
          </cell>
          <cell r="IR68">
            <v>0</v>
          </cell>
          <cell r="IS68">
            <v>0</v>
          </cell>
          <cell r="IU68">
            <v>0</v>
          </cell>
          <cell r="IW68">
            <v>0</v>
          </cell>
          <cell r="IX68">
            <v>0</v>
          </cell>
          <cell r="IY68">
            <v>0</v>
          </cell>
          <cell r="IZ68">
            <v>0</v>
          </cell>
          <cell r="JB68">
            <v>0</v>
          </cell>
          <cell r="JC68">
            <v>0</v>
          </cell>
          <cell r="JD68">
            <v>0</v>
          </cell>
          <cell r="JE68">
            <v>0</v>
          </cell>
          <cell r="JG68">
            <v>0</v>
          </cell>
          <cell r="JH68">
            <v>0</v>
          </cell>
          <cell r="JI68">
            <v>0</v>
          </cell>
          <cell r="JJ68">
            <v>0</v>
          </cell>
          <cell r="JL68">
            <v>0</v>
          </cell>
          <cell r="JM68">
            <v>0</v>
          </cell>
          <cell r="JN68">
            <v>0</v>
          </cell>
          <cell r="JO68">
            <v>0</v>
          </cell>
          <cell r="JQ68">
            <v>0</v>
          </cell>
          <cell r="JR68">
            <v>0</v>
          </cell>
          <cell r="JS68">
            <v>0</v>
          </cell>
          <cell r="JT68">
            <v>0</v>
          </cell>
          <cell r="JV68">
            <v>0</v>
          </cell>
          <cell r="JW68">
            <v>0</v>
          </cell>
          <cell r="JX68">
            <v>0</v>
          </cell>
          <cell r="JY68">
            <v>0</v>
          </cell>
          <cell r="KA68">
            <v>0</v>
          </cell>
          <cell r="KB68">
            <v>0</v>
          </cell>
          <cell r="KC68">
            <v>0</v>
          </cell>
          <cell r="KD68">
            <v>0</v>
          </cell>
          <cell r="KF68">
            <v>0</v>
          </cell>
          <cell r="KG68">
            <v>0</v>
          </cell>
          <cell r="KH68">
            <v>0</v>
          </cell>
          <cell r="KI68">
            <v>0</v>
          </cell>
          <cell r="KK68">
            <v>0</v>
          </cell>
          <cell r="KL68">
            <v>0</v>
          </cell>
          <cell r="KM68">
            <v>0</v>
          </cell>
          <cell r="KN68">
            <v>0</v>
          </cell>
          <cell r="KP68">
            <v>0</v>
          </cell>
          <cell r="KQ68">
            <v>0</v>
          </cell>
          <cell r="KR68">
            <v>0</v>
          </cell>
          <cell r="KT68">
            <v>0</v>
          </cell>
          <cell r="KV68">
            <v>0</v>
          </cell>
          <cell r="KW68">
            <v>0</v>
          </cell>
          <cell r="KX68">
            <v>0</v>
          </cell>
          <cell r="KZ68">
            <v>0</v>
          </cell>
          <cell r="LA68">
            <v>0</v>
          </cell>
          <cell r="LB68">
            <v>0</v>
          </cell>
          <cell r="LD68">
            <v>0</v>
          </cell>
          <cell r="LF68">
            <v>0</v>
          </cell>
          <cell r="LG68">
            <v>0</v>
          </cell>
          <cell r="LH68">
            <v>0</v>
          </cell>
          <cell r="LJ68">
            <v>0</v>
          </cell>
          <cell r="LK68">
            <v>0</v>
          </cell>
          <cell r="LL68">
            <v>0</v>
          </cell>
          <cell r="LN68">
            <v>0</v>
          </cell>
          <cell r="LP68">
            <v>0</v>
          </cell>
          <cell r="LQ68">
            <v>0</v>
          </cell>
          <cell r="LR68">
            <v>0</v>
          </cell>
          <cell r="LT68" t="str">
            <v>840-52</v>
          </cell>
        </row>
        <row r="69">
          <cell r="B69">
            <v>59</v>
          </cell>
          <cell r="C69">
            <v>64</v>
          </cell>
          <cell r="D69">
            <v>21535</v>
          </cell>
          <cell r="E69">
            <v>23360</v>
          </cell>
          <cell r="F69">
            <v>0.921875</v>
          </cell>
          <cell r="G69">
            <v>0.921875</v>
          </cell>
          <cell r="H69">
            <v>7.9999999999999988E-2</v>
          </cell>
          <cell r="I69">
            <v>1.0392815174149943</v>
          </cell>
          <cell r="J69">
            <v>12.400029999999999</v>
          </cell>
          <cell r="K69">
            <v>5.9997100000000003</v>
          </cell>
          <cell r="L69">
            <v>22.99996999999999</v>
          </cell>
          <cell r="M69">
            <v>0</v>
          </cell>
          <cell r="N69">
            <v>17.600290000000001</v>
          </cell>
          <cell r="O69">
            <v>0</v>
          </cell>
          <cell r="P69">
            <v>575.47000000000014</v>
          </cell>
          <cell r="Q69">
            <v>403.83</v>
          </cell>
          <cell r="R69">
            <v>248</v>
          </cell>
          <cell r="S69">
            <v>0</v>
          </cell>
          <cell r="T69">
            <v>427.21</v>
          </cell>
          <cell r="U69">
            <v>0</v>
          </cell>
          <cell r="W69">
            <v>59.583561643835615</v>
          </cell>
          <cell r="X69">
            <v>64</v>
          </cell>
          <cell r="Y69">
            <v>21748</v>
          </cell>
          <cell r="Z69">
            <v>23360</v>
          </cell>
          <cell r="AA69">
            <v>0.9309931506849316</v>
          </cell>
          <cell r="AB69">
            <v>0.9309931506849316</v>
          </cell>
          <cell r="AC69">
            <v>7.9999999999999988E-2</v>
          </cell>
          <cell r="AD69">
            <v>0.93392951161331361</v>
          </cell>
          <cell r="AE69">
            <v>10.658270609318995</v>
          </cell>
          <cell r="AF69">
            <v>5.0166637096774211</v>
          </cell>
          <cell r="AG69">
            <v>28.669565232974907</v>
          </cell>
          <cell r="AH69">
            <v>0.16639784946236821</v>
          </cell>
          <cell r="AI69">
            <v>15.074868087557604</v>
          </cell>
          <cell r="AJ69">
            <v>0</v>
          </cell>
          <cell r="AK69">
            <v>592.90703399964673</v>
          </cell>
          <cell r="AL69">
            <v>397.1097636011981</v>
          </cell>
          <cell r="AM69">
            <v>269.81477904578077</v>
          </cell>
          <cell r="AN69">
            <v>140.29735033106491</v>
          </cell>
          <cell r="AO69">
            <v>399.68159595974106</v>
          </cell>
          <cell r="AP69">
            <v>0</v>
          </cell>
          <cell r="AR69">
            <v>60.5</v>
          </cell>
          <cell r="AS69">
            <v>64</v>
          </cell>
          <cell r="AT69">
            <v>22143</v>
          </cell>
          <cell r="AU69">
            <v>23424</v>
          </cell>
          <cell r="AV69">
            <v>0.9453125</v>
          </cell>
          <cell r="AW69">
            <v>0.9453125</v>
          </cell>
          <cell r="AX69">
            <v>3.9999999999999994E-2</v>
          </cell>
          <cell r="AY69">
            <v>0.98072479604300655</v>
          </cell>
          <cell r="AZ69">
            <v>11.62205</v>
          </cell>
          <cell r="BA69">
            <v>5.1122500000000013</v>
          </cell>
          <cell r="BB69">
            <v>27.750139999999991</v>
          </cell>
          <cell r="BC69">
            <v>0</v>
          </cell>
          <cell r="BD69">
            <v>16.015559999999997</v>
          </cell>
          <cell r="BE69">
            <v>0</v>
          </cell>
          <cell r="BF69">
            <v>596.11</v>
          </cell>
          <cell r="BG69">
            <v>409.96000000000015</v>
          </cell>
          <cell r="BH69">
            <v>272.39</v>
          </cell>
          <cell r="BI69">
            <v>0</v>
          </cell>
          <cell r="BJ69">
            <v>444.62999999999988</v>
          </cell>
          <cell r="BK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Q69">
            <v>0</v>
          </cell>
          <cell r="BR69">
            <v>0</v>
          </cell>
          <cell r="BS69">
            <v>0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0</v>
          </cell>
          <cell r="CA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>
            <v>0</v>
          </cell>
          <cell r="CY69">
            <v>0</v>
          </cell>
          <cell r="CZ69">
            <v>0</v>
          </cell>
          <cell r="DA69">
            <v>0</v>
          </cell>
          <cell r="DB69">
            <v>0</v>
          </cell>
          <cell r="DC69">
            <v>0</v>
          </cell>
          <cell r="DD69">
            <v>0</v>
          </cell>
          <cell r="DE69">
            <v>0</v>
          </cell>
          <cell r="DF69">
            <v>0</v>
          </cell>
          <cell r="DH69">
            <v>0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>
            <v>0</v>
          </cell>
          <cell r="DS69">
            <v>0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>
            <v>0</v>
          </cell>
          <cell r="EC69">
            <v>0</v>
          </cell>
          <cell r="ED69">
            <v>0</v>
          </cell>
          <cell r="EE69">
            <v>0</v>
          </cell>
          <cell r="EF69">
            <v>0</v>
          </cell>
          <cell r="EG69">
            <v>0</v>
          </cell>
          <cell r="EH69">
            <v>0</v>
          </cell>
          <cell r="EI69">
            <v>0</v>
          </cell>
          <cell r="EJ69">
            <v>0</v>
          </cell>
          <cell r="EK69">
            <v>0</v>
          </cell>
          <cell r="EL69">
            <v>0</v>
          </cell>
          <cell r="EM69">
            <v>0</v>
          </cell>
          <cell r="EN69">
            <v>0</v>
          </cell>
          <cell r="EO69">
            <v>0</v>
          </cell>
          <cell r="EP69">
            <v>0</v>
          </cell>
          <cell r="EQ69">
            <v>0</v>
          </cell>
          <cell r="ER69">
            <v>0</v>
          </cell>
          <cell r="ES69">
            <v>0</v>
          </cell>
          <cell r="ET69">
            <v>0</v>
          </cell>
          <cell r="EU69">
            <v>0</v>
          </cell>
          <cell r="EV69">
            <v>0</v>
          </cell>
          <cell r="EW69">
            <v>0</v>
          </cell>
          <cell r="EX69">
            <v>0</v>
          </cell>
          <cell r="EY69">
            <v>0</v>
          </cell>
          <cell r="EZ69">
            <v>0</v>
          </cell>
          <cell r="FA69">
            <v>0</v>
          </cell>
          <cell r="FB69">
            <v>0</v>
          </cell>
          <cell r="FC69">
            <v>0</v>
          </cell>
          <cell r="FE69">
            <v>0</v>
          </cell>
          <cell r="FG69">
            <v>0</v>
          </cell>
          <cell r="FH69">
            <v>0</v>
          </cell>
          <cell r="FI69">
            <v>0</v>
          </cell>
          <cell r="FJ69">
            <v>0</v>
          </cell>
          <cell r="FK69">
            <v>0</v>
          </cell>
          <cell r="FL69">
            <v>0</v>
          </cell>
          <cell r="FM69">
            <v>0</v>
          </cell>
          <cell r="FN69">
            <v>0</v>
          </cell>
          <cell r="FO69">
            <v>0</v>
          </cell>
          <cell r="FP69">
            <v>0</v>
          </cell>
          <cell r="FQ69">
            <v>0</v>
          </cell>
          <cell r="FR69">
            <v>0</v>
          </cell>
          <cell r="FS69">
            <v>0</v>
          </cell>
          <cell r="FT69">
            <v>0</v>
          </cell>
          <cell r="FU69">
            <v>0</v>
          </cell>
          <cell r="FV69">
            <v>0</v>
          </cell>
          <cell r="FW69">
            <v>0</v>
          </cell>
          <cell r="FX69">
            <v>0</v>
          </cell>
          <cell r="FY69">
            <v>0</v>
          </cell>
          <cell r="FZ69">
            <v>0</v>
          </cell>
          <cell r="GA69">
            <v>0</v>
          </cell>
          <cell r="GB69">
            <v>0</v>
          </cell>
          <cell r="GC69">
            <v>0</v>
          </cell>
          <cell r="GD69">
            <v>0</v>
          </cell>
          <cell r="GE69">
            <v>0</v>
          </cell>
          <cell r="GF69">
            <v>0</v>
          </cell>
          <cell r="GG69">
            <v>0</v>
          </cell>
          <cell r="GH69">
            <v>0</v>
          </cell>
          <cell r="GI69">
            <v>0</v>
          </cell>
          <cell r="GJ69">
            <v>0</v>
          </cell>
          <cell r="GK69">
            <v>0</v>
          </cell>
          <cell r="GL69">
            <v>0</v>
          </cell>
          <cell r="GM69">
            <v>0</v>
          </cell>
          <cell r="GN69">
            <v>0</v>
          </cell>
          <cell r="GO69">
            <v>0</v>
          </cell>
          <cell r="GP69">
            <v>0</v>
          </cell>
          <cell r="GQ69">
            <v>0</v>
          </cell>
          <cell r="GR69">
            <v>0</v>
          </cell>
          <cell r="GS69">
            <v>0</v>
          </cell>
          <cell r="GT69">
            <v>0</v>
          </cell>
          <cell r="GU69">
            <v>0</v>
          </cell>
          <cell r="GV69">
            <v>0</v>
          </cell>
          <cell r="GW69">
            <v>0</v>
          </cell>
          <cell r="GX69">
            <v>0</v>
          </cell>
          <cell r="GY69">
            <v>0</v>
          </cell>
          <cell r="GZ69">
            <v>0</v>
          </cell>
          <cell r="HB69">
            <v>0</v>
          </cell>
          <cell r="HD69">
            <v>0</v>
          </cell>
          <cell r="HE69">
            <v>0</v>
          </cell>
          <cell r="HF69">
            <v>0</v>
          </cell>
          <cell r="HG69">
            <v>0</v>
          </cell>
          <cell r="HH69">
            <v>0</v>
          </cell>
          <cell r="HI69">
            <v>0</v>
          </cell>
          <cell r="HJ69">
            <v>0</v>
          </cell>
          <cell r="HK69">
            <v>0</v>
          </cell>
          <cell r="HL69">
            <v>0</v>
          </cell>
          <cell r="HM69">
            <v>0</v>
          </cell>
          <cell r="HN69">
            <v>0</v>
          </cell>
          <cell r="HO69">
            <v>0</v>
          </cell>
          <cell r="HQ69">
            <v>0</v>
          </cell>
          <cell r="HS69">
            <v>0</v>
          </cell>
          <cell r="HT69">
            <v>0</v>
          </cell>
          <cell r="HU69">
            <v>0</v>
          </cell>
          <cell r="HV69">
            <v>0</v>
          </cell>
          <cell r="HW69">
            <v>0</v>
          </cell>
          <cell r="HX69">
            <v>0</v>
          </cell>
          <cell r="HY69">
            <v>0</v>
          </cell>
          <cell r="HZ69">
            <v>0</v>
          </cell>
          <cell r="IA69">
            <v>0</v>
          </cell>
          <cell r="IB69">
            <v>0</v>
          </cell>
          <cell r="IC69">
            <v>0</v>
          </cell>
          <cell r="ID69">
            <v>0</v>
          </cell>
          <cell r="IF69">
            <v>0</v>
          </cell>
          <cell r="IH69">
            <v>0</v>
          </cell>
          <cell r="II69">
            <v>0</v>
          </cell>
          <cell r="IJ69">
            <v>0</v>
          </cell>
          <cell r="IK69">
            <v>0</v>
          </cell>
          <cell r="IL69">
            <v>0</v>
          </cell>
          <cell r="IM69">
            <v>0</v>
          </cell>
          <cell r="IN69">
            <v>0</v>
          </cell>
          <cell r="IO69">
            <v>0</v>
          </cell>
          <cell r="IP69">
            <v>0</v>
          </cell>
          <cell r="IQ69">
            <v>0</v>
          </cell>
          <cell r="IR69">
            <v>0</v>
          </cell>
          <cell r="IS69">
            <v>0</v>
          </cell>
          <cell r="IU69">
            <v>0</v>
          </cell>
          <cell r="IW69">
            <v>0</v>
          </cell>
          <cell r="IX69">
            <v>0</v>
          </cell>
          <cell r="IY69">
            <v>0</v>
          </cell>
          <cell r="IZ69">
            <v>0</v>
          </cell>
          <cell r="JB69">
            <v>0</v>
          </cell>
          <cell r="JC69">
            <v>0</v>
          </cell>
          <cell r="JD69">
            <v>0</v>
          </cell>
          <cell r="JE69">
            <v>0</v>
          </cell>
          <cell r="JG69">
            <v>0</v>
          </cell>
          <cell r="JH69">
            <v>0</v>
          </cell>
          <cell r="JI69">
            <v>0</v>
          </cell>
          <cell r="JJ69">
            <v>0</v>
          </cell>
          <cell r="JL69">
            <v>0</v>
          </cell>
          <cell r="JM69">
            <v>0</v>
          </cell>
          <cell r="JN69">
            <v>0</v>
          </cell>
          <cell r="JO69">
            <v>0</v>
          </cell>
          <cell r="JQ69">
            <v>0</v>
          </cell>
          <cell r="JR69">
            <v>0</v>
          </cell>
          <cell r="JS69">
            <v>0</v>
          </cell>
          <cell r="JT69">
            <v>0</v>
          </cell>
          <cell r="JV69">
            <v>0</v>
          </cell>
          <cell r="JW69">
            <v>0</v>
          </cell>
          <cell r="JX69">
            <v>0</v>
          </cell>
          <cell r="JY69">
            <v>0</v>
          </cell>
          <cell r="KA69">
            <v>0</v>
          </cell>
          <cell r="KB69">
            <v>0</v>
          </cell>
          <cell r="KC69">
            <v>0</v>
          </cell>
          <cell r="KD69">
            <v>0</v>
          </cell>
          <cell r="KF69">
            <v>0</v>
          </cell>
          <cell r="KG69">
            <v>0</v>
          </cell>
          <cell r="KH69">
            <v>0</v>
          </cell>
          <cell r="KI69">
            <v>0</v>
          </cell>
          <cell r="KK69">
            <v>0</v>
          </cell>
          <cell r="KL69">
            <v>0</v>
          </cell>
          <cell r="KM69">
            <v>0</v>
          </cell>
          <cell r="KN69">
            <v>0</v>
          </cell>
          <cell r="KP69">
            <v>0</v>
          </cell>
          <cell r="KQ69">
            <v>0</v>
          </cell>
          <cell r="KR69">
            <v>0</v>
          </cell>
          <cell r="KT69">
            <v>0</v>
          </cell>
          <cell r="KV69">
            <v>0</v>
          </cell>
          <cell r="KW69">
            <v>0</v>
          </cell>
          <cell r="KX69">
            <v>0</v>
          </cell>
          <cell r="KZ69">
            <v>0</v>
          </cell>
          <cell r="LA69">
            <v>0</v>
          </cell>
          <cell r="LB69">
            <v>0</v>
          </cell>
          <cell r="LD69">
            <v>0</v>
          </cell>
          <cell r="LF69">
            <v>0</v>
          </cell>
          <cell r="LG69">
            <v>0</v>
          </cell>
          <cell r="LH69">
            <v>0</v>
          </cell>
          <cell r="LJ69">
            <v>0</v>
          </cell>
          <cell r="LK69">
            <v>0</v>
          </cell>
          <cell r="LL69">
            <v>0</v>
          </cell>
          <cell r="LN69">
            <v>0</v>
          </cell>
          <cell r="LP69">
            <v>0</v>
          </cell>
          <cell r="LQ69">
            <v>0</v>
          </cell>
          <cell r="LR69">
            <v>0</v>
          </cell>
          <cell r="LT69" t="str">
            <v>840-61</v>
          </cell>
        </row>
        <row r="70">
          <cell r="B70">
            <v>229.75999999999996</v>
          </cell>
          <cell r="C70">
            <v>243</v>
          </cell>
          <cell r="D70">
            <v>83862.399999999994</v>
          </cell>
          <cell r="E70">
            <v>88695</v>
          </cell>
          <cell r="F70">
            <v>0.94551440329218095</v>
          </cell>
          <cell r="G70">
            <v>0.94551440329218095</v>
          </cell>
          <cell r="H70">
            <v>7.9999999999999988E-2</v>
          </cell>
          <cell r="I70">
            <v>1.0797951684472016</v>
          </cell>
          <cell r="J70">
            <v>12.400029999999999</v>
          </cell>
          <cell r="K70">
            <v>5.9997100000000003</v>
          </cell>
          <cell r="L70">
            <v>22.99996999999999</v>
          </cell>
          <cell r="M70">
            <v>0</v>
          </cell>
          <cell r="N70">
            <v>17.600290000000001</v>
          </cell>
          <cell r="O70">
            <v>0</v>
          </cell>
          <cell r="P70">
            <v>575.47000000000014</v>
          </cell>
          <cell r="Q70">
            <v>403.83</v>
          </cell>
          <cell r="R70">
            <v>248</v>
          </cell>
          <cell r="S70">
            <v>0</v>
          </cell>
          <cell r="T70">
            <v>427.21</v>
          </cell>
          <cell r="U70">
            <v>0</v>
          </cell>
          <cell r="W70">
            <v>230.80136986301369</v>
          </cell>
          <cell r="X70">
            <v>243</v>
          </cell>
          <cell r="Y70">
            <v>84242.5</v>
          </cell>
          <cell r="Z70">
            <v>88695</v>
          </cell>
          <cell r="AA70">
            <v>0.94979987597948023</v>
          </cell>
          <cell r="AB70">
            <v>0.94979987597948023</v>
          </cell>
          <cell r="AC70">
            <v>7.9999999999999988E-2</v>
          </cell>
          <cell r="AD70">
            <v>1.0382891188340682</v>
          </cell>
          <cell r="AE70">
            <v>10.658270609318995</v>
          </cell>
          <cell r="AF70">
            <v>5.0166637096774211</v>
          </cell>
          <cell r="AG70">
            <v>28.669565232974907</v>
          </cell>
          <cell r="AH70">
            <v>0.16639784946236821</v>
          </cell>
          <cell r="AI70">
            <v>15.074868087557604</v>
          </cell>
          <cell r="AJ70">
            <v>0</v>
          </cell>
          <cell r="AK70">
            <v>592.90703399964673</v>
          </cell>
          <cell r="AL70">
            <v>397.1097636011981</v>
          </cell>
          <cell r="AM70">
            <v>269.81477904578077</v>
          </cell>
          <cell r="AN70">
            <v>140.29735033106491</v>
          </cell>
          <cell r="AO70">
            <v>399.68159595974106</v>
          </cell>
          <cell r="AP70">
            <v>0</v>
          </cell>
          <cell r="AR70">
            <v>229.98</v>
          </cell>
          <cell r="AS70">
            <v>243</v>
          </cell>
          <cell r="AT70">
            <v>84172.68</v>
          </cell>
          <cell r="AU70">
            <v>88938</v>
          </cell>
          <cell r="AV70">
            <v>0.94641975308641957</v>
          </cell>
          <cell r="AW70">
            <v>0.94641975308641957</v>
          </cell>
          <cell r="AX70">
            <v>3.599999999999999E-2</v>
          </cell>
          <cell r="AY70">
            <v>1.0779869648695015</v>
          </cell>
          <cell r="AZ70">
            <v>11.62205</v>
          </cell>
          <cell r="BA70">
            <v>5.1122500000000013</v>
          </cell>
          <cell r="BB70">
            <v>27.750139999999991</v>
          </cell>
          <cell r="BC70">
            <v>0</v>
          </cell>
          <cell r="BD70">
            <v>16.015559999999997</v>
          </cell>
          <cell r="BE70">
            <v>0</v>
          </cell>
          <cell r="BF70">
            <v>596.11</v>
          </cell>
          <cell r="BG70">
            <v>409.96000000000015</v>
          </cell>
          <cell r="BH70">
            <v>272.39</v>
          </cell>
          <cell r="BI70">
            <v>0</v>
          </cell>
          <cell r="BJ70">
            <v>444.62999999999988</v>
          </cell>
          <cell r="BK70">
            <v>0</v>
          </cell>
          <cell r="BM70">
            <v>1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2</v>
          </cell>
          <cell r="CK70">
            <v>24</v>
          </cell>
          <cell r="CL70">
            <v>18</v>
          </cell>
          <cell r="CM70">
            <v>1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  <cell r="DB70">
            <v>0</v>
          </cell>
          <cell r="DC70">
            <v>0</v>
          </cell>
          <cell r="DD70">
            <v>0</v>
          </cell>
          <cell r="DE70">
            <v>0</v>
          </cell>
          <cell r="DF70">
            <v>0</v>
          </cell>
          <cell r="DH70">
            <v>46</v>
          </cell>
          <cell r="DJ70">
            <v>1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>
            <v>0</v>
          </cell>
          <cell r="DS70">
            <v>0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>
            <v>0</v>
          </cell>
          <cell r="EC70">
            <v>0</v>
          </cell>
          <cell r="ED70">
            <v>0</v>
          </cell>
          <cell r="EE70">
            <v>0</v>
          </cell>
          <cell r="EF70">
            <v>0</v>
          </cell>
          <cell r="EG70">
            <v>2</v>
          </cell>
          <cell r="EH70">
            <v>24</v>
          </cell>
          <cell r="EI70">
            <v>18</v>
          </cell>
          <cell r="EJ70">
            <v>1</v>
          </cell>
          <cell r="EK70">
            <v>0</v>
          </cell>
          <cell r="EL70">
            <v>0</v>
          </cell>
          <cell r="EM70">
            <v>0</v>
          </cell>
          <cell r="EN70">
            <v>0</v>
          </cell>
          <cell r="EO70">
            <v>0</v>
          </cell>
          <cell r="EP70">
            <v>0</v>
          </cell>
          <cell r="EQ70">
            <v>0</v>
          </cell>
          <cell r="ER70">
            <v>0</v>
          </cell>
          <cell r="ES70">
            <v>0</v>
          </cell>
          <cell r="ET70">
            <v>0</v>
          </cell>
          <cell r="EU70">
            <v>0</v>
          </cell>
          <cell r="EV70">
            <v>0</v>
          </cell>
          <cell r="EW70">
            <v>0</v>
          </cell>
          <cell r="EX70">
            <v>0</v>
          </cell>
          <cell r="EY70">
            <v>0</v>
          </cell>
          <cell r="EZ70">
            <v>0</v>
          </cell>
          <cell r="FA70">
            <v>0</v>
          </cell>
          <cell r="FB70">
            <v>0</v>
          </cell>
          <cell r="FC70">
            <v>0</v>
          </cell>
          <cell r="FE70">
            <v>46</v>
          </cell>
          <cell r="FG70">
            <v>2</v>
          </cell>
          <cell r="FH70">
            <v>0</v>
          </cell>
          <cell r="FI70">
            <v>0</v>
          </cell>
          <cell r="FJ70">
            <v>0</v>
          </cell>
          <cell r="FK70">
            <v>0</v>
          </cell>
          <cell r="FL70">
            <v>0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FY70">
            <v>0</v>
          </cell>
          <cell r="FZ70">
            <v>0</v>
          </cell>
          <cell r="GA70">
            <v>0</v>
          </cell>
          <cell r="GB70">
            <v>0</v>
          </cell>
          <cell r="GC70">
            <v>0</v>
          </cell>
          <cell r="GD70">
            <v>0</v>
          </cell>
          <cell r="GE70">
            <v>24</v>
          </cell>
          <cell r="GF70">
            <v>18</v>
          </cell>
          <cell r="GG70">
            <v>0</v>
          </cell>
          <cell r="GH70">
            <v>0</v>
          </cell>
          <cell r="GI70">
            <v>0</v>
          </cell>
          <cell r="GJ70">
            <v>0</v>
          </cell>
          <cell r="GK70">
            <v>0</v>
          </cell>
          <cell r="GL70">
            <v>0</v>
          </cell>
          <cell r="GM70">
            <v>0</v>
          </cell>
          <cell r="GN70">
            <v>0</v>
          </cell>
          <cell r="GO70">
            <v>0</v>
          </cell>
          <cell r="GP70">
            <v>0</v>
          </cell>
          <cell r="GQ70">
            <v>0</v>
          </cell>
          <cell r="GR70">
            <v>0</v>
          </cell>
          <cell r="GS70">
            <v>0</v>
          </cell>
          <cell r="GT70">
            <v>0</v>
          </cell>
          <cell r="GU70">
            <v>0</v>
          </cell>
          <cell r="GV70">
            <v>0</v>
          </cell>
          <cell r="GW70">
            <v>0</v>
          </cell>
          <cell r="GX70">
            <v>0</v>
          </cell>
          <cell r="GY70">
            <v>0</v>
          </cell>
          <cell r="GZ70">
            <v>0</v>
          </cell>
          <cell r="HB70">
            <v>44</v>
          </cell>
          <cell r="HD70">
            <v>0</v>
          </cell>
          <cell r="HE70">
            <v>0</v>
          </cell>
          <cell r="HF70">
            <v>0</v>
          </cell>
          <cell r="HG70">
            <v>0</v>
          </cell>
          <cell r="HH70">
            <v>0</v>
          </cell>
          <cell r="HI70">
            <v>0</v>
          </cell>
          <cell r="HJ70">
            <v>0</v>
          </cell>
          <cell r="HK70">
            <v>0</v>
          </cell>
          <cell r="HL70">
            <v>0</v>
          </cell>
          <cell r="HM70">
            <v>0</v>
          </cell>
          <cell r="HN70">
            <v>0</v>
          </cell>
          <cell r="HO70">
            <v>0</v>
          </cell>
          <cell r="HQ70">
            <v>0</v>
          </cell>
          <cell r="HS70">
            <v>0</v>
          </cell>
          <cell r="HT70">
            <v>0</v>
          </cell>
          <cell r="HU70">
            <v>0</v>
          </cell>
          <cell r="HV70">
            <v>0</v>
          </cell>
          <cell r="HW70">
            <v>0</v>
          </cell>
          <cell r="HX70">
            <v>0</v>
          </cell>
          <cell r="HY70">
            <v>0</v>
          </cell>
          <cell r="HZ70">
            <v>0</v>
          </cell>
          <cell r="IA70">
            <v>0</v>
          </cell>
          <cell r="IB70">
            <v>0</v>
          </cell>
          <cell r="IC70">
            <v>0</v>
          </cell>
          <cell r="ID70">
            <v>0</v>
          </cell>
          <cell r="IF70">
            <v>0</v>
          </cell>
          <cell r="IH70">
            <v>0</v>
          </cell>
          <cell r="II70">
            <v>0</v>
          </cell>
          <cell r="IJ70">
            <v>0</v>
          </cell>
          <cell r="IK70">
            <v>0</v>
          </cell>
          <cell r="IL70">
            <v>0</v>
          </cell>
          <cell r="IM70">
            <v>0</v>
          </cell>
          <cell r="IN70">
            <v>0</v>
          </cell>
          <cell r="IO70">
            <v>0</v>
          </cell>
          <cell r="IP70">
            <v>0</v>
          </cell>
          <cell r="IQ70">
            <v>0</v>
          </cell>
          <cell r="IR70">
            <v>0</v>
          </cell>
          <cell r="IS70">
            <v>0</v>
          </cell>
          <cell r="IU70">
            <v>0</v>
          </cell>
          <cell r="IW70">
            <v>0</v>
          </cell>
          <cell r="IX70">
            <v>0</v>
          </cell>
          <cell r="IY70">
            <v>15</v>
          </cell>
          <cell r="IZ70">
            <v>93</v>
          </cell>
          <cell r="JB70">
            <v>0</v>
          </cell>
          <cell r="JC70">
            <v>0</v>
          </cell>
          <cell r="JD70">
            <v>2</v>
          </cell>
          <cell r="JE70">
            <v>18</v>
          </cell>
          <cell r="JG70">
            <v>2</v>
          </cell>
          <cell r="JH70">
            <v>18</v>
          </cell>
          <cell r="JI70">
            <v>13</v>
          </cell>
          <cell r="JJ70">
            <v>75</v>
          </cell>
          <cell r="JL70">
            <v>0</v>
          </cell>
          <cell r="JM70">
            <v>0</v>
          </cell>
          <cell r="JN70">
            <v>15</v>
          </cell>
          <cell r="JO70">
            <v>93</v>
          </cell>
          <cell r="JQ70">
            <v>0</v>
          </cell>
          <cell r="JR70">
            <v>0</v>
          </cell>
          <cell r="JS70">
            <v>2</v>
          </cell>
          <cell r="JT70">
            <v>18</v>
          </cell>
          <cell r="JV70">
            <v>2</v>
          </cell>
          <cell r="JW70">
            <v>18</v>
          </cell>
          <cell r="JX70">
            <v>13</v>
          </cell>
          <cell r="JY70">
            <v>75</v>
          </cell>
          <cell r="KA70">
            <v>0</v>
          </cell>
          <cell r="KB70">
            <v>0</v>
          </cell>
          <cell r="KC70">
            <v>13.000000000000002</v>
          </cell>
          <cell r="KD70">
            <v>93</v>
          </cell>
          <cell r="KF70">
            <v>0</v>
          </cell>
          <cell r="KG70">
            <v>0</v>
          </cell>
          <cell r="KH70">
            <v>0</v>
          </cell>
          <cell r="KI70">
            <v>18</v>
          </cell>
          <cell r="KK70">
            <v>0</v>
          </cell>
          <cell r="KL70">
            <v>18</v>
          </cell>
          <cell r="KM70">
            <v>13.000000000000002</v>
          </cell>
          <cell r="KN70">
            <v>75</v>
          </cell>
          <cell r="KP70">
            <v>0</v>
          </cell>
          <cell r="KQ70">
            <v>0</v>
          </cell>
          <cell r="KR70">
            <v>0</v>
          </cell>
          <cell r="KT70">
            <v>0</v>
          </cell>
          <cell r="KV70">
            <v>0</v>
          </cell>
          <cell r="KW70">
            <v>0</v>
          </cell>
          <cell r="KX70">
            <v>0</v>
          </cell>
          <cell r="KZ70">
            <v>0</v>
          </cell>
          <cell r="LA70">
            <v>0</v>
          </cell>
          <cell r="LB70">
            <v>0</v>
          </cell>
          <cell r="LD70">
            <v>0</v>
          </cell>
          <cell r="LF70">
            <v>0</v>
          </cell>
          <cell r="LG70">
            <v>0</v>
          </cell>
          <cell r="LH70">
            <v>0</v>
          </cell>
          <cell r="LJ70">
            <v>0</v>
          </cell>
          <cell r="LK70">
            <v>0</v>
          </cell>
          <cell r="LL70">
            <v>0</v>
          </cell>
          <cell r="LN70">
            <v>0</v>
          </cell>
          <cell r="LP70">
            <v>0</v>
          </cell>
          <cell r="LQ70">
            <v>0</v>
          </cell>
          <cell r="LR70">
            <v>0</v>
          </cell>
          <cell r="LT70" t="str">
            <v>840-Entity</v>
          </cell>
        </row>
        <row r="71">
          <cell r="B71">
            <v>476.69000000000005</v>
          </cell>
          <cell r="C71">
            <v>530</v>
          </cell>
          <cell r="D71">
            <v>173991.85000000003</v>
          </cell>
          <cell r="E71">
            <v>193450</v>
          </cell>
          <cell r="F71">
            <v>0.89941509433962286</v>
          </cell>
          <cell r="G71">
            <v>0.89941509433962286</v>
          </cell>
          <cell r="H71">
            <v>8.0999999999999989E-2</v>
          </cell>
          <cell r="I71">
            <v>1.0682714896814312</v>
          </cell>
          <cell r="J71">
            <v>20.500029999999999</v>
          </cell>
          <cell r="K71">
            <v>10.49971</v>
          </cell>
          <cell r="L71">
            <v>80.203970000000012</v>
          </cell>
          <cell r="M71">
            <v>0.999</v>
          </cell>
          <cell r="N71">
            <v>36.797289999999997</v>
          </cell>
          <cell r="O71">
            <v>0</v>
          </cell>
          <cell r="P71">
            <v>1114.5500000000002</v>
          </cell>
          <cell r="Q71">
            <v>787.82999999999993</v>
          </cell>
          <cell r="R71">
            <v>454</v>
          </cell>
          <cell r="S71">
            <v>212.07999999999996</v>
          </cell>
          <cell r="T71">
            <v>883.96999999999991</v>
          </cell>
          <cell r="U71">
            <v>0</v>
          </cell>
          <cell r="W71">
            <v>478.50547945205477</v>
          </cell>
          <cell r="X71">
            <v>530</v>
          </cell>
          <cell r="Y71">
            <v>174654.5</v>
          </cell>
          <cell r="Z71">
            <v>193450</v>
          </cell>
          <cell r="AA71">
            <v>0.90284052726802799</v>
          </cell>
          <cell r="AB71">
            <v>0.90284052726802799</v>
          </cell>
          <cell r="AC71">
            <v>8.0999999999999989E-2</v>
          </cell>
          <cell r="AD71">
            <v>1.1009027122843371</v>
          </cell>
          <cell r="AE71">
            <v>18.428779084560801</v>
          </cell>
          <cell r="AF71">
            <v>12.675319841662503</v>
          </cell>
          <cell r="AG71">
            <v>85.878516830014533</v>
          </cell>
          <cell r="AH71">
            <v>3.110302437495875</v>
          </cell>
          <cell r="AI71">
            <v>31.97958564651206</v>
          </cell>
          <cell r="AJ71">
            <v>0</v>
          </cell>
          <cell r="AK71">
            <v>1132.4629447882444</v>
          </cell>
          <cell r="AL71">
            <v>770.76063675933472</v>
          </cell>
          <cell r="AM71">
            <v>484.65778891234601</v>
          </cell>
          <cell r="AN71">
            <v>378.01415367682603</v>
          </cell>
          <cell r="AO71">
            <v>831.05153689966812</v>
          </cell>
          <cell r="AP71">
            <v>0</v>
          </cell>
          <cell r="AR71">
            <v>479.32</v>
          </cell>
          <cell r="AS71">
            <v>530</v>
          </cell>
          <cell r="AT71">
            <v>175431.12000000002</v>
          </cell>
          <cell r="AU71">
            <v>193980</v>
          </cell>
          <cell r="AV71">
            <v>0.90437735849056622</v>
          </cell>
          <cell r="AW71">
            <v>0.90437735849056622</v>
          </cell>
          <cell r="AX71">
            <v>3.7777777777777785E-2</v>
          </cell>
          <cell r="AY71">
            <v>1.1255931235583945</v>
          </cell>
          <cell r="AZ71">
            <v>19.902049999999999</v>
          </cell>
          <cell r="BA71">
            <v>13.112570000000003</v>
          </cell>
          <cell r="BB71">
            <v>85.765340000000023</v>
          </cell>
          <cell r="BC71">
            <v>3.70024</v>
          </cell>
          <cell r="BD71">
            <v>30.016120000000001</v>
          </cell>
          <cell r="BE71">
            <v>0</v>
          </cell>
          <cell r="BF71">
            <v>1141.54</v>
          </cell>
          <cell r="BG71">
            <v>797.06</v>
          </cell>
          <cell r="BH71">
            <v>495.12000000000006</v>
          </cell>
          <cell r="BI71">
            <v>229.99999999999997</v>
          </cell>
          <cell r="BJ71">
            <v>880.31</v>
          </cell>
          <cell r="BK71">
            <v>0</v>
          </cell>
          <cell r="BM71">
            <v>1</v>
          </cell>
          <cell r="BN71">
            <v>0</v>
          </cell>
          <cell r="BO71">
            <v>3</v>
          </cell>
          <cell r="BP71">
            <v>0</v>
          </cell>
          <cell r="BQ71">
            <v>0</v>
          </cell>
          <cell r="BR71">
            <v>0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2</v>
          </cell>
          <cell r="CK71">
            <v>24</v>
          </cell>
          <cell r="CL71">
            <v>18</v>
          </cell>
          <cell r="CM71">
            <v>1</v>
          </cell>
          <cell r="CN71">
            <v>0</v>
          </cell>
          <cell r="CO71">
            <v>0</v>
          </cell>
          <cell r="CP71">
            <v>0</v>
          </cell>
          <cell r="CQ71">
            <v>5</v>
          </cell>
          <cell r="CR71">
            <v>0</v>
          </cell>
          <cell r="CS71">
            <v>13.999999999999998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>
            <v>0</v>
          </cell>
          <cell r="CY71">
            <v>0</v>
          </cell>
          <cell r="CZ71">
            <v>0</v>
          </cell>
          <cell r="DA71">
            <v>0</v>
          </cell>
          <cell r="DB71">
            <v>0</v>
          </cell>
          <cell r="DC71">
            <v>0</v>
          </cell>
          <cell r="DD71">
            <v>0</v>
          </cell>
          <cell r="DE71">
            <v>0</v>
          </cell>
          <cell r="DF71">
            <v>0</v>
          </cell>
          <cell r="DH71">
            <v>68</v>
          </cell>
          <cell r="DJ71">
            <v>1</v>
          </cell>
          <cell r="DK71">
            <v>0</v>
          </cell>
          <cell r="DL71">
            <v>3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G71">
            <v>2</v>
          </cell>
          <cell r="EH71">
            <v>24</v>
          </cell>
          <cell r="EI71">
            <v>18</v>
          </cell>
          <cell r="EJ71">
            <v>1</v>
          </cell>
          <cell r="EK71">
            <v>0</v>
          </cell>
          <cell r="EL71">
            <v>0</v>
          </cell>
          <cell r="EM71">
            <v>0</v>
          </cell>
          <cell r="EN71">
            <v>5</v>
          </cell>
          <cell r="EO71">
            <v>0</v>
          </cell>
          <cell r="EP71">
            <v>13.999999999999998</v>
          </cell>
          <cell r="EQ71">
            <v>0</v>
          </cell>
          <cell r="ER71">
            <v>0</v>
          </cell>
          <cell r="ES71">
            <v>0</v>
          </cell>
          <cell r="ET71">
            <v>0</v>
          </cell>
          <cell r="EU71">
            <v>0</v>
          </cell>
          <cell r="EV71">
            <v>0</v>
          </cell>
          <cell r="EW71">
            <v>0</v>
          </cell>
          <cell r="EX71">
            <v>0</v>
          </cell>
          <cell r="EY71">
            <v>0</v>
          </cell>
          <cell r="EZ71">
            <v>0</v>
          </cell>
          <cell r="FA71">
            <v>0</v>
          </cell>
          <cell r="FB71">
            <v>0</v>
          </cell>
          <cell r="FC71">
            <v>0</v>
          </cell>
          <cell r="FE71">
            <v>68</v>
          </cell>
          <cell r="FG71">
            <v>2</v>
          </cell>
          <cell r="FH71">
            <v>0</v>
          </cell>
          <cell r="FI71">
            <v>1</v>
          </cell>
          <cell r="FJ71">
            <v>0</v>
          </cell>
          <cell r="FK71">
            <v>0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FY71">
            <v>0</v>
          </cell>
          <cell r="FZ71">
            <v>0</v>
          </cell>
          <cell r="GA71">
            <v>0</v>
          </cell>
          <cell r="GB71">
            <v>0</v>
          </cell>
          <cell r="GC71">
            <v>0</v>
          </cell>
          <cell r="GD71">
            <v>0</v>
          </cell>
          <cell r="GE71">
            <v>24</v>
          </cell>
          <cell r="GF71">
            <v>18</v>
          </cell>
          <cell r="GG71">
            <v>0</v>
          </cell>
          <cell r="GH71">
            <v>0</v>
          </cell>
          <cell r="GI71">
            <v>0</v>
          </cell>
          <cell r="GJ71">
            <v>0</v>
          </cell>
          <cell r="GK71">
            <v>4</v>
          </cell>
          <cell r="GL71">
            <v>1</v>
          </cell>
          <cell r="GM71">
            <v>13.000000000000002</v>
          </cell>
          <cell r="GN71">
            <v>0</v>
          </cell>
          <cell r="GO71">
            <v>0</v>
          </cell>
          <cell r="GP71">
            <v>0</v>
          </cell>
          <cell r="GQ71">
            <v>0</v>
          </cell>
          <cell r="GR71">
            <v>0</v>
          </cell>
          <cell r="GS71">
            <v>0</v>
          </cell>
          <cell r="GT71">
            <v>0</v>
          </cell>
          <cell r="GU71">
            <v>0</v>
          </cell>
          <cell r="GV71">
            <v>0</v>
          </cell>
          <cell r="GW71">
            <v>0</v>
          </cell>
          <cell r="GX71">
            <v>0</v>
          </cell>
          <cell r="GY71">
            <v>0</v>
          </cell>
          <cell r="GZ71">
            <v>0</v>
          </cell>
          <cell r="HB71">
            <v>63</v>
          </cell>
          <cell r="HD71">
            <v>0</v>
          </cell>
          <cell r="HE71">
            <v>0</v>
          </cell>
          <cell r="HF71">
            <v>0</v>
          </cell>
          <cell r="HG71">
            <v>0</v>
          </cell>
          <cell r="HH71">
            <v>0</v>
          </cell>
          <cell r="HI71">
            <v>0</v>
          </cell>
          <cell r="HJ71">
            <v>0</v>
          </cell>
          <cell r="HK71">
            <v>0</v>
          </cell>
          <cell r="HL71">
            <v>0</v>
          </cell>
          <cell r="HM71">
            <v>0</v>
          </cell>
          <cell r="HN71">
            <v>0</v>
          </cell>
          <cell r="HO71">
            <v>0</v>
          </cell>
          <cell r="HQ71">
            <v>0</v>
          </cell>
          <cell r="HS71">
            <v>0</v>
          </cell>
          <cell r="HT71">
            <v>0</v>
          </cell>
          <cell r="HU71">
            <v>0</v>
          </cell>
          <cell r="HV71">
            <v>0</v>
          </cell>
          <cell r="HW71">
            <v>0</v>
          </cell>
          <cell r="HX71">
            <v>0</v>
          </cell>
          <cell r="HY71">
            <v>0</v>
          </cell>
          <cell r="HZ71">
            <v>0</v>
          </cell>
          <cell r="IA71">
            <v>0</v>
          </cell>
          <cell r="IB71">
            <v>0</v>
          </cell>
          <cell r="IC71">
            <v>0</v>
          </cell>
          <cell r="ID71">
            <v>0</v>
          </cell>
          <cell r="IF71">
            <v>0</v>
          </cell>
          <cell r="IH71">
            <v>0</v>
          </cell>
          <cell r="II71">
            <v>0</v>
          </cell>
          <cell r="IJ71">
            <v>0</v>
          </cell>
          <cell r="IK71">
            <v>0</v>
          </cell>
          <cell r="IL71">
            <v>0</v>
          </cell>
          <cell r="IM71">
            <v>0</v>
          </cell>
          <cell r="IN71">
            <v>0</v>
          </cell>
          <cell r="IO71">
            <v>0</v>
          </cell>
          <cell r="IP71">
            <v>0</v>
          </cell>
          <cell r="IQ71">
            <v>0</v>
          </cell>
          <cell r="IR71">
            <v>0</v>
          </cell>
          <cell r="IS71">
            <v>0</v>
          </cell>
          <cell r="IU71">
            <v>0</v>
          </cell>
          <cell r="IW71">
            <v>19</v>
          </cell>
          <cell r="IX71">
            <v>78.000000000000014</v>
          </cell>
          <cell r="IY71">
            <v>15</v>
          </cell>
          <cell r="IZ71">
            <v>93</v>
          </cell>
          <cell r="JB71">
            <v>5</v>
          </cell>
          <cell r="JC71">
            <v>13.999999999999998</v>
          </cell>
          <cell r="JD71">
            <v>2</v>
          </cell>
          <cell r="JE71">
            <v>18</v>
          </cell>
          <cell r="JG71">
            <v>7</v>
          </cell>
          <cell r="JH71">
            <v>32</v>
          </cell>
          <cell r="JI71">
            <v>27</v>
          </cell>
          <cell r="JJ71">
            <v>139</v>
          </cell>
          <cell r="JL71">
            <v>19</v>
          </cell>
          <cell r="JM71">
            <v>78.000000000000014</v>
          </cell>
          <cell r="JN71">
            <v>15</v>
          </cell>
          <cell r="JO71">
            <v>93</v>
          </cell>
          <cell r="JQ71">
            <v>5</v>
          </cell>
          <cell r="JR71">
            <v>13.999999999999998</v>
          </cell>
          <cell r="JS71">
            <v>2</v>
          </cell>
          <cell r="JT71">
            <v>18</v>
          </cell>
          <cell r="JV71">
            <v>7</v>
          </cell>
          <cell r="JW71">
            <v>32</v>
          </cell>
          <cell r="JX71">
            <v>27</v>
          </cell>
          <cell r="JY71">
            <v>139</v>
          </cell>
          <cell r="KA71">
            <v>17.999999999999996</v>
          </cell>
          <cell r="KB71">
            <v>77</v>
          </cell>
          <cell r="KC71">
            <v>13.000000000000002</v>
          </cell>
          <cell r="KD71">
            <v>93</v>
          </cell>
          <cell r="KF71">
            <v>4</v>
          </cell>
          <cell r="KG71">
            <v>13.000000000000002</v>
          </cell>
          <cell r="KH71">
            <v>0</v>
          </cell>
          <cell r="KI71">
            <v>18</v>
          </cell>
          <cell r="KK71">
            <v>4</v>
          </cell>
          <cell r="KL71">
            <v>31</v>
          </cell>
          <cell r="KM71">
            <v>27</v>
          </cell>
          <cell r="KN71">
            <v>139</v>
          </cell>
          <cell r="KP71">
            <v>0</v>
          </cell>
          <cell r="KQ71">
            <v>0</v>
          </cell>
          <cell r="KR71">
            <v>0</v>
          </cell>
          <cell r="KT71">
            <v>0</v>
          </cell>
          <cell r="KV71">
            <v>0</v>
          </cell>
          <cell r="KW71">
            <v>0</v>
          </cell>
          <cell r="KX71">
            <v>0</v>
          </cell>
          <cell r="KZ71">
            <v>0</v>
          </cell>
          <cell r="LA71">
            <v>0</v>
          </cell>
          <cell r="LB71">
            <v>0</v>
          </cell>
          <cell r="LD71">
            <v>0</v>
          </cell>
          <cell r="LF71">
            <v>0</v>
          </cell>
          <cell r="LG71">
            <v>0</v>
          </cell>
          <cell r="LH71">
            <v>0</v>
          </cell>
          <cell r="LJ71">
            <v>0</v>
          </cell>
          <cell r="LK71">
            <v>0</v>
          </cell>
          <cell r="LL71">
            <v>0</v>
          </cell>
          <cell r="LN71">
            <v>0</v>
          </cell>
          <cell r="LP71">
            <v>0</v>
          </cell>
          <cell r="LQ71">
            <v>0</v>
          </cell>
          <cell r="LR71">
            <v>0</v>
          </cell>
          <cell r="LT71" t="str">
            <v>Albright-Albright</v>
          </cell>
        </row>
        <row r="72">
          <cell r="B72">
            <v>476.69000000000005</v>
          </cell>
          <cell r="C72">
            <v>530</v>
          </cell>
          <cell r="D72">
            <v>173991.85000000003</v>
          </cell>
          <cell r="E72">
            <v>193450</v>
          </cell>
          <cell r="F72">
            <v>0.89941509433962286</v>
          </cell>
          <cell r="G72">
            <v>0.89941509433962286</v>
          </cell>
          <cell r="H72">
            <v>8.0999999999999989E-2</v>
          </cell>
          <cell r="I72">
            <v>1.0682714896814312</v>
          </cell>
          <cell r="J72">
            <v>20.500029999999999</v>
          </cell>
          <cell r="K72">
            <v>10.49971</v>
          </cell>
          <cell r="L72">
            <v>80.203970000000012</v>
          </cell>
          <cell r="M72">
            <v>0.999</v>
          </cell>
          <cell r="N72">
            <v>36.797289999999997</v>
          </cell>
          <cell r="O72">
            <v>0</v>
          </cell>
          <cell r="P72">
            <v>1114.5500000000002</v>
          </cell>
          <cell r="Q72">
            <v>787.82999999999993</v>
          </cell>
          <cell r="R72">
            <v>454</v>
          </cell>
          <cell r="S72">
            <v>212.07999999999996</v>
          </cell>
          <cell r="T72">
            <v>883.96999999999991</v>
          </cell>
          <cell r="U72">
            <v>0</v>
          </cell>
          <cell r="W72">
            <v>478.50547945205477</v>
          </cell>
          <cell r="X72">
            <v>530</v>
          </cell>
          <cell r="Y72">
            <v>174654.5</v>
          </cell>
          <cell r="Z72">
            <v>193450</v>
          </cell>
          <cell r="AA72">
            <v>0.90284052726802799</v>
          </cell>
          <cell r="AB72">
            <v>0.90284052726802799</v>
          </cell>
          <cell r="AC72">
            <v>8.0999999999999989E-2</v>
          </cell>
          <cell r="AD72">
            <v>1.1009027122843371</v>
          </cell>
          <cell r="AE72">
            <v>18.428779084560801</v>
          </cell>
          <cell r="AF72">
            <v>12.675319841662503</v>
          </cell>
          <cell r="AG72">
            <v>85.878516830014533</v>
          </cell>
          <cell r="AH72">
            <v>3.110302437495875</v>
          </cell>
          <cell r="AI72">
            <v>31.97958564651206</v>
          </cell>
          <cell r="AJ72">
            <v>0</v>
          </cell>
          <cell r="AK72">
            <v>1132.4629447882444</v>
          </cell>
          <cell r="AL72">
            <v>770.76063675933472</v>
          </cell>
          <cell r="AM72">
            <v>484.65778891234601</v>
          </cell>
          <cell r="AN72">
            <v>378.01415367682603</v>
          </cell>
          <cell r="AO72">
            <v>831.05153689966812</v>
          </cell>
          <cell r="AP72">
            <v>0</v>
          </cell>
          <cell r="AR72">
            <v>479.32</v>
          </cell>
          <cell r="AS72">
            <v>530</v>
          </cell>
          <cell r="AT72">
            <v>175431.12000000002</v>
          </cell>
          <cell r="AU72">
            <v>193980</v>
          </cell>
          <cell r="AV72">
            <v>0.90437735849056622</v>
          </cell>
          <cell r="AW72">
            <v>0.90437735849056622</v>
          </cell>
          <cell r="AX72">
            <v>3.7777777777777785E-2</v>
          </cell>
          <cell r="AY72">
            <v>1.1255931235583945</v>
          </cell>
          <cell r="AZ72">
            <v>19.902049999999999</v>
          </cell>
          <cell r="BA72">
            <v>13.112570000000003</v>
          </cell>
          <cell r="BB72">
            <v>85.765340000000023</v>
          </cell>
          <cell r="BC72">
            <v>3.70024</v>
          </cell>
          <cell r="BD72">
            <v>30.016120000000001</v>
          </cell>
          <cell r="BE72">
            <v>0</v>
          </cell>
          <cell r="BF72">
            <v>1141.54</v>
          </cell>
          <cell r="BG72">
            <v>797.06</v>
          </cell>
          <cell r="BH72">
            <v>495.12000000000006</v>
          </cell>
          <cell r="BI72">
            <v>229.99999999999997</v>
          </cell>
          <cell r="BJ72">
            <v>880.31</v>
          </cell>
          <cell r="BK72">
            <v>0</v>
          </cell>
          <cell r="BM72">
            <v>1</v>
          </cell>
          <cell r="BN72">
            <v>0</v>
          </cell>
          <cell r="BO72">
            <v>3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2</v>
          </cell>
          <cell r="CK72">
            <v>24</v>
          </cell>
          <cell r="CL72">
            <v>18</v>
          </cell>
          <cell r="CM72">
            <v>1</v>
          </cell>
          <cell r="CN72">
            <v>0</v>
          </cell>
          <cell r="CO72">
            <v>0</v>
          </cell>
          <cell r="CP72">
            <v>0</v>
          </cell>
          <cell r="CQ72">
            <v>5</v>
          </cell>
          <cell r="CR72">
            <v>0</v>
          </cell>
          <cell r="CS72">
            <v>13.999999999999998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>
            <v>0</v>
          </cell>
          <cell r="CY72">
            <v>0</v>
          </cell>
          <cell r="CZ72">
            <v>0</v>
          </cell>
          <cell r="DA72">
            <v>0</v>
          </cell>
          <cell r="DB72">
            <v>0</v>
          </cell>
          <cell r="DC72">
            <v>0</v>
          </cell>
          <cell r="DD72">
            <v>0</v>
          </cell>
          <cell r="DE72">
            <v>0</v>
          </cell>
          <cell r="DF72">
            <v>0</v>
          </cell>
          <cell r="DH72">
            <v>68</v>
          </cell>
          <cell r="DJ72">
            <v>1</v>
          </cell>
          <cell r="DK72">
            <v>0</v>
          </cell>
          <cell r="DL72">
            <v>3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G72">
            <v>2</v>
          </cell>
          <cell r="EH72">
            <v>24</v>
          </cell>
          <cell r="EI72">
            <v>18</v>
          </cell>
          <cell r="EJ72">
            <v>1</v>
          </cell>
          <cell r="EK72">
            <v>0</v>
          </cell>
          <cell r="EL72">
            <v>0</v>
          </cell>
          <cell r="EM72">
            <v>0</v>
          </cell>
          <cell r="EN72">
            <v>5</v>
          </cell>
          <cell r="EO72">
            <v>0</v>
          </cell>
          <cell r="EP72">
            <v>13.999999999999998</v>
          </cell>
          <cell r="EQ72">
            <v>0</v>
          </cell>
          <cell r="ER72">
            <v>0</v>
          </cell>
          <cell r="ES72">
            <v>0</v>
          </cell>
          <cell r="ET72">
            <v>0</v>
          </cell>
          <cell r="EU72">
            <v>0</v>
          </cell>
          <cell r="EV72">
            <v>0</v>
          </cell>
          <cell r="EW72">
            <v>0</v>
          </cell>
          <cell r="EX72">
            <v>0</v>
          </cell>
          <cell r="EY72">
            <v>0</v>
          </cell>
          <cell r="EZ72">
            <v>0</v>
          </cell>
          <cell r="FA72">
            <v>0</v>
          </cell>
          <cell r="FB72">
            <v>0</v>
          </cell>
          <cell r="FC72">
            <v>0</v>
          </cell>
          <cell r="FE72">
            <v>68</v>
          </cell>
          <cell r="FG72">
            <v>2</v>
          </cell>
          <cell r="FH72">
            <v>0</v>
          </cell>
          <cell r="FI72">
            <v>1</v>
          </cell>
          <cell r="FJ72">
            <v>0</v>
          </cell>
          <cell r="FK72">
            <v>0</v>
          </cell>
          <cell r="FL72">
            <v>0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FY72">
            <v>0</v>
          </cell>
          <cell r="FZ72">
            <v>0</v>
          </cell>
          <cell r="GA72">
            <v>0</v>
          </cell>
          <cell r="GB72">
            <v>0</v>
          </cell>
          <cell r="GC72">
            <v>0</v>
          </cell>
          <cell r="GD72">
            <v>0</v>
          </cell>
          <cell r="GE72">
            <v>24</v>
          </cell>
          <cell r="GF72">
            <v>18</v>
          </cell>
          <cell r="GG72">
            <v>0</v>
          </cell>
          <cell r="GH72">
            <v>0</v>
          </cell>
          <cell r="GI72">
            <v>0</v>
          </cell>
          <cell r="GJ72">
            <v>0</v>
          </cell>
          <cell r="GK72">
            <v>4</v>
          </cell>
          <cell r="GL72">
            <v>1</v>
          </cell>
          <cell r="GM72">
            <v>13.000000000000002</v>
          </cell>
          <cell r="GN72">
            <v>0</v>
          </cell>
          <cell r="GO72">
            <v>0</v>
          </cell>
          <cell r="GP72">
            <v>0</v>
          </cell>
          <cell r="GQ72">
            <v>0</v>
          </cell>
          <cell r="GR72">
            <v>0</v>
          </cell>
          <cell r="GS72">
            <v>0</v>
          </cell>
          <cell r="GT72">
            <v>0</v>
          </cell>
          <cell r="GU72">
            <v>0</v>
          </cell>
          <cell r="GV72">
            <v>0</v>
          </cell>
          <cell r="GW72">
            <v>0</v>
          </cell>
          <cell r="GX72">
            <v>0</v>
          </cell>
          <cell r="GY72">
            <v>0</v>
          </cell>
          <cell r="GZ72">
            <v>0</v>
          </cell>
          <cell r="HB72">
            <v>63</v>
          </cell>
          <cell r="HD72">
            <v>0</v>
          </cell>
          <cell r="HE72">
            <v>0</v>
          </cell>
          <cell r="HF72">
            <v>0</v>
          </cell>
          <cell r="HG72">
            <v>0</v>
          </cell>
          <cell r="HH72">
            <v>0</v>
          </cell>
          <cell r="HI72">
            <v>0</v>
          </cell>
          <cell r="HJ72">
            <v>0</v>
          </cell>
          <cell r="HK72">
            <v>0</v>
          </cell>
          <cell r="HL72">
            <v>0</v>
          </cell>
          <cell r="HM72">
            <v>0</v>
          </cell>
          <cell r="HN72">
            <v>0</v>
          </cell>
          <cell r="HO72">
            <v>0</v>
          </cell>
          <cell r="HQ72">
            <v>0</v>
          </cell>
          <cell r="HS72">
            <v>0</v>
          </cell>
          <cell r="HT72">
            <v>0</v>
          </cell>
          <cell r="HU72">
            <v>0</v>
          </cell>
          <cell r="HV72">
            <v>0</v>
          </cell>
          <cell r="HW72">
            <v>0</v>
          </cell>
          <cell r="HX72">
            <v>0</v>
          </cell>
          <cell r="HY72">
            <v>0</v>
          </cell>
          <cell r="HZ72">
            <v>0</v>
          </cell>
          <cell r="IA72">
            <v>0</v>
          </cell>
          <cell r="IB72">
            <v>0</v>
          </cell>
          <cell r="IC72">
            <v>0</v>
          </cell>
          <cell r="ID72">
            <v>0</v>
          </cell>
          <cell r="IF72">
            <v>0</v>
          </cell>
          <cell r="IH72">
            <v>0</v>
          </cell>
          <cell r="II72">
            <v>0</v>
          </cell>
          <cell r="IJ72">
            <v>0</v>
          </cell>
          <cell r="IK72">
            <v>0</v>
          </cell>
          <cell r="IL72">
            <v>0</v>
          </cell>
          <cell r="IM72">
            <v>0</v>
          </cell>
          <cell r="IN72">
            <v>0</v>
          </cell>
          <cell r="IO72">
            <v>0</v>
          </cell>
          <cell r="IP72">
            <v>0</v>
          </cell>
          <cell r="IQ72">
            <v>0</v>
          </cell>
          <cell r="IR72">
            <v>0</v>
          </cell>
          <cell r="IS72">
            <v>0</v>
          </cell>
          <cell r="IU72">
            <v>0</v>
          </cell>
          <cell r="IW72">
            <v>19</v>
          </cell>
          <cell r="IX72">
            <v>78.000000000000014</v>
          </cell>
          <cell r="IY72">
            <v>15</v>
          </cell>
          <cell r="IZ72">
            <v>93</v>
          </cell>
          <cell r="JB72">
            <v>5</v>
          </cell>
          <cell r="JC72">
            <v>13.999999999999998</v>
          </cell>
          <cell r="JD72">
            <v>2</v>
          </cell>
          <cell r="JE72">
            <v>18</v>
          </cell>
          <cell r="JG72">
            <v>7</v>
          </cell>
          <cell r="JH72">
            <v>32</v>
          </cell>
          <cell r="JI72">
            <v>27</v>
          </cell>
          <cell r="JJ72">
            <v>139</v>
          </cell>
          <cell r="JL72">
            <v>19</v>
          </cell>
          <cell r="JM72">
            <v>78.000000000000014</v>
          </cell>
          <cell r="JN72">
            <v>15</v>
          </cell>
          <cell r="JO72">
            <v>93</v>
          </cell>
          <cell r="JQ72">
            <v>5</v>
          </cell>
          <cell r="JR72">
            <v>13.999999999999998</v>
          </cell>
          <cell r="JS72">
            <v>2</v>
          </cell>
          <cell r="JT72">
            <v>18</v>
          </cell>
          <cell r="JV72">
            <v>7</v>
          </cell>
          <cell r="JW72">
            <v>32</v>
          </cell>
          <cell r="JX72">
            <v>27</v>
          </cell>
          <cell r="JY72">
            <v>139</v>
          </cell>
          <cell r="KA72">
            <v>17.999999999999996</v>
          </cell>
          <cell r="KB72">
            <v>77</v>
          </cell>
          <cell r="KC72">
            <v>13.000000000000002</v>
          </cell>
          <cell r="KD72">
            <v>93</v>
          </cell>
          <cell r="KF72">
            <v>4</v>
          </cell>
          <cell r="KG72">
            <v>13.000000000000002</v>
          </cell>
          <cell r="KH72">
            <v>0</v>
          </cell>
          <cell r="KI72">
            <v>18</v>
          </cell>
          <cell r="KK72">
            <v>4</v>
          </cell>
          <cell r="KL72">
            <v>31</v>
          </cell>
          <cell r="KM72">
            <v>27</v>
          </cell>
          <cell r="KN72">
            <v>139</v>
          </cell>
          <cell r="KP72">
            <v>0</v>
          </cell>
          <cell r="KQ72">
            <v>0</v>
          </cell>
          <cell r="KR72">
            <v>0</v>
          </cell>
          <cell r="KT72">
            <v>0</v>
          </cell>
          <cell r="KV72">
            <v>0</v>
          </cell>
          <cell r="KW72">
            <v>0</v>
          </cell>
          <cell r="KX72">
            <v>0</v>
          </cell>
          <cell r="KZ72">
            <v>0</v>
          </cell>
          <cell r="LA72">
            <v>0</v>
          </cell>
          <cell r="LB72">
            <v>0</v>
          </cell>
          <cell r="LD72">
            <v>0</v>
          </cell>
          <cell r="LF72">
            <v>0</v>
          </cell>
          <cell r="LG72">
            <v>0</v>
          </cell>
          <cell r="LH72">
            <v>0</v>
          </cell>
          <cell r="LJ72">
            <v>0</v>
          </cell>
          <cell r="LK72">
            <v>0</v>
          </cell>
          <cell r="LL72">
            <v>0</v>
          </cell>
          <cell r="LN72">
            <v>0</v>
          </cell>
          <cell r="LP72">
            <v>0</v>
          </cell>
          <cell r="LQ72">
            <v>0</v>
          </cell>
          <cell r="LR72">
            <v>0</v>
          </cell>
          <cell r="LT72" t="str">
            <v>Albright (Consolidated)-Albright (Consolidated)</v>
          </cell>
        </row>
        <row r="73"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H73">
            <v>0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G73">
            <v>0</v>
          </cell>
          <cell r="EH73">
            <v>0</v>
          </cell>
          <cell r="EI73">
            <v>0</v>
          </cell>
          <cell r="EJ73">
            <v>0</v>
          </cell>
          <cell r="EK73">
            <v>0</v>
          </cell>
          <cell r="EL73">
            <v>0</v>
          </cell>
          <cell r="EM73">
            <v>0</v>
          </cell>
          <cell r="EN73">
            <v>0</v>
          </cell>
          <cell r="EO73">
            <v>0</v>
          </cell>
          <cell r="EP73">
            <v>0</v>
          </cell>
          <cell r="EQ73">
            <v>0</v>
          </cell>
          <cell r="ER73">
            <v>0</v>
          </cell>
          <cell r="ES73">
            <v>0</v>
          </cell>
          <cell r="ET73">
            <v>0</v>
          </cell>
          <cell r="EU73">
            <v>0</v>
          </cell>
          <cell r="EV73">
            <v>0</v>
          </cell>
          <cell r="EW73">
            <v>0</v>
          </cell>
          <cell r="EX73">
            <v>0</v>
          </cell>
          <cell r="EY73">
            <v>0</v>
          </cell>
          <cell r="EZ73">
            <v>0</v>
          </cell>
          <cell r="FA73">
            <v>0</v>
          </cell>
          <cell r="FB73">
            <v>0</v>
          </cell>
          <cell r="FC73">
            <v>0</v>
          </cell>
          <cell r="FE73">
            <v>0</v>
          </cell>
          <cell r="FG73">
            <v>0</v>
          </cell>
          <cell r="FH73">
            <v>0</v>
          </cell>
          <cell r="FI73">
            <v>0</v>
          </cell>
          <cell r="FJ73">
            <v>0</v>
          </cell>
          <cell r="FK73">
            <v>0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FY73">
            <v>0</v>
          </cell>
          <cell r="FZ73">
            <v>0</v>
          </cell>
          <cell r="GA73">
            <v>0</v>
          </cell>
          <cell r="GB73">
            <v>0</v>
          </cell>
          <cell r="GC73">
            <v>0</v>
          </cell>
          <cell r="GD73">
            <v>0</v>
          </cell>
          <cell r="GE73">
            <v>0</v>
          </cell>
          <cell r="GF73">
            <v>0</v>
          </cell>
          <cell r="GG73">
            <v>0</v>
          </cell>
          <cell r="GH73">
            <v>0</v>
          </cell>
          <cell r="GI73">
            <v>0</v>
          </cell>
          <cell r="GJ73">
            <v>0</v>
          </cell>
          <cell r="GK73">
            <v>0</v>
          </cell>
          <cell r="GL73">
            <v>0</v>
          </cell>
          <cell r="GM73">
            <v>0</v>
          </cell>
          <cell r="GN73">
            <v>0</v>
          </cell>
          <cell r="GO73">
            <v>0</v>
          </cell>
          <cell r="GP73">
            <v>0</v>
          </cell>
          <cell r="GQ73">
            <v>0</v>
          </cell>
          <cell r="GR73">
            <v>0</v>
          </cell>
          <cell r="GS73">
            <v>0</v>
          </cell>
          <cell r="GT73">
            <v>0</v>
          </cell>
          <cell r="GU73">
            <v>0</v>
          </cell>
          <cell r="GV73">
            <v>0</v>
          </cell>
          <cell r="GW73">
            <v>0</v>
          </cell>
          <cell r="GX73">
            <v>0</v>
          </cell>
          <cell r="GY73">
            <v>0</v>
          </cell>
          <cell r="GZ73">
            <v>0</v>
          </cell>
          <cell r="HB73">
            <v>0</v>
          </cell>
          <cell r="HD73">
            <v>0</v>
          </cell>
          <cell r="HE73">
            <v>0</v>
          </cell>
          <cell r="HF73">
            <v>0</v>
          </cell>
          <cell r="HG73">
            <v>0</v>
          </cell>
          <cell r="HH73">
            <v>0</v>
          </cell>
          <cell r="HI73">
            <v>0</v>
          </cell>
          <cell r="HJ73">
            <v>0</v>
          </cell>
          <cell r="HK73">
            <v>0</v>
          </cell>
          <cell r="HL73">
            <v>0</v>
          </cell>
          <cell r="HM73">
            <v>0</v>
          </cell>
          <cell r="HN73">
            <v>0</v>
          </cell>
          <cell r="HO73">
            <v>0</v>
          </cell>
          <cell r="HQ73">
            <v>0</v>
          </cell>
          <cell r="HS73">
            <v>0</v>
          </cell>
          <cell r="HT73">
            <v>0</v>
          </cell>
          <cell r="HU73">
            <v>0</v>
          </cell>
          <cell r="HV73">
            <v>0</v>
          </cell>
          <cell r="HW73">
            <v>0</v>
          </cell>
          <cell r="HX73">
            <v>0</v>
          </cell>
          <cell r="HY73">
            <v>0</v>
          </cell>
          <cell r="HZ73">
            <v>0</v>
          </cell>
          <cell r="IA73">
            <v>0</v>
          </cell>
          <cell r="IB73">
            <v>0</v>
          </cell>
          <cell r="IC73">
            <v>0</v>
          </cell>
          <cell r="ID73">
            <v>0</v>
          </cell>
          <cell r="IF73">
            <v>0</v>
          </cell>
          <cell r="IH73">
            <v>0</v>
          </cell>
          <cell r="II73">
            <v>0</v>
          </cell>
          <cell r="IJ73">
            <v>0</v>
          </cell>
          <cell r="IK73">
            <v>0</v>
          </cell>
          <cell r="IL73">
            <v>0</v>
          </cell>
          <cell r="IM73">
            <v>0</v>
          </cell>
          <cell r="IN73">
            <v>0</v>
          </cell>
          <cell r="IO73">
            <v>0</v>
          </cell>
          <cell r="IP73">
            <v>0</v>
          </cell>
          <cell r="IQ73">
            <v>0</v>
          </cell>
          <cell r="IR73">
            <v>0</v>
          </cell>
          <cell r="IS73">
            <v>0</v>
          </cell>
          <cell r="IU73">
            <v>0</v>
          </cell>
          <cell r="IW73">
            <v>0</v>
          </cell>
          <cell r="IX73">
            <v>0</v>
          </cell>
          <cell r="IY73">
            <v>0</v>
          </cell>
          <cell r="IZ73">
            <v>0</v>
          </cell>
          <cell r="JB73">
            <v>0</v>
          </cell>
          <cell r="JC73">
            <v>0</v>
          </cell>
          <cell r="JD73">
            <v>0</v>
          </cell>
          <cell r="JE73">
            <v>0</v>
          </cell>
          <cell r="JG73">
            <v>0</v>
          </cell>
          <cell r="JH73">
            <v>0</v>
          </cell>
          <cell r="JI73">
            <v>0</v>
          </cell>
          <cell r="JJ73">
            <v>0</v>
          </cell>
          <cell r="JL73">
            <v>0</v>
          </cell>
          <cell r="JM73">
            <v>0</v>
          </cell>
          <cell r="JN73">
            <v>0</v>
          </cell>
          <cell r="JO73">
            <v>0</v>
          </cell>
          <cell r="JQ73">
            <v>0</v>
          </cell>
          <cell r="JR73">
            <v>0</v>
          </cell>
          <cell r="JS73">
            <v>0</v>
          </cell>
          <cell r="JT73">
            <v>0</v>
          </cell>
          <cell r="JV73">
            <v>0</v>
          </cell>
          <cell r="JW73">
            <v>0</v>
          </cell>
          <cell r="JX73">
            <v>0</v>
          </cell>
          <cell r="JY73">
            <v>0</v>
          </cell>
          <cell r="KA73">
            <v>0</v>
          </cell>
          <cell r="KB73">
            <v>0</v>
          </cell>
          <cell r="KC73">
            <v>0</v>
          </cell>
          <cell r="KD73">
            <v>0</v>
          </cell>
          <cell r="KF73">
            <v>0</v>
          </cell>
          <cell r="KG73">
            <v>0</v>
          </cell>
          <cell r="KH73">
            <v>0</v>
          </cell>
          <cell r="KI73">
            <v>0</v>
          </cell>
          <cell r="KK73">
            <v>0</v>
          </cell>
          <cell r="KL73">
            <v>0</v>
          </cell>
          <cell r="KM73">
            <v>0</v>
          </cell>
          <cell r="KN73">
            <v>0</v>
          </cell>
          <cell r="KP73">
            <v>0</v>
          </cell>
          <cell r="KQ73">
            <v>0</v>
          </cell>
          <cell r="KR73">
            <v>0</v>
          </cell>
          <cell r="KT73">
            <v>0</v>
          </cell>
          <cell r="KV73">
            <v>0</v>
          </cell>
          <cell r="KW73">
            <v>0</v>
          </cell>
          <cell r="KX73">
            <v>0</v>
          </cell>
          <cell r="KZ73">
            <v>0</v>
          </cell>
          <cell r="LA73">
            <v>0</v>
          </cell>
          <cell r="LB73">
            <v>0</v>
          </cell>
          <cell r="LD73">
            <v>0</v>
          </cell>
          <cell r="LF73">
            <v>0</v>
          </cell>
          <cell r="LG73">
            <v>0</v>
          </cell>
          <cell r="LH73">
            <v>0</v>
          </cell>
          <cell r="LJ73">
            <v>0</v>
          </cell>
          <cell r="LK73">
            <v>0</v>
          </cell>
          <cell r="LL73">
            <v>0</v>
          </cell>
          <cell r="LN73">
            <v>0</v>
          </cell>
          <cell r="LP73">
            <v>0</v>
          </cell>
          <cell r="LQ73">
            <v>0</v>
          </cell>
          <cell r="LR73">
            <v>0</v>
          </cell>
          <cell r="LT73" t="str">
            <v>Top Level (Consolidated) (Only)-Top Level (Consolidated) (Only)</v>
          </cell>
        </row>
        <row r="74">
          <cell r="B74">
            <v>3189.9995890410951</v>
          </cell>
          <cell r="C74">
            <v>3519</v>
          </cell>
          <cell r="D74">
            <v>1164349.8500000001</v>
          </cell>
          <cell r="E74">
            <v>1284435</v>
          </cell>
          <cell r="F74">
            <v>0.90650741376558563</v>
          </cell>
          <cell r="G74">
            <v>0.90650741376558563</v>
          </cell>
          <cell r="H74">
            <v>6.2039215686274497E-2</v>
          </cell>
          <cell r="I74">
            <v>1.0122163213795343</v>
          </cell>
          <cell r="J74">
            <v>88.594032763333345</v>
          </cell>
          <cell r="K74">
            <v>55.070659650000003</v>
          </cell>
          <cell r="L74">
            <v>287.89534448999996</v>
          </cell>
          <cell r="M74">
            <v>2.6151626600000002</v>
          </cell>
          <cell r="N74">
            <v>228.14036769000003</v>
          </cell>
          <cell r="O74">
            <v>4.1706281000000009</v>
          </cell>
          <cell r="P74">
            <v>5445.05</v>
          </cell>
          <cell r="Q74">
            <v>3844.37</v>
          </cell>
          <cell r="R74">
            <v>1739.27</v>
          </cell>
          <cell r="S74">
            <v>1399.38</v>
          </cell>
          <cell r="T74">
            <v>5030.1000000000004</v>
          </cell>
          <cell r="U74">
            <v>489.06000000000006</v>
          </cell>
          <cell r="W74">
            <v>3048.4663109707781</v>
          </cell>
          <cell r="X74">
            <v>3521.8150959791319</v>
          </cell>
          <cell r="Y74">
            <v>1112692.6200000001</v>
          </cell>
          <cell r="Z74">
            <v>1285462</v>
          </cell>
          <cell r="AA74">
            <v>0.86559744278710693</v>
          </cell>
          <cell r="AB74">
            <v>0.86628955143701325</v>
          </cell>
          <cell r="AC74">
            <v>6.2039215686274497E-2</v>
          </cell>
          <cell r="AD74">
            <v>1.0256843939086768</v>
          </cell>
          <cell r="AE74">
            <v>66.230577562888683</v>
          </cell>
          <cell r="AF74">
            <v>38.2940606241471</v>
          </cell>
          <cell r="AG74">
            <v>284.9006545635271</v>
          </cell>
          <cell r="AH74">
            <v>6.8921280283218627</v>
          </cell>
          <cell r="AI74">
            <v>213.24390249640967</v>
          </cell>
          <cell r="AJ74">
            <v>11.753936315322573</v>
          </cell>
          <cell r="AK74">
            <v>5840.0420869404707</v>
          </cell>
          <cell r="AL74">
            <v>4467.9910554183061</v>
          </cell>
          <cell r="AM74">
            <v>1881.790070263643</v>
          </cell>
          <cell r="AN74">
            <v>1683.8955886006245</v>
          </cell>
          <cell r="AO74">
            <v>4752.5836529090511</v>
          </cell>
          <cell r="AP74">
            <v>564.46896895681391</v>
          </cell>
          <cell r="AR74">
            <v>2694.7918579234974</v>
          </cell>
          <cell r="AS74">
            <v>3518</v>
          </cell>
          <cell r="AT74">
            <v>986293.82</v>
          </cell>
          <cell r="AU74">
            <v>1287588</v>
          </cell>
          <cell r="AV74">
            <v>0.76600109662407534</v>
          </cell>
          <cell r="AW74">
            <v>0.76600109662407534</v>
          </cell>
          <cell r="AX74">
            <v>3.6323529411764706E-2</v>
          </cell>
          <cell r="AY74">
            <v>1.0062894017163655</v>
          </cell>
          <cell r="AZ74">
            <v>58.87461583333333</v>
          </cell>
          <cell r="BA74">
            <v>24.69734124999999</v>
          </cell>
          <cell r="BB74">
            <v>239.06259791666665</v>
          </cell>
          <cell r="BC74">
            <v>5.5413449999999997</v>
          </cell>
          <cell r="BD74">
            <v>176.21730500000001</v>
          </cell>
          <cell r="BE74">
            <v>2.7536495833333334</v>
          </cell>
          <cell r="BF74">
            <v>6151.93</v>
          </cell>
          <cell r="BG74">
            <v>4528.9900000000007</v>
          </cell>
          <cell r="BH74">
            <v>1851.35</v>
          </cell>
          <cell r="BI74">
            <v>894.36426661981352</v>
          </cell>
          <cell r="BJ74">
            <v>5135.88</v>
          </cell>
          <cell r="BK74">
            <v>509.78</v>
          </cell>
          <cell r="BM74">
            <v>1</v>
          </cell>
          <cell r="BN74">
            <v>1</v>
          </cell>
          <cell r="BO74">
            <v>3</v>
          </cell>
          <cell r="BP74">
            <v>0</v>
          </cell>
          <cell r="BQ74">
            <v>9</v>
          </cell>
          <cell r="BR74">
            <v>16</v>
          </cell>
          <cell r="BS74">
            <v>0</v>
          </cell>
          <cell r="BT74">
            <v>1</v>
          </cell>
          <cell r="BU74">
            <v>19</v>
          </cell>
          <cell r="BV74">
            <v>1</v>
          </cell>
          <cell r="BW74">
            <v>55.000000000000021</v>
          </cell>
          <cell r="BX74">
            <v>36</v>
          </cell>
          <cell r="BY74">
            <v>2</v>
          </cell>
          <cell r="BZ74">
            <v>1</v>
          </cell>
          <cell r="CA74">
            <v>13.000000000000002</v>
          </cell>
          <cell r="CB74">
            <v>32.000000000000007</v>
          </cell>
          <cell r="CC74">
            <v>19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6.9999999999999991</v>
          </cell>
          <cell r="CI74">
            <v>9</v>
          </cell>
          <cell r="CJ74">
            <v>2</v>
          </cell>
          <cell r="CK74">
            <v>24</v>
          </cell>
          <cell r="CL74">
            <v>18</v>
          </cell>
          <cell r="CM74">
            <v>1</v>
          </cell>
          <cell r="CN74">
            <v>1</v>
          </cell>
          <cell r="CO74">
            <v>0</v>
          </cell>
          <cell r="CP74">
            <v>20</v>
          </cell>
          <cell r="CQ74">
            <v>5</v>
          </cell>
          <cell r="CR74">
            <v>0</v>
          </cell>
          <cell r="CS74">
            <v>13.999999999999998</v>
          </cell>
          <cell r="CT74">
            <v>8</v>
          </cell>
          <cell r="CU74">
            <v>9</v>
          </cell>
          <cell r="CV74">
            <v>33.999999999999993</v>
          </cell>
          <cell r="CW74">
            <v>38</v>
          </cell>
          <cell r="CX74">
            <v>1</v>
          </cell>
          <cell r="CY74">
            <v>0</v>
          </cell>
          <cell r="CZ74">
            <v>0</v>
          </cell>
          <cell r="DA74">
            <v>0</v>
          </cell>
          <cell r="DB74">
            <v>0</v>
          </cell>
          <cell r="DC74">
            <v>0</v>
          </cell>
          <cell r="DD74">
            <v>0</v>
          </cell>
          <cell r="DE74">
            <v>0</v>
          </cell>
          <cell r="DF74">
            <v>13.999999999999998</v>
          </cell>
          <cell r="DH74">
            <v>414</v>
          </cell>
          <cell r="DJ74">
            <v>1</v>
          </cell>
          <cell r="DK74">
            <v>1</v>
          </cell>
          <cell r="DL74">
            <v>3</v>
          </cell>
          <cell r="DM74">
            <v>0</v>
          </cell>
          <cell r="DN74">
            <v>9</v>
          </cell>
          <cell r="DO74">
            <v>16</v>
          </cell>
          <cell r="DP74">
            <v>0</v>
          </cell>
          <cell r="DQ74">
            <v>1</v>
          </cell>
          <cell r="DR74">
            <v>19</v>
          </cell>
          <cell r="DS74">
            <v>1</v>
          </cell>
          <cell r="DT74">
            <v>55.000000000000021</v>
          </cell>
          <cell r="DU74">
            <v>36</v>
          </cell>
          <cell r="DV74">
            <v>2</v>
          </cell>
          <cell r="DW74">
            <v>1</v>
          </cell>
          <cell r="DX74">
            <v>13.000000000000002</v>
          </cell>
          <cell r="DY74">
            <v>32.000000000000007</v>
          </cell>
          <cell r="DZ74">
            <v>19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6.9999999999999991</v>
          </cell>
          <cell r="EF74">
            <v>9</v>
          </cell>
          <cell r="EG74">
            <v>2</v>
          </cell>
          <cell r="EH74">
            <v>24</v>
          </cell>
          <cell r="EI74">
            <v>18</v>
          </cell>
          <cell r="EJ74">
            <v>1</v>
          </cell>
          <cell r="EK74">
            <v>1</v>
          </cell>
          <cell r="EL74">
            <v>0</v>
          </cell>
          <cell r="EM74">
            <v>20</v>
          </cell>
          <cell r="EN74">
            <v>5</v>
          </cell>
          <cell r="EO74">
            <v>0</v>
          </cell>
          <cell r="EP74">
            <v>13.999999999999998</v>
          </cell>
          <cell r="EQ74">
            <v>8</v>
          </cell>
          <cell r="ER74">
            <v>9</v>
          </cell>
          <cell r="ES74">
            <v>33.999999999999993</v>
          </cell>
          <cell r="ET74">
            <v>38</v>
          </cell>
          <cell r="EU74">
            <v>1</v>
          </cell>
          <cell r="EV74">
            <v>0</v>
          </cell>
          <cell r="EW74">
            <v>0</v>
          </cell>
          <cell r="EX74">
            <v>0</v>
          </cell>
          <cell r="EY74">
            <v>0</v>
          </cell>
          <cell r="EZ74">
            <v>0</v>
          </cell>
          <cell r="FA74">
            <v>0</v>
          </cell>
          <cell r="FB74">
            <v>0</v>
          </cell>
          <cell r="FC74">
            <v>13.999999999999998</v>
          </cell>
          <cell r="FE74">
            <v>414</v>
          </cell>
          <cell r="FG74">
            <v>2</v>
          </cell>
          <cell r="FH74">
            <v>0</v>
          </cell>
          <cell r="FI74">
            <v>1</v>
          </cell>
          <cell r="FJ74">
            <v>0</v>
          </cell>
          <cell r="FK74">
            <v>12</v>
          </cell>
          <cell r="FL74">
            <v>15</v>
          </cell>
          <cell r="FM74">
            <v>0</v>
          </cell>
          <cell r="FN74">
            <v>1</v>
          </cell>
          <cell r="FO74">
            <v>19</v>
          </cell>
          <cell r="FP74">
            <v>1</v>
          </cell>
          <cell r="FQ74">
            <v>52.999999999999993</v>
          </cell>
          <cell r="FR74">
            <v>37</v>
          </cell>
          <cell r="FS74">
            <v>1</v>
          </cell>
          <cell r="FT74">
            <v>0</v>
          </cell>
          <cell r="FU74">
            <v>10</v>
          </cell>
          <cell r="FV74">
            <v>32</v>
          </cell>
          <cell r="FW74">
            <v>24</v>
          </cell>
          <cell r="FX74">
            <v>0</v>
          </cell>
          <cell r="FY74">
            <v>0</v>
          </cell>
          <cell r="FZ74">
            <v>0</v>
          </cell>
          <cell r="GA74">
            <v>0</v>
          </cell>
          <cell r="GB74">
            <v>9</v>
          </cell>
          <cell r="GC74">
            <v>10</v>
          </cell>
          <cell r="GD74">
            <v>0</v>
          </cell>
          <cell r="GE74">
            <v>24</v>
          </cell>
          <cell r="GF74">
            <v>18</v>
          </cell>
          <cell r="GG74">
            <v>0</v>
          </cell>
          <cell r="GH74">
            <v>0</v>
          </cell>
          <cell r="GI74">
            <v>0</v>
          </cell>
          <cell r="GJ74">
            <v>23</v>
          </cell>
          <cell r="GK74">
            <v>4</v>
          </cell>
          <cell r="GL74">
            <v>1</v>
          </cell>
          <cell r="GM74">
            <v>13.000000000000002</v>
          </cell>
          <cell r="GN74">
            <v>6.9999999999999991</v>
          </cell>
          <cell r="GO74">
            <v>9</v>
          </cell>
          <cell r="GP74">
            <v>36</v>
          </cell>
          <cell r="GQ74">
            <v>46.999999999999993</v>
          </cell>
          <cell r="GR74">
            <v>0</v>
          </cell>
          <cell r="GS74">
            <v>0</v>
          </cell>
          <cell r="GT74">
            <v>0</v>
          </cell>
          <cell r="GU74">
            <v>1</v>
          </cell>
          <cell r="GV74">
            <v>2</v>
          </cell>
          <cell r="GW74">
            <v>2</v>
          </cell>
          <cell r="GX74">
            <v>1</v>
          </cell>
          <cell r="GY74">
            <v>2</v>
          </cell>
          <cell r="GZ74">
            <v>9</v>
          </cell>
          <cell r="HB74">
            <v>426</v>
          </cell>
          <cell r="HD74">
            <v>2</v>
          </cell>
          <cell r="HE74">
            <v>4</v>
          </cell>
          <cell r="HF74">
            <v>3</v>
          </cell>
          <cell r="HG74">
            <v>2</v>
          </cell>
          <cell r="HH74">
            <v>1</v>
          </cell>
          <cell r="HI74">
            <v>2</v>
          </cell>
          <cell r="HJ74">
            <v>2</v>
          </cell>
          <cell r="HK74">
            <v>1</v>
          </cell>
          <cell r="HL74">
            <v>3</v>
          </cell>
          <cell r="HM74">
            <v>1</v>
          </cell>
          <cell r="HN74">
            <v>13.999999999999998</v>
          </cell>
          <cell r="HO74">
            <v>3</v>
          </cell>
          <cell r="HQ74">
            <v>38</v>
          </cell>
          <cell r="HS74">
            <v>2</v>
          </cell>
          <cell r="HT74">
            <v>4</v>
          </cell>
          <cell r="HU74">
            <v>3</v>
          </cell>
          <cell r="HV74">
            <v>2</v>
          </cell>
          <cell r="HW74">
            <v>1</v>
          </cell>
          <cell r="HX74">
            <v>2</v>
          </cell>
          <cell r="HY74">
            <v>2</v>
          </cell>
          <cell r="HZ74">
            <v>1</v>
          </cell>
          <cell r="IA74">
            <v>3</v>
          </cell>
          <cell r="IB74">
            <v>1</v>
          </cell>
          <cell r="IC74">
            <v>13.999999999999998</v>
          </cell>
          <cell r="ID74">
            <v>3</v>
          </cell>
          <cell r="IF74">
            <v>38</v>
          </cell>
          <cell r="IH74">
            <v>2</v>
          </cell>
          <cell r="II74">
            <v>4</v>
          </cell>
          <cell r="IJ74">
            <v>3</v>
          </cell>
          <cell r="IK74">
            <v>2</v>
          </cell>
          <cell r="IL74">
            <v>1</v>
          </cell>
          <cell r="IM74">
            <v>2</v>
          </cell>
          <cell r="IN74">
            <v>2</v>
          </cell>
          <cell r="IO74">
            <v>1</v>
          </cell>
          <cell r="IP74">
            <v>3</v>
          </cell>
          <cell r="IQ74">
            <v>1</v>
          </cell>
          <cell r="IR74">
            <v>13.999999999999998</v>
          </cell>
          <cell r="IS74">
            <v>3</v>
          </cell>
          <cell r="IU74">
            <v>38</v>
          </cell>
          <cell r="IW74">
            <v>19</v>
          </cell>
          <cell r="IX74">
            <v>78.000000000000014</v>
          </cell>
          <cell r="IY74">
            <v>15</v>
          </cell>
          <cell r="IZ74">
            <v>93</v>
          </cell>
          <cell r="JB74">
            <v>5</v>
          </cell>
          <cell r="JC74">
            <v>13.999999999999998</v>
          </cell>
          <cell r="JD74">
            <v>2</v>
          </cell>
          <cell r="JE74">
            <v>18</v>
          </cell>
          <cell r="JG74">
            <v>7</v>
          </cell>
          <cell r="JH74">
            <v>32</v>
          </cell>
          <cell r="JI74">
            <v>27</v>
          </cell>
          <cell r="JJ74">
            <v>139</v>
          </cell>
          <cell r="JL74">
            <v>19</v>
          </cell>
          <cell r="JM74">
            <v>78.000000000000014</v>
          </cell>
          <cell r="JN74">
            <v>15</v>
          </cell>
          <cell r="JO74">
            <v>93</v>
          </cell>
          <cell r="JQ74">
            <v>5</v>
          </cell>
          <cell r="JR74">
            <v>13.999999999999998</v>
          </cell>
          <cell r="JS74">
            <v>2</v>
          </cell>
          <cell r="JT74">
            <v>18</v>
          </cell>
          <cell r="JV74">
            <v>7</v>
          </cell>
          <cell r="JW74">
            <v>32</v>
          </cell>
          <cell r="JX74">
            <v>27</v>
          </cell>
          <cell r="JY74">
            <v>139</v>
          </cell>
          <cell r="KA74">
            <v>17.999999999999996</v>
          </cell>
          <cell r="KB74">
            <v>77</v>
          </cell>
          <cell r="KC74">
            <v>13.000000000000002</v>
          </cell>
          <cell r="KD74">
            <v>93</v>
          </cell>
          <cell r="KF74">
            <v>4</v>
          </cell>
          <cell r="KG74">
            <v>13.000000000000002</v>
          </cell>
          <cell r="KH74">
            <v>0</v>
          </cell>
          <cell r="KI74">
            <v>18</v>
          </cell>
          <cell r="KK74">
            <v>4</v>
          </cell>
          <cell r="KL74">
            <v>31</v>
          </cell>
          <cell r="KM74">
            <v>27</v>
          </cell>
          <cell r="KN74">
            <v>139</v>
          </cell>
          <cell r="KP74">
            <v>10.999999999999998</v>
          </cell>
          <cell r="KQ74">
            <v>39.000000000000007</v>
          </cell>
          <cell r="KR74">
            <v>6</v>
          </cell>
          <cell r="KT74">
            <v>19</v>
          </cell>
          <cell r="KV74">
            <v>10.999999999999998</v>
          </cell>
          <cell r="KW74">
            <v>20.000000000000007</v>
          </cell>
          <cell r="KX74">
            <v>6</v>
          </cell>
          <cell r="KZ74">
            <v>10.999999999999998</v>
          </cell>
          <cell r="LA74">
            <v>39.000000000000007</v>
          </cell>
          <cell r="LB74">
            <v>6</v>
          </cell>
          <cell r="LD74">
            <v>19</v>
          </cell>
          <cell r="LF74">
            <v>10.999999999999998</v>
          </cell>
          <cell r="LG74">
            <v>20.000000000000007</v>
          </cell>
          <cell r="LH74">
            <v>6</v>
          </cell>
          <cell r="LJ74">
            <v>11</v>
          </cell>
          <cell r="LK74">
            <v>39.000000000000007</v>
          </cell>
          <cell r="LL74">
            <v>6</v>
          </cell>
          <cell r="LN74">
            <v>19</v>
          </cell>
          <cell r="LP74">
            <v>11</v>
          </cell>
          <cell r="LQ74">
            <v>20.000000000000007</v>
          </cell>
          <cell r="LR74">
            <v>6</v>
          </cell>
          <cell r="LT74" t="str">
            <v>Top Level (Consolidated)-Top Level (Consolidated)</v>
          </cell>
        </row>
      </sheetData>
      <sheetData sheetId="33"/>
      <sheetData sheetId="34"/>
      <sheetData sheetId="35">
        <row r="1">
          <cell r="B1" t="str">
            <v>2023Budget</v>
          </cell>
          <cell r="C1" t="str">
            <v>2023FC 9+3</v>
          </cell>
          <cell r="D1" t="str">
            <v>2024Budget</v>
          </cell>
        </row>
        <row r="2">
          <cell r="I2" t="str">
            <v>x'OC-Raise'!$B$7:$D$54</v>
          </cell>
        </row>
        <row r="3">
          <cell r="I3" t="str">
            <v>x'OC-Raise'!$F$7:$F$54</v>
          </cell>
        </row>
      </sheetData>
      <sheetData sheetId="36" refreshError="1"/>
      <sheetData sheetId="37">
        <row r="1">
          <cell r="B1" t="str">
            <v>44927FC 9+3SNF Census - Medicare A</v>
          </cell>
          <cell r="C1" t="str">
            <v>44958FC 9+3SNF Census - Medicare A</v>
          </cell>
          <cell r="D1" t="str">
            <v>44986FC 9+3SNF Census - Medicare A</v>
          </cell>
          <cell r="E1" t="str">
            <v>45017FC 9+3SNF Census - Medicare A</v>
          </cell>
          <cell r="F1" t="str">
            <v>45047FC 9+3SNF Census - Medicare A</v>
          </cell>
          <cell r="G1" t="str">
            <v>45078FC 9+3SNF Census - Medicare A</v>
          </cell>
          <cell r="H1" t="str">
            <v>45108FC 9+3SNF Census - Medicare A</v>
          </cell>
          <cell r="I1" t="str">
            <v>45139FC 9+3SNF Census - Medicare A</v>
          </cell>
          <cell r="J1" t="str">
            <v>45170FC 9+3SNF Census - Medicare A</v>
          </cell>
          <cell r="K1" t="str">
            <v>45200FC 9+3SNF Census - Medicare A</v>
          </cell>
          <cell r="L1" t="str">
            <v>45231FC 9+3SNF Census - Medicare A</v>
          </cell>
          <cell r="M1" t="str">
            <v>45261FC 9+3SNF Census - Medicare A</v>
          </cell>
          <cell r="N1" t="str">
            <v>45292BudgetSNF Census - Medicare A</v>
          </cell>
          <cell r="O1" t="str">
            <v>45323BudgetSNF Census - Medicare A</v>
          </cell>
          <cell r="P1" t="str">
            <v>45352BudgetSNF Census - Medicare A</v>
          </cell>
          <cell r="Q1" t="str">
            <v>45383BudgetSNF Census - Medicare A</v>
          </cell>
          <cell r="R1" t="str">
            <v>45413BudgetSNF Census - Medicare A</v>
          </cell>
          <cell r="S1" t="str">
            <v>45444BudgetSNF Census - Medicare A</v>
          </cell>
          <cell r="T1" t="str">
            <v>45474BudgetSNF Census - Medicare A</v>
          </cell>
          <cell r="U1" t="str">
            <v>45505BudgetSNF Census - Medicare A</v>
          </cell>
          <cell r="V1" t="str">
            <v>45536BudgetSNF Census - Medicare A</v>
          </cell>
          <cell r="W1" t="str">
            <v>45566BudgetSNF Census - Medicare A</v>
          </cell>
          <cell r="X1" t="str">
            <v>45597BudgetSNF Census - Medicare A</v>
          </cell>
          <cell r="Y1" t="str">
            <v>45627BudgetSNF Census - Medicare A</v>
          </cell>
          <cell r="AA1" t="str">
            <v>44927FC 9+3SNF Census - Medicare Advantage</v>
          </cell>
          <cell r="AB1" t="str">
            <v>44958FC 9+3SNF Census - Medicare Advantage</v>
          </cell>
          <cell r="AC1" t="str">
            <v>44986FC 9+3SNF Census - Medicare Advantage</v>
          </cell>
          <cell r="AD1" t="str">
            <v>45017FC 9+3SNF Census - Medicare Advantage</v>
          </cell>
          <cell r="AE1" t="str">
            <v>45047FC 9+3SNF Census - Medicare Advantage</v>
          </cell>
          <cell r="AF1" t="str">
            <v>45078FC 9+3SNF Census - Medicare Advantage</v>
          </cell>
          <cell r="AG1" t="str">
            <v>45108FC 9+3SNF Census - Medicare Advantage</v>
          </cell>
          <cell r="AH1" t="str">
            <v>45139FC 9+3SNF Census - Medicare Advantage</v>
          </cell>
          <cell r="AI1" t="str">
            <v>45170FC 9+3SNF Census - Medicare Advantage</v>
          </cell>
          <cell r="AJ1" t="str">
            <v>45200FC 9+3SNF Census - Medicare Advantage</v>
          </cell>
          <cell r="AK1" t="str">
            <v>45231FC 9+3SNF Census - Medicare Advantage</v>
          </cell>
          <cell r="AL1" t="str">
            <v>45261FC 9+3SNF Census - Medicare Advantage</v>
          </cell>
          <cell r="AM1" t="str">
            <v>45292BudgetSNF Census - Medicare Advantage</v>
          </cell>
          <cell r="AN1" t="str">
            <v>45323BudgetSNF Census - Medicare Advantage</v>
          </cell>
          <cell r="AO1" t="str">
            <v>45352BudgetSNF Census - Medicare Advantage</v>
          </cell>
          <cell r="AP1" t="str">
            <v>45383BudgetSNF Census - Medicare Advantage</v>
          </cell>
          <cell r="AQ1" t="str">
            <v>45413BudgetSNF Census - Medicare Advantage</v>
          </cell>
          <cell r="AR1" t="str">
            <v>45444BudgetSNF Census - Medicare Advantage</v>
          </cell>
          <cell r="AS1" t="str">
            <v>45474BudgetSNF Census - Medicare Advantage</v>
          </cell>
          <cell r="AT1" t="str">
            <v>45505BudgetSNF Census - Medicare Advantage</v>
          </cell>
          <cell r="AU1" t="str">
            <v>45536BudgetSNF Census - Medicare Advantage</v>
          </cell>
          <cell r="AV1" t="str">
            <v>45566BudgetSNF Census - Medicare Advantage</v>
          </cell>
          <cell r="AW1" t="str">
            <v>45597BudgetSNF Census - Medicare Advantage</v>
          </cell>
          <cell r="AX1" t="str">
            <v>45627BudgetSNF Census - Medicare Advantage</v>
          </cell>
          <cell r="AZ1" t="str">
            <v>44927FC 9+3SNF Census - Medicaid</v>
          </cell>
          <cell r="BA1" t="str">
            <v>44958FC 9+3SNF Census - Medicaid</v>
          </cell>
          <cell r="BB1" t="str">
            <v>44986FC 9+3SNF Census - Medicaid</v>
          </cell>
          <cell r="BC1" t="str">
            <v>45017FC 9+3SNF Census - Medicaid</v>
          </cell>
          <cell r="BD1" t="str">
            <v>45047FC 9+3SNF Census - Medicaid</v>
          </cell>
          <cell r="BE1" t="str">
            <v>45078FC 9+3SNF Census - Medicaid</v>
          </cell>
          <cell r="BF1" t="str">
            <v>45108FC 9+3SNF Census - Medicaid</v>
          </cell>
          <cell r="BG1" t="str">
            <v>45139FC 9+3SNF Census - Medicaid</v>
          </cell>
          <cell r="BH1" t="str">
            <v>45170FC 9+3SNF Census - Medicaid</v>
          </cell>
          <cell r="BI1" t="str">
            <v>45200FC 9+3SNF Census - Medicaid</v>
          </cell>
          <cell r="BJ1" t="str">
            <v>45231FC 9+3SNF Census - Medicaid</v>
          </cell>
          <cell r="BK1" t="str">
            <v>45261FC 9+3SNF Census - Medicaid</v>
          </cell>
          <cell r="BL1" t="str">
            <v>45292BudgetSNF Census - Medicaid</v>
          </cell>
          <cell r="BM1" t="str">
            <v>45323BudgetSNF Census - Medicaid</v>
          </cell>
          <cell r="BN1" t="str">
            <v>45352BudgetSNF Census - Medicaid</v>
          </cell>
          <cell r="BO1" t="str">
            <v>45383BudgetSNF Census - Medicaid</v>
          </cell>
          <cell r="BP1" t="str">
            <v>45413BudgetSNF Census - Medicaid</v>
          </cell>
          <cell r="BQ1" t="str">
            <v>45444BudgetSNF Census - Medicaid</v>
          </cell>
          <cell r="BR1" t="str">
            <v>45474BudgetSNF Census - Medicaid</v>
          </cell>
          <cell r="BS1" t="str">
            <v>45505BudgetSNF Census - Medicaid</v>
          </cell>
          <cell r="BT1" t="str">
            <v>45536BudgetSNF Census - Medicaid</v>
          </cell>
          <cell r="BU1" t="str">
            <v>45566BudgetSNF Census - Medicaid</v>
          </cell>
          <cell r="BV1" t="str">
            <v>45597BudgetSNF Census - Medicaid</v>
          </cell>
          <cell r="BW1" t="str">
            <v>45627BudgetSNF Census - Medicaid</v>
          </cell>
          <cell r="BY1" t="str">
            <v>44927FC 9+3SNF Census - Insurance</v>
          </cell>
          <cell r="BZ1" t="str">
            <v>44958FC 9+3SNF Census - Insurance</v>
          </cell>
          <cell r="CA1" t="str">
            <v>44986FC 9+3SNF Census - Insurance</v>
          </cell>
          <cell r="CB1" t="str">
            <v>45017FC 9+3SNF Census - Insurance</v>
          </cell>
          <cell r="CC1" t="str">
            <v>45047FC 9+3SNF Census - Insurance</v>
          </cell>
          <cell r="CD1" t="str">
            <v>45078FC 9+3SNF Census - Insurance</v>
          </cell>
          <cell r="CE1" t="str">
            <v>45108FC 9+3SNF Census - Insurance</v>
          </cell>
          <cell r="CF1" t="str">
            <v>45139FC 9+3SNF Census - Insurance</v>
          </cell>
          <cell r="CG1" t="str">
            <v>45170FC 9+3SNF Census - Insurance</v>
          </cell>
          <cell r="CH1" t="str">
            <v>45200FC 9+3SNF Census - Insurance</v>
          </cell>
          <cell r="CI1" t="str">
            <v>45231FC 9+3SNF Census - Insurance</v>
          </cell>
          <cell r="CJ1" t="str">
            <v>45261FC 9+3SNF Census - Insurance</v>
          </cell>
          <cell r="CK1" t="str">
            <v>45292BudgetSNF Census - Insurance</v>
          </cell>
          <cell r="CL1" t="str">
            <v>45323BudgetSNF Census - Insurance</v>
          </cell>
          <cell r="CM1" t="str">
            <v>45352BudgetSNF Census - Insurance</v>
          </cell>
          <cell r="CN1" t="str">
            <v>45383BudgetSNF Census - Insurance</v>
          </cell>
          <cell r="CO1" t="str">
            <v>45413BudgetSNF Census - Insurance</v>
          </cell>
          <cell r="CP1" t="str">
            <v>45444BudgetSNF Census - Insurance</v>
          </cell>
          <cell r="CQ1" t="str">
            <v>45474BudgetSNF Census - Insurance</v>
          </cell>
          <cell r="CR1" t="str">
            <v>45505BudgetSNF Census - Insurance</v>
          </cell>
          <cell r="CS1" t="str">
            <v>45536BudgetSNF Census - Insurance</v>
          </cell>
          <cell r="CT1" t="str">
            <v>45566BudgetSNF Census - Insurance</v>
          </cell>
          <cell r="CU1" t="str">
            <v>45597BudgetSNF Census - Insurance</v>
          </cell>
          <cell r="CV1" t="str">
            <v>45627BudgetSNF Census - Insurance</v>
          </cell>
          <cell r="CX1" t="str">
            <v>44927FC 9+3SNF Census - Private Pay</v>
          </cell>
          <cell r="CY1" t="str">
            <v>44958FC 9+3SNF Census - Private Pay</v>
          </cell>
          <cell r="CZ1" t="str">
            <v>44986FC 9+3SNF Census - Private Pay</v>
          </cell>
          <cell r="DA1" t="str">
            <v>45017FC 9+3SNF Census - Private Pay</v>
          </cell>
          <cell r="DB1" t="str">
            <v>45047FC 9+3SNF Census - Private Pay</v>
          </cell>
          <cell r="DC1" t="str">
            <v>45078FC 9+3SNF Census - Private Pay</v>
          </cell>
          <cell r="DD1" t="str">
            <v>45108FC 9+3SNF Census - Private Pay</v>
          </cell>
          <cell r="DE1" t="str">
            <v>45139FC 9+3SNF Census - Private Pay</v>
          </cell>
          <cell r="DF1" t="str">
            <v>45170FC 9+3SNF Census - Private Pay</v>
          </cell>
          <cell r="DG1" t="str">
            <v>45200FC 9+3SNF Census - Private Pay</v>
          </cell>
          <cell r="DH1" t="str">
            <v>45231FC 9+3SNF Census - Private Pay</v>
          </cell>
          <cell r="DI1" t="str">
            <v>45261FC 9+3SNF Census - Private Pay</v>
          </cell>
          <cell r="DJ1" t="str">
            <v>45292BudgetSNF Census - Private Pay</v>
          </cell>
          <cell r="DK1" t="str">
            <v>45323BudgetSNF Census - Private Pay</v>
          </cell>
          <cell r="DL1" t="str">
            <v>45352BudgetSNF Census - Private Pay</v>
          </cell>
          <cell r="DM1" t="str">
            <v>45383BudgetSNF Census - Private Pay</v>
          </cell>
          <cell r="DN1" t="str">
            <v>45413BudgetSNF Census - Private Pay</v>
          </cell>
          <cell r="DO1" t="str">
            <v>45444BudgetSNF Census - Private Pay</v>
          </cell>
          <cell r="DP1" t="str">
            <v>45474BudgetSNF Census - Private Pay</v>
          </cell>
          <cell r="DQ1" t="str">
            <v>45505BudgetSNF Census - Private Pay</v>
          </cell>
          <cell r="DR1" t="str">
            <v>45536BudgetSNF Census - Private Pay</v>
          </cell>
          <cell r="DS1" t="str">
            <v>45566BudgetSNF Census - Private Pay</v>
          </cell>
          <cell r="DT1" t="str">
            <v>45597BudgetSNF Census - Private Pay</v>
          </cell>
          <cell r="DU1" t="str">
            <v>45627BudgetSNF Census - Private Pay</v>
          </cell>
          <cell r="DW1" t="str">
            <v>44927FC 9+3SNF Census - Hospice</v>
          </cell>
          <cell r="DX1" t="str">
            <v>44958FC 9+3SNF Census - Hospice</v>
          </cell>
          <cell r="DY1" t="str">
            <v>44986FC 9+3SNF Census - Hospice</v>
          </cell>
          <cell r="DZ1" t="str">
            <v>45017FC 9+3SNF Census - Hospice</v>
          </cell>
          <cell r="EA1" t="str">
            <v>45047FC 9+3SNF Census - Hospice</v>
          </cell>
          <cell r="EB1" t="str">
            <v>45078FC 9+3SNF Census - Hospice</v>
          </cell>
          <cell r="EC1" t="str">
            <v>45108FC 9+3SNF Census - Hospice</v>
          </cell>
          <cell r="ED1" t="str">
            <v>45139FC 9+3SNF Census - Hospice</v>
          </cell>
          <cell r="EE1" t="str">
            <v>45170FC 9+3SNF Census - Hospice</v>
          </cell>
          <cell r="EF1" t="str">
            <v>45200FC 9+3SNF Census - Hospice</v>
          </cell>
          <cell r="EG1" t="str">
            <v>45231FC 9+3SNF Census - Hospice</v>
          </cell>
          <cell r="EH1" t="str">
            <v>45261FC 9+3SNF Census - Hospice</v>
          </cell>
          <cell r="EI1" t="str">
            <v>45292BudgetSNF Census - Hospice</v>
          </cell>
          <cell r="EJ1" t="str">
            <v>45323BudgetSNF Census - Hospice</v>
          </cell>
          <cell r="EK1" t="str">
            <v>45352BudgetSNF Census - Hospice</v>
          </cell>
          <cell r="EL1" t="str">
            <v>45383BudgetSNF Census - Hospice</v>
          </cell>
          <cell r="EM1" t="str">
            <v>45413BudgetSNF Census - Hospice</v>
          </cell>
          <cell r="EN1" t="str">
            <v>45444BudgetSNF Census - Hospice</v>
          </cell>
          <cell r="EO1" t="str">
            <v>45474BudgetSNF Census - Hospice</v>
          </cell>
          <cell r="EP1" t="str">
            <v>45505BudgetSNF Census - Hospice</v>
          </cell>
          <cell r="EQ1" t="str">
            <v>45536BudgetSNF Census - Hospice</v>
          </cell>
          <cell r="ER1" t="str">
            <v>45566BudgetSNF Census - Hospice</v>
          </cell>
          <cell r="ES1" t="str">
            <v>45597BudgetSNF Census - Hospice</v>
          </cell>
          <cell r="ET1" t="str">
            <v>45627BudgetSNF Census - Hospice</v>
          </cell>
        </row>
        <row r="9"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>
            <v>0</v>
          </cell>
          <cell r="DS9">
            <v>0</v>
          </cell>
          <cell r="DT9">
            <v>0</v>
          </cell>
          <cell r="DU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>
            <v>0</v>
          </cell>
          <cell r="EK9">
            <v>0</v>
          </cell>
          <cell r="EL9">
            <v>0</v>
          </cell>
          <cell r="EM9">
            <v>0</v>
          </cell>
          <cell r="EN9">
            <v>0</v>
          </cell>
          <cell r="EO9">
            <v>0</v>
          </cell>
          <cell r="EP9">
            <v>0</v>
          </cell>
          <cell r="EQ9">
            <v>0</v>
          </cell>
          <cell r="ER9">
            <v>0</v>
          </cell>
          <cell r="ES9">
            <v>0</v>
          </cell>
          <cell r="ET9">
            <v>0</v>
          </cell>
          <cell r="EV9" t="str">
            <v>660-21</v>
          </cell>
        </row>
        <row r="10"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V10" t="str">
            <v>660-22</v>
          </cell>
        </row>
        <row r="11"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V11" t="str">
            <v>660-31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V12" t="str">
            <v>660-52</v>
          </cell>
        </row>
        <row r="13">
          <cell r="B13">
            <v>2.5161290322580578</v>
          </cell>
          <cell r="C13">
            <v>2.3214285714285801</v>
          </cell>
          <cell r="D13">
            <v>2.2903225806451575</v>
          </cell>
          <cell r="E13">
            <v>3.2999999999999972</v>
          </cell>
          <cell r="F13">
            <v>2.5806451612903212</v>
          </cell>
          <cell r="G13">
            <v>7.2333333333333254</v>
          </cell>
          <cell r="H13">
            <v>2.3225806451612976</v>
          </cell>
          <cell r="I13">
            <v>2.0322580645161357</v>
          </cell>
          <cell r="J13">
            <v>6.0000000000000098</v>
          </cell>
          <cell r="K13">
            <v>5.2</v>
          </cell>
          <cell r="L13">
            <v>5.3999999999999995</v>
          </cell>
          <cell r="M13">
            <v>5.76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AA13">
            <v>6.8709677419354893</v>
          </cell>
          <cell r="AB13">
            <v>8.9642857142857242</v>
          </cell>
          <cell r="AC13">
            <v>9.8709677419354769</v>
          </cell>
          <cell r="AD13">
            <v>8.7333333333333361</v>
          </cell>
          <cell r="AE13">
            <v>5.5806451612903256</v>
          </cell>
          <cell r="AF13">
            <v>5.8666666666666671</v>
          </cell>
          <cell r="AG13">
            <v>8.870967741935484</v>
          </cell>
          <cell r="AH13">
            <v>5.2903225806451548</v>
          </cell>
          <cell r="AI13">
            <v>7.5333333333333403</v>
          </cell>
          <cell r="AJ13">
            <v>7.8</v>
          </cell>
          <cell r="AK13">
            <v>9.6</v>
          </cell>
          <cell r="AL13">
            <v>10.24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Y13">
            <v>0.48387096774193278</v>
          </cell>
          <cell r="BZ13">
            <v>0.499999999999996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X13">
            <v>7.9032258064516157</v>
          </cell>
          <cell r="CY13">
            <v>7.2142857142857189</v>
          </cell>
          <cell r="CZ13">
            <v>7.322580645161282</v>
          </cell>
          <cell r="DA13">
            <v>8.9666666666666668</v>
          </cell>
          <cell r="DB13">
            <v>10.87096774193548</v>
          </cell>
          <cell r="DC13">
            <v>7.5000000000000089</v>
          </cell>
          <cell r="DD13">
            <v>7.9032258064516059</v>
          </cell>
          <cell r="DE13">
            <v>8.4838709677419359</v>
          </cell>
          <cell r="DF13">
            <v>13.000000000000011</v>
          </cell>
          <cell r="DG13">
            <v>13</v>
          </cell>
          <cell r="DH13">
            <v>15</v>
          </cell>
          <cell r="DI13">
            <v>16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V13" t="str">
            <v>660-61</v>
          </cell>
        </row>
        <row r="14">
          <cell r="B14">
            <v>0</v>
          </cell>
          <cell r="C14">
            <v>1.21428571428571</v>
          </cell>
          <cell r="D14">
            <v>3.5806451612903269</v>
          </cell>
          <cell r="E14">
            <v>2.9333333333333416</v>
          </cell>
          <cell r="F14">
            <v>1.709677419354841</v>
          </cell>
          <cell r="G14">
            <v>0.43333333333333768</v>
          </cell>
          <cell r="H14">
            <v>0.38709677419354699</v>
          </cell>
          <cell r="I14">
            <v>1.0967741935483883</v>
          </cell>
          <cell r="J14">
            <v>0.60000000000000053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AA14">
            <v>5.7419354838709671</v>
          </cell>
          <cell r="AB14">
            <v>5.7500000000000071</v>
          </cell>
          <cell r="AC14">
            <v>4.6451612903225765</v>
          </cell>
          <cell r="AD14">
            <v>3.7333333333333263</v>
          </cell>
          <cell r="AE14">
            <v>1.1290322580645145</v>
          </cell>
          <cell r="AF14">
            <v>1.5333333333333301</v>
          </cell>
          <cell r="AG14">
            <v>2.6774193548387117</v>
          </cell>
          <cell r="AH14">
            <v>0.12903225806452079</v>
          </cell>
          <cell r="AI14">
            <v>0.66666666666666785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X14">
            <v>8.129032258064516</v>
          </cell>
          <cell r="CY14">
            <v>7.9642857142857117</v>
          </cell>
          <cell r="CZ14">
            <v>8.5806451612903203</v>
          </cell>
          <cell r="DA14">
            <v>10.9</v>
          </cell>
          <cell r="DB14">
            <v>9.32258064516129</v>
          </cell>
          <cell r="DC14">
            <v>7.4</v>
          </cell>
          <cell r="DD14">
            <v>7.9354838709677411</v>
          </cell>
          <cell r="DE14">
            <v>8.3225806451612954</v>
          </cell>
          <cell r="DF14">
            <v>2.9333333333333318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V14" t="str">
            <v>660-62</v>
          </cell>
        </row>
        <row r="15">
          <cell r="B15">
            <v>2.5161290322580578</v>
          </cell>
          <cell r="C15">
            <v>3.53571428571429</v>
          </cell>
          <cell r="D15">
            <v>5.870967741935484</v>
          </cell>
          <cell r="E15">
            <v>6.2333333333333387</v>
          </cell>
          <cell r="F15">
            <v>4.2903225806451619</v>
          </cell>
          <cell r="G15">
            <v>7.6666666666666634</v>
          </cell>
          <cell r="H15">
            <v>2.7096774193548447</v>
          </cell>
          <cell r="I15">
            <v>3.129032258064524</v>
          </cell>
          <cell r="J15">
            <v>6.6000000000000103</v>
          </cell>
          <cell r="K15">
            <v>5.2</v>
          </cell>
          <cell r="L15">
            <v>5.3999999999999995</v>
          </cell>
          <cell r="M15">
            <v>5.76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A15">
            <v>12.612903225806456</v>
          </cell>
          <cell r="AB15">
            <v>14.714285714285731</v>
          </cell>
          <cell r="AC15">
            <v>14.516129032258052</v>
          </cell>
          <cell r="AD15">
            <v>12.46666666666666</v>
          </cell>
          <cell r="AE15">
            <v>6.7096774193548399</v>
          </cell>
          <cell r="AF15">
            <v>7.3999999999999968</v>
          </cell>
          <cell r="AG15">
            <v>11.548387096774196</v>
          </cell>
          <cell r="AH15">
            <v>5.4193548387096753</v>
          </cell>
          <cell r="AI15">
            <v>8.2000000000000082</v>
          </cell>
          <cell r="AJ15">
            <v>7.8</v>
          </cell>
          <cell r="AK15">
            <v>9.6</v>
          </cell>
          <cell r="AL15">
            <v>10.24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Y15">
            <v>0.48387096774193278</v>
          </cell>
          <cell r="BZ15">
            <v>0.499999999999996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X15">
            <v>16.032258064516132</v>
          </cell>
          <cell r="CY15">
            <v>15.178571428571431</v>
          </cell>
          <cell r="CZ15">
            <v>15.9032258064516</v>
          </cell>
          <cell r="DA15">
            <v>19.866666666666667</v>
          </cell>
          <cell r="DB15">
            <v>20.193548387096769</v>
          </cell>
          <cell r="DC15">
            <v>14.900000000000009</v>
          </cell>
          <cell r="DD15">
            <v>15.838709677419349</v>
          </cell>
          <cell r="DE15">
            <v>16.806451612903231</v>
          </cell>
          <cell r="DF15">
            <v>15.933333333333342</v>
          </cell>
          <cell r="DG15">
            <v>13</v>
          </cell>
          <cell r="DH15">
            <v>15</v>
          </cell>
          <cell r="DI15">
            <v>16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V15" t="str">
            <v>660-Entity</v>
          </cell>
        </row>
        <row r="16">
          <cell r="B16">
            <v>1.1290322580645189</v>
          </cell>
          <cell r="C16">
            <v>1.7857142857142569</v>
          </cell>
          <cell r="D16">
            <v>2.6451612903225539</v>
          </cell>
          <cell r="E16">
            <v>0.53333333333332456</v>
          </cell>
          <cell r="F16">
            <v>3.5806451612903034</v>
          </cell>
          <cell r="G16">
            <v>1.4666666666666708</v>
          </cell>
          <cell r="H16">
            <v>9.677419354840644E-2</v>
          </cell>
          <cell r="I16">
            <v>0.16129032258065551</v>
          </cell>
          <cell r="J16">
            <v>1.3999999999999859</v>
          </cell>
          <cell r="K16">
            <v>1.8</v>
          </cell>
          <cell r="L16">
            <v>2.13</v>
          </cell>
          <cell r="M16">
            <v>2.4850000000000003</v>
          </cell>
          <cell r="N16">
            <v>2.4548000000000001</v>
          </cell>
          <cell r="O16">
            <v>2.4548000000000001</v>
          </cell>
          <cell r="P16">
            <v>2.4548000000000001</v>
          </cell>
          <cell r="Q16">
            <v>2.4548000000000001</v>
          </cell>
          <cell r="R16">
            <v>2.4548000000000001</v>
          </cell>
          <cell r="S16">
            <v>2.4548000000000001</v>
          </cell>
          <cell r="T16">
            <v>2.4999800000000003</v>
          </cell>
          <cell r="U16">
            <v>2.4999800000000003</v>
          </cell>
          <cell r="V16">
            <v>2.4999800000000003</v>
          </cell>
          <cell r="W16">
            <v>2.4999800000000003</v>
          </cell>
          <cell r="X16">
            <v>2.4999800000000003</v>
          </cell>
          <cell r="Y16">
            <v>2.4999800000000003</v>
          </cell>
          <cell r="AA16">
            <v>1.290322580645185</v>
          </cell>
          <cell r="AB16">
            <v>1.3214285714285501</v>
          </cell>
          <cell r="AC16">
            <v>0</v>
          </cell>
          <cell r="AD16">
            <v>1.8000000000000065</v>
          </cell>
          <cell r="AE16">
            <v>3.0322580645160979</v>
          </cell>
          <cell r="AF16">
            <v>2.2666666666666462</v>
          </cell>
          <cell r="AG16">
            <v>0.67741935483869764</v>
          </cell>
          <cell r="AH16">
            <v>0.35483870967739878</v>
          </cell>
          <cell r="AI16">
            <v>0</v>
          </cell>
          <cell r="AJ16">
            <v>0.72</v>
          </cell>
          <cell r="AK16">
            <v>1.42</v>
          </cell>
          <cell r="AL16">
            <v>1.7749999999999999</v>
          </cell>
          <cell r="AM16">
            <v>1.97828</v>
          </cell>
          <cell r="AN16">
            <v>1.97828</v>
          </cell>
          <cell r="AO16">
            <v>1.97828</v>
          </cell>
          <cell r="AP16">
            <v>1.97828</v>
          </cell>
          <cell r="AQ16">
            <v>1.97828</v>
          </cell>
          <cell r="AR16">
            <v>1.97828</v>
          </cell>
          <cell r="AS16">
            <v>1.9999</v>
          </cell>
          <cell r="AT16">
            <v>1.9999</v>
          </cell>
          <cell r="AU16">
            <v>1.9999</v>
          </cell>
          <cell r="AV16">
            <v>1.9999</v>
          </cell>
          <cell r="AW16">
            <v>1.9999</v>
          </cell>
          <cell r="AX16">
            <v>1.9999</v>
          </cell>
          <cell r="AZ16">
            <v>28.870967741935495</v>
          </cell>
          <cell r="BA16">
            <v>30.500000000000028</v>
          </cell>
          <cell r="BB16">
            <v>31.225806451612911</v>
          </cell>
          <cell r="BC16">
            <v>31.999999999999975</v>
          </cell>
          <cell r="BD16">
            <v>31.999999999999982</v>
          </cell>
          <cell r="BE16">
            <v>32.066666666666649</v>
          </cell>
          <cell r="BF16">
            <v>34.000000000000014</v>
          </cell>
          <cell r="BG16">
            <v>33.41935483870968</v>
          </cell>
          <cell r="BH16">
            <v>32.700000000000031</v>
          </cell>
          <cell r="BI16">
            <v>31.68</v>
          </cell>
          <cell r="BJ16">
            <v>29.465</v>
          </cell>
          <cell r="BK16">
            <v>28.4</v>
          </cell>
          <cell r="BL16">
            <v>28.002770000000002</v>
          </cell>
          <cell r="BM16">
            <v>28.002770000000002</v>
          </cell>
          <cell r="BN16">
            <v>28.002770000000002</v>
          </cell>
          <cell r="BO16">
            <v>28.002770000000002</v>
          </cell>
          <cell r="BP16">
            <v>28.002770000000002</v>
          </cell>
          <cell r="BQ16">
            <v>28.002770000000002</v>
          </cell>
          <cell r="BR16">
            <v>28</v>
          </cell>
          <cell r="BS16">
            <v>28</v>
          </cell>
          <cell r="BT16">
            <v>28</v>
          </cell>
          <cell r="BU16">
            <v>28</v>
          </cell>
          <cell r="BV16">
            <v>28</v>
          </cell>
          <cell r="BW16">
            <v>28</v>
          </cell>
          <cell r="BY16">
            <v>0</v>
          </cell>
          <cell r="BZ16">
            <v>0.71428571428570287</v>
          </cell>
          <cell r="CA16">
            <v>0.51612903225809836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X16">
            <v>40.612903225806477</v>
          </cell>
          <cell r="CY16">
            <v>39.392857142857167</v>
          </cell>
          <cell r="CZ16">
            <v>38.354838709677395</v>
          </cell>
          <cell r="DA16">
            <v>37.733333333333363</v>
          </cell>
          <cell r="DB16">
            <v>36.064516129032242</v>
          </cell>
          <cell r="DC16">
            <v>38.633333333333368</v>
          </cell>
          <cell r="DD16">
            <v>38.999999999999986</v>
          </cell>
          <cell r="DE16">
            <v>38.322580645161302</v>
          </cell>
          <cell r="DF16">
            <v>37.59999999999998</v>
          </cell>
          <cell r="DG16">
            <v>37.799999999999997</v>
          </cell>
          <cell r="DH16">
            <v>37.984999999999999</v>
          </cell>
          <cell r="DI16">
            <v>38.340000000000003</v>
          </cell>
          <cell r="DJ16">
            <v>39.764150000000001</v>
          </cell>
          <cell r="DK16">
            <v>39.764150000000001</v>
          </cell>
          <cell r="DL16">
            <v>39.764150000000001</v>
          </cell>
          <cell r="DM16">
            <v>39.764150000000001</v>
          </cell>
          <cell r="DN16">
            <v>39.764150000000001</v>
          </cell>
          <cell r="DO16">
            <v>39.764150000000001</v>
          </cell>
          <cell r="DP16">
            <v>37.498999999999995</v>
          </cell>
          <cell r="DQ16">
            <v>37.498999999999995</v>
          </cell>
          <cell r="DR16">
            <v>37.498999999999995</v>
          </cell>
          <cell r="DS16">
            <v>37.498999999999995</v>
          </cell>
          <cell r="DT16">
            <v>37.498999999999995</v>
          </cell>
          <cell r="DU16">
            <v>37.498999999999995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0</v>
          </cell>
          <cell r="EM16">
            <v>0</v>
          </cell>
          <cell r="EN16">
            <v>0</v>
          </cell>
          <cell r="EO16">
            <v>0</v>
          </cell>
          <cell r="EP16">
            <v>0</v>
          </cell>
          <cell r="EQ16">
            <v>0</v>
          </cell>
          <cell r="ER16">
            <v>0</v>
          </cell>
          <cell r="ES16">
            <v>0</v>
          </cell>
          <cell r="ET16">
            <v>0</v>
          </cell>
          <cell r="EV16" t="str">
            <v>324-61</v>
          </cell>
        </row>
        <row r="17">
          <cell r="B17">
            <v>9.0000000000000178</v>
          </cell>
          <cell r="C17">
            <v>4.0357142857142296</v>
          </cell>
          <cell r="D17">
            <v>9.5161290322581102</v>
          </cell>
          <cell r="E17">
            <v>5.6000000000000494</v>
          </cell>
          <cell r="F17">
            <v>1.806451612903156</v>
          </cell>
          <cell r="G17">
            <v>2.0666666666667082</v>
          </cell>
          <cell r="H17">
            <v>3.4838709677418849</v>
          </cell>
          <cell r="I17">
            <v>7.8709677419355417</v>
          </cell>
          <cell r="J17">
            <v>8.1333333333333719</v>
          </cell>
          <cell r="K17">
            <v>5.4402799999999996</v>
          </cell>
          <cell r="L17">
            <v>4.1841549999999996</v>
          </cell>
          <cell r="M17">
            <v>3.4991999999999996</v>
          </cell>
          <cell r="N17">
            <v>3.1996799999999999</v>
          </cell>
          <cell r="O17">
            <v>2.8798849999999998</v>
          </cell>
          <cell r="P17">
            <v>2.8796999999999997</v>
          </cell>
          <cell r="Q17">
            <v>2.8794449999999996</v>
          </cell>
          <cell r="R17">
            <v>2.8791200000000003</v>
          </cell>
          <cell r="S17">
            <v>2.8791200000000003</v>
          </cell>
          <cell r="T17">
            <v>2.8791200000000003</v>
          </cell>
          <cell r="U17">
            <v>2.8791200000000003</v>
          </cell>
          <cell r="V17">
            <v>2.8791200000000003</v>
          </cell>
          <cell r="W17">
            <v>2.8791200000000003</v>
          </cell>
          <cell r="X17">
            <v>2.8791200000000003</v>
          </cell>
          <cell r="Y17">
            <v>2.8791200000000003</v>
          </cell>
          <cell r="AA17">
            <v>2.0967741935483724</v>
          </cell>
          <cell r="AB17">
            <v>1.3928571428571459</v>
          </cell>
          <cell r="AC17">
            <v>2.0967741935483284</v>
          </cell>
          <cell r="AD17">
            <v>0.59999999999994913</v>
          </cell>
          <cell r="AE17">
            <v>0.74193548387092634</v>
          </cell>
          <cell r="AF17">
            <v>9.9999999999986364E-2</v>
          </cell>
          <cell r="AG17">
            <v>0.54838709677415554</v>
          </cell>
          <cell r="AH17">
            <v>0.99999999999996003</v>
          </cell>
          <cell r="AI17">
            <v>0.69999999999997731</v>
          </cell>
          <cell r="AJ17">
            <v>0.49444500000000002</v>
          </cell>
          <cell r="AK17">
            <v>0.69759500000000008</v>
          </cell>
          <cell r="AL17">
            <v>0.69984000000000002</v>
          </cell>
          <cell r="AM17">
            <v>0.72</v>
          </cell>
          <cell r="AN17">
            <v>0.71960999999999997</v>
          </cell>
          <cell r="AO17">
            <v>0.71919999999999995</v>
          </cell>
          <cell r="AP17">
            <v>0.720225</v>
          </cell>
          <cell r="AQ17">
            <v>0.71978000000000009</v>
          </cell>
          <cell r="AR17">
            <v>0.71978000000000009</v>
          </cell>
          <cell r="AS17">
            <v>0.71978000000000009</v>
          </cell>
          <cell r="AT17">
            <v>0.71978000000000009</v>
          </cell>
          <cell r="AU17">
            <v>0.71978000000000009</v>
          </cell>
          <cell r="AV17">
            <v>0.71978000000000009</v>
          </cell>
          <cell r="AW17">
            <v>0.71978000000000009</v>
          </cell>
          <cell r="AX17">
            <v>0.71978000000000009</v>
          </cell>
          <cell r="AZ17">
            <v>77.322580645161267</v>
          </cell>
          <cell r="BA17">
            <v>86.321428571428541</v>
          </cell>
          <cell r="BB17">
            <v>89.322580645161281</v>
          </cell>
          <cell r="BC17">
            <v>90.699999999999918</v>
          </cell>
          <cell r="BD17">
            <v>91.709677419354861</v>
          </cell>
          <cell r="BE17">
            <v>88.633333333333397</v>
          </cell>
          <cell r="BF17">
            <v>88.741935483871003</v>
          </cell>
          <cell r="BG17">
            <v>83.032258064516157</v>
          </cell>
          <cell r="BH17">
            <v>80.566666666666677</v>
          </cell>
          <cell r="BI17">
            <v>83.978089999999995</v>
          </cell>
          <cell r="BJ17">
            <v>88.966709999999992</v>
          </cell>
          <cell r="BK17">
            <v>90.673919999999995</v>
          </cell>
          <cell r="BL17">
            <v>90.990719999999996</v>
          </cell>
          <cell r="BM17">
            <v>91.89622</v>
          </cell>
          <cell r="BN17">
            <v>91.896649999999994</v>
          </cell>
          <cell r="BO17">
            <v>91.896344999999997</v>
          </cell>
          <cell r="BP17">
            <v>91.877799999999993</v>
          </cell>
          <cell r="BQ17">
            <v>91.877799999999993</v>
          </cell>
          <cell r="BR17">
            <v>91.877799999999993</v>
          </cell>
          <cell r="BS17">
            <v>91.877799999999993</v>
          </cell>
          <cell r="BT17">
            <v>91.877799999999993</v>
          </cell>
          <cell r="BU17">
            <v>91.877799999999993</v>
          </cell>
          <cell r="BV17">
            <v>91.877799999999993</v>
          </cell>
          <cell r="BW17">
            <v>91.877799999999993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3.2258064516059518E-2</v>
          </cell>
          <cell r="CD17">
            <v>0.26666666666667649</v>
          </cell>
          <cell r="CE17">
            <v>1.322580645161257</v>
          </cell>
          <cell r="CF17">
            <v>9.6774193548455997E-2</v>
          </cell>
          <cell r="CG17">
            <v>0.53333333333340183</v>
          </cell>
          <cell r="CH17">
            <v>1.6024449999999999</v>
          </cell>
          <cell r="CI17">
            <v>1.6244200000000002</v>
          </cell>
          <cell r="CJ17">
            <v>1.6415999999999999</v>
          </cell>
          <cell r="CK17">
            <v>1.84032</v>
          </cell>
          <cell r="CL17">
            <v>1.84093</v>
          </cell>
          <cell r="CM17">
            <v>1.8414999999999999</v>
          </cell>
          <cell r="CN17">
            <v>1.8420300000000001</v>
          </cell>
          <cell r="CO17">
            <v>1.8410599999999999</v>
          </cell>
          <cell r="CP17">
            <v>1.8410599999999999</v>
          </cell>
          <cell r="CQ17">
            <v>1.8410599999999999</v>
          </cell>
          <cell r="CR17">
            <v>1.8410599999999999</v>
          </cell>
          <cell r="CS17">
            <v>1.8410599999999999</v>
          </cell>
          <cell r="CT17">
            <v>1.8410599999999999</v>
          </cell>
          <cell r="CU17">
            <v>1.8410599999999999</v>
          </cell>
          <cell r="CV17">
            <v>1.8410599999999999</v>
          </cell>
          <cell r="CX17">
            <v>46.483870967741929</v>
          </cell>
          <cell r="CY17">
            <v>45.571428571428569</v>
          </cell>
          <cell r="CZ17">
            <v>40.741935483871032</v>
          </cell>
          <cell r="DA17">
            <v>42.500000000000057</v>
          </cell>
          <cell r="DB17">
            <v>43.290322580645181</v>
          </cell>
          <cell r="DC17">
            <v>43.766666666666708</v>
          </cell>
          <cell r="DD17">
            <v>42.967741935483907</v>
          </cell>
          <cell r="DE17">
            <v>44.387096774193616</v>
          </cell>
          <cell r="DF17">
            <v>45.000000000000043</v>
          </cell>
          <cell r="DG17">
            <v>43.522239999999996</v>
          </cell>
          <cell r="DH17">
            <v>42.839125000000003</v>
          </cell>
          <cell r="DI17">
            <v>44.487359999999995</v>
          </cell>
          <cell r="DJ17">
            <v>44.496000000000002</v>
          </cell>
          <cell r="DK17">
            <v>44.409185000000001</v>
          </cell>
          <cell r="DL17">
            <v>44.909399999999998</v>
          </cell>
          <cell r="DM17">
            <v>45.409094999999994</v>
          </cell>
          <cell r="DN17">
            <v>45.930139999999994</v>
          </cell>
          <cell r="DO17">
            <v>45.930139999999994</v>
          </cell>
          <cell r="DP17">
            <v>45.930139999999994</v>
          </cell>
          <cell r="DQ17">
            <v>45.930139999999994</v>
          </cell>
          <cell r="DR17">
            <v>45.930139999999994</v>
          </cell>
          <cell r="DS17">
            <v>45.930139999999994</v>
          </cell>
          <cell r="DT17">
            <v>45.930139999999994</v>
          </cell>
          <cell r="DU17">
            <v>45.930139999999994</v>
          </cell>
          <cell r="DW17">
            <v>4.4838709677419422</v>
          </cell>
          <cell r="DX17">
            <v>2.9999999999999631</v>
          </cell>
          <cell r="DY17">
            <v>2.9999999999999627</v>
          </cell>
          <cell r="DZ17">
            <v>3.3000000000000056</v>
          </cell>
          <cell r="EA17">
            <v>4.0000000000000169</v>
          </cell>
          <cell r="EB17">
            <v>4.0000000000000089</v>
          </cell>
          <cell r="EC17">
            <v>4.0000000000000471</v>
          </cell>
          <cell r="ED17">
            <v>4.6129032258064004</v>
          </cell>
          <cell r="EE17">
            <v>3.7666666666666559</v>
          </cell>
          <cell r="EF17">
            <v>3.4625000000000004</v>
          </cell>
          <cell r="EG17">
            <v>3.1879950000000004</v>
          </cell>
          <cell r="EH17">
            <v>2.9995200000000004</v>
          </cell>
          <cell r="EI17">
            <v>2.7532800000000002</v>
          </cell>
          <cell r="EJ17">
            <v>2.7541699999999998</v>
          </cell>
          <cell r="EK17">
            <v>2.7535500000000002</v>
          </cell>
          <cell r="EL17">
            <v>2.7543149999999996</v>
          </cell>
          <cell r="EM17">
            <v>2.7535599999999998</v>
          </cell>
          <cell r="EN17">
            <v>2.7535599999999998</v>
          </cell>
          <cell r="EO17">
            <v>2.7535599999999998</v>
          </cell>
          <cell r="EP17">
            <v>2.7535599999999998</v>
          </cell>
          <cell r="EQ17">
            <v>2.7535599999999998</v>
          </cell>
          <cell r="ER17">
            <v>2.7535599999999998</v>
          </cell>
          <cell r="ES17">
            <v>2.7535599999999998</v>
          </cell>
          <cell r="ET17">
            <v>2.7535599999999998</v>
          </cell>
          <cell r="EV17" t="str">
            <v>100-61</v>
          </cell>
        </row>
        <row r="18">
          <cell r="B18">
            <v>26.129032258064505</v>
          </cell>
          <cell r="C18">
            <v>23.285714285714302</v>
          </cell>
          <cell r="D18">
            <v>25.010261352684385</v>
          </cell>
          <cell r="E18">
            <v>23.933333333333337</v>
          </cell>
          <cell r="F18">
            <v>23.580645161290334</v>
          </cell>
          <cell r="G18">
            <v>25.366666666666667</v>
          </cell>
          <cell r="H18">
            <v>25.709677419354858</v>
          </cell>
          <cell r="I18">
            <v>25.967741935483868</v>
          </cell>
          <cell r="J18">
            <v>24.29999999999999</v>
          </cell>
          <cell r="K18">
            <v>27.200016000000002</v>
          </cell>
          <cell r="L18">
            <v>26.400010000000002</v>
          </cell>
          <cell r="M18">
            <v>25.599993999999999</v>
          </cell>
          <cell r="N18">
            <v>27.200000000000003</v>
          </cell>
          <cell r="O18">
            <v>26.8</v>
          </cell>
          <cell r="P18">
            <v>26.4</v>
          </cell>
          <cell r="Q18">
            <v>26</v>
          </cell>
          <cell r="R18">
            <v>25.6</v>
          </cell>
          <cell r="S18">
            <v>25.6</v>
          </cell>
          <cell r="T18">
            <v>25.6</v>
          </cell>
          <cell r="U18">
            <v>25.6</v>
          </cell>
          <cell r="V18">
            <v>25.6</v>
          </cell>
          <cell r="W18">
            <v>25.6</v>
          </cell>
          <cell r="X18">
            <v>25.6</v>
          </cell>
          <cell r="Y18">
            <v>25.6</v>
          </cell>
          <cell r="AA18">
            <v>5.8064516129032198</v>
          </cell>
          <cell r="AB18">
            <v>9.1071428571428488</v>
          </cell>
          <cell r="AC18">
            <v>9.4433074437326407</v>
          </cell>
          <cell r="AD18">
            <v>6.3999999999999835</v>
          </cell>
          <cell r="AE18">
            <v>6.7096774193548434</v>
          </cell>
          <cell r="AF18">
            <v>6.4666666666666774</v>
          </cell>
          <cell r="AG18">
            <v>5.741935483870976</v>
          </cell>
          <cell r="AH18">
            <v>7.0967741935483719</v>
          </cell>
          <cell r="AI18">
            <v>7.5666666666666567</v>
          </cell>
          <cell r="AJ18">
            <v>6.8000040000000004</v>
          </cell>
          <cell r="AK18">
            <v>6.5999849999999993</v>
          </cell>
          <cell r="AL18">
            <v>6.3999900000000007</v>
          </cell>
          <cell r="AM18">
            <v>6.8000000000000007</v>
          </cell>
          <cell r="AN18">
            <v>6.7</v>
          </cell>
          <cell r="AO18">
            <v>6.6000000000000005</v>
          </cell>
          <cell r="AP18">
            <v>6.5</v>
          </cell>
          <cell r="AQ18">
            <v>6.4</v>
          </cell>
          <cell r="AR18">
            <v>6.4</v>
          </cell>
          <cell r="AS18">
            <v>6.4</v>
          </cell>
          <cell r="AT18">
            <v>6.4</v>
          </cell>
          <cell r="AU18">
            <v>6.4</v>
          </cell>
          <cell r="AV18">
            <v>6.4</v>
          </cell>
          <cell r="AW18">
            <v>6.4</v>
          </cell>
          <cell r="AX18">
            <v>6.4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Y18">
            <v>2.1612903225806313</v>
          </cell>
          <cell r="BZ18">
            <v>2.3214285714285694</v>
          </cell>
          <cell r="CA18">
            <v>2.2238505584216881</v>
          </cell>
          <cell r="CB18">
            <v>4.6666666666666536</v>
          </cell>
          <cell r="CC18">
            <v>3.999999999999996</v>
          </cell>
          <cell r="CD18">
            <v>2.2333333333333458</v>
          </cell>
          <cell r="CE18">
            <v>2.4193548387096819</v>
          </cell>
          <cell r="CF18">
            <v>2.0645161290322571</v>
          </cell>
          <cell r="CG18">
            <v>4.2000000000000179</v>
          </cell>
          <cell r="CH18">
            <v>2.000016</v>
          </cell>
          <cell r="CI18">
            <v>2.0000049999999998</v>
          </cell>
          <cell r="CJ18">
            <v>2.000016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X18">
            <v>0.38709677419354338</v>
          </cell>
          <cell r="CY18">
            <v>0.96428571428571341</v>
          </cell>
          <cell r="CZ18">
            <v>0</v>
          </cell>
          <cell r="DA18">
            <v>0.13333333333332495</v>
          </cell>
          <cell r="DB18">
            <v>6.4516129032241923E-2</v>
          </cell>
          <cell r="DC18">
            <v>1.0000000000000109</v>
          </cell>
          <cell r="DD18">
            <v>1.0645161290322642</v>
          </cell>
          <cell r="DE18">
            <v>0.29032258064514677</v>
          </cell>
          <cell r="DF18">
            <v>0.30000000000000387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V18" t="str">
            <v>100-62</v>
          </cell>
        </row>
      </sheetData>
      <sheetData sheetId="38">
        <row r="1">
          <cell r="B1" t="str">
            <v>44927FC 9+3Forecasted Census (Entry)</v>
          </cell>
          <cell r="C1" t="str">
            <v>44958FC 9+3Forecasted Census (Entry)</v>
          </cell>
          <cell r="D1" t="str">
            <v>44986FC 9+3Forecasted Census (Entry)</v>
          </cell>
          <cell r="E1" t="str">
            <v>45017FC 9+3Forecasted Census (Entry)</v>
          </cell>
          <cell r="F1" t="str">
            <v>45047FC 9+3Forecasted Census (Entry)</v>
          </cell>
          <cell r="G1" t="str">
            <v>45078FC 9+3Forecasted Census (Entry)</v>
          </cell>
          <cell r="H1" t="str">
            <v>45108FC 9+3Forecasted Census (Entry)</v>
          </cell>
          <cell r="I1" t="str">
            <v>45139FC 9+3Forecasted Census (Entry)</v>
          </cell>
          <cell r="J1" t="str">
            <v>45170FC 9+3Forecasted Census (Entry)</v>
          </cell>
          <cell r="K1" t="str">
            <v>45200FC 9+3Forecasted Census (Entry)</v>
          </cell>
          <cell r="L1" t="str">
            <v>45231FC 9+3Forecasted Census (Entry)</v>
          </cell>
          <cell r="M1" t="str">
            <v>45261FC 9+3Forecasted Census (Entry)</v>
          </cell>
          <cell r="N1" t="str">
            <v>44927FC 9+3# of Actual Available Units (Entry)</v>
          </cell>
          <cell r="O1" t="str">
            <v>44958FC 9+3# of Actual Available Units (Entry)</v>
          </cell>
          <cell r="P1" t="str">
            <v>44986FC 9+3# of Actual Available Units (Entry)</v>
          </cell>
          <cell r="Q1" t="str">
            <v>45017FC 9+3# of Actual Available Units (Entry)</v>
          </cell>
          <cell r="R1" t="str">
            <v>45047FC 9+3# of Actual Available Units (Entry)</v>
          </cell>
          <cell r="S1" t="str">
            <v>45078FC 9+3# of Actual Available Units (Entry)</v>
          </cell>
          <cell r="T1" t="str">
            <v>45108FC 9+3# of Actual Available Units (Entry)</v>
          </cell>
          <cell r="U1" t="str">
            <v>45139FC 9+3# of Actual Available Units (Entry)</v>
          </cell>
          <cell r="V1" t="str">
            <v>45170FC 9+3# of Actual Available Units (Entry)</v>
          </cell>
          <cell r="W1" t="str">
            <v>45200FC 9+3# of Actual Available Units (Entry)</v>
          </cell>
          <cell r="X1" t="str">
            <v>45231FC 9+3# of Actual Available Units (Entry)</v>
          </cell>
          <cell r="Y1" t="str">
            <v>45261FC 9+3# of Actual Available Units (Entry)</v>
          </cell>
          <cell r="AA1" t="str">
            <v>45292BudgetForecasted Census (Entry)</v>
          </cell>
          <cell r="AB1" t="str">
            <v>45323BudgetForecasted Census (Entry)</v>
          </cell>
          <cell r="AC1" t="str">
            <v>45352BudgetForecasted Census (Entry)</v>
          </cell>
          <cell r="AD1" t="str">
            <v>45383BudgetForecasted Census (Entry)</v>
          </cell>
          <cell r="AE1" t="str">
            <v>45413BudgetForecasted Census (Entry)</v>
          </cell>
          <cell r="AF1" t="str">
            <v>45444BudgetForecasted Census (Entry)</v>
          </cell>
          <cell r="AG1" t="str">
            <v>45474BudgetForecasted Census (Entry)</v>
          </cell>
          <cell r="AH1" t="str">
            <v>45505BudgetForecasted Census (Entry)</v>
          </cell>
          <cell r="AI1" t="str">
            <v>45536BudgetForecasted Census (Entry)</v>
          </cell>
          <cell r="AJ1" t="str">
            <v>45566BudgetForecasted Census (Entry)</v>
          </cell>
          <cell r="AK1" t="str">
            <v>45597BudgetForecasted Census (Entry)</v>
          </cell>
          <cell r="AL1" t="str">
            <v>45627BudgetForecasted Census (Entry)</v>
          </cell>
          <cell r="AM1" t="str">
            <v>45292Budget# of Actual Available Units (Entry)</v>
          </cell>
          <cell r="AN1" t="str">
            <v>45323Budget# of Actual Available Units (Entry)</v>
          </cell>
          <cell r="AO1" t="str">
            <v>45352Budget# of Actual Available Units (Entry)</v>
          </cell>
          <cell r="AP1" t="str">
            <v>45383Budget# of Actual Available Units (Entry)</v>
          </cell>
          <cell r="AQ1" t="str">
            <v>45413Budget# of Actual Available Units (Entry)</v>
          </cell>
          <cell r="AR1" t="str">
            <v>45444Budget# of Actual Available Units (Entry)</v>
          </cell>
          <cell r="AS1" t="str">
            <v>45474Budget# of Actual Available Units (Entry)</v>
          </cell>
          <cell r="AT1" t="str">
            <v>45505Budget# of Actual Available Units (Entry)</v>
          </cell>
          <cell r="AU1" t="str">
            <v>45536Budget# of Actual Available Units (Entry)</v>
          </cell>
          <cell r="AV1" t="str">
            <v>45566Budget# of Actual Available Units (Entry)</v>
          </cell>
          <cell r="AW1" t="str">
            <v>45597Budget# of Actual Available Units (Entry)</v>
          </cell>
          <cell r="AX1" t="str">
            <v>45627Budget# of Actual Available Units (Entry)</v>
          </cell>
          <cell r="GO1" t="str">
            <v>44927FC 9+3Total AL/IL Rental Units</v>
          </cell>
          <cell r="GP1" t="str">
            <v>44958FC 9+3Total AL/IL Rental Units</v>
          </cell>
          <cell r="GQ1" t="str">
            <v>44986FC 9+3Total AL/IL Rental Units</v>
          </cell>
          <cell r="GR1" t="str">
            <v>45017FC 9+3Total AL/IL Rental Units</v>
          </cell>
          <cell r="GS1" t="str">
            <v>45047FC 9+3Total AL/IL Rental Units</v>
          </cell>
          <cell r="GT1" t="str">
            <v>45078FC 9+3Total AL/IL Rental Units</v>
          </cell>
          <cell r="GU1" t="str">
            <v>45108FC 9+3Total AL/IL Rental Units</v>
          </cell>
          <cell r="GV1" t="str">
            <v>45139FC 9+3Total AL/IL Rental Units</v>
          </cell>
          <cell r="GW1" t="str">
            <v>45170FC 9+3Total AL/IL Rental Units</v>
          </cell>
          <cell r="GX1" t="str">
            <v>45200FC 9+3Total AL/IL Rental Units</v>
          </cell>
          <cell r="GY1" t="str">
            <v>45231FC 9+3Total AL/IL Rental Units</v>
          </cell>
          <cell r="GZ1" t="str">
            <v>45261FC 9+3Total AL/IL Rental Units</v>
          </cell>
          <cell r="MQ1" t="str">
            <v>45292BudgetTotal AL/IL Rental Units</v>
          </cell>
          <cell r="MR1" t="str">
            <v>45323BudgetTotal AL/IL Rental Units</v>
          </cell>
          <cell r="MS1" t="str">
            <v>45352BudgetTotal AL/IL Rental Units</v>
          </cell>
          <cell r="MT1" t="str">
            <v>45383BudgetTotal AL/IL Rental Units</v>
          </cell>
          <cell r="MU1" t="str">
            <v>45413BudgetTotal AL/IL Rental Units</v>
          </cell>
          <cell r="MV1" t="str">
            <v>45444BudgetTotal AL/IL Rental Units</v>
          </cell>
          <cell r="MW1" t="str">
            <v>45474BudgetTotal AL/IL Rental Units</v>
          </cell>
          <cell r="MX1" t="str">
            <v>45505BudgetTotal AL/IL Rental Units</v>
          </cell>
          <cell r="MY1" t="str">
            <v>45536BudgetTotal AL/IL Rental Units</v>
          </cell>
          <cell r="MZ1" t="str">
            <v>45566BudgetTotal AL/IL Rental Units</v>
          </cell>
          <cell r="NA1" t="str">
            <v>45597BudgetTotal AL/IL Rental Units</v>
          </cell>
          <cell r="NB1" t="str">
            <v>45627BudgetTotal AL/IL Rental Units</v>
          </cell>
        </row>
        <row r="6">
          <cell r="NI6" t="str">
            <v>x'OC-Fill'!$B$9:$NB$45</v>
          </cell>
        </row>
        <row r="7">
          <cell r="NI7" t="str">
            <v>x'OC-Fill'!$ND$9:$ND$45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2.bin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customProperty" Target="../customProperty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8.bin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2.bin"/><Relationship Id="rId4" Type="http://schemas.openxmlformats.org/officeDocument/2006/relationships/customProperty" Target="../customProperty9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8A6F-B32D-4CB1-9B6E-2A5B09F5024C}">
  <dimension ref="A3:R146"/>
  <sheetViews>
    <sheetView workbookViewId="0"/>
  </sheetViews>
  <sheetFormatPr defaultRowHeight="15" x14ac:dyDescent="0.25"/>
  <sheetData>
    <row r="3" spans="1:18" x14ac:dyDescent="0.25">
      <c r="A3" t="s">
        <v>146</v>
      </c>
      <c r="B3" t="s">
        <v>198</v>
      </c>
      <c r="C3" t="s">
        <v>213</v>
      </c>
    </row>
    <row r="4" spans="1:18" x14ac:dyDescent="0.25">
      <c r="A4">
        <v>1</v>
      </c>
      <c r="B4">
        <v>7</v>
      </c>
      <c r="C4">
        <v>13</v>
      </c>
    </row>
    <row r="5" spans="1:18" x14ac:dyDescent="0.25">
      <c r="A5" t="str">
        <f>'OC-SNF PMix Anc Days'!$6:$6</f>
        <v>100-61 Skilled Nursing Facility</v>
      </c>
      <c r="B5">
        <v>13</v>
      </c>
      <c r="C5" t="str">
        <f>'OC-SNF PMix Anc Days'!$D:$D</f>
        <v>Jan-2025</v>
      </c>
      <c r="D5">
        <v>1</v>
      </c>
      <c r="E5" t="str">
        <f>'OC-SNF PMix Anc Days'!$D$4</f>
        <v>Budget 2025</v>
      </c>
      <c r="F5">
        <v>459</v>
      </c>
      <c r="G5" t="str">
        <f>'OC-Days'!$14:$14</f>
        <v>Dec-2022</v>
      </c>
      <c r="H5">
        <v>1</v>
      </c>
      <c r="I5">
        <f>'OC-Days'!$B:$B</f>
        <v>31</v>
      </c>
      <c r="J5">
        <v>37</v>
      </c>
      <c r="M5">
        <f>'OC-Res Days'!$6:$6</f>
        <v>2185.5</v>
      </c>
      <c r="N5">
        <v>13</v>
      </c>
      <c r="O5" t="str">
        <f>'OC-Res Days'!$B:$B</f>
        <v>Jan-2025</v>
      </c>
      <c r="P5">
        <v>1</v>
      </c>
      <c r="Q5" t="str">
        <f>'OC-Res Days'!$B$4</f>
        <v>Budget 2025</v>
      </c>
      <c r="R5">
        <v>55</v>
      </c>
    </row>
    <row r="6" spans="1:18" x14ac:dyDescent="0.25">
      <c r="A6" t="str">
        <f>'OC-SNF PMix Anc Days'!$7:$7</f>
        <v>100-61 Skilled Nursing Facility</v>
      </c>
      <c r="B6">
        <v>14</v>
      </c>
      <c r="C6">
        <f>'OC-SNF PMix Anc Days'!$E:$E</f>
        <v>55.86</v>
      </c>
      <c r="D6">
        <v>2</v>
      </c>
      <c r="E6" t="str">
        <f>'OC-SNF PMix Anc Days'!$E$4</f>
        <v>Budget 2025</v>
      </c>
      <c r="F6">
        <v>460</v>
      </c>
      <c r="G6" t="str">
        <f>'OC-Days'!$13:$13</f>
        <v>Nov-2022</v>
      </c>
      <c r="H6">
        <v>2</v>
      </c>
      <c r="M6">
        <f>'OC-Res Days'!$7:$7</f>
        <v>1302</v>
      </c>
      <c r="N6">
        <v>217</v>
      </c>
      <c r="O6">
        <f>'OC-Res Days'!$C:$C</f>
        <v>1974</v>
      </c>
      <c r="P6">
        <v>2</v>
      </c>
      <c r="Q6" t="str">
        <f>'OC-Res Days'!$C$4</f>
        <v>Budget 2025</v>
      </c>
      <c r="R6">
        <v>56</v>
      </c>
    </row>
    <row r="7" spans="1:18" x14ac:dyDescent="0.25">
      <c r="A7" t="str">
        <f>'OC-SNF PMix Anc Days'!$8:$8</f>
        <v>100-61 Skilled Nursing Facility</v>
      </c>
      <c r="B7">
        <v>15</v>
      </c>
      <c r="C7">
        <f>'OC-SNF PMix Anc Days'!$F:$F</f>
        <v>0</v>
      </c>
      <c r="D7">
        <v>3</v>
      </c>
      <c r="E7" t="str">
        <f>'OC-SNF PMix Anc Days'!$F$4</f>
        <v>Budget 2025</v>
      </c>
      <c r="F7">
        <v>461</v>
      </c>
      <c r="G7" t="str">
        <f>'OC-Days'!$12:$12</f>
        <v>Oct-2022</v>
      </c>
      <c r="H7">
        <v>3</v>
      </c>
      <c r="M7">
        <f>'OC-Res Days'!$8:$8</f>
        <v>2077</v>
      </c>
      <c r="N7">
        <v>218</v>
      </c>
      <c r="O7">
        <f>'OC-Res Days'!$D:$D</f>
        <v>1302</v>
      </c>
      <c r="P7">
        <v>3</v>
      </c>
      <c r="Q7" t="str">
        <f>'OC-Res Days'!$D$4</f>
        <v>Budget 2025</v>
      </c>
      <c r="R7">
        <v>57</v>
      </c>
    </row>
    <row r="8" spans="1:18" x14ac:dyDescent="0.25">
      <c r="A8" t="str">
        <f>'OC-SNF PMix Anc Days'!$9:$9</f>
        <v>100-61 Skilled Nursing Facility</v>
      </c>
      <c r="B8">
        <v>16</v>
      </c>
      <c r="C8">
        <f>'OC-SNF PMix Anc Days'!$G:$G</f>
        <v>2550.009</v>
      </c>
      <c r="D8">
        <v>4</v>
      </c>
      <c r="E8" t="str">
        <f>'OC-SNF PMix Anc Days'!$G$4</f>
        <v>Budget 2025</v>
      </c>
      <c r="F8">
        <v>462</v>
      </c>
      <c r="G8" t="str">
        <f>'OC-Days'!$11:$11</f>
        <v>Sep-2022</v>
      </c>
      <c r="H8">
        <v>4</v>
      </c>
      <c r="M8">
        <f>'OC-Res Days'!$9:$9</f>
        <v>5270</v>
      </c>
      <c r="N8">
        <v>219</v>
      </c>
      <c r="O8">
        <f>'OC-Res Days'!$E:$E</f>
        <v>1860</v>
      </c>
      <c r="P8">
        <v>4</v>
      </c>
      <c r="Q8" t="str">
        <f>'OC-Res Days'!$E$4</f>
        <v>Budget 2025</v>
      </c>
      <c r="R8">
        <v>58</v>
      </c>
    </row>
    <row r="9" spans="1:18" x14ac:dyDescent="0.25">
      <c r="A9" t="str">
        <f>'OC-SNF PMix Anc Days'!$10:$10</f>
        <v>100-61 Skilled Nursing Facility</v>
      </c>
      <c r="B9">
        <v>17</v>
      </c>
      <c r="C9">
        <f>'OC-SNF PMix Anc Days'!$H:$H</f>
        <v>0</v>
      </c>
      <c r="D9">
        <v>5</v>
      </c>
      <c r="E9" t="str">
        <f>'OC-SNF PMix Anc Days'!$H$4</f>
        <v>Budget 2025</v>
      </c>
      <c r="F9">
        <v>463</v>
      </c>
      <c r="G9" t="str">
        <f>'OC-Days'!$10:$10</f>
        <v>Aug-2022</v>
      </c>
      <c r="H9">
        <v>5</v>
      </c>
      <c r="M9">
        <f>'OC-Res Days'!$10:$10</f>
        <v>2790</v>
      </c>
      <c r="N9">
        <v>220</v>
      </c>
      <c r="O9">
        <f>'OC-Res Days'!$F:$F</f>
        <v>5053</v>
      </c>
      <c r="P9">
        <v>5</v>
      </c>
      <c r="Q9" t="str">
        <f>'OC-Res Days'!$F$4</f>
        <v>Budget 2025</v>
      </c>
      <c r="R9">
        <v>59</v>
      </c>
    </row>
    <row r="10" spans="1:18" x14ac:dyDescent="0.25">
      <c r="A10" t="str">
        <f>'OC-SNF PMix Anc Days'!$11:$11</f>
        <v>100-61 Skilled Nursing Facility</v>
      </c>
      <c r="B10">
        <v>18</v>
      </c>
      <c r="C10">
        <f>'OC-SNF PMix Anc Days'!$I:$I</f>
        <v>1289.9670000000001</v>
      </c>
      <c r="D10">
        <v>6</v>
      </c>
      <c r="E10" t="str">
        <f>'OC-SNF PMix Anc Days'!$I$4</f>
        <v>Budget 2025</v>
      </c>
      <c r="F10">
        <v>464</v>
      </c>
      <c r="G10" t="str">
        <f>'OC-Days'!$9:$9</f>
        <v>Jul-2022</v>
      </c>
      <c r="H10">
        <v>6</v>
      </c>
      <c r="M10">
        <f>'OC-Res Days'!$11:$11</f>
        <v>1798</v>
      </c>
      <c r="N10">
        <v>221</v>
      </c>
      <c r="O10">
        <f>'OC-Res Days'!$G:$G</f>
        <v>2700</v>
      </c>
      <c r="P10">
        <v>6</v>
      </c>
      <c r="Q10" t="str">
        <f>'OC-Res Days'!$G$4</f>
        <v>Budget 2025</v>
      </c>
      <c r="R10">
        <v>60</v>
      </c>
    </row>
    <row r="11" spans="1:18" x14ac:dyDescent="0.25">
      <c r="A11" t="str">
        <f>'OC-SNF PMix Anc Days'!$12:$12</f>
        <v>100-62 Skilled Nursing - TCU</v>
      </c>
      <c r="B11">
        <v>19</v>
      </c>
      <c r="C11">
        <f>'OC-SNF PMix Anc Days'!$J:$J</f>
        <v>93.1798</v>
      </c>
      <c r="D11">
        <v>7</v>
      </c>
      <c r="E11" t="str">
        <f>'OC-SNF PMix Anc Days'!$J$4</f>
        <v>Budget 2025</v>
      </c>
      <c r="F11">
        <v>465</v>
      </c>
      <c r="G11" t="str">
        <f>'OC-Days'!$8:$8</f>
        <v>Jun-2022</v>
      </c>
      <c r="H11">
        <v>7</v>
      </c>
      <c r="M11">
        <f>'OC-Res Days'!$12:$12</f>
        <v>3100</v>
      </c>
      <c r="N11">
        <v>222</v>
      </c>
      <c r="O11">
        <f>'OC-Res Days'!$H:$H</f>
        <v>1798</v>
      </c>
      <c r="P11">
        <v>7</v>
      </c>
      <c r="Q11" t="str">
        <f>'OC-Res Days'!$H$4</f>
        <v>Budget 2025</v>
      </c>
      <c r="R11">
        <v>61</v>
      </c>
    </row>
    <row r="12" spans="1:18" x14ac:dyDescent="0.25">
      <c r="A12" t="str">
        <f>'OC-SNF PMix Anc Days'!$13:$13</f>
        <v>100-62 Skilled Nursing - TCU</v>
      </c>
      <c r="B12">
        <v>20</v>
      </c>
      <c r="C12">
        <f>'OC-SNF PMix Anc Days'!$K:$K</f>
        <v>1054.0619999999999</v>
      </c>
      <c r="D12">
        <v>8</v>
      </c>
      <c r="E12" t="str">
        <f>'OC-SNF PMix Anc Days'!$K$4</f>
        <v>Budget 2025</v>
      </c>
      <c r="F12">
        <v>466</v>
      </c>
      <c r="G12" t="str">
        <f>'OC-Days'!$7:$7</f>
        <v>May-2022</v>
      </c>
      <c r="H12">
        <v>8</v>
      </c>
      <c r="M12">
        <f>'OC-Res Days'!$13:$13</f>
        <v>2635</v>
      </c>
      <c r="N12">
        <v>223</v>
      </c>
      <c r="O12">
        <f>'OC-Res Days'!$I:$I</f>
        <v>3069</v>
      </c>
      <c r="P12">
        <v>8</v>
      </c>
      <c r="Q12" t="str">
        <f>'OC-Res Days'!$I$4</f>
        <v>Budget 2025</v>
      </c>
      <c r="R12">
        <v>62</v>
      </c>
    </row>
    <row r="13" spans="1:18" x14ac:dyDescent="0.25">
      <c r="A13" t="str">
        <f>'OC-SNF PMix Anc Days'!$14:$14</f>
        <v>100-62 Skilled Nursing - TCU</v>
      </c>
      <c r="B13">
        <v>21</v>
      </c>
      <c r="C13">
        <f>'OC-SNF PMix Anc Days'!$L:$L</f>
        <v>270</v>
      </c>
      <c r="D13">
        <v>9</v>
      </c>
      <c r="E13" t="str">
        <f>'OC-SNF PMix Anc Days'!$L$4</f>
        <v>Budget 2025</v>
      </c>
      <c r="F13">
        <v>467</v>
      </c>
      <c r="G13" t="str">
        <f>'OC-Days'!$6:$6</f>
        <v>Apr-2022</v>
      </c>
      <c r="H13">
        <v>9</v>
      </c>
      <c r="M13">
        <f>'OC-Res Days'!$14:$14</f>
        <v>3844</v>
      </c>
      <c r="N13">
        <v>224</v>
      </c>
      <c r="O13">
        <f>'OC-Res Days'!$J:$J</f>
        <v>2520</v>
      </c>
      <c r="P13">
        <v>9</v>
      </c>
      <c r="Q13" t="str">
        <f>'OC-Res Days'!$J$4</f>
        <v>Budget 2025</v>
      </c>
      <c r="R13">
        <v>63</v>
      </c>
    </row>
    <row r="14" spans="1:18" x14ac:dyDescent="0.25">
      <c r="A14" t="str">
        <f>'OC-SNF PMix Anc Days'!$15:$15</f>
        <v>100-62 Skilled Nursing - TCU</v>
      </c>
      <c r="B14">
        <v>22</v>
      </c>
      <c r="C14">
        <f>'OC-SNF PMix Anc Days'!$M:$M</f>
        <v>0</v>
      </c>
      <c r="D14">
        <v>10</v>
      </c>
      <c r="E14" t="str">
        <f>'OC-SNF PMix Anc Days'!$M$4</f>
        <v>Budget 2025</v>
      </c>
      <c r="F14">
        <v>468</v>
      </c>
      <c r="G14" t="str">
        <f>'OC-Days'!$5:$5</f>
        <v>Mar-2022</v>
      </c>
      <c r="H14">
        <v>10</v>
      </c>
      <c r="M14">
        <f>'OC-Res Days'!$15:$15</f>
        <v>4123</v>
      </c>
      <c r="N14">
        <v>225</v>
      </c>
      <c r="O14">
        <f>'OC-Res Days'!$K:$K</f>
        <v>3844</v>
      </c>
      <c r="P14">
        <v>10</v>
      </c>
      <c r="Q14" t="str">
        <f>'OC-Res Days'!$K$4</f>
        <v>Budget 2025</v>
      </c>
      <c r="R14">
        <v>64</v>
      </c>
    </row>
    <row r="15" spans="1:18" x14ac:dyDescent="0.25">
      <c r="A15" t="str">
        <f>'OC-SNF PMix Anc Days'!$16:$16</f>
        <v>100-62 Skilled Nursing - TCU</v>
      </c>
      <c r="B15">
        <v>23</v>
      </c>
      <c r="C15">
        <f>'OC-SNF PMix Anc Days'!$N:$N</f>
        <v>59.94</v>
      </c>
      <c r="D15">
        <v>11</v>
      </c>
      <c r="E15" t="str">
        <f>'OC-SNF PMix Anc Days'!$N$4</f>
        <v>Budget 2025</v>
      </c>
      <c r="F15">
        <v>469</v>
      </c>
      <c r="G15" t="str">
        <f>'OC-Days'!$4:$4</f>
        <v>Feb-2022</v>
      </c>
      <c r="H15">
        <v>11</v>
      </c>
      <c r="M15">
        <f>'OC-Res Days'!$16:$16</f>
        <v>1395</v>
      </c>
      <c r="N15">
        <v>226</v>
      </c>
      <c r="O15">
        <f>'OC-Res Days'!$L:$L</f>
        <v>3990</v>
      </c>
      <c r="P15">
        <v>11</v>
      </c>
      <c r="Q15" t="str">
        <f>'OC-Res Days'!$L$4</f>
        <v>Budget 2025</v>
      </c>
      <c r="R15">
        <v>65</v>
      </c>
    </row>
    <row r="16" spans="1:18" x14ac:dyDescent="0.25">
      <c r="A16" t="str">
        <f>'OC-SNF PMix Anc Days'!$17:$17</f>
        <v>100-62 Skilled Nursing - TCU</v>
      </c>
      <c r="B16">
        <v>24</v>
      </c>
      <c r="C16">
        <f>'OC-SNF PMix Anc Days'!$O:$O</f>
        <v>0</v>
      </c>
      <c r="D16">
        <v>12</v>
      </c>
      <c r="E16" t="str">
        <f>'OC-SNF PMix Anc Days'!$O$4</f>
        <v>Budget 2025</v>
      </c>
      <c r="F16">
        <v>470</v>
      </c>
      <c r="G16" t="str">
        <f>'OC-Days'!$3:$3</f>
        <v>Jan-2022</v>
      </c>
      <c r="H16">
        <v>12</v>
      </c>
      <c r="M16">
        <f>'OC-Res Days'!$17:$17</f>
        <v>30519.5</v>
      </c>
      <c r="N16">
        <v>227</v>
      </c>
      <c r="O16">
        <f>'OC-Res Days'!$M:$M</f>
        <v>1395</v>
      </c>
      <c r="P16">
        <v>12</v>
      </c>
      <c r="Q16" t="str">
        <f>'OC-Res Days'!$M$4</f>
        <v>Budget 2025</v>
      </c>
      <c r="R16">
        <v>66</v>
      </c>
    </row>
    <row r="17" spans="1:18" x14ac:dyDescent="0.25">
      <c r="A17" t="str">
        <f>'OC-SNF PMix Anc Days'!$18:$18</f>
        <v>200-61 Skilled Nursing Facility</v>
      </c>
      <c r="B17">
        <v>25</v>
      </c>
      <c r="E17" t="str">
        <f>'OC-SNF PMix Anc Days'!$D$5</f>
        <v>Jan-2025</v>
      </c>
      <c r="F17">
        <v>471</v>
      </c>
      <c r="G17" t="str">
        <f>'OC-Days'!$26:$26</f>
        <v>Dec-2023</v>
      </c>
      <c r="H17">
        <v>13</v>
      </c>
      <c r="M17">
        <f>'OC-Res Days'!$18:$18</f>
        <v>2201</v>
      </c>
      <c r="N17">
        <v>228</v>
      </c>
      <c r="O17">
        <f>'OC-Res Days'!$O:$O</f>
        <v>958.5</v>
      </c>
      <c r="P17">
        <v>359</v>
      </c>
      <c r="Q17" t="str">
        <f>'OC-Res Days'!$B$5</f>
        <v>Jan-2025</v>
      </c>
      <c r="R17">
        <v>67</v>
      </c>
    </row>
    <row r="18" spans="1:18" x14ac:dyDescent="0.25">
      <c r="A18" t="str">
        <f>'OC-SNF PMix Anc Days'!$19:$19</f>
        <v>200-61 Skilled Nursing Facility</v>
      </c>
      <c r="B18">
        <v>26</v>
      </c>
      <c r="E18" t="str">
        <f>'OC-SNF PMix Anc Days'!$E$5</f>
        <v>Feb-2025</v>
      </c>
      <c r="F18">
        <v>472</v>
      </c>
      <c r="G18" t="str">
        <f>'OC-Days'!$25:$25</f>
        <v>Nov-2023</v>
      </c>
      <c r="H18">
        <v>14</v>
      </c>
      <c r="M18">
        <f>'OC-Res Days'!$19:$19</f>
        <v>4154</v>
      </c>
      <c r="N18">
        <v>229</v>
      </c>
      <c r="O18">
        <f>'OC-Res Days'!$P:$P</f>
        <v>71</v>
      </c>
      <c r="P18">
        <v>360</v>
      </c>
      <c r="Q18" t="str">
        <f>'OC-Res Days'!$C$5</f>
        <v>Feb-2025</v>
      </c>
      <c r="R18">
        <v>68</v>
      </c>
    </row>
    <row r="19" spans="1:18" x14ac:dyDescent="0.25">
      <c r="A19" t="str">
        <f>'OC-SNF PMix Anc Days'!$20:$20</f>
        <v>200-61 Skilled Nursing Facility</v>
      </c>
      <c r="B19">
        <v>27</v>
      </c>
      <c r="E19" t="str">
        <f>'OC-SNF PMix Anc Days'!$F$5</f>
        <v>Mar-2025</v>
      </c>
      <c r="F19">
        <v>473</v>
      </c>
      <c r="G19" t="str">
        <f>'OC-Days'!$24:$24</f>
        <v>Oct-2023</v>
      </c>
      <c r="H19">
        <v>15</v>
      </c>
      <c r="M19">
        <f>'OC-Res Days'!$20:$20</f>
        <v>2573</v>
      </c>
      <c r="N19">
        <v>230</v>
      </c>
      <c r="O19">
        <f>'OC-Res Days'!$Q:$Q</f>
        <v>134</v>
      </c>
      <c r="P19">
        <v>361</v>
      </c>
      <c r="Q19" t="str">
        <f>'OC-Res Days'!$D$5</f>
        <v>Mar-2025</v>
      </c>
      <c r="R19">
        <v>69</v>
      </c>
    </row>
    <row r="20" spans="1:18" x14ac:dyDescent="0.25">
      <c r="A20" t="str">
        <f>'OC-SNF PMix Anc Days'!$21:$21</f>
        <v>200-61 Skilled Nursing Facility</v>
      </c>
      <c r="B20">
        <v>28</v>
      </c>
      <c r="E20" t="str">
        <f>'OC-SNF PMix Anc Days'!$G$5</f>
        <v>Apr-2025</v>
      </c>
      <c r="F20">
        <v>474</v>
      </c>
      <c r="G20" t="str">
        <f>'OC-Days'!$23:$23</f>
        <v>Sep-2023</v>
      </c>
      <c r="H20">
        <v>16</v>
      </c>
      <c r="M20">
        <f>'OC-Res Days'!$21:$21</f>
        <v>728.5</v>
      </c>
      <c r="N20">
        <v>231</v>
      </c>
      <c r="O20">
        <f>'OC-Res Days'!$R:$R</f>
        <v>83</v>
      </c>
      <c r="P20">
        <v>362</v>
      </c>
      <c r="Q20" t="str">
        <f>'OC-Res Days'!$E$5</f>
        <v>Apr-2025</v>
      </c>
      <c r="R20">
        <v>70</v>
      </c>
    </row>
    <row r="21" spans="1:18" x14ac:dyDescent="0.25">
      <c r="A21" t="str">
        <f>'OC-SNF PMix Anc Days'!$22:$22</f>
        <v>200-61 Skilled Nursing Facility</v>
      </c>
      <c r="B21">
        <v>29</v>
      </c>
      <c r="E21" t="str">
        <f>'OC-SNF PMix Anc Days'!$H$5</f>
        <v>May-2025</v>
      </c>
      <c r="F21">
        <v>475</v>
      </c>
      <c r="G21" t="str">
        <f>'OC-Days'!$22:$22</f>
        <v>Aug-2023</v>
      </c>
      <c r="H21">
        <v>17</v>
      </c>
      <c r="M21">
        <f>'OC-Res Days'!$22:$22</f>
        <v>1162.5</v>
      </c>
      <c r="N21">
        <v>232</v>
      </c>
      <c r="O21">
        <f>'OC-Res Days'!$S:$S</f>
        <v>23.5</v>
      </c>
      <c r="P21">
        <v>363</v>
      </c>
      <c r="Q21" t="str">
        <f>'OC-Res Days'!$F$5</f>
        <v>May-2025</v>
      </c>
      <c r="R21">
        <v>71</v>
      </c>
    </row>
    <row r="22" spans="1:18" x14ac:dyDescent="0.25">
      <c r="A22" t="str">
        <f>'OC-SNF PMix Anc Days'!$23:$23</f>
        <v>200-61 Skilled Nursing Facility</v>
      </c>
      <c r="B22">
        <v>30</v>
      </c>
      <c r="E22" t="str">
        <f>'OC-SNF PMix Anc Days'!$I$5</f>
        <v>Jun-2025</v>
      </c>
      <c r="F22">
        <v>476</v>
      </c>
      <c r="G22" t="str">
        <f>'OC-Days'!$21:$21</f>
        <v>Jul-2023</v>
      </c>
      <c r="H22">
        <v>18</v>
      </c>
      <c r="M22">
        <f>'OC-Res Days'!$23:$23</f>
        <v>10819</v>
      </c>
      <c r="N22">
        <v>233</v>
      </c>
      <c r="O22">
        <f>'OC-Res Days'!$T:$T</f>
        <v>37.5</v>
      </c>
      <c r="P22">
        <v>364</v>
      </c>
      <c r="Q22" t="str">
        <f>'OC-Res Days'!$G$5</f>
        <v>Jun-2025</v>
      </c>
      <c r="R22">
        <v>72</v>
      </c>
    </row>
    <row r="23" spans="1:18" x14ac:dyDescent="0.25">
      <c r="A23" t="str">
        <f>'OC-SNF PMix Anc Days'!$24:$24</f>
        <v>324-61 Skilled Nursing Facility</v>
      </c>
      <c r="B23">
        <v>31</v>
      </c>
      <c r="E23" t="str">
        <f>'OC-SNF PMix Anc Days'!$J$5</f>
        <v>Jul-2025</v>
      </c>
      <c r="F23">
        <v>477</v>
      </c>
      <c r="G23" t="str">
        <f>'OC-Days'!$20:$20</f>
        <v>Jun-2023</v>
      </c>
      <c r="H23">
        <v>19</v>
      </c>
      <c r="M23">
        <f>'OC-Res Days'!$24:$24</f>
        <v>1085</v>
      </c>
      <c r="N23">
        <v>234</v>
      </c>
      <c r="O23">
        <f>'OC-Res Days'!$U:$U</f>
        <v>349</v>
      </c>
      <c r="P23">
        <v>365</v>
      </c>
      <c r="Q23" t="str">
        <f>'OC-Res Days'!$H$5</f>
        <v>Jul-2025</v>
      </c>
      <c r="R23">
        <v>73</v>
      </c>
    </row>
    <row r="24" spans="1:18" x14ac:dyDescent="0.25">
      <c r="A24" t="str">
        <f>'OC-SNF PMix Anc Days'!$25:$25</f>
        <v>324-61 Skilled Nursing Facility</v>
      </c>
      <c r="B24">
        <v>32</v>
      </c>
      <c r="E24" t="str">
        <f>'OC-SNF PMix Anc Days'!$K$5</f>
        <v>Aug-2025</v>
      </c>
      <c r="F24">
        <v>478</v>
      </c>
      <c r="G24" t="str">
        <f>'OC-Days'!$19:$19</f>
        <v>May-2023</v>
      </c>
      <c r="H24">
        <v>20</v>
      </c>
      <c r="M24">
        <f>'OC-Res Days'!$25:$25</f>
        <v>3503</v>
      </c>
      <c r="N24">
        <v>235</v>
      </c>
      <c r="O24">
        <f>'OC-Res Days'!$V:$V</f>
        <v>35</v>
      </c>
      <c r="P24">
        <v>366</v>
      </c>
      <c r="Q24" t="str">
        <f>'OC-Res Days'!$I$5</f>
        <v>Aug-2025</v>
      </c>
      <c r="R24">
        <v>74</v>
      </c>
    </row>
    <row r="25" spans="1:18" x14ac:dyDescent="0.25">
      <c r="A25" t="str">
        <f>'OC-SNF PMix Anc Days'!$26:$26</f>
        <v>324-61 Skilled Nursing Facility</v>
      </c>
      <c r="B25">
        <v>33</v>
      </c>
      <c r="E25" t="str">
        <f>'OC-SNF PMix Anc Days'!$L$5</f>
        <v>Sep-2025</v>
      </c>
      <c r="F25">
        <v>479</v>
      </c>
      <c r="G25" t="str">
        <f>'OC-Days'!$18:$18</f>
        <v>Apr-2023</v>
      </c>
      <c r="H25">
        <v>21</v>
      </c>
      <c r="M25">
        <f>'OC-Res Days'!$26:$26</f>
        <v>1023</v>
      </c>
      <c r="N25">
        <v>236</v>
      </c>
      <c r="O25">
        <f>'OC-Res Days'!$W:$W</f>
        <v>113</v>
      </c>
      <c r="P25">
        <v>367</v>
      </c>
      <c r="Q25" t="str">
        <f>'OC-Res Days'!$J$5</f>
        <v>Sep-2025</v>
      </c>
      <c r="R25">
        <v>75</v>
      </c>
    </row>
    <row r="26" spans="1:18" x14ac:dyDescent="0.25">
      <c r="A26" t="str">
        <f>'OC-SNF PMix Anc Days'!$27:$27</f>
        <v>324-61 Skilled Nursing Facility</v>
      </c>
      <c r="B26">
        <v>34</v>
      </c>
      <c r="E26" t="str">
        <f>'OC-SNF PMix Anc Days'!$M$5</f>
        <v>Oct-2025</v>
      </c>
      <c r="F26">
        <v>480</v>
      </c>
      <c r="G26" t="str">
        <f>'OC-Days'!$17:$17</f>
        <v>Mar-2023</v>
      </c>
      <c r="H26">
        <v>22</v>
      </c>
      <c r="M26">
        <f>'OC-Res Days'!$27:$27</f>
        <v>2263</v>
      </c>
      <c r="N26">
        <v>237</v>
      </c>
      <c r="O26">
        <f>'OC-Res Days'!$X:$X</f>
        <v>33</v>
      </c>
      <c r="P26">
        <v>368</v>
      </c>
      <c r="Q26" t="str">
        <f>'OC-Res Days'!$K$5</f>
        <v>Oct-2025</v>
      </c>
      <c r="R26">
        <v>76</v>
      </c>
    </row>
    <row r="27" spans="1:18" x14ac:dyDescent="0.25">
      <c r="A27" t="str">
        <f>'OC-SNF PMix Anc Days'!$28:$28</f>
        <v>324-61 Skilled Nursing Facility</v>
      </c>
      <c r="B27">
        <v>35</v>
      </c>
      <c r="E27" t="str">
        <f>'OC-SNF PMix Anc Days'!$N$5</f>
        <v>Nov-2025</v>
      </c>
      <c r="F27">
        <v>481</v>
      </c>
      <c r="G27" t="str">
        <f>'OC-Days'!$16:$16</f>
        <v>Feb-2023</v>
      </c>
      <c r="H27">
        <v>23</v>
      </c>
      <c r="M27">
        <f>'OC-Res Days'!$28:$28</f>
        <v>7874</v>
      </c>
      <c r="N27">
        <v>238</v>
      </c>
      <c r="O27">
        <f>'OC-Res Days'!$Y:$Y</f>
        <v>73</v>
      </c>
      <c r="P27">
        <v>369</v>
      </c>
      <c r="Q27" t="str">
        <f>'OC-Res Days'!$L$5</f>
        <v>Nov-2025</v>
      </c>
      <c r="R27">
        <v>77</v>
      </c>
    </row>
    <row r="28" spans="1:18" x14ac:dyDescent="0.25">
      <c r="A28" t="str">
        <f>'OC-SNF PMix Anc Days'!$29:$29</f>
        <v>324-61 Skilled Nursing Facility</v>
      </c>
      <c r="B28">
        <v>36</v>
      </c>
      <c r="E28" t="str">
        <f>'OC-SNF PMix Anc Days'!$O$5</f>
        <v>Dec-2025</v>
      </c>
      <c r="F28">
        <v>482</v>
      </c>
      <c r="G28" t="str">
        <f>'OC-Days'!$15:$15</f>
        <v>Jan-2023</v>
      </c>
      <c r="H28">
        <v>24</v>
      </c>
      <c r="M28">
        <f>'OC-Res Days'!$29:$29</f>
        <v>372</v>
      </c>
      <c r="N28">
        <v>239</v>
      </c>
      <c r="O28">
        <f>'OC-Res Days'!$Z:$Z</f>
        <v>254</v>
      </c>
      <c r="P28">
        <v>370</v>
      </c>
      <c r="Q28" t="str">
        <f>'OC-Res Days'!$M$5</f>
        <v>Dec-2025</v>
      </c>
      <c r="R28">
        <v>78</v>
      </c>
    </row>
    <row r="29" spans="1:18" x14ac:dyDescent="0.25">
      <c r="A29" t="str">
        <f>'OC-SNF PMix Anc Days'!$30:$30</f>
        <v>810-61 Skilled Nursing Facility</v>
      </c>
      <c r="B29">
        <v>37</v>
      </c>
      <c r="E29" t="str">
        <f>'OC-SNF PMix Anc Days'!$B$6</f>
        <v>Rev_Asm_SNF_Payer_Mix.SNF_Ancillary_Medicare_A</v>
      </c>
      <c r="F29">
        <v>483</v>
      </c>
      <c r="G29" t="str">
        <f>'OC-Days'!$30:$30</f>
        <v>Apr-2024</v>
      </c>
      <c r="H29">
        <v>25</v>
      </c>
      <c r="M29">
        <f>'OC-Res Days'!$30:$30</f>
        <v>2046</v>
      </c>
      <c r="N29">
        <v>240</v>
      </c>
      <c r="Q29" t="str">
        <f>'OC-Res Days'!$A$6</f>
        <v>100-21 Villas/Cottages</v>
      </c>
      <c r="R29">
        <v>163</v>
      </c>
    </row>
    <row r="30" spans="1:18" x14ac:dyDescent="0.25">
      <c r="A30" t="str">
        <f>'OC-SNF PMix Anc Days'!$31:$31</f>
        <v>810-61 Skilled Nursing Facility</v>
      </c>
      <c r="B30">
        <v>38</v>
      </c>
      <c r="E30" t="str">
        <f>'OC-SNF PMix Anc Days'!$B$7</f>
        <v>Rev_Asm_SNF_Payer_Mix.SNF_Ancillary_Medicare_Adv</v>
      </c>
      <c r="F30">
        <v>484</v>
      </c>
      <c r="G30" t="str">
        <f>'OC-Days'!$27:$27</f>
        <v>Jan-2024</v>
      </c>
      <c r="H30">
        <v>26</v>
      </c>
      <c r="M30">
        <f>'OC-Res Days'!$31:$31</f>
        <v>341</v>
      </c>
      <c r="N30">
        <v>241</v>
      </c>
      <c r="Q30" t="str">
        <f>'OC-Res Days'!$B$3</f>
        <v>Forecasted Resident Days</v>
      </c>
      <c r="R30">
        <v>205</v>
      </c>
    </row>
    <row r="31" spans="1:18" x14ac:dyDescent="0.25">
      <c r="A31" t="str">
        <f>'OC-SNF PMix Anc Days'!$32:$32</f>
        <v>810-61 Skilled Nursing Facility</v>
      </c>
      <c r="B31">
        <v>39</v>
      </c>
      <c r="E31" t="str">
        <f>'OC-SNF PMix Anc Days'!$B$8</f>
        <v>Rev_Asm_SNF_Payer_Mix.SNF_Ancillary_Medicaid</v>
      </c>
      <c r="F31">
        <v>485</v>
      </c>
      <c r="G31" t="str">
        <f>'OC-Days'!$28:$28</f>
        <v>Feb-2024</v>
      </c>
      <c r="H31">
        <v>27</v>
      </c>
      <c r="M31">
        <f>'OC-Res Days'!$32:$32</f>
        <v>2759</v>
      </c>
      <c r="N31">
        <v>242</v>
      </c>
      <c r="Q31" t="str">
        <f>'OC-Res Days'!$C$3</f>
        <v>Forecasted Resident Days</v>
      </c>
      <c r="R31">
        <v>206</v>
      </c>
    </row>
    <row r="32" spans="1:18" x14ac:dyDescent="0.25">
      <c r="A32" t="str">
        <f>'OC-SNF PMix Anc Days'!$33:$33</f>
        <v>810-61 Skilled Nursing Facility</v>
      </c>
      <c r="B32">
        <v>40</v>
      </c>
      <c r="E32" t="str">
        <f>'OC-SNF PMix Anc Days'!$B$9</f>
        <v>Rev_Asm_SNF_Payer_Mix.SNF_Ancillary_Insurance</v>
      </c>
      <c r="F32">
        <v>486</v>
      </c>
      <c r="G32" t="str">
        <f>'OC-Days'!$29:$29</f>
        <v>Mar-2024</v>
      </c>
      <c r="H32">
        <v>28</v>
      </c>
      <c r="M32">
        <f>'OC-Res Days'!$33:$33</f>
        <v>1147</v>
      </c>
      <c r="N32">
        <v>243</v>
      </c>
      <c r="Q32" t="str">
        <f>'OC-Res Days'!$D$3</f>
        <v>Forecasted Resident Days</v>
      </c>
      <c r="R32">
        <v>207</v>
      </c>
    </row>
    <row r="33" spans="1:18" x14ac:dyDescent="0.25">
      <c r="A33" t="str">
        <f>'OC-SNF PMix Anc Days'!$34:$34</f>
        <v>810-61 Skilled Nursing Facility</v>
      </c>
      <c r="B33">
        <v>41</v>
      </c>
      <c r="E33" t="str">
        <f>'OC-SNF PMix Anc Days'!$B$10</f>
        <v>Rev_Asm_SNF_Payer_Mix.SNF_Ancillary_Private_Pay</v>
      </c>
      <c r="F33">
        <v>487</v>
      </c>
      <c r="G33" t="str">
        <f>'OC-Days'!$31:$31</f>
        <v>May-2024</v>
      </c>
      <c r="H33">
        <v>29</v>
      </c>
      <c r="M33">
        <f>'OC-Res Days'!$34:$34</f>
        <v>248</v>
      </c>
      <c r="N33">
        <v>244</v>
      </c>
      <c r="Q33" t="str">
        <f>'OC-Res Days'!$E$3</f>
        <v>Forecasted Resident Days</v>
      </c>
      <c r="R33">
        <v>208</v>
      </c>
    </row>
    <row r="34" spans="1:18" x14ac:dyDescent="0.25">
      <c r="A34" t="str">
        <f>'OC-SNF PMix Anc Days'!$35:$35</f>
        <v>810-61 Skilled Nursing Facility</v>
      </c>
      <c r="B34">
        <v>42</v>
      </c>
      <c r="E34" t="str">
        <f>'OC-SNF PMix Anc Days'!$B$11</f>
        <v>Rev_Asm_SNF_Payer_Mix.SNF_Ancillary_Hospice</v>
      </c>
      <c r="F34">
        <v>488</v>
      </c>
      <c r="G34" t="str">
        <f>'OC-Days'!$32:$32</f>
        <v>Jun-2024</v>
      </c>
      <c r="H34">
        <v>30</v>
      </c>
      <c r="M34">
        <f>'OC-Res Days'!$35:$35</f>
        <v>1395</v>
      </c>
      <c r="N34">
        <v>245</v>
      </c>
      <c r="Q34" t="str">
        <f>'OC-Res Days'!$F$3</f>
        <v>Forecasted Resident Days</v>
      </c>
      <c r="R34">
        <v>209</v>
      </c>
    </row>
    <row r="35" spans="1:18" x14ac:dyDescent="0.25">
      <c r="A35" t="str">
        <f>'OC-SNF PMix Anc Days'!$36:$36</f>
        <v>840-61 Skilled Nursing Facility</v>
      </c>
      <c r="B35">
        <v>50</v>
      </c>
      <c r="E35" t="str">
        <f>'OC-SNF PMix Anc Days'!$B$12</f>
        <v>Rev_Asm_SNF_Payer_Mix.SNF_Ancillary_Medicare_A</v>
      </c>
      <c r="F35">
        <v>490</v>
      </c>
      <c r="G35" t="str">
        <f>'OC-Days'!$33:$33</f>
        <v>Jul-2024</v>
      </c>
      <c r="H35">
        <v>31</v>
      </c>
      <c r="M35">
        <f>'OC-Res Days'!$36:$36</f>
        <v>0</v>
      </c>
      <c r="N35">
        <v>246</v>
      </c>
      <c r="Q35" t="str">
        <f>'OC-Res Days'!$G$3</f>
        <v>Forecasted Resident Days</v>
      </c>
      <c r="R35">
        <v>210</v>
      </c>
    </row>
    <row r="36" spans="1:18" x14ac:dyDescent="0.25">
      <c r="A36" t="str">
        <f>'OC-SNF PMix Anc Days'!$37:$37</f>
        <v>840-61 Skilled Nursing Facility</v>
      </c>
      <c r="B36">
        <v>51</v>
      </c>
      <c r="E36" t="str">
        <f>'OC-SNF PMix Anc Days'!$B$13</f>
        <v>Rev_Asm_SNF_Payer_Mix.SNF_Ancillary_Medicare_Adv</v>
      </c>
      <c r="F36">
        <v>491</v>
      </c>
      <c r="G36" t="str">
        <f>'OC-Days'!$34:$34</f>
        <v>Aug-2024</v>
      </c>
      <c r="H36">
        <v>32</v>
      </c>
      <c r="M36">
        <f>'OC-Res Days'!$37:$37</f>
        <v>0</v>
      </c>
      <c r="N36">
        <v>247</v>
      </c>
      <c r="Q36" t="str">
        <f>'OC-Res Days'!$H$3</f>
        <v>Forecasted Resident Days</v>
      </c>
      <c r="R36">
        <v>211</v>
      </c>
    </row>
    <row r="37" spans="1:18" x14ac:dyDescent="0.25">
      <c r="A37" t="str">
        <f>'OC-SNF PMix Anc Days'!$38:$38</f>
        <v>840-61 Skilled Nursing Facility</v>
      </c>
      <c r="B37">
        <v>52</v>
      </c>
      <c r="E37" t="str">
        <f>'OC-SNF PMix Anc Days'!$B$14</f>
        <v>Rev_Asm_SNF_Payer_Mix.SNF_Ancillary_Medicaid</v>
      </c>
      <c r="F37">
        <v>492</v>
      </c>
      <c r="G37" t="str">
        <f>'OC-Days'!$35:$35</f>
        <v>Sep-2024</v>
      </c>
      <c r="H37">
        <v>33</v>
      </c>
      <c r="M37">
        <f>'OC-Res Days'!$38:$38</f>
        <v>2883</v>
      </c>
      <c r="N37">
        <v>248</v>
      </c>
      <c r="Q37" t="str">
        <f>'OC-Res Days'!$I$3</f>
        <v>Forecasted Resident Days</v>
      </c>
      <c r="R37">
        <v>212</v>
      </c>
    </row>
    <row r="38" spans="1:18" x14ac:dyDescent="0.25">
      <c r="A38" t="str">
        <f>'OC-SNF PMix Anc Days'!$39:$39</f>
        <v>840-61 Skilled Nursing Facility</v>
      </c>
      <c r="B38">
        <v>53</v>
      </c>
      <c r="E38" t="str">
        <f>'OC-SNF PMix Anc Days'!$B$15</f>
        <v>Rev_Asm_SNF_Payer_Mix.SNF_Ancillary_Insurance</v>
      </c>
      <c r="F38">
        <v>493</v>
      </c>
      <c r="G38" t="str">
        <f>'OC-Days'!$36:$36</f>
        <v>Oct-2024</v>
      </c>
      <c r="H38">
        <v>34</v>
      </c>
      <c r="M38">
        <f>'OC-Res Days'!$39:$39</f>
        <v>1426</v>
      </c>
      <c r="N38">
        <v>249</v>
      </c>
      <c r="Q38" t="str">
        <f>'OC-Res Days'!$J$3</f>
        <v>Forecasted Resident Days</v>
      </c>
      <c r="R38">
        <v>213</v>
      </c>
    </row>
    <row r="39" spans="1:18" x14ac:dyDescent="0.25">
      <c r="A39" t="str">
        <f>'OC-SNF PMix Anc Days'!$40:$40</f>
        <v>840-61 Skilled Nursing Facility</v>
      </c>
      <c r="B39">
        <v>54</v>
      </c>
      <c r="E39" t="str">
        <f>'OC-SNF PMix Anc Days'!$B$16</f>
        <v>Rev_Asm_SNF_Payer_Mix.SNF_Ancillary_Private_Pay</v>
      </c>
      <c r="F39">
        <v>494</v>
      </c>
      <c r="G39" t="str">
        <f>'OC-Days'!$37:$37</f>
        <v>Nov-2024</v>
      </c>
      <c r="H39">
        <v>35</v>
      </c>
      <c r="M39">
        <f>'OC-Res Days'!$40:$40</f>
        <v>496</v>
      </c>
      <c r="N39">
        <v>250</v>
      </c>
      <c r="Q39" t="str">
        <f>'OC-Res Days'!$K$3</f>
        <v>Forecasted Resident Days</v>
      </c>
      <c r="R39">
        <v>214</v>
      </c>
    </row>
    <row r="40" spans="1:18" x14ac:dyDescent="0.25">
      <c r="A40" t="str">
        <f>'OC-SNF PMix Anc Days'!$41:$41</f>
        <v>840-61 Skilled Nursing Facility</v>
      </c>
      <c r="B40">
        <v>55</v>
      </c>
      <c r="E40" t="str">
        <f>'OC-SNF PMix Anc Days'!$B$17</f>
        <v>Rev_Asm_SNF_Payer_Mix.SNF_Ancillary_Hospice</v>
      </c>
      <c r="F40">
        <v>495</v>
      </c>
      <c r="G40" t="str">
        <f>'OC-Days'!$38:$38</f>
        <v>Dec-2024</v>
      </c>
      <c r="H40">
        <v>36</v>
      </c>
      <c r="M40">
        <f>'OC-Res Days'!$41:$41</f>
        <v>2650.5</v>
      </c>
      <c r="N40">
        <v>251</v>
      </c>
      <c r="Q40" t="str">
        <f>'OC-Res Days'!$L$3</f>
        <v>Forecasted Resident Days</v>
      </c>
      <c r="R40">
        <v>215</v>
      </c>
    </row>
    <row r="41" spans="1:18" x14ac:dyDescent="0.25">
      <c r="A41">
        <f>'OC-SNF PMix Anc Days'!$42:$42</f>
        <v>0</v>
      </c>
      <c r="B41">
        <v>56</v>
      </c>
      <c r="E41" t="str">
        <f>'OC-SNF PMix Anc Days'!$B$18</f>
        <v>Rev_Asm_SNF_Payer_Mix.SNF_Ancillary_Medicare_A</v>
      </c>
      <c r="F41">
        <v>497</v>
      </c>
      <c r="G41" t="str">
        <f>'OC-Days'!$39:$39</f>
        <v>Jan-2025</v>
      </c>
      <c r="H41">
        <v>38</v>
      </c>
      <c r="M41">
        <f>'OC-Res Days'!$42:$42</f>
        <v>4092</v>
      </c>
      <c r="N41">
        <v>252</v>
      </c>
      <c r="Q41" t="str">
        <f>'OC-Res Days'!$M$3</f>
        <v>Forecasted Resident Days</v>
      </c>
      <c r="R41">
        <v>216</v>
      </c>
    </row>
    <row r="42" spans="1:18" x14ac:dyDescent="0.25">
      <c r="E42" t="str">
        <f>'OC-SNF PMix Anc Days'!$B$19</f>
        <v>Rev_Asm_SNF_Payer_Mix.SNF_Ancillary_Medicare_Adv</v>
      </c>
      <c r="F42">
        <v>498</v>
      </c>
      <c r="G42" t="str">
        <f>'OC-Days'!$40:$40</f>
        <v>Feb-2025</v>
      </c>
      <c r="H42">
        <v>39</v>
      </c>
      <c r="M42">
        <f>'OC-Res Days'!$43:$43</f>
        <v>2991.5</v>
      </c>
      <c r="N42">
        <v>253</v>
      </c>
      <c r="Q42" t="str">
        <f>'OC-Res Days'!$A$7</f>
        <v>100-22 Villas/Cottages B (AMV=Courtyard Homes, BV=BV West, APKS=Patio Homes)</v>
      </c>
      <c r="R42">
        <v>288</v>
      </c>
    </row>
    <row r="43" spans="1:18" x14ac:dyDescent="0.25">
      <c r="E43" t="str">
        <f>'OC-SNF PMix Anc Days'!$B$20</f>
        <v>Rev_Asm_SNF_Payer_Mix.SNF_Ancillary_Medicaid</v>
      </c>
      <c r="F43">
        <v>499</v>
      </c>
      <c r="G43" t="str">
        <f>'OC-Days'!$41:$41</f>
        <v>Mar-2025</v>
      </c>
      <c r="H43">
        <v>40</v>
      </c>
      <c r="M43">
        <f>'OC-Res Days'!$44:$44</f>
        <v>2046</v>
      </c>
      <c r="N43">
        <v>254</v>
      </c>
      <c r="Q43" t="str">
        <f>'OC-Res Days'!$A$8</f>
        <v>100-31 Apartment A (AMV=Trott, BV=Center, All others)</v>
      </c>
      <c r="R43">
        <v>289</v>
      </c>
    </row>
    <row r="44" spans="1:18" x14ac:dyDescent="0.25">
      <c r="E44" t="str">
        <f>'OC-SNF PMix Anc Days'!$B$21</f>
        <v>Rev_Asm_SNF_Payer_Mix.SNF_Ancillary_Insurance</v>
      </c>
      <c r="F44">
        <v>500</v>
      </c>
      <c r="G44" t="str">
        <f>'OC-Days'!$42:$42</f>
        <v>Apr-2025</v>
      </c>
      <c r="H44">
        <v>41</v>
      </c>
      <c r="M44">
        <f>'OC-Res Days'!$45:$45</f>
        <v>16585</v>
      </c>
      <c r="N44">
        <v>255</v>
      </c>
      <c r="Q44" t="str">
        <f>'OC-Res Days'!$A$9</f>
        <v>100-32 Apartment B (AMV=Diamond, BV=Court)</v>
      </c>
      <c r="R44">
        <v>290</v>
      </c>
    </row>
    <row r="45" spans="1:18" x14ac:dyDescent="0.25">
      <c r="E45" t="str">
        <f>'OC-SNF PMix Anc Days'!$B$22</f>
        <v>Rev_Asm_SNF_Payer_Mix.SNF_Ancillary_Private_Pay</v>
      </c>
      <c r="F45">
        <v>501</v>
      </c>
      <c r="G45" t="str">
        <f>'OC-Days'!$43:$43</f>
        <v>May-2025</v>
      </c>
      <c r="H45">
        <v>42</v>
      </c>
      <c r="M45">
        <f>'OC-Res Days'!$46:$46</f>
        <v>930</v>
      </c>
      <c r="N45">
        <v>256</v>
      </c>
      <c r="Q45" t="str">
        <f>'OC-Res Days'!$A$10</f>
        <v>100-33 Apartment C (AMV=419 Wallace, BV=BVWest)</v>
      </c>
      <c r="R45">
        <v>291</v>
      </c>
    </row>
    <row r="46" spans="1:18" x14ac:dyDescent="0.25">
      <c r="E46" t="str">
        <f>'OC-SNF PMix Anc Days'!$B$23</f>
        <v>Rev_Asm_SNF_Payer_Mix.SNF_Ancillary_Hospice</v>
      </c>
      <c r="F46">
        <v>502</v>
      </c>
      <c r="G46" t="str">
        <f>'OC-Days'!$44:$44</f>
        <v>Jun-2025</v>
      </c>
      <c r="H46">
        <v>43</v>
      </c>
      <c r="M46">
        <f>'OC-Res Days'!$47:$47</f>
        <v>1085</v>
      </c>
      <c r="N46">
        <v>257</v>
      </c>
      <c r="Q46" t="str">
        <f>'OC-Res Days'!$A$11</f>
        <v>100-34 Apartment D (AMV=ParkView)</v>
      </c>
      <c r="R46">
        <v>292</v>
      </c>
    </row>
    <row r="47" spans="1:18" x14ac:dyDescent="0.25">
      <c r="E47" t="str">
        <f>'OC-SNF PMix Anc Days'!$B$24</f>
        <v>Rev_Asm_SNF_Payer_Mix.SNF_Ancillary_Medicare_A</v>
      </c>
      <c r="F47">
        <v>504</v>
      </c>
      <c r="G47" t="str">
        <f>'OC-Days'!$45:$45</f>
        <v>Jul-2025</v>
      </c>
      <c r="H47">
        <v>44</v>
      </c>
      <c r="M47">
        <f>'OC-Res Days'!$48:$48</f>
        <v>1147</v>
      </c>
      <c r="N47">
        <v>258</v>
      </c>
      <c r="Q47" t="str">
        <f>'OC-Res Days'!$A$12</f>
        <v>100-35 Apartment E (AMV=Edwards Fisher)</v>
      </c>
      <c r="R47">
        <v>293</v>
      </c>
    </row>
    <row r="48" spans="1:18" x14ac:dyDescent="0.25">
      <c r="E48" t="str">
        <f>'OC-SNF PMix Anc Days'!$B$25</f>
        <v>Rev_Asm_SNF_Payer_Mix.SNF_Ancillary_Medicare_Adv</v>
      </c>
      <c r="F48">
        <v>505</v>
      </c>
      <c r="G48" t="str">
        <f>'OC-Days'!$46:$46</f>
        <v>Aug-2025</v>
      </c>
      <c r="H48">
        <v>45</v>
      </c>
      <c r="M48">
        <f>'OC-Res Days'!$49:$49</f>
        <v>3162</v>
      </c>
      <c r="N48">
        <v>259</v>
      </c>
      <c r="Q48" t="str">
        <f>'OC-Res Days'!$A$13</f>
        <v>100-36 Apartment F (AMV=Mund)</v>
      </c>
      <c r="R48">
        <v>294</v>
      </c>
    </row>
    <row r="49" spans="5:18" x14ac:dyDescent="0.25">
      <c r="E49" t="str">
        <f>'OC-SNF PMix Anc Days'!$B$26</f>
        <v>Rev_Asm_SNF_Payer_Mix.SNF_Ancillary_Medicaid</v>
      </c>
      <c r="F49">
        <v>506</v>
      </c>
      <c r="G49" t="str">
        <f>'OC-Days'!$47:$47</f>
        <v>Sep-2025</v>
      </c>
      <c r="H49">
        <v>46</v>
      </c>
      <c r="M49">
        <f>'OC-Res Days'!$50:$50</f>
        <v>73113.5</v>
      </c>
      <c r="N49">
        <v>260</v>
      </c>
      <c r="Q49" t="str">
        <f>'OC-Res Days'!$A$14</f>
        <v>100-51 AL/PC A</v>
      </c>
      <c r="R49">
        <v>295</v>
      </c>
    </row>
    <row r="50" spans="5:18" x14ac:dyDescent="0.25">
      <c r="E50" t="str">
        <f>'OC-SNF PMix Anc Days'!$B$27</f>
        <v>Rev_Asm_SNF_Payer_Mix.SNF_Ancillary_Insurance</v>
      </c>
      <c r="F50">
        <v>507</v>
      </c>
      <c r="G50" t="str">
        <f>'OC-Days'!$48:$48</f>
        <v>Oct-2025</v>
      </c>
      <c r="H50">
        <v>47</v>
      </c>
      <c r="M50">
        <f>'OC-Res Days'!$51:$51</f>
        <v>73113.5</v>
      </c>
      <c r="N50">
        <v>261</v>
      </c>
      <c r="Q50" t="str">
        <f>'OC-Res Days'!$A$15</f>
        <v>100-61 Skilled Nursing Facility</v>
      </c>
      <c r="R50">
        <v>296</v>
      </c>
    </row>
    <row r="51" spans="5:18" x14ac:dyDescent="0.25">
      <c r="E51" t="str">
        <f>'OC-SNF PMix Anc Days'!$B$28</f>
        <v>Rev_Asm_SNF_Payer_Mix.SNF_Ancillary_Private_Pay</v>
      </c>
      <c r="F51">
        <v>508</v>
      </c>
      <c r="G51" t="str">
        <f>'OC-Days'!$49:$49</f>
        <v>Nov-2025</v>
      </c>
      <c r="H51">
        <v>48</v>
      </c>
      <c r="M51">
        <f>'OC-Res Days'!$52:$52</f>
        <v>1488</v>
      </c>
      <c r="N51">
        <v>262</v>
      </c>
      <c r="Q51" t="str">
        <f>'OC-Res Days'!$A$16</f>
        <v>100-62 Skilled Nursing - TCU</v>
      </c>
      <c r="R51">
        <v>297</v>
      </c>
    </row>
    <row r="52" spans="5:18" x14ac:dyDescent="0.25">
      <c r="E52" t="str">
        <f>'OC-SNF PMix Anc Days'!$B$29</f>
        <v>Rev_Asm_SNF_Payer_Mix.SNF_Ancillary_Hospice</v>
      </c>
      <c r="F52">
        <v>509</v>
      </c>
      <c r="G52" t="str">
        <f>'OC-Days'!$50:$50</f>
        <v>Dec-2025</v>
      </c>
      <c r="H52">
        <v>49</v>
      </c>
      <c r="M52">
        <f>'OC-Res Days'!$53:$53</f>
        <v>2232</v>
      </c>
      <c r="N52">
        <v>263</v>
      </c>
      <c r="Q52" t="str">
        <f>'OC-Res Days'!$A$17</f>
        <v>100 Asbury Methodist Village</v>
      </c>
      <c r="R52">
        <v>298</v>
      </c>
    </row>
    <row r="53" spans="5:18" x14ac:dyDescent="0.25">
      <c r="E53" t="str">
        <f>'OC-SNF PMix Anc Days'!$B$30</f>
        <v>Rev_Asm_SNF_Payer_Mix.SNF_Ancillary_Medicare_A</v>
      </c>
      <c r="F53">
        <v>511</v>
      </c>
      <c r="M53">
        <f>'OC-Res Days'!$54:$54</f>
        <v>1095.5400000000002</v>
      </c>
      <c r="N53">
        <v>264</v>
      </c>
      <c r="Q53" t="str">
        <f>'OC-Res Days'!$A$18</f>
        <v>200-21 Villas/Cottages</v>
      </c>
      <c r="R53">
        <v>299</v>
      </c>
    </row>
    <row r="54" spans="5:18" x14ac:dyDescent="0.25">
      <c r="E54" t="str">
        <f>'OC-SNF PMix Anc Days'!$B$31</f>
        <v>Rev_Asm_SNF_Payer_Mix.SNF_Ancillary_Medicare_Adv</v>
      </c>
      <c r="F54">
        <v>512</v>
      </c>
      <c r="M54">
        <f>'OC-Res Days'!$55:$55</f>
        <v>0</v>
      </c>
      <c r="N54">
        <v>265</v>
      </c>
      <c r="Q54" t="str">
        <f>'OC-Res Days'!$A$19</f>
        <v>200-31 Apartment A (AMV=Trott, BV=Center, AS=North Apts.)</v>
      </c>
      <c r="R54">
        <v>300</v>
      </c>
    </row>
    <row r="55" spans="5:18" x14ac:dyDescent="0.25">
      <c r="E55" t="str">
        <f>'OC-SNF PMix Anc Days'!$B$32</f>
        <v>Rev_Asm_SNF_Payer_Mix.SNF_Ancillary_Medicaid</v>
      </c>
      <c r="F55">
        <v>513</v>
      </c>
      <c r="M55">
        <f>'OC-Res Days'!$56:$56</f>
        <v>4815.54</v>
      </c>
      <c r="N55">
        <v>266</v>
      </c>
      <c r="Q55" t="str">
        <f>'OC-Res Days'!$A$20</f>
        <v>200-32 Apartment B (AS=South Apts.)</v>
      </c>
      <c r="R55">
        <v>301</v>
      </c>
    </row>
    <row r="56" spans="5:18" x14ac:dyDescent="0.25">
      <c r="E56" t="str">
        <f>'OC-SNF PMix Anc Days'!$B$33</f>
        <v>Rev_Asm_SNF_Payer_Mix.SNF_Ancillary_Insurance</v>
      </c>
      <c r="F56">
        <v>514</v>
      </c>
      <c r="M56">
        <f>'OC-Res Days'!$57:$57</f>
        <v>1922</v>
      </c>
      <c r="N56">
        <v>267</v>
      </c>
      <c r="Q56" t="str">
        <f>'OC-Res Days'!$A$21</f>
        <v>200-51 AL/PC A</v>
      </c>
      <c r="R56">
        <v>302</v>
      </c>
    </row>
    <row r="57" spans="5:18" x14ac:dyDescent="0.25">
      <c r="E57" t="str">
        <f>'OC-SNF PMix Anc Days'!$B$34</f>
        <v>Rev_Asm_SNF_Payer_Mix.SNF_Ancillary_Private_Pay</v>
      </c>
      <c r="F57">
        <v>515</v>
      </c>
      <c r="M57">
        <f>'OC-Res Days'!$58:$58</f>
        <v>2604</v>
      </c>
      <c r="N57">
        <v>268</v>
      </c>
      <c r="Q57" t="str">
        <f>'OC-Res Days'!$A$22</f>
        <v>200-61 Skilled Nursing Facility</v>
      </c>
      <c r="R57">
        <v>303</v>
      </c>
    </row>
    <row r="58" spans="5:18" x14ac:dyDescent="0.25">
      <c r="E58" t="str">
        <f>'OC-SNF PMix Anc Days'!$B$35</f>
        <v>Rev_Asm_SNF_Payer_Mix.SNF_Ancillary_Hospice</v>
      </c>
      <c r="F58">
        <v>516</v>
      </c>
      <c r="M58">
        <f>'OC-Res Days'!$59:$59</f>
        <v>263.5</v>
      </c>
      <c r="N58">
        <v>269</v>
      </c>
      <c r="Q58" t="str">
        <f>'OC-Res Days'!$A$23</f>
        <v>200 Asbury Solomons</v>
      </c>
      <c r="R58">
        <v>304</v>
      </c>
    </row>
    <row r="59" spans="5:18" x14ac:dyDescent="0.25">
      <c r="E59" t="str">
        <f>'OC-SNF PMix Anc Days'!$B$36</f>
        <v>Rev_Asm_SNF_Payer_Mix.SNF_Ancillary_Medicare_A</v>
      </c>
      <c r="F59">
        <v>525</v>
      </c>
      <c r="M59">
        <f>'OC-Res Days'!$60:$60</f>
        <v>480.5</v>
      </c>
      <c r="N59">
        <v>270</v>
      </c>
      <c r="Q59" t="str">
        <f>'OC-Res Days'!$A$24</f>
        <v>324-21 Villas/Cottages</v>
      </c>
      <c r="R59">
        <v>305</v>
      </c>
    </row>
    <row r="60" spans="5:18" x14ac:dyDescent="0.25">
      <c r="E60" t="str">
        <f>'OC-SNF PMix Anc Days'!$B$37</f>
        <v>Rev_Asm_SNF_Payer_Mix.SNF_Ancillary_Medicare_Adv</v>
      </c>
      <c r="F60">
        <v>526</v>
      </c>
      <c r="M60">
        <f>'OC-Res Days'!$61:$61</f>
        <v>1891</v>
      </c>
      <c r="N60">
        <v>271</v>
      </c>
      <c r="Q60" t="str">
        <f>'OC-Res Days'!$A$25</f>
        <v>324-31 Apartment A (AMV=Trott, BV=Center, All others)</v>
      </c>
      <c r="R60">
        <v>306</v>
      </c>
    </row>
    <row r="61" spans="5:18" x14ac:dyDescent="0.25">
      <c r="E61" t="str">
        <f>'OC-SNF PMix Anc Days'!$B$38</f>
        <v>Rev_Asm_SNF_Payer_Mix.SNF_Ancillary_Medicaid</v>
      </c>
      <c r="F61">
        <v>527</v>
      </c>
      <c r="M61">
        <f>'OC-Res Days'!$62:$62</f>
        <v>7161</v>
      </c>
      <c r="N61">
        <v>272</v>
      </c>
      <c r="Q61" t="str">
        <f>'OC-Res Days'!$A$26</f>
        <v>324-51 AL/PC A</v>
      </c>
      <c r="R61">
        <v>307</v>
      </c>
    </row>
    <row r="62" spans="5:18" x14ac:dyDescent="0.25">
      <c r="E62" t="str">
        <f>'OC-SNF PMix Anc Days'!$B$39</f>
        <v>Rev_Asm_SNF_Payer_Mix.SNF_Ancillary_Insurance</v>
      </c>
      <c r="F62">
        <v>528</v>
      </c>
      <c r="M62">
        <f>'OC-Res Days'!$63:$63</f>
        <v>11976.54</v>
      </c>
      <c r="N62">
        <v>273</v>
      </c>
      <c r="Q62" t="str">
        <f>'OC-Res Days'!$A$27</f>
        <v>324-61 Skilled Nursing Facility</v>
      </c>
      <c r="R62">
        <v>308</v>
      </c>
    </row>
    <row r="63" spans="5:18" x14ac:dyDescent="0.25">
      <c r="E63" t="str">
        <f>'OC-SNF PMix Anc Days'!$B$40</f>
        <v>Rev_Asm_SNF_Payer_Mix.SNF_Ancillary_Private_Pay</v>
      </c>
      <c r="F63">
        <v>529</v>
      </c>
      <c r="M63">
        <f>'OC-Res Days'!$64:$64</f>
        <v>11976.54</v>
      </c>
      <c r="N63">
        <v>274</v>
      </c>
      <c r="Q63" t="str">
        <f>'OC-Res Days'!$A$28</f>
        <v>324 Springhill</v>
      </c>
      <c r="R63">
        <v>309</v>
      </c>
    </row>
    <row r="64" spans="5:18" x14ac:dyDescent="0.25">
      <c r="E64" t="str">
        <f>'OC-SNF PMix Anc Days'!$B$41</f>
        <v>Rev_Asm_SNF_Payer_Mix.SNF_Ancillary_Hospice</v>
      </c>
      <c r="F64">
        <v>530</v>
      </c>
      <c r="M64">
        <f>'OC-Res Days'!$65:$65</f>
        <v>1112.5899999999999</v>
      </c>
      <c r="N64">
        <v>275</v>
      </c>
      <c r="Q64" t="str">
        <f>'OC-Res Days'!$A$29</f>
        <v>350-21 Villas/Cottages</v>
      </c>
      <c r="R64">
        <v>310</v>
      </c>
    </row>
    <row r="65" spans="5:18" x14ac:dyDescent="0.25">
      <c r="E65" t="str">
        <f>'OC-SNF PMix Anc Days'!$C$6</f>
        <v>Medicare A</v>
      </c>
      <c r="F65">
        <v>531</v>
      </c>
      <c r="M65">
        <f>'OC-Res Days'!$66:$66</f>
        <v>1082.52</v>
      </c>
      <c r="N65">
        <v>276</v>
      </c>
      <c r="Q65" t="str">
        <f>'OC-Res Days'!$A$30</f>
        <v>350-51 AL/PC A</v>
      </c>
      <c r="R65">
        <v>311</v>
      </c>
    </row>
    <row r="66" spans="5:18" x14ac:dyDescent="0.25">
      <c r="E66" t="str">
        <f>'OC-SNF PMix Anc Days'!$C$7</f>
        <v>Medicare Advantage</v>
      </c>
      <c r="F66">
        <v>532</v>
      </c>
      <c r="M66">
        <f>'OC-Res Days'!$67:$67</f>
        <v>1268.52</v>
      </c>
      <c r="N66">
        <v>278</v>
      </c>
      <c r="Q66" t="str">
        <f>'OC-Res Days'!$A$31</f>
        <v>350-52 AL B/APM Memory Support</v>
      </c>
      <c r="R66">
        <v>312</v>
      </c>
    </row>
    <row r="67" spans="5:18" x14ac:dyDescent="0.25">
      <c r="E67" t="str">
        <f>'OC-SNF PMix Anc Days'!$C$8</f>
        <v>Medicaid</v>
      </c>
      <c r="F67">
        <v>533</v>
      </c>
      <c r="M67">
        <f>'OC-Res Days'!$68:$68</f>
        <v>3463.63</v>
      </c>
      <c r="N67">
        <v>279</v>
      </c>
      <c r="Q67" t="str">
        <f>'OC-Res Days'!$A$32</f>
        <v>350 Grace Park</v>
      </c>
      <c r="R67">
        <v>313</v>
      </c>
    </row>
    <row r="68" spans="5:18" x14ac:dyDescent="0.25">
      <c r="E68" t="str">
        <f>'OC-SNF PMix Anc Days'!$C$9</f>
        <v>Insurance</v>
      </c>
      <c r="F68">
        <v>534</v>
      </c>
      <c r="M68">
        <f>'OC-Res Days'!$69:$69</f>
        <v>751.75</v>
      </c>
      <c r="N68">
        <v>280</v>
      </c>
      <c r="Q68" t="str">
        <f>'OC-Res Days'!$A$33</f>
        <v>360-51 AL/PC A</v>
      </c>
      <c r="R68">
        <v>314</v>
      </c>
    </row>
    <row r="69" spans="5:18" x14ac:dyDescent="0.25">
      <c r="E69" t="str">
        <f>'OC-SNF PMix Anc Days'!$C$10</f>
        <v>Private Pay</v>
      </c>
      <c r="F69">
        <v>535</v>
      </c>
      <c r="M69">
        <f>'OC-Res Days'!$70:$70</f>
        <v>2232</v>
      </c>
      <c r="N69">
        <v>282</v>
      </c>
      <c r="Q69" t="str">
        <f>'OC-Res Days'!$A$34</f>
        <v>360-52 AL B/APM Memory Support</v>
      </c>
      <c r="R69">
        <v>315</v>
      </c>
    </row>
    <row r="70" spans="5:18" x14ac:dyDescent="0.25">
      <c r="E70" t="str">
        <f>'OC-SNF PMix Anc Days'!$C$11</f>
        <v>Hospice</v>
      </c>
      <c r="F70">
        <v>536</v>
      </c>
      <c r="M70">
        <f>'OC-Res Days'!$71:$71</f>
        <v>3464.25</v>
      </c>
      <c r="N70">
        <v>283</v>
      </c>
      <c r="Q70" t="str">
        <f>'OC-Res Days'!$A$35</f>
        <v>360 Ivy Gables</v>
      </c>
      <c r="R70">
        <v>316</v>
      </c>
    </row>
    <row r="71" spans="5:18" x14ac:dyDescent="0.25">
      <c r="E71" t="str">
        <f>'OC-SNF PMix Anc Days'!$C$12</f>
        <v>Medicare A</v>
      </c>
      <c r="F71">
        <v>538</v>
      </c>
      <c r="M71">
        <f>'OC-Res Days'!$72:$72</f>
        <v>1306.6500000000001</v>
      </c>
      <c r="N71">
        <v>284</v>
      </c>
      <c r="Q71" t="str">
        <f>'OC-Res Days'!$A$36</f>
        <v>650 Asbury Place Maryville</v>
      </c>
      <c r="R71">
        <v>317</v>
      </c>
    </row>
    <row r="72" spans="5:18" x14ac:dyDescent="0.25">
      <c r="E72" t="str">
        <f>'OC-SNF PMix Anc Days'!$C$13</f>
        <v>Medicare Advantage</v>
      </c>
      <c r="F72">
        <v>539</v>
      </c>
      <c r="M72">
        <f>'OC-Res Days'!$73:$73</f>
        <v>1306.6500000000001</v>
      </c>
      <c r="N72">
        <v>285</v>
      </c>
      <c r="Q72" t="str">
        <f>'OC-Res Days'!$A$37</f>
        <v>660 Asbury Place Kingsport</v>
      </c>
      <c r="R72">
        <v>318</v>
      </c>
    </row>
    <row r="73" spans="5:18" x14ac:dyDescent="0.25">
      <c r="E73" t="str">
        <f>'OC-SNF PMix Anc Days'!$C$14</f>
        <v>Medicaid</v>
      </c>
      <c r="F73">
        <v>540</v>
      </c>
      <c r="M73">
        <f>'OC-Res Days'!$74:$74</f>
        <v>8234.5300000000007</v>
      </c>
      <c r="N73">
        <v>286</v>
      </c>
      <c r="Q73" t="str">
        <f>'OC-Res Days'!$A$38</f>
        <v>810-21 Villas/Cottages</v>
      </c>
      <c r="R73">
        <v>319</v>
      </c>
    </row>
    <row r="74" spans="5:18" x14ac:dyDescent="0.25">
      <c r="E74" t="str">
        <f>'OC-SNF PMix Anc Days'!$C$15</f>
        <v>Insurance</v>
      </c>
      <c r="F74">
        <v>541</v>
      </c>
      <c r="M74">
        <f>'OC-Res Days'!$75:$75</f>
        <v>93324.57</v>
      </c>
      <c r="N74">
        <v>287</v>
      </c>
      <c r="Q74" t="str">
        <f>'OC-Res Days'!$A$39</f>
        <v>810-22 Villas/Cottages B (AMV=Courtyard Homes, BV=BV West, APKS=Patio Homes)</v>
      </c>
      <c r="R74">
        <v>320</v>
      </c>
    </row>
    <row r="75" spans="5:18" x14ac:dyDescent="0.25">
      <c r="E75" t="str">
        <f>'OC-SNF PMix Anc Days'!$C$16</f>
        <v>Private Pay</v>
      </c>
      <c r="F75">
        <v>542</v>
      </c>
      <c r="Q75" t="str">
        <f>'OC-Res Days'!$A$40</f>
        <v>810-31 Apartment A (AMV=Trott, BV=Center, All others)</v>
      </c>
      <c r="R75">
        <v>321</v>
      </c>
    </row>
    <row r="76" spans="5:18" x14ac:dyDescent="0.25">
      <c r="E76" t="str">
        <f>'OC-SNF PMix Anc Days'!$C$17</f>
        <v>Hospice</v>
      </c>
      <c r="F76">
        <v>543</v>
      </c>
      <c r="Q76" t="str">
        <f>'OC-Res Days'!$A$41</f>
        <v>810-32 Apartment B (AMV=Diamond, BV=Court)</v>
      </c>
      <c r="R76">
        <v>322</v>
      </c>
    </row>
    <row r="77" spans="5:18" x14ac:dyDescent="0.25">
      <c r="E77" t="str">
        <f>'OC-SNF PMix Anc Days'!$C$18</f>
        <v>Medicare A</v>
      </c>
      <c r="F77">
        <v>545</v>
      </c>
      <c r="Q77" t="str">
        <f>'OC-Res Days'!$A$42</f>
        <v>810-33 Apartment C (AMV=419 Wallace, BV=BVWest)</v>
      </c>
      <c r="R77">
        <v>323</v>
      </c>
    </row>
    <row r="78" spans="5:18" x14ac:dyDescent="0.25">
      <c r="E78" t="str">
        <f>'OC-SNF PMix Anc Days'!$C$19</f>
        <v>Medicare Advantage</v>
      </c>
      <c r="F78">
        <v>546</v>
      </c>
      <c r="Q78" t="str">
        <f>'OC-Res Days'!$A$43</f>
        <v>810-51 AL/PC A</v>
      </c>
      <c r="R78">
        <v>324</v>
      </c>
    </row>
    <row r="79" spans="5:18" x14ac:dyDescent="0.25">
      <c r="E79" t="str">
        <f>'OC-SNF PMix Anc Days'!$C$20</f>
        <v>Medicaid</v>
      </c>
      <c r="F79">
        <v>547</v>
      </c>
      <c r="Q79" t="str">
        <f>'OC-Res Days'!$A$44</f>
        <v>810-61 Skilled Nursing Facility</v>
      </c>
      <c r="R79">
        <v>325</v>
      </c>
    </row>
    <row r="80" spans="5:18" x14ac:dyDescent="0.25">
      <c r="E80" t="str">
        <f>'OC-SNF PMix Anc Days'!$C$21</f>
        <v>Insurance</v>
      </c>
      <c r="F80">
        <v>548</v>
      </c>
      <c r="Q80" t="str">
        <f>'OC-Res Days'!$A$45</f>
        <v>810 Bethany Village</v>
      </c>
      <c r="R80">
        <v>326</v>
      </c>
    </row>
    <row r="81" spans="5:18" x14ac:dyDescent="0.25">
      <c r="E81" t="str">
        <f>'OC-SNF PMix Anc Days'!$C$22</f>
        <v>Private Pay</v>
      </c>
      <c r="F81">
        <v>549</v>
      </c>
      <c r="Q81" t="str">
        <f>'OC-Res Days'!$A$46</f>
        <v>925-21 Villas/Cottages</v>
      </c>
      <c r="R81">
        <v>327</v>
      </c>
    </row>
    <row r="82" spans="5:18" x14ac:dyDescent="0.25">
      <c r="E82" t="str">
        <f>'OC-SNF PMix Anc Days'!$C$23</f>
        <v>Hospice</v>
      </c>
      <c r="F82">
        <v>550</v>
      </c>
      <c r="Q82" t="str">
        <f>'OC-Res Days'!$A$47</f>
        <v>925-31 Apartment A (AMV=Trott, BV=Center, All others)</v>
      </c>
      <c r="R82">
        <v>328</v>
      </c>
    </row>
    <row r="83" spans="5:18" x14ac:dyDescent="0.25">
      <c r="E83" t="str">
        <f>'OC-SNF PMix Anc Days'!$C$24</f>
        <v>Medicare A</v>
      </c>
      <c r="F83">
        <v>552</v>
      </c>
      <c r="Q83" t="str">
        <f>'OC-Res Days'!$A$48</f>
        <v>925-51 AL/PCA A</v>
      </c>
      <c r="R83">
        <v>329</v>
      </c>
    </row>
    <row r="84" spans="5:18" x14ac:dyDescent="0.25">
      <c r="E84" t="str">
        <f>'OC-SNF PMix Anc Days'!$C$25</f>
        <v>Medicare Advantage</v>
      </c>
      <c r="F84">
        <v>553</v>
      </c>
      <c r="Q84" t="str">
        <f>'OC-Res Days'!$A$49</f>
        <v>925 Chandler Estate</v>
      </c>
      <c r="R84">
        <v>330</v>
      </c>
    </row>
    <row r="85" spans="5:18" x14ac:dyDescent="0.25">
      <c r="E85" t="str">
        <f>'OC-SNF PMix Anc Days'!$C$26</f>
        <v>Medicaid</v>
      </c>
      <c r="F85">
        <v>554</v>
      </c>
      <c r="Q85" t="str">
        <f>'OC-Res Days'!$A$50</f>
        <v>Asbury</v>
      </c>
      <c r="R85">
        <v>331</v>
      </c>
    </row>
    <row r="86" spans="5:18" x14ac:dyDescent="0.25">
      <c r="E86" t="str">
        <f>'OC-SNF PMix Anc Days'!$C$27</f>
        <v>Insurance</v>
      </c>
      <c r="F86">
        <v>555</v>
      </c>
      <c r="Q86" t="str">
        <f>'OC-Res Days'!$A$51</f>
        <v>Asbury (Consolidated)</v>
      </c>
      <c r="R86">
        <v>332</v>
      </c>
    </row>
    <row r="87" spans="5:18" x14ac:dyDescent="0.25">
      <c r="E87" t="str">
        <f>'OC-SNF PMix Anc Days'!$C$28</f>
        <v>Private Pay</v>
      </c>
      <c r="F87">
        <v>556</v>
      </c>
      <c r="Q87" t="str">
        <f>'OC-Res Days'!$A$52</f>
        <v>835-21 Villas/Cottages</v>
      </c>
      <c r="R87">
        <v>333</v>
      </c>
    </row>
    <row r="88" spans="5:18" x14ac:dyDescent="0.25">
      <c r="E88" t="str">
        <f>'OC-SNF PMix Anc Days'!$C$29</f>
        <v>Hospice</v>
      </c>
      <c r="F88">
        <v>557</v>
      </c>
      <c r="Q88" t="str">
        <f>'OC-Res Days'!$A$53</f>
        <v>835-31 Apartment A (AMV=Trott, BV=Center, RW=Ridgecrest Court, NR= Manchester, All others)</v>
      </c>
      <c r="R88">
        <v>334</v>
      </c>
    </row>
    <row r="89" spans="5:18" x14ac:dyDescent="0.25">
      <c r="E89" t="str">
        <f>'OC-SNF PMix Anc Days'!$C$30</f>
        <v>Medicare A</v>
      </c>
      <c r="F89">
        <v>559</v>
      </c>
      <c r="Q89" t="str">
        <f>'OC-Res Days'!$A$54</f>
        <v>835-51 AL/PC A (AMV=333,  RW= Riverwood Manor, All others)</v>
      </c>
      <c r="R89">
        <v>335</v>
      </c>
    </row>
    <row r="90" spans="5:18" x14ac:dyDescent="0.25">
      <c r="E90" t="str">
        <f>'OC-SNF PMix Anc Days'!$C$31</f>
        <v>Medicare Advantage</v>
      </c>
      <c r="F90">
        <v>560</v>
      </c>
      <c r="Q90" t="str">
        <f>'OC-Res Days'!$A$55</f>
        <v>835-61 Skilled Nursing Facility</v>
      </c>
      <c r="R90">
        <v>336</v>
      </c>
    </row>
    <row r="91" spans="5:18" x14ac:dyDescent="0.25">
      <c r="E91" t="str">
        <f>'OC-SNF PMix Anc Days'!$C$32</f>
        <v>Medicaid</v>
      </c>
      <c r="F91">
        <v>561</v>
      </c>
      <c r="Q91" t="str">
        <f>'OC-Res Days'!$A$56</f>
        <v>835 Riverwoods</v>
      </c>
      <c r="R91">
        <v>337</v>
      </c>
    </row>
    <row r="92" spans="5:18" x14ac:dyDescent="0.25">
      <c r="E92" t="str">
        <f>'OC-SNF PMix Anc Days'!$C$33</f>
        <v>Insurance</v>
      </c>
      <c r="F92">
        <v>562</v>
      </c>
      <c r="Q92" t="str">
        <f>'OC-Res Days'!$A$57</f>
        <v>840-21 Villas/Cottages</v>
      </c>
      <c r="R92">
        <v>338</v>
      </c>
    </row>
    <row r="93" spans="5:18" x14ac:dyDescent="0.25">
      <c r="E93" t="str">
        <f>'OC-SNF PMix Anc Days'!$C$34</f>
        <v>Private Pay</v>
      </c>
      <c r="F93">
        <v>563</v>
      </c>
      <c r="Q93" t="str">
        <f>'OC-Res Days'!$A$58</f>
        <v>840-31 Apartment A (AMV=Trott, BV=Center, RW=Ridgecrest Court, NR=Manchester, All others)</v>
      </c>
      <c r="R93">
        <v>339</v>
      </c>
    </row>
    <row r="94" spans="5:18" x14ac:dyDescent="0.25">
      <c r="E94" t="str">
        <f>'OC-SNF PMix Anc Days'!$C$35</f>
        <v>Hospice</v>
      </c>
      <c r="F94">
        <v>564</v>
      </c>
      <c r="Q94" t="str">
        <f>'OC-Res Days'!$A$59</f>
        <v>840-51 AL/PC A (AMV=333,  RW= Riverwood Manor, All others)</v>
      </c>
      <c r="R94">
        <v>340</v>
      </c>
    </row>
    <row r="95" spans="5:18" x14ac:dyDescent="0.25">
      <c r="E95" t="str">
        <f>'OC-SNF PMix Anc Days'!$C$36</f>
        <v>Medicare A</v>
      </c>
      <c r="F95">
        <v>573</v>
      </c>
      <c r="Q95" t="str">
        <f>'OC-Res Days'!$A$60</f>
        <v>840-52 AL/PC B (AL/PC B, NR=Dementia Care)</v>
      </c>
      <c r="R95">
        <v>341</v>
      </c>
    </row>
    <row r="96" spans="5:18" x14ac:dyDescent="0.25">
      <c r="E96" t="str">
        <f>'OC-SNF PMix Anc Days'!$C$37</f>
        <v>Medicare Advantage</v>
      </c>
      <c r="F96">
        <v>574</v>
      </c>
      <c r="Q96" t="str">
        <f>'OC-Res Days'!$A$61</f>
        <v>840-61 Skilled Nursing Facility</v>
      </c>
      <c r="R96">
        <v>342</v>
      </c>
    </row>
    <row r="97" spans="5:18" x14ac:dyDescent="0.25">
      <c r="E97" t="str">
        <f>'OC-SNF PMix Anc Days'!$C$38</f>
        <v>Medicaid</v>
      </c>
      <c r="F97">
        <v>575</v>
      </c>
      <c r="Q97" t="str">
        <f>'OC-Res Days'!$A$62</f>
        <v>840 Normandie Ridge</v>
      </c>
      <c r="R97">
        <v>343</v>
      </c>
    </row>
    <row r="98" spans="5:18" x14ac:dyDescent="0.25">
      <c r="E98" t="str">
        <f>'OC-SNF PMix Anc Days'!$C$39</f>
        <v>Insurance</v>
      </c>
      <c r="F98">
        <v>576</v>
      </c>
      <c r="Q98" t="str">
        <f>'OC-Res Days'!$A$63</f>
        <v>Albright</v>
      </c>
      <c r="R98">
        <v>344</v>
      </c>
    </row>
    <row r="99" spans="5:18" x14ac:dyDescent="0.25">
      <c r="E99" t="str">
        <f>'OC-SNF PMix Anc Days'!$C$40</f>
        <v>Private Pay</v>
      </c>
      <c r="F99">
        <v>577</v>
      </c>
      <c r="Q99" t="str">
        <f>'OC-Res Days'!$A$64</f>
        <v>Albright (Consolidated)</v>
      </c>
      <c r="R99">
        <v>345</v>
      </c>
    </row>
    <row r="100" spans="5:18" x14ac:dyDescent="0.25">
      <c r="E100" t="str">
        <f>'OC-SNF PMix Anc Days'!$C$41</f>
        <v>Hospice</v>
      </c>
      <c r="F100">
        <v>578</v>
      </c>
      <c r="Q100" t="str">
        <f>'OC-Res Days'!$A$65</f>
        <v>620-21 Villas/Cottages</v>
      </c>
      <c r="R100">
        <v>346</v>
      </c>
    </row>
    <row r="101" spans="5:18" x14ac:dyDescent="0.25">
      <c r="E101" t="str">
        <f>'OC-SNF PMix Anc Days'!$A$6</f>
        <v>100-61 Skilled Nursing Facility</v>
      </c>
      <c r="F101">
        <v>579</v>
      </c>
      <c r="Q101" t="str">
        <f>'OC-Res Days'!$A$66</f>
        <v>620-31 Apartment A (AMV=Trott, BV=Center, All others)</v>
      </c>
      <c r="R101">
        <v>347</v>
      </c>
    </row>
    <row r="102" spans="5:18" x14ac:dyDescent="0.25">
      <c r="E102" t="str">
        <f>'OC-SNF PMix Anc Days'!$A$7</f>
        <v>100-61 Skilled Nursing Facility</v>
      </c>
      <c r="F102">
        <v>580</v>
      </c>
      <c r="Q102" t="str">
        <f>'OC-Res Days'!$A$67</f>
        <v>620-52 AL B/APM Memory Support</v>
      </c>
      <c r="R102">
        <v>349</v>
      </c>
    </row>
    <row r="103" spans="5:18" x14ac:dyDescent="0.25">
      <c r="E103" t="str">
        <f>'OC-SNF PMix Anc Days'!$A$8</f>
        <v>100-61 Skilled Nursing Facility</v>
      </c>
      <c r="F103">
        <v>581</v>
      </c>
      <c r="Q103" t="str">
        <f>'OC-Res Days'!$A$68</f>
        <v>620 MFA Maryville Opco, LLC</v>
      </c>
      <c r="R103">
        <v>350</v>
      </c>
    </row>
    <row r="104" spans="5:18" x14ac:dyDescent="0.25">
      <c r="E104" t="str">
        <f>'OC-SNF PMix Anc Days'!$A$9</f>
        <v>100-61 Skilled Nursing Facility</v>
      </c>
      <c r="F104">
        <v>582</v>
      </c>
      <c r="Q104" t="str">
        <f>'OC-Res Days'!$A$69</f>
        <v>630-21 Villas/Cottages</v>
      </c>
      <c r="R104">
        <v>351</v>
      </c>
    </row>
    <row r="105" spans="5:18" x14ac:dyDescent="0.25">
      <c r="E105" t="str">
        <f>'OC-SNF PMix Anc Days'!$A$10</f>
        <v>100-61 Skilled Nursing Facility</v>
      </c>
      <c r="F105">
        <v>583</v>
      </c>
      <c r="Q105" t="str">
        <f>'OC-Res Days'!$A$70</f>
        <v>630-31 Apartment A (AMV=Trott, BV=Center, All others)</v>
      </c>
      <c r="R105">
        <v>353</v>
      </c>
    </row>
    <row r="106" spans="5:18" x14ac:dyDescent="0.25">
      <c r="E106" t="str">
        <f>'OC-SNF PMix Anc Days'!$A$11</f>
        <v>100-61 Skilled Nursing Facility</v>
      </c>
      <c r="F106">
        <v>584</v>
      </c>
      <c r="Q106" t="str">
        <f>'OC-Res Days'!$A$71</f>
        <v>630 MFA Baysmont Opco, LLC</v>
      </c>
      <c r="R106">
        <v>354</v>
      </c>
    </row>
    <row r="107" spans="5:18" x14ac:dyDescent="0.25">
      <c r="E107" t="str">
        <f>'OC-SNF PMix Anc Days'!$A$12</f>
        <v>100-62 Skilled Nursing - TCU</v>
      </c>
      <c r="F107">
        <v>586</v>
      </c>
      <c r="Q107" t="str">
        <f>'OC-Res Days'!$A$72</f>
        <v>635-52 AL B/APM Memory Support</v>
      </c>
      <c r="R107">
        <v>355</v>
      </c>
    </row>
    <row r="108" spans="5:18" x14ac:dyDescent="0.25">
      <c r="E108" t="str">
        <f>'OC-SNF PMix Anc Days'!$A$13</f>
        <v>100-62 Skilled Nursing - TCU</v>
      </c>
      <c r="F108">
        <v>587</v>
      </c>
      <c r="Q108" t="str">
        <f>'OC-Res Days'!$A$73</f>
        <v>635 MFA Steadman Opco, LLC</v>
      </c>
      <c r="R108">
        <v>356</v>
      </c>
    </row>
    <row r="109" spans="5:18" x14ac:dyDescent="0.25">
      <c r="E109" t="str">
        <f>'OC-SNF PMix Anc Days'!$A$14</f>
        <v>100-62 Skilled Nursing - TCU</v>
      </c>
      <c r="F109">
        <v>588</v>
      </c>
      <c r="Q109" t="str">
        <f>'OC-Res Days'!$A$74</f>
        <v>MFA McFarlin (Consolidated)</v>
      </c>
      <c r="R109">
        <v>357</v>
      </c>
    </row>
    <row r="110" spans="5:18" x14ac:dyDescent="0.25">
      <c r="E110" t="str">
        <f>'OC-SNF PMix Anc Days'!$A$15</f>
        <v>100-62 Skilled Nursing - TCU</v>
      </c>
      <c r="F110">
        <v>589</v>
      </c>
      <c r="Q110" t="str">
        <f>'OC-Res Days'!$A$75</f>
        <v>Top Level (Consolidated)</v>
      </c>
      <c r="R110">
        <v>358</v>
      </c>
    </row>
    <row r="111" spans="5:18" x14ac:dyDescent="0.25">
      <c r="E111" t="str">
        <f>'OC-SNF PMix Anc Days'!$A$16</f>
        <v>100-62 Skilled Nursing - TCU</v>
      </c>
      <c r="F111">
        <v>590</v>
      </c>
      <c r="Q111" t="str">
        <f>'OC-Res Days'!$O$3</f>
        <v>Forecasted Census (Entry)</v>
      </c>
      <c r="R111">
        <v>371</v>
      </c>
    </row>
    <row r="112" spans="5:18" x14ac:dyDescent="0.25">
      <c r="E112" t="str">
        <f>'OC-SNF PMix Anc Days'!$A$17</f>
        <v>100-62 Skilled Nursing - TCU</v>
      </c>
      <c r="F112">
        <v>591</v>
      </c>
      <c r="Q112" t="str">
        <f>'OC-Res Days'!$P$3</f>
        <v>Forecasted Census (Entry)</v>
      </c>
      <c r="R112">
        <v>372</v>
      </c>
    </row>
    <row r="113" spans="5:18" x14ac:dyDescent="0.25">
      <c r="E113" t="str">
        <f>'OC-SNF PMix Anc Days'!$A$18</f>
        <v>200-61 Skilled Nursing Facility</v>
      </c>
      <c r="F113">
        <v>593</v>
      </c>
      <c r="Q113" t="str">
        <f>'OC-Res Days'!$Q$3</f>
        <v>Forecasted Census (Entry)</v>
      </c>
      <c r="R113">
        <v>373</v>
      </c>
    </row>
    <row r="114" spans="5:18" x14ac:dyDescent="0.25">
      <c r="E114" t="str">
        <f>'OC-SNF PMix Anc Days'!$A$19</f>
        <v>200-61 Skilled Nursing Facility</v>
      </c>
      <c r="F114">
        <v>594</v>
      </c>
      <c r="Q114" t="str">
        <f>'OC-Res Days'!$R$3</f>
        <v>Forecasted Census (Entry)</v>
      </c>
      <c r="R114">
        <v>374</v>
      </c>
    </row>
    <row r="115" spans="5:18" x14ac:dyDescent="0.25">
      <c r="E115" t="str">
        <f>'OC-SNF PMix Anc Days'!$A$20</f>
        <v>200-61 Skilled Nursing Facility</v>
      </c>
      <c r="F115">
        <v>595</v>
      </c>
      <c r="Q115" t="str">
        <f>'OC-Res Days'!$S$3</f>
        <v>Forecasted Census (Entry)</v>
      </c>
      <c r="R115">
        <v>375</v>
      </c>
    </row>
    <row r="116" spans="5:18" x14ac:dyDescent="0.25">
      <c r="E116" t="str">
        <f>'OC-SNF PMix Anc Days'!$A$21</f>
        <v>200-61 Skilled Nursing Facility</v>
      </c>
      <c r="F116">
        <v>596</v>
      </c>
      <c r="Q116" t="str">
        <f>'OC-Res Days'!$T$3</f>
        <v>Forecasted Census (Entry)</v>
      </c>
      <c r="R116">
        <v>376</v>
      </c>
    </row>
    <row r="117" spans="5:18" x14ac:dyDescent="0.25">
      <c r="E117" t="str">
        <f>'OC-SNF PMix Anc Days'!$A$22</f>
        <v>200-61 Skilled Nursing Facility</v>
      </c>
      <c r="F117">
        <v>597</v>
      </c>
      <c r="Q117" t="str">
        <f>'OC-Res Days'!$U$3</f>
        <v>Forecasted Census (Entry)</v>
      </c>
      <c r="R117">
        <v>377</v>
      </c>
    </row>
    <row r="118" spans="5:18" x14ac:dyDescent="0.25">
      <c r="E118" t="str">
        <f>'OC-SNF PMix Anc Days'!$A$23</f>
        <v>200-61 Skilled Nursing Facility</v>
      </c>
      <c r="F118">
        <v>598</v>
      </c>
      <c r="Q118" t="str">
        <f>'OC-Res Days'!$V$3</f>
        <v>Forecasted Census (Entry)</v>
      </c>
      <c r="R118">
        <v>378</v>
      </c>
    </row>
    <row r="119" spans="5:18" x14ac:dyDescent="0.25">
      <c r="E119" t="str">
        <f>'OC-SNF PMix Anc Days'!$A$24</f>
        <v>324-61 Skilled Nursing Facility</v>
      </c>
      <c r="F119">
        <v>600</v>
      </c>
      <c r="Q119" t="str">
        <f>'OC-Res Days'!$W$3</f>
        <v>Forecasted Census (Entry)</v>
      </c>
      <c r="R119">
        <v>379</v>
      </c>
    </row>
    <row r="120" spans="5:18" x14ac:dyDescent="0.25">
      <c r="E120" t="str">
        <f>'OC-SNF PMix Anc Days'!$A$25</f>
        <v>324-61 Skilled Nursing Facility</v>
      </c>
      <c r="F120">
        <v>601</v>
      </c>
      <c r="Q120" t="str">
        <f>'OC-Res Days'!$X$3</f>
        <v>Forecasted Census (Entry)</v>
      </c>
      <c r="R120">
        <v>380</v>
      </c>
    </row>
    <row r="121" spans="5:18" x14ac:dyDescent="0.25">
      <c r="E121" t="str">
        <f>'OC-SNF PMix Anc Days'!$A$26</f>
        <v>324-61 Skilled Nursing Facility</v>
      </c>
      <c r="F121">
        <v>602</v>
      </c>
      <c r="Q121" t="str">
        <f>'OC-Res Days'!$Y$3</f>
        <v>Forecasted Census (Entry)</v>
      </c>
      <c r="R121">
        <v>381</v>
      </c>
    </row>
    <row r="122" spans="5:18" x14ac:dyDescent="0.25">
      <c r="E122" t="str">
        <f>'OC-SNF PMix Anc Days'!$A$27</f>
        <v>324-61 Skilled Nursing Facility</v>
      </c>
      <c r="F122">
        <v>603</v>
      </c>
      <c r="Q122" t="str">
        <f>'OC-Res Days'!$Z$3</f>
        <v>Forecasted Census (Entry)</v>
      </c>
      <c r="R122">
        <v>382</v>
      </c>
    </row>
    <row r="123" spans="5:18" x14ac:dyDescent="0.25">
      <c r="E123" t="str">
        <f>'OC-SNF PMix Anc Days'!$A$28</f>
        <v>324-61 Skilled Nursing Facility</v>
      </c>
      <c r="F123">
        <v>604</v>
      </c>
      <c r="Q123" t="str">
        <f>'OC-Res Days'!$O$4</f>
        <v>Budget 2025</v>
      </c>
      <c r="R123">
        <v>383</v>
      </c>
    </row>
    <row r="124" spans="5:18" x14ac:dyDescent="0.25">
      <c r="E124" t="str">
        <f>'OC-SNF PMix Anc Days'!$A$29</f>
        <v>324-61 Skilled Nursing Facility</v>
      </c>
      <c r="F124">
        <v>605</v>
      </c>
      <c r="Q124" t="str">
        <f>'OC-Res Days'!$P$4</f>
        <v>Budget 2025</v>
      </c>
      <c r="R124">
        <v>384</v>
      </c>
    </row>
    <row r="125" spans="5:18" x14ac:dyDescent="0.25">
      <c r="E125" t="str">
        <f>'OC-SNF PMix Anc Days'!$A$30</f>
        <v>810-61 Skilled Nursing Facility</v>
      </c>
      <c r="F125">
        <v>607</v>
      </c>
      <c r="Q125" t="str">
        <f>'OC-Res Days'!$Q$4</f>
        <v>Budget 2025</v>
      </c>
      <c r="R125">
        <v>385</v>
      </c>
    </row>
    <row r="126" spans="5:18" x14ac:dyDescent="0.25">
      <c r="E126" t="str">
        <f>'OC-SNF PMix Anc Days'!$A$31</f>
        <v>810-61 Skilled Nursing Facility</v>
      </c>
      <c r="F126">
        <v>608</v>
      </c>
      <c r="Q126" t="str">
        <f>'OC-Res Days'!$R$4</f>
        <v>Budget 2025</v>
      </c>
      <c r="R126">
        <v>386</v>
      </c>
    </row>
    <row r="127" spans="5:18" x14ac:dyDescent="0.25">
      <c r="E127" t="str">
        <f>'OC-SNF PMix Anc Days'!$A$32</f>
        <v>810-61 Skilled Nursing Facility</v>
      </c>
      <c r="F127">
        <v>609</v>
      </c>
      <c r="Q127" t="str">
        <f>'OC-Res Days'!$S$4</f>
        <v>Budget 2025</v>
      </c>
      <c r="R127">
        <v>387</v>
      </c>
    </row>
    <row r="128" spans="5:18" x14ac:dyDescent="0.25">
      <c r="E128" t="str">
        <f>'OC-SNF PMix Anc Days'!$A$33</f>
        <v>810-61 Skilled Nursing Facility</v>
      </c>
      <c r="F128">
        <v>610</v>
      </c>
      <c r="Q128" t="str">
        <f>'OC-Res Days'!$T$4</f>
        <v>Budget 2025</v>
      </c>
      <c r="R128">
        <v>388</v>
      </c>
    </row>
    <row r="129" spans="5:18" x14ac:dyDescent="0.25">
      <c r="E129" t="str">
        <f>'OC-SNF PMix Anc Days'!$A$34</f>
        <v>810-61 Skilled Nursing Facility</v>
      </c>
      <c r="F129">
        <v>611</v>
      </c>
      <c r="Q129" t="str">
        <f>'OC-Res Days'!$U$4</f>
        <v>Budget 2025</v>
      </c>
      <c r="R129">
        <v>389</v>
      </c>
    </row>
    <row r="130" spans="5:18" x14ac:dyDescent="0.25">
      <c r="E130" t="str">
        <f>'OC-SNF PMix Anc Days'!$A$35</f>
        <v>810-61 Skilled Nursing Facility</v>
      </c>
      <c r="F130">
        <v>612</v>
      </c>
      <c r="Q130" t="str">
        <f>'OC-Res Days'!$V$4</f>
        <v>Budget 2025</v>
      </c>
      <c r="R130">
        <v>390</v>
      </c>
    </row>
    <row r="131" spans="5:18" x14ac:dyDescent="0.25">
      <c r="E131" t="str">
        <f>'OC-SNF PMix Anc Days'!$A$36</f>
        <v>840-61 Skilled Nursing Facility</v>
      </c>
      <c r="F131">
        <v>621</v>
      </c>
      <c r="Q131" t="str">
        <f>'OC-Res Days'!$W$4</f>
        <v>Budget 2025</v>
      </c>
      <c r="R131">
        <v>391</v>
      </c>
    </row>
    <row r="132" spans="5:18" x14ac:dyDescent="0.25">
      <c r="E132" t="str">
        <f>'OC-SNF PMix Anc Days'!$A$37</f>
        <v>840-61 Skilled Nursing Facility</v>
      </c>
      <c r="F132">
        <v>622</v>
      </c>
      <c r="Q132" t="str">
        <f>'OC-Res Days'!$X$4</f>
        <v>Budget 2025</v>
      </c>
      <c r="R132">
        <v>392</v>
      </c>
    </row>
    <row r="133" spans="5:18" x14ac:dyDescent="0.25">
      <c r="E133" t="str">
        <f>'OC-SNF PMix Anc Days'!$A$38</f>
        <v>840-61 Skilled Nursing Facility</v>
      </c>
      <c r="F133">
        <v>623</v>
      </c>
      <c r="Q133" t="str">
        <f>'OC-Res Days'!$Y$4</f>
        <v>Budget 2025</v>
      </c>
      <c r="R133">
        <v>393</v>
      </c>
    </row>
    <row r="134" spans="5:18" x14ac:dyDescent="0.25">
      <c r="E134" t="str">
        <f>'OC-SNF PMix Anc Days'!$A$39</f>
        <v>840-61 Skilled Nursing Facility</v>
      </c>
      <c r="F134">
        <v>624</v>
      </c>
      <c r="Q134" t="str">
        <f>'OC-Res Days'!$Z$4</f>
        <v>Budget 2025</v>
      </c>
      <c r="R134">
        <v>394</v>
      </c>
    </row>
    <row r="135" spans="5:18" x14ac:dyDescent="0.25">
      <c r="E135" t="str">
        <f>'OC-SNF PMix Anc Days'!$A$40</f>
        <v>840-61 Skilled Nursing Facility</v>
      </c>
      <c r="F135">
        <v>625</v>
      </c>
      <c r="Q135" t="str">
        <f>'OC-Res Days'!$O$5</f>
        <v>Jan-2025</v>
      </c>
      <c r="R135">
        <v>395</v>
      </c>
    </row>
    <row r="136" spans="5:18" x14ac:dyDescent="0.25">
      <c r="E136" t="str">
        <f>'OC-SNF PMix Anc Days'!$A$41</f>
        <v>840-61 Skilled Nursing Facility</v>
      </c>
      <c r="F136">
        <v>626</v>
      </c>
      <c r="Q136" t="str">
        <f>'OC-Res Days'!$P$5</f>
        <v>Feb-2025</v>
      </c>
      <c r="R136">
        <v>396</v>
      </c>
    </row>
    <row r="137" spans="5:18" x14ac:dyDescent="0.25">
      <c r="Q137" t="str">
        <f>'OC-Res Days'!$Q$5</f>
        <v>Mar-2025</v>
      </c>
      <c r="R137">
        <v>397</v>
      </c>
    </row>
    <row r="138" spans="5:18" x14ac:dyDescent="0.25">
      <c r="Q138" t="str">
        <f>'OC-Res Days'!$R$5</f>
        <v>Apr-2025</v>
      </c>
      <c r="R138">
        <v>398</v>
      </c>
    </row>
    <row r="139" spans="5:18" x14ac:dyDescent="0.25">
      <c r="Q139" t="str">
        <f>'OC-Res Days'!$S$5</f>
        <v>May-2025</v>
      </c>
      <c r="R139">
        <v>399</v>
      </c>
    </row>
    <row r="140" spans="5:18" x14ac:dyDescent="0.25">
      <c r="Q140" t="str">
        <f>'OC-Res Days'!$T$5</f>
        <v>Jun-2025</v>
      </c>
      <c r="R140">
        <v>400</v>
      </c>
    </row>
    <row r="141" spans="5:18" x14ac:dyDescent="0.25">
      <c r="Q141" t="str">
        <f>'OC-Res Days'!$U$5</f>
        <v>Jul-2025</v>
      </c>
      <c r="R141">
        <v>401</v>
      </c>
    </row>
    <row r="142" spans="5:18" x14ac:dyDescent="0.25">
      <c r="Q142" t="str">
        <f>'OC-Res Days'!$V$5</f>
        <v>Aug-2025</v>
      </c>
      <c r="R142">
        <v>402</v>
      </c>
    </row>
    <row r="143" spans="5:18" x14ac:dyDescent="0.25">
      <c r="Q143" t="str">
        <f>'OC-Res Days'!$W$5</f>
        <v>Sep-2025</v>
      </c>
      <c r="R143">
        <v>403</v>
      </c>
    </row>
    <row r="144" spans="5:18" x14ac:dyDescent="0.25">
      <c r="Q144" t="str">
        <f>'OC-Res Days'!$X$5</f>
        <v>Oct-2025</v>
      </c>
      <c r="R144">
        <v>404</v>
      </c>
    </row>
    <row r="145" spans="17:18" x14ac:dyDescent="0.25">
      <c r="Q145" t="str">
        <f>'OC-Res Days'!$Y$5</f>
        <v>Nov-2025</v>
      </c>
      <c r="R145">
        <v>405</v>
      </c>
    </row>
    <row r="146" spans="17:18" x14ac:dyDescent="0.25">
      <c r="Q146" t="str">
        <f>'OC-Res Days'!$Z$5</f>
        <v>Dec-2025</v>
      </c>
      <c r="R146">
        <v>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85CEF-4053-48AA-B29E-B6874E4E945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B1819-12BC-4D6D-BDF8-A14C5EA54635}">
  <sheetPr>
    <tabColor theme="1"/>
  </sheetPr>
  <dimension ref="A1:AB136"/>
  <sheetViews>
    <sheetView tabSelected="1" topLeftCell="E1" zoomScale="90" zoomScaleNormal="90" workbookViewId="0">
      <pane ySplit="3" topLeftCell="A43" activePane="bottomLeft" state="frozen"/>
      <selection pane="bottomLeft" activeCell="N68" sqref="N68"/>
    </sheetView>
  </sheetViews>
  <sheetFormatPr defaultRowHeight="15" outlineLevelCol="1" x14ac:dyDescent="0.25"/>
  <cols>
    <col min="1" max="2" width="12" customWidth="1"/>
    <col min="3" max="3" width="19.5703125" bestFit="1" customWidth="1"/>
    <col min="4" max="4" width="26.42578125" bestFit="1" customWidth="1"/>
    <col min="5" max="5" width="25.42578125" bestFit="1" customWidth="1"/>
    <col min="6" max="6" width="38.5703125" bestFit="1" customWidth="1"/>
    <col min="7" max="7" width="46.85546875" bestFit="1" customWidth="1"/>
    <col min="8" max="8" width="15.42578125" bestFit="1" customWidth="1"/>
    <col min="9" max="9" width="1.7109375" style="97" customWidth="1"/>
    <col min="10" max="10" width="13.140625" customWidth="1" outlineLevel="1"/>
    <col min="11" max="11" width="12.5703125" customWidth="1" outlineLevel="1"/>
    <col min="12" max="13" width="9.140625" customWidth="1" outlineLevel="1"/>
    <col min="14" max="14" width="49.85546875" customWidth="1" outlineLevel="1"/>
    <col min="15" max="15" width="22.42578125" customWidth="1" outlineLevel="1"/>
    <col min="16" max="16" width="26.42578125" customWidth="1" outlineLevel="1"/>
    <col min="17" max="17" width="17.85546875" customWidth="1" outlineLevel="1"/>
    <col min="18" max="18" width="1.7109375" style="97" customWidth="1" outlineLevel="1"/>
    <col min="19" max="19" width="14.140625" bestFit="1" customWidth="1"/>
    <col min="20" max="20" width="1.7109375" customWidth="1"/>
    <col min="21" max="21" width="14" customWidth="1"/>
  </cols>
  <sheetData>
    <row r="1" spans="1:28" x14ac:dyDescent="0.25">
      <c r="A1" s="80" t="s">
        <v>337</v>
      </c>
      <c r="B1" s="81"/>
      <c r="C1" s="81"/>
      <c r="D1" s="80"/>
      <c r="E1" s="80" t="s">
        <v>337</v>
      </c>
      <c r="F1" s="80"/>
      <c r="G1" s="80" t="s">
        <v>337</v>
      </c>
      <c r="H1" s="80"/>
      <c r="J1" s="98" t="s">
        <v>350</v>
      </c>
      <c r="K1" s="98"/>
      <c r="L1" s="98"/>
      <c r="M1" s="98"/>
      <c r="N1" s="98" t="s">
        <v>350</v>
      </c>
      <c r="O1" s="98"/>
      <c r="P1" s="98" t="s">
        <v>350</v>
      </c>
      <c r="Q1" s="98"/>
      <c r="S1" s="98" t="s">
        <v>350</v>
      </c>
      <c r="T1" s="98"/>
      <c r="U1" s="98" t="s">
        <v>350</v>
      </c>
      <c r="V1" s="98"/>
      <c r="W1" s="98"/>
      <c r="X1" s="98" t="s">
        <v>350</v>
      </c>
      <c r="Y1" s="98"/>
      <c r="Z1" s="98"/>
      <c r="AA1" s="99" t="s">
        <v>295</v>
      </c>
      <c r="AB1" s="99"/>
    </row>
    <row r="2" spans="1:28" x14ac:dyDescent="0.25">
      <c r="A2" s="79" t="s">
        <v>338</v>
      </c>
      <c r="B2" s="79" t="s">
        <v>338</v>
      </c>
      <c r="C2" s="79" t="s">
        <v>338</v>
      </c>
      <c r="D2" s="79" t="s">
        <v>338</v>
      </c>
      <c r="E2" s="79" t="s">
        <v>338</v>
      </c>
      <c r="F2" s="79" t="s">
        <v>338</v>
      </c>
      <c r="G2" s="79" t="s">
        <v>338</v>
      </c>
      <c r="H2" s="79" t="s">
        <v>338</v>
      </c>
      <c r="J2" s="14" t="s">
        <v>334</v>
      </c>
      <c r="S2" s="79" t="s">
        <v>338</v>
      </c>
      <c r="V2" t="s">
        <v>167</v>
      </c>
      <c r="Z2" s="34" t="s">
        <v>360</v>
      </c>
      <c r="AA2" s="34"/>
      <c r="AB2" s="34"/>
    </row>
    <row r="3" spans="1:28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J3" s="77" t="s">
        <v>0</v>
      </c>
      <c r="K3" s="77" t="s">
        <v>1</v>
      </c>
      <c r="L3" s="69" t="s">
        <v>298</v>
      </c>
      <c r="M3" s="69" t="s">
        <v>299</v>
      </c>
      <c r="N3" s="69" t="s">
        <v>300</v>
      </c>
      <c r="O3" s="69" t="s">
        <v>301</v>
      </c>
      <c r="P3" s="69" t="s">
        <v>302</v>
      </c>
      <c r="Q3" s="69" t="s">
        <v>339</v>
      </c>
      <c r="S3" s="69" t="s">
        <v>363</v>
      </c>
      <c r="U3" t="s">
        <v>365</v>
      </c>
      <c r="V3" t="s">
        <v>366</v>
      </c>
      <c r="W3" t="s">
        <v>296</v>
      </c>
      <c r="X3" t="s">
        <v>297</v>
      </c>
      <c r="Y3" t="s">
        <v>364</v>
      </c>
      <c r="Z3" t="s">
        <v>361</v>
      </c>
      <c r="AA3" t="s">
        <v>362</v>
      </c>
      <c r="AB3" t="s">
        <v>291</v>
      </c>
    </row>
    <row r="4" spans="1:28" x14ac:dyDescent="0.25">
      <c r="A4" s="103">
        <f>J4</f>
        <v>45658</v>
      </c>
      <c r="B4" s="103">
        <f>K4</f>
        <v>46022</v>
      </c>
      <c r="C4" s="27" t="str">
        <f>_xlfn.XLOOKUP($L4&amp;"-"&amp;$M4,REF!$J$2:$J$61,REF!B$2:B$61)</f>
        <v>PRIVATE PAY</v>
      </c>
      <c r="D4" s="27" t="str">
        <f>_xlfn.XLOOKUP($L4&amp;"-"&amp;$M4,REF!$J$2:$J$61,REF!C$2:C$61)</f>
        <v>PPM IL</v>
      </c>
      <c r="E4" s="27" t="str">
        <f>_xlfn.XLOOKUP($L4&amp;"-"&amp;$M4,REF!$J$2:$J$61,REF!D$2:D$61)</f>
        <v>ASBURY METHODIST VILLAGE</v>
      </c>
      <c r="F4" s="27" t="str">
        <f>_xlfn.XLOOKUP($L4&amp;"-"&amp;$M4,REF!$J$2:$J$61,REF!E$2:E$61)</f>
        <v>AMV INDEPENDENT LIVING</v>
      </c>
      <c r="G4" s="27" t="str">
        <f>_xlfn.XLOOKUP($L4&amp;"-"&amp;$M4,REF!$J$2:$J$61,REF!F$2:F$61)</f>
        <v>VILLAS</v>
      </c>
      <c r="H4" s="94">
        <f>P4</f>
        <v>70.5</v>
      </c>
      <c r="J4" s="1">
        <v>45658</v>
      </c>
      <c r="K4" s="1">
        <v>46022</v>
      </c>
      <c r="L4">
        <v>100</v>
      </c>
      <c r="M4">
        <v>21</v>
      </c>
      <c r="N4" t="s">
        <v>303</v>
      </c>
      <c r="O4">
        <v>73</v>
      </c>
      <c r="P4">
        <v>70.5</v>
      </c>
      <c r="U4" s="92" t="str">
        <f>W4&amp;X4&amp;Y4</f>
        <v>10061Medicare A</v>
      </c>
      <c r="V4" s="59" t="s">
        <v>199</v>
      </c>
      <c r="W4">
        <f>VALUE(LEFT(V4,3))</f>
        <v>100</v>
      </c>
      <c r="X4">
        <f>VALUE(MID(V4,5,2))</f>
        <v>61</v>
      </c>
      <c r="Y4" s="43" t="s">
        <v>133</v>
      </c>
      <c r="Z4" s="5">
        <v>5</v>
      </c>
      <c r="AA4" s="5">
        <f t="shared" ref="AA4:AA31" si="0">COUNTIFS($W$73:$W$136,W4,$X$73:$X$136,X4,$Y$73:$Y$136,Y4)</f>
        <v>1</v>
      </c>
      <c r="AB4" s="5">
        <f>AA4-Z4</f>
        <v>-4</v>
      </c>
    </row>
    <row r="5" spans="1:28" x14ac:dyDescent="0.25">
      <c r="A5" s="103">
        <f t="shared" ref="A5:A48" si="1">J5</f>
        <v>45658</v>
      </c>
      <c r="B5" s="103">
        <f t="shared" ref="B5:B48" si="2">K5</f>
        <v>46022</v>
      </c>
      <c r="C5" s="27" t="str">
        <f>_xlfn.XLOOKUP($L5&amp;"-"&amp;$M5,REF!$J$2:$J$61,REF!B$2:B$61)</f>
        <v>PRIVATE PAY</v>
      </c>
      <c r="D5" s="27" t="str">
        <f>_xlfn.XLOOKUP($L5&amp;"-"&amp;$M5,REF!$J$2:$J$61,REF!C$2:C$61)</f>
        <v>PPM IL</v>
      </c>
      <c r="E5" s="27" t="str">
        <f>_xlfn.XLOOKUP($L5&amp;"-"&amp;$M5,REF!$J$2:$J$61,REF!D$2:D$61)</f>
        <v>ASBURY METHODIST VILLAGE</v>
      </c>
      <c r="F5" s="27" t="str">
        <f>_xlfn.XLOOKUP($L5&amp;"-"&amp;$M5,REF!$J$2:$J$61,REF!E$2:E$61)</f>
        <v>AMV INDEPENDENT LIVING</v>
      </c>
      <c r="G5" s="27" t="str">
        <f>_xlfn.XLOOKUP($L5&amp;"-"&amp;$M5,REF!$J$2:$J$61,REF!F$2:F$61)</f>
        <v>COURTYARD HOMES</v>
      </c>
      <c r="H5" s="94">
        <f t="shared" ref="H5:H48" si="3">P5</f>
        <v>42</v>
      </c>
      <c r="J5" s="1">
        <v>45658</v>
      </c>
      <c r="K5" s="1">
        <v>46022</v>
      </c>
      <c r="L5">
        <v>100</v>
      </c>
      <c r="M5">
        <v>22</v>
      </c>
      <c r="N5" t="s">
        <v>304</v>
      </c>
      <c r="O5">
        <v>43</v>
      </c>
      <c r="P5">
        <v>42</v>
      </c>
      <c r="U5" s="92" t="str">
        <f t="shared" ref="U5:U31" si="4">W5&amp;X5&amp;Y5</f>
        <v>10061Medicare Advantage</v>
      </c>
      <c r="V5" s="59" t="s">
        <v>199</v>
      </c>
      <c r="W5">
        <f t="shared" ref="W5:W31" si="5">VALUE(LEFT(V5,3))</f>
        <v>100</v>
      </c>
      <c r="X5">
        <f t="shared" ref="X5:X31" si="6">VALUE(MID(V5,5,2))</f>
        <v>61</v>
      </c>
      <c r="Y5" s="43" t="s">
        <v>45</v>
      </c>
      <c r="Z5" s="5">
        <v>5</v>
      </c>
      <c r="AA5" s="5">
        <f t="shared" si="0"/>
        <v>0</v>
      </c>
      <c r="AB5" s="5">
        <f t="shared" ref="AB5:AB31" si="7">AA5-Z5</f>
        <v>-5</v>
      </c>
    </row>
    <row r="6" spans="1:28" x14ac:dyDescent="0.25">
      <c r="A6" s="103">
        <f t="shared" si="1"/>
        <v>45658</v>
      </c>
      <c r="B6" s="103">
        <f t="shared" si="2"/>
        <v>45716</v>
      </c>
      <c r="C6" s="27" t="str">
        <f>_xlfn.XLOOKUP($L6&amp;"-"&amp;$M6,REF!$J$2:$J$61,REF!B$2:B$61)</f>
        <v>PRIVATE PAY</v>
      </c>
      <c r="D6" s="27" t="str">
        <f>_xlfn.XLOOKUP($L6&amp;"-"&amp;$M6,REF!$J$2:$J$61,REF!C$2:C$61)</f>
        <v>PPM IL</v>
      </c>
      <c r="E6" s="27" t="str">
        <f>_xlfn.XLOOKUP($L6&amp;"-"&amp;$M6,REF!$J$2:$J$61,REF!D$2:D$61)</f>
        <v>ASBURY METHODIST VILLAGE</v>
      </c>
      <c r="F6" s="27" t="str">
        <f>_xlfn.XLOOKUP($L6&amp;"-"&amp;$M6,REF!$J$2:$J$61,REF!E$2:E$61)</f>
        <v>AMV INDEPENDENT LIVING</v>
      </c>
      <c r="G6" s="27" t="str">
        <f>_xlfn.XLOOKUP($L6&amp;"-"&amp;$M6,REF!$J$2:$J$61,REF!F$2:F$61)</f>
        <v>TROTT APARTMENTS</v>
      </c>
      <c r="H6" s="94">
        <f t="shared" si="3"/>
        <v>61</v>
      </c>
      <c r="J6" s="1">
        <v>45658</v>
      </c>
      <c r="K6" s="1">
        <v>45716</v>
      </c>
      <c r="L6">
        <v>100</v>
      </c>
      <c r="M6">
        <v>31</v>
      </c>
      <c r="N6" t="s">
        <v>305</v>
      </c>
      <c r="O6">
        <v>109</v>
      </c>
      <c r="P6">
        <v>61</v>
      </c>
      <c r="U6" s="92" t="str">
        <f t="shared" si="4"/>
        <v>10061Medicaid</v>
      </c>
      <c r="V6" s="59" t="s">
        <v>199</v>
      </c>
      <c r="W6">
        <f t="shared" si="5"/>
        <v>100</v>
      </c>
      <c r="X6">
        <f t="shared" si="6"/>
        <v>61</v>
      </c>
      <c r="Y6" s="43" t="s">
        <v>89</v>
      </c>
      <c r="Z6" s="5">
        <v>5</v>
      </c>
      <c r="AA6" s="5">
        <f t="shared" si="0"/>
        <v>1</v>
      </c>
      <c r="AB6" s="5">
        <f t="shared" si="7"/>
        <v>-4</v>
      </c>
    </row>
    <row r="7" spans="1:28" x14ac:dyDescent="0.25">
      <c r="A7" s="103">
        <f t="shared" si="1"/>
        <v>45717</v>
      </c>
      <c r="B7" s="103">
        <f t="shared" si="2"/>
        <v>45777</v>
      </c>
      <c r="C7" s="27" t="str">
        <f>_xlfn.XLOOKUP($L7&amp;"-"&amp;$M7,REF!$J$2:$J$61,REF!B$2:B$61)</f>
        <v>PRIVATE PAY</v>
      </c>
      <c r="D7" s="27" t="str">
        <f>_xlfn.XLOOKUP($L7&amp;"-"&amp;$M7,REF!$J$2:$J$61,REF!C$2:C$61)</f>
        <v>PPM IL</v>
      </c>
      <c r="E7" s="27" t="str">
        <f>_xlfn.XLOOKUP($L7&amp;"-"&amp;$M7,REF!$J$2:$J$61,REF!D$2:D$61)</f>
        <v>ASBURY METHODIST VILLAGE</v>
      </c>
      <c r="F7" s="27" t="str">
        <f>_xlfn.XLOOKUP($L7&amp;"-"&amp;$M7,REF!$J$2:$J$61,REF!E$2:E$61)</f>
        <v>AMV INDEPENDENT LIVING</v>
      </c>
      <c r="G7" s="27" t="str">
        <f>_xlfn.XLOOKUP($L7&amp;"-"&amp;$M7,REF!$J$2:$J$61,REF!F$2:F$61)</f>
        <v>TROTT APARTMENTS</v>
      </c>
      <c r="H7" s="94">
        <f t="shared" si="3"/>
        <v>62</v>
      </c>
      <c r="J7" s="1">
        <v>45717</v>
      </c>
      <c r="K7" s="1">
        <v>45777</v>
      </c>
      <c r="L7">
        <v>100</v>
      </c>
      <c r="M7">
        <v>31</v>
      </c>
      <c r="N7" t="s">
        <v>305</v>
      </c>
      <c r="O7">
        <v>109</v>
      </c>
      <c r="P7">
        <v>62</v>
      </c>
      <c r="U7" s="92" t="str">
        <f t="shared" si="4"/>
        <v>10061Insurance</v>
      </c>
      <c r="V7" s="59" t="s">
        <v>199</v>
      </c>
      <c r="W7">
        <f t="shared" si="5"/>
        <v>100</v>
      </c>
      <c r="X7">
        <f t="shared" si="6"/>
        <v>61</v>
      </c>
      <c r="Y7" s="43" t="s">
        <v>129</v>
      </c>
      <c r="Z7" s="5">
        <v>5</v>
      </c>
      <c r="AA7" s="5">
        <f t="shared" si="0"/>
        <v>0</v>
      </c>
      <c r="AB7" s="5">
        <f t="shared" si="7"/>
        <v>-5</v>
      </c>
    </row>
    <row r="8" spans="1:28" x14ac:dyDescent="0.25">
      <c r="A8" s="103">
        <f t="shared" si="1"/>
        <v>45778</v>
      </c>
      <c r="B8" s="103">
        <f t="shared" si="2"/>
        <v>45838</v>
      </c>
      <c r="C8" s="27" t="str">
        <f>_xlfn.XLOOKUP($L8&amp;"-"&amp;$M8,REF!$J$2:$J$61,REF!B$2:B$61)</f>
        <v>PRIVATE PAY</v>
      </c>
      <c r="D8" s="27" t="str">
        <f>_xlfn.XLOOKUP($L8&amp;"-"&amp;$M8,REF!$J$2:$J$61,REF!C$2:C$61)</f>
        <v>PPM IL</v>
      </c>
      <c r="E8" s="27" t="str">
        <f>_xlfn.XLOOKUP($L8&amp;"-"&amp;$M8,REF!$J$2:$J$61,REF!D$2:D$61)</f>
        <v>ASBURY METHODIST VILLAGE</v>
      </c>
      <c r="F8" s="27" t="str">
        <f>_xlfn.XLOOKUP($L8&amp;"-"&amp;$M8,REF!$J$2:$J$61,REF!E$2:E$61)</f>
        <v>AMV INDEPENDENT LIVING</v>
      </c>
      <c r="G8" s="27" t="str">
        <f>_xlfn.XLOOKUP($L8&amp;"-"&amp;$M8,REF!$J$2:$J$61,REF!F$2:F$61)</f>
        <v>TROTT APARTMENTS</v>
      </c>
      <c r="H8" s="94">
        <f t="shared" si="3"/>
        <v>63</v>
      </c>
      <c r="J8" s="1">
        <v>45778</v>
      </c>
      <c r="K8" s="1">
        <v>45838</v>
      </c>
      <c r="L8">
        <v>100</v>
      </c>
      <c r="M8">
        <v>31</v>
      </c>
      <c r="N8" t="s">
        <v>305</v>
      </c>
      <c r="O8">
        <v>109</v>
      </c>
      <c r="P8">
        <v>63</v>
      </c>
      <c r="U8" s="92" t="str">
        <f t="shared" si="4"/>
        <v>10061Private Pay</v>
      </c>
      <c r="V8" s="59" t="s">
        <v>199</v>
      </c>
      <c r="W8">
        <f t="shared" si="5"/>
        <v>100</v>
      </c>
      <c r="X8">
        <f t="shared" si="6"/>
        <v>61</v>
      </c>
      <c r="Y8" s="43" t="s">
        <v>91</v>
      </c>
      <c r="Z8" s="5">
        <v>5</v>
      </c>
      <c r="AA8" s="5">
        <f t="shared" si="0"/>
        <v>1</v>
      </c>
      <c r="AB8" s="5">
        <f t="shared" si="7"/>
        <v>-4</v>
      </c>
    </row>
    <row r="9" spans="1:28" x14ac:dyDescent="0.25">
      <c r="A9" s="103">
        <f t="shared" si="1"/>
        <v>45839</v>
      </c>
      <c r="B9" s="103">
        <f t="shared" si="2"/>
        <v>45900</v>
      </c>
      <c r="C9" s="27" t="str">
        <f>_xlfn.XLOOKUP($L9&amp;"-"&amp;$M9,REF!$J$2:$J$61,REF!B$2:B$61)</f>
        <v>PRIVATE PAY</v>
      </c>
      <c r="D9" s="27" t="str">
        <f>_xlfn.XLOOKUP($L9&amp;"-"&amp;$M9,REF!$J$2:$J$61,REF!C$2:C$61)</f>
        <v>PPM IL</v>
      </c>
      <c r="E9" s="27" t="str">
        <f>_xlfn.XLOOKUP($L9&amp;"-"&amp;$M9,REF!$J$2:$J$61,REF!D$2:D$61)</f>
        <v>ASBURY METHODIST VILLAGE</v>
      </c>
      <c r="F9" s="27" t="str">
        <f>_xlfn.XLOOKUP($L9&amp;"-"&amp;$M9,REF!$J$2:$J$61,REF!E$2:E$61)</f>
        <v>AMV INDEPENDENT LIVING</v>
      </c>
      <c r="G9" s="27" t="str">
        <f>_xlfn.XLOOKUP($L9&amp;"-"&amp;$M9,REF!$J$2:$J$61,REF!F$2:F$61)</f>
        <v>TROTT APARTMENTS</v>
      </c>
      <c r="H9" s="94">
        <f t="shared" si="3"/>
        <v>65</v>
      </c>
      <c r="J9" s="1">
        <v>45839</v>
      </c>
      <c r="K9" s="1">
        <v>45900</v>
      </c>
      <c r="L9">
        <v>100</v>
      </c>
      <c r="M9">
        <v>31</v>
      </c>
      <c r="N9" t="s">
        <v>305</v>
      </c>
      <c r="O9">
        <v>109</v>
      </c>
      <c r="P9">
        <v>65</v>
      </c>
      <c r="U9" s="92" t="str">
        <f t="shared" si="4"/>
        <v>10061Hospice</v>
      </c>
      <c r="V9" s="59" t="s">
        <v>199</v>
      </c>
      <c r="W9">
        <f t="shared" si="5"/>
        <v>100</v>
      </c>
      <c r="X9">
        <f t="shared" si="6"/>
        <v>61</v>
      </c>
      <c r="Y9" s="43" t="s">
        <v>23</v>
      </c>
      <c r="Z9" s="5">
        <v>5</v>
      </c>
      <c r="AA9" s="5">
        <f t="shared" si="0"/>
        <v>1</v>
      </c>
      <c r="AB9" s="5">
        <f t="shared" si="7"/>
        <v>-4</v>
      </c>
    </row>
    <row r="10" spans="1:28" x14ac:dyDescent="0.25">
      <c r="A10" s="103">
        <f t="shared" si="1"/>
        <v>45901</v>
      </c>
      <c r="B10" s="103">
        <f t="shared" si="2"/>
        <v>45961</v>
      </c>
      <c r="C10" s="27" t="str">
        <f>_xlfn.XLOOKUP($L10&amp;"-"&amp;$M10,REF!$J$2:$J$61,REF!B$2:B$61)</f>
        <v>PRIVATE PAY</v>
      </c>
      <c r="D10" s="27" t="str">
        <f>_xlfn.XLOOKUP($L10&amp;"-"&amp;$M10,REF!$J$2:$J$61,REF!C$2:C$61)</f>
        <v>PPM IL</v>
      </c>
      <c r="E10" s="27" t="str">
        <f>_xlfn.XLOOKUP($L10&amp;"-"&amp;$M10,REF!$J$2:$J$61,REF!D$2:D$61)</f>
        <v>ASBURY METHODIST VILLAGE</v>
      </c>
      <c r="F10" s="27" t="str">
        <f>_xlfn.XLOOKUP($L10&amp;"-"&amp;$M10,REF!$J$2:$J$61,REF!E$2:E$61)</f>
        <v>AMV INDEPENDENT LIVING</v>
      </c>
      <c r="G10" s="27" t="str">
        <f>_xlfn.XLOOKUP($L10&amp;"-"&amp;$M10,REF!$J$2:$J$61,REF!F$2:F$61)</f>
        <v>TROTT APARTMENTS</v>
      </c>
      <c r="H10" s="94">
        <f t="shared" si="3"/>
        <v>66</v>
      </c>
      <c r="J10" s="1">
        <v>45901</v>
      </c>
      <c r="K10" s="1">
        <v>45961</v>
      </c>
      <c r="L10">
        <v>100</v>
      </c>
      <c r="M10">
        <v>31</v>
      </c>
      <c r="N10" t="s">
        <v>305</v>
      </c>
      <c r="O10">
        <v>109</v>
      </c>
      <c r="P10">
        <v>66</v>
      </c>
      <c r="U10" s="92" t="str">
        <f t="shared" si="4"/>
        <v>10062Medicare A</v>
      </c>
      <c r="V10" s="60" t="s">
        <v>207</v>
      </c>
      <c r="W10">
        <f t="shared" si="5"/>
        <v>100</v>
      </c>
      <c r="X10">
        <f t="shared" si="6"/>
        <v>62</v>
      </c>
      <c r="Y10" s="43" t="s">
        <v>133</v>
      </c>
      <c r="Z10" s="5">
        <v>5</v>
      </c>
      <c r="AA10" s="5">
        <f t="shared" si="0"/>
        <v>1</v>
      </c>
      <c r="AB10" s="5">
        <f t="shared" si="7"/>
        <v>-4</v>
      </c>
    </row>
    <row r="11" spans="1:28" x14ac:dyDescent="0.25">
      <c r="A11" s="103">
        <f t="shared" si="1"/>
        <v>45962</v>
      </c>
      <c r="B11" s="103">
        <f t="shared" si="2"/>
        <v>46022</v>
      </c>
      <c r="C11" s="27" t="str">
        <f>_xlfn.XLOOKUP($L11&amp;"-"&amp;$M11,REF!$J$2:$J$61,REF!B$2:B$61)</f>
        <v>PRIVATE PAY</v>
      </c>
      <c r="D11" s="27" t="str">
        <f>_xlfn.XLOOKUP($L11&amp;"-"&amp;$M11,REF!$J$2:$J$61,REF!C$2:C$61)</f>
        <v>PPM IL</v>
      </c>
      <c r="E11" s="27" t="str">
        <f>_xlfn.XLOOKUP($L11&amp;"-"&amp;$M11,REF!$J$2:$J$61,REF!D$2:D$61)</f>
        <v>ASBURY METHODIST VILLAGE</v>
      </c>
      <c r="F11" s="27" t="str">
        <f>_xlfn.XLOOKUP($L11&amp;"-"&amp;$M11,REF!$J$2:$J$61,REF!E$2:E$61)</f>
        <v>AMV INDEPENDENT LIVING</v>
      </c>
      <c r="G11" s="27" t="str">
        <f>_xlfn.XLOOKUP($L11&amp;"-"&amp;$M11,REF!$J$2:$J$61,REF!F$2:F$61)</f>
        <v>TROTT APARTMENTS</v>
      </c>
      <c r="H11" s="94">
        <f t="shared" si="3"/>
        <v>67</v>
      </c>
      <c r="J11" s="1">
        <v>45962</v>
      </c>
      <c r="K11" s="1">
        <v>46022</v>
      </c>
      <c r="L11">
        <v>100</v>
      </c>
      <c r="M11">
        <v>31</v>
      </c>
      <c r="N11" t="s">
        <v>305</v>
      </c>
      <c r="O11">
        <v>109</v>
      </c>
      <c r="P11">
        <v>67</v>
      </c>
      <c r="U11" s="92" t="str">
        <f t="shared" si="4"/>
        <v>10062Medicare Advantage</v>
      </c>
      <c r="V11" s="60" t="s">
        <v>207</v>
      </c>
      <c r="W11">
        <f t="shared" si="5"/>
        <v>100</v>
      </c>
      <c r="X11">
        <f t="shared" si="6"/>
        <v>62</v>
      </c>
      <c r="Y11" s="43" t="s">
        <v>45</v>
      </c>
      <c r="Z11" s="5">
        <v>5</v>
      </c>
      <c r="AA11" s="5">
        <f t="shared" si="0"/>
        <v>1</v>
      </c>
      <c r="AB11" s="5">
        <f t="shared" si="7"/>
        <v>-4</v>
      </c>
    </row>
    <row r="12" spans="1:28" x14ac:dyDescent="0.25">
      <c r="A12" s="103">
        <f t="shared" si="1"/>
        <v>45658</v>
      </c>
      <c r="B12" s="103">
        <f t="shared" si="2"/>
        <v>45688</v>
      </c>
      <c r="C12" s="27" t="str">
        <f>_xlfn.XLOOKUP($L12&amp;"-"&amp;$M12,REF!$J$2:$J$61,REF!B$2:B$61)</f>
        <v>PRIVATE PAY</v>
      </c>
      <c r="D12" s="27" t="str">
        <f>_xlfn.XLOOKUP($L12&amp;"-"&amp;$M12,REF!$J$2:$J$61,REF!C$2:C$61)</f>
        <v>PPM IL</v>
      </c>
      <c r="E12" s="27" t="str">
        <f>_xlfn.XLOOKUP($L12&amp;"-"&amp;$M12,REF!$J$2:$J$61,REF!D$2:D$61)</f>
        <v>ASBURY METHODIST VILLAGE</v>
      </c>
      <c r="F12" s="27" t="str">
        <f>_xlfn.XLOOKUP($L12&amp;"-"&amp;$M12,REF!$J$2:$J$61,REF!E$2:E$61)</f>
        <v>AMV INDEPENDENT LIVING</v>
      </c>
      <c r="G12" s="27" t="str">
        <f>_xlfn.XLOOKUP($L12&amp;"-"&amp;$M12,REF!$J$2:$J$61,REF!F$2:F$61)</f>
        <v>DIAMOND APARTMENTS</v>
      </c>
      <c r="H12" s="94">
        <f t="shared" si="3"/>
        <v>159</v>
      </c>
      <c r="J12" s="1">
        <v>45658</v>
      </c>
      <c r="K12" s="1">
        <v>45688</v>
      </c>
      <c r="L12">
        <v>100</v>
      </c>
      <c r="M12">
        <v>32</v>
      </c>
      <c r="N12" t="s">
        <v>306</v>
      </c>
      <c r="O12">
        <v>184</v>
      </c>
      <c r="P12">
        <v>159</v>
      </c>
      <c r="U12" s="92" t="str">
        <f t="shared" si="4"/>
        <v>20061Medicare A</v>
      </c>
      <c r="V12" s="59" t="s">
        <v>208</v>
      </c>
      <c r="W12">
        <f t="shared" si="5"/>
        <v>200</v>
      </c>
      <c r="X12">
        <f t="shared" si="6"/>
        <v>61</v>
      </c>
      <c r="Y12" s="43" t="s">
        <v>133</v>
      </c>
      <c r="Z12" s="5">
        <v>1</v>
      </c>
      <c r="AA12" s="5">
        <f t="shared" si="0"/>
        <v>1</v>
      </c>
      <c r="AB12" s="5">
        <f t="shared" si="7"/>
        <v>0</v>
      </c>
    </row>
    <row r="13" spans="1:28" x14ac:dyDescent="0.25">
      <c r="A13" s="103">
        <f t="shared" si="1"/>
        <v>45689</v>
      </c>
      <c r="B13" s="103">
        <f t="shared" si="2"/>
        <v>45716</v>
      </c>
      <c r="C13" s="27" t="str">
        <f>_xlfn.XLOOKUP($L13&amp;"-"&amp;$M13,REF!$J$2:$J$61,REF!B$2:B$61)</f>
        <v>PRIVATE PAY</v>
      </c>
      <c r="D13" s="27" t="str">
        <f>_xlfn.XLOOKUP($L13&amp;"-"&amp;$M13,REF!$J$2:$J$61,REF!C$2:C$61)</f>
        <v>PPM IL</v>
      </c>
      <c r="E13" s="27" t="str">
        <f>_xlfn.XLOOKUP($L13&amp;"-"&amp;$M13,REF!$J$2:$J$61,REF!D$2:D$61)</f>
        <v>ASBURY METHODIST VILLAGE</v>
      </c>
      <c r="F13" s="27" t="str">
        <f>_xlfn.XLOOKUP($L13&amp;"-"&amp;$M13,REF!$J$2:$J$61,REF!E$2:E$61)</f>
        <v>AMV INDEPENDENT LIVING</v>
      </c>
      <c r="G13" s="27" t="str">
        <f>_xlfn.XLOOKUP($L13&amp;"-"&amp;$M13,REF!$J$2:$J$61,REF!F$2:F$61)</f>
        <v>DIAMOND APARTMENTS</v>
      </c>
      <c r="H13" s="94">
        <f t="shared" si="3"/>
        <v>160</v>
      </c>
      <c r="J13" s="1">
        <v>45689</v>
      </c>
      <c r="K13" s="1">
        <v>45716</v>
      </c>
      <c r="L13">
        <v>100</v>
      </c>
      <c r="M13">
        <v>32</v>
      </c>
      <c r="N13" t="s">
        <v>306</v>
      </c>
      <c r="O13">
        <v>184</v>
      </c>
      <c r="P13">
        <v>160</v>
      </c>
      <c r="U13" s="92" t="str">
        <f t="shared" si="4"/>
        <v>20061Medicaid</v>
      </c>
      <c r="V13" s="59" t="s">
        <v>208</v>
      </c>
      <c r="W13">
        <f t="shared" si="5"/>
        <v>200</v>
      </c>
      <c r="X13">
        <f t="shared" si="6"/>
        <v>61</v>
      </c>
      <c r="Y13" s="43" t="s">
        <v>89</v>
      </c>
      <c r="Z13" s="5">
        <v>1</v>
      </c>
      <c r="AA13" s="5">
        <f t="shared" si="0"/>
        <v>1</v>
      </c>
      <c r="AB13" s="5">
        <f t="shared" si="7"/>
        <v>0</v>
      </c>
    </row>
    <row r="14" spans="1:28" x14ac:dyDescent="0.25">
      <c r="A14" s="103">
        <f t="shared" si="1"/>
        <v>45717</v>
      </c>
      <c r="B14" s="103">
        <f t="shared" si="2"/>
        <v>45747</v>
      </c>
      <c r="C14" s="27" t="str">
        <f>_xlfn.XLOOKUP($L14&amp;"-"&amp;$M14,REF!$J$2:$J$61,REF!B$2:B$61)</f>
        <v>PRIVATE PAY</v>
      </c>
      <c r="D14" s="27" t="str">
        <f>_xlfn.XLOOKUP($L14&amp;"-"&amp;$M14,REF!$J$2:$J$61,REF!C$2:C$61)</f>
        <v>PPM IL</v>
      </c>
      <c r="E14" s="27" t="str">
        <f>_xlfn.XLOOKUP($L14&amp;"-"&amp;$M14,REF!$J$2:$J$61,REF!D$2:D$61)</f>
        <v>ASBURY METHODIST VILLAGE</v>
      </c>
      <c r="F14" s="27" t="str">
        <f>_xlfn.XLOOKUP($L14&amp;"-"&amp;$M14,REF!$J$2:$J$61,REF!E$2:E$61)</f>
        <v>AMV INDEPENDENT LIVING</v>
      </c>
      <c r="G14" s="27" t="str">
        <f>_xlfn.XLOOKUP($L14&amp;"-"&amp;$M14,REF!$J$2:$J$61,REF!F$2:F$61)</f>
        <v>DIAMOND APARTMENTS</v>
      </c>
      <c r="H14" s="94">
        <f t="shared" si="3"/>
        <v>161</v>
      </c>
      <c r="J14" s="1">
        <v>45717</v>
      </c>
      <c r="K14" s="1">
        <v>45747</v>
      </c>
      <c r="L14">
        <v>100</v>
      </c>
      <c r="M14">
        <v>32</v>
      </c>
      <c r="N14" t="s">
        <v>306</v>
      </c>
      <c r="O14">
        <v>184</v>
      </c>
      <c r="P14">
        <v>161</v>
      </c>
      <c r="U14" s="92" t="str">
        <f t="shared" si="4"/>
        <v>20061Private Pay</v>
      </c>
      <c r="V14" s="59" t="s">
        <v>208</v>
      </c>
      <c r="W14">
        <f t="shared" si="5"/>
        <v>200</v>
      </c>
      <c r="X14">
        <f t="shared" si="6"/>
        <v>61</v>
      </c>
      <c r="Y14" s="43" t="s">
        <v>91</v>
      </c>
      <c r="Z14" s="5">
        <v>1</v>
      </c>
      <c r="AA14" s="5">
        <f t="shared" si="0"/>
        <v>1</v>
      </c>
      <c r="AB14" s="5">
        <f t="shared" si="7"/>
        <v>0</v>
      </c>
    </row>
    <row r="15" spans="1:28" x14ac:dyDescent="0.25">
      <c r="A15" s="103">
        <f t="shared" si="1"/>
        <v>45748</v>
      </c>
      <c r="B15" s="103">
        <f t="shared" si="2"/>
        <v>45777</v>
      </c>
      <c r="C15" s="27" t="str">
        <f>_xlfn.XLOOKUP($L15&amp;"-"&amp;$M15,REF!$J$2:$J$61,REF!B$2:B$61)</f>
        <v>PRIVATE PAY</v>
      </c>
      <c r="D15" s="27" t="str">
        <f>_xlfn.XLOOKUP($L15&amp;"-"&amp;$M15,REF!$J$2:$J$61,REF!C$2:C$61)</f>
        <v>PPM IL</v>
      </c>
      <c r="E15" s="27" t="str">
        <f>_xlfn.XLOOKUP($L15&amp;"-"&amp;$M15,REF!$J$2:$J$61,REF!D$2:D$61)</f>
        <v>ASBURY METHODIST VILLAGE</v>
      </c>
      <c r="F15" s="27" t="str">
        <f>_xlfn.XLOOKUP($L15&amp;"-"&amp;$M15,REF!$J$2:$J$61,REF!E$2:E$61)</f>
        <v>AMV INDEPENDENT LIVING</v>
      </c>
      <c r="G15" s="27" t="str">
        <f>_xlfn.XLOOKUP($L15&amp;"-"&amp;$M15,REF!$J$2:$J$61,REF!F$2:F$61)</f>
        <v>DIAMOND APARTMENTS</v>
      </c>
      <c r="H15" s="94">
        <f t="shared" si="3"/>
        <v>162</v>
      </c>
      <c r="J15" s="1">
        <v>45748</v>
      </c>
      <c r="K15" s="1">
        <v>45777</v>
      </c>
      <c r="L15">
        <v>100</v>
      </c>
      <c r="M15">
        <v>32</v>
      </c>
      <c r="N15" t="s">
        <v>306</v>
      </c>
      <c r="O15">
        <v>184</v>
      </c>
      <c r="P15">
        <v>162</v>
      </c>
      <c r="U15" s="92" t="str">
        <f t="shared" si="4"/>
        <v>32461Medicare A</v>
      </c>
      <c r="V15" s="60" t="s">
        <v>209</v>
      </c>
      <c r="W15">
        <f t="shared" si="5"/>
        <v>324</v>
      </c>
      <c r="X15">
        <f t="shared" si="6"/>
        <v>61</v>
      </c>
      <c r="Y15" s="43" t="s">
        <v>133</v>
      </c>
      <c r="Z15" s="5">
        <v>2</v>
      </c>
      <c r="AA15" s="5">
        <f t="shared" si="0"/>
        <v>1</v>
      </c>
      <c r="AB15" s="5">
        <f t="shared" si="7"/>
        <v>-1</v>
      </c>
    </row>
    <row r="16" spans="1:28" x14ac:dyDescent="0.25">
      <c r="A16" s="103">
        <f t="shared" si="1"/>
        <v>45778</v>
      </c>
      <c r="B16" s="103">
        <f t="shared" si="2"/>
        <v>45808</v>
      </c>
      <c r="C16" s="27" t="str">
        <f>_xlfn.XLOOKUP($L16&amp;"-"&amp;$M16,REF!$J$2:$J$61,REF!B$2:B$61)</f>
        <v>PRIVATE PAY</v>
      </c>
      <c r="D16" s="27" t="str">
        <f>_xlfn.XLOOKUP($L16&amp;"-"&amp;$M16,REF!$J$2:$J$61,REF!C$2:C$61)</f>
        <v>PPM IL</v>
      </c>
      <c r="E16" s="27" t="str">
        <f>_xlfn.XLOOKUP($L16&amp;"-"&amp;$M16,REF!$J$2:$J$61,REF!D$2:D$61)</f>
        <v>ASBURY METHODIST VILLAGE</v>
      </c>
      <c r="F16" s="27" t="str">
        <f>_xlfn.XLOOKUP($L16&amp;"-"&amp;$M16,REF!$J$2:$J$61,REF!E$2:E$61)</f>
        <v>AMV INDEPENDENT LIVING</v>
      </c>
      <c r="G16" s="27" t="str">
        <f>_xlfn.XLOOKUP($L16&amp;"-"&amp;$M16,REF!$J$2:$J$61,REF!F$2:F$61)</f>
        <v>DIAMOND APARTMENTS</v>
      </c>
      <c r="H16" s="94">
        <f t="shared" si="3"/>
        <v>163</v>
      </c>
      <c r="J16" s="1">
        <v>45778</v>
      </c>
      <c r="K16" s="1">
        <v>45808</v>
      </c>
      <c r="L16">
        <v>100</v>
      </c>
      <c r="M16">
        <v>32</v>
      </c>
      <c r="N16" t="s">
        <v>306</v>
      </c>
      <c r="O16">
        <v>184</v>
      </c>
      <c r="P16">
        <v>163</v>
      </c>
      <c r="U16" s="92" t="str">
        <f t="shared" si="4"/>
        <v>32461Medicare Advantage</v>
      </c>
      <c r="V16" s="60" t="s">
        <v>209</v>
      </c>
      <c r="W16">
        <f t="shared" si="5"/>
        <v>324</v>
      </c>
      <c r="X16">
        <f t="shared" si="6"/>
        <v>61</v>
      </c>
      <c r="Y16" s="43" t="s">
        <v>45</v>
      </c>
      <c r="Z16" s="5">
        <v>2</v>
      </c>
      <c r="AA16" s="5">
        <f t="shared" si="0"/>
        <v>1</v>
      </c>
      <c r="AB16" s="5">
        <f t="shared" si="7"/>
        <v>-1</v>
      </c>
    </row>
    <row r="17" spans="1:28" x14ac:dyDescent="0.25">
      <c r="A17" s="103">
        <f t="shared" si="1"/>
        <v>45809</v>
      </c>
      <c r="B17" s="103">
        <f t="shared" si="2"/>
        <v>45838</v>
      </c>
      <c r="C17" s="27" t="str">
        <f>_xlfn.XLOOKUP($L17&amp;"-"&amp;$M17,REF!$J$2:$J$61,REF!B$2:B$61)</f>
        <v>PRIVATE PAY</v>
      </c>
      <c r="D17" s="27" t="str">
        <f>_xlfn.XLOOKUP($L17&amp;"-"&amp;$M17,REF!$J$2:$J$61,REF!C$2:C$61)</f>
        <v>PPM IL</v>
      </c>
      <c r="E17" s="27" t="str">
        <f>_xlfn.XLOOKUP($L17&amp;"-"&amp;$M17,REF!$J$2:$J$61,REF!D$2:D$61)</f>
        <v>ASBURY METHODIST VILLAGE</v>
      </c>
      <c r="F17" s="27" t="str">
        <f>_xlfn.XLOOKUP($L17&amp;"-"&amp;$M17,REF!$J$2:$J$61,REF!E$2:E$61)</f>
        <v>AMV INDEPENDENT LIVING</v>
      </c>
      <c r="G17" s="27" t="str">
        <f>_xlfn.XLOOKUP($L17&amp;"-"&amp;$M17,REF!$J$2:$J$61,REF!F$2:F$61)</f>
        <v>DIAMOND APARTMENTS</v>
      </c>
      <c r="H17" s="94">
        <f t="shared" si="3"/>
        <v>164</v>
      </c>
      <c r="J17" s="1">
        <v>45809</v>
      </c>
      <c r="K17" s="1">
        <v>45838</v>
      </c>
      <c r="L17">
        <v>100</v>
      </c>
      <c r="M17">
        <v>32</v>
      </c>
      <c r="N17" t="s">
        <v>306</v>
      </c>
      <c r="O17">
        <v>184</v>
      </c>
      <c r="P17">
        <v>164</v>
      </c>
      <c r="U17" s="92" t="str">
        <f t="shared" si="4"/>
        <v>32461Medicaid</v>
      </c>
      <c r="V17" s="60" t="s">
        <v>209</v>
      </c>
      <c r="W17">
        <f t="shared" si="5"/>
        <v>324</v>
      </c>
      <c r="X17">
        <f t="shared" si="6"/>
        <v>61</v>
      </c>
      <c r="Y17" s="43" t="s">
        <v>89</v>
      </c>
      <c r="Z17" s="5">
        <v>2</v>
      </c>
      <c r="AA17" s="5">
        <f t="shared" si="0"/>
        <v>1</v>
      </c>
      <c r="AB17" s="5">
        <f t="shared" si="7"/>
        <v>-1</v>
      </c>
    </row>
    <row r="18" spans="1:28" x14ac:dyDescent="0.25">
      <c r="A18" s="103">
        <f t="shared" si="1"/>
        <v>45839</v>
      </c>
      <c r="B18" s="103">
        <f t="shared" si="2"/>
        <v>45869</v>
      </c>
      <c r="C18" s="27" t="str">
        <f>_xlfn.XLOOKUP($L18&amp;"-"&amp;$M18,REF!$J$2:$J$61,REF!B$2:B$61)</f>
        <v>PRIVATE PAY</v>
      </c>
      <c r="D18" s="27" t="str">
        <f>_xlfn.XLOOKUP($L18&amp;"-"&amp;$M18,REF!$J$2:$J$61,REF!C$2:C$61)</f>
        <v>PPM IL</v>
      </c>
      <c r="E18" s="27" t="str">
        <f>_xlfn.XLOOKUP($L18&amp;"-"&amp;$M18,REF!$J$2:$J$61,REF!D$2:D$61)</f>
        <v>ASBURY METHODIST VILLAGE</v>
      </c>
      <c r="F18" s="27" t="str">
        <f>_xlfn.XLOOKUP($L18&amp;"-"&amp;$M18,REF!$J$2:$J$61,REF!E$2:E$61)</f>
        <v>AMV INDEPENDENT LIVING</v>
      </c>
      <c r="G18" s="27" t="str">
        <f>_xlfn.XLOOKUP($L18&amp;"-"&amp;$M18,REF!$J$2:$J$61,REF!F$2:F$61)</f>
        <v>DIAMOND APARTMENTS</v>
      </c>
      <c r="H18" s="94">
        <f t="shared" si="3"/>
        <v>165</v>
      </c>
      <c r="J18" s="1">
        <v>45839</v>
      </c>
      <c r="K18" s="1">
        <v>45869</v>
      </c>
      <c r="L18">
        <v>100</v>
      </c>
      <c r="M18">
        <v>32</v>
      </c>
      <c r="N18" t="s">
        <v>306</v>
      </c>
      <c r="O18">
        <v>184</v>
      </c>
      <c r="P18">
        <v>165</v>
      </c>
      <c r="U18" s="92" t="str">
        <f t="shared" si="4"/>
        <v>32461Private Pay</v>
      </c>
      <c r="V18" s="60" t="s">
        <v>209</v>
      </c>
      <c r="W18">
        <f t="shared" si="5"/>
        <v>324</v>
      </c>
      <c r="X18">
        <f t="shared" si="6"/>
        <v>61</v>
      </c>
      <c r="Y18" s="43" t="s">
        <v>91</v>
      </c>
      <c r="Z18" s="5">
        <v>2</v>
      </c>
      <c r="AA18" s="5">
        <f t="shared" si="0"/>
        <v>1</v>
      </c>
      <c r="AB18" s="5">
        <f t="shared" si="7"/>
        <v>-1</v>
      </c>
    </row>
    <row r="19" spans="1:28" x14ac:dyDescent="0.25">
      <c r="A19" s="103">
        <f t="shared" si="1"/>
        <v>45870</v>
      </c>
      <c r="B19" s="103">
        <f t="shared" si="2"/>
        <v>45900</v>
      </c>
      <c r="C19" s="27" t="str">
        <f>_xlfn.XLOOKUP($L19&amp;"-"&amp;$M19,REF!$J$2:$J$61,REF!B$2:B$61)</f>
        <v>PRIVATE PAY</v>
      </c>
      <c r="D19" s="27" t="str">
        <f>_xlfn.XLOOKUP($L19&amp;"-"&amp;$M19,REF!$J$2:$J$61,REF!C$2:C$61)</f>
        <v>PPM IL</v>
      </c>
      <c r="E19" s="27" t="str">
        <f>_xlfn.XLOOKUP($L19&amp;"-"&amp;$M19,REF!$J$2:$J$61,REF!D$2:D$61)</f>
        <v>ASBURY METHODIST VILLAGE</v>
      </c>
      <c r="F19" s="27" t="str">
        <f>_xlfn.XLOOKUP($L19&amp;"-"&amp;$M19,REF!$J$2:$J$61,REF!E$2:E$61)</f>
        <v>AMV INDEPENDENT LIVING</v>
      </c>
      <c r="G19" s="27" t="str">
        <f>_xlfn.XLOOKUP($L19&amp;"-"&amp;$M19,REF!$J$2:$J$61,REF!F$2:F$61)</f>
        <v>DIAMOND APARTMENTS</v>
      </c>
      <c r="H19" s="94">
        <f t="shared" si="3"/>
        <v>166</v>
      </c>
      <c r="J19" s="1">
        <v>45870</v>
      </c>
      <c r="K19" s="1">
        <v>45900</v>
      </c>
      <c r="L19">
        <v>100</v>
      </c>
      <c r="M19">
        <v>32</v>
      </c>
      <c r="N19" t="s">
        <v>306</v>
      </c>
      <c r="O19">
        <v>184</v>
      </c>
      <c r="P19">
        <v>166</v>
      </c>
      <c r="U19" s="92" t="str">
        <f t="shared" si="4"/>
        <v>81061Medicare A</v>
      </c>
      <c r="V19" s="59" t="s">
        <v>210</v>
      </c>
      <c r="W19">
        <f t="shared" si="5"/>
        <v>810</v>
      </c>
      <c r="X19">
        <f t="shared" si="6"/>
        <v>61</v>
      </c>
      <c r="Y19" s="43" t="s">
        <v>133</v>
      </c>
      <c r="Z19" s="5">
        <v>1</v>
      </c>
      <c r="AA19" s="5">
        <f t="shared" si="0"/>
        <v>6</v>
      </c>
      <c r="AB19" s="5">
        <f t="shared" si="7"/>
        <v>5</v>
      </c>
    </row>
    <row r="20" spans="1:28" x14ac:dyDescent="0.25">
      <c r="A20" s="103">
        <f t="shared" si="1"/>
        <v>45901</v>
      </c>
      <c r="B20" s="103">
        <f t="shared" si="2"/>
        <v>45930</v>
      </c>
      <c r="C20" s="27" t="str">
        <f>_xlfn.XLOOKUP($L20&amp;"-"&amp;$M20,REF!$J$2:$J$61,REF!B$2:B$61)</f>
        <v>PRIVATE PAY</v>
      </c>
      <c r="D20" s="27" t="str">
        <f>_xlfn.XLOOKUP($L20&amp;"-"&amp;$M20,REF!$J$2:$J$61,REF!C$2:C$61)</f>
        <v>PPM IL</v>
      </c>
      <c r="E20" s="27" t="str">
        <f>_xlfn.XLOOKUP($L20&amp;"-"&amp;$M20,REF!$J$2:$J$61,REF!D$2:D$61)</f>
        <v>ASBURY METHODIST VILLAGE</v>
      </c>
      <c r="F20" s="27" t="str">
        <f>_xlfn.XLOOKUP($L20&amp;"-"&amp;$M20,REF!$J$2:$J$61,REF!E$2:E$61)</f>
        <v>AMV INDEPENDENT LIVING</v>
      </c>
      <c r="G20" s="27" t="str">
        <f>_xlfn.XLOOKUP($L20&amp;"-"&amp;$M20,REF!$J$2:$J$61,REF!F$2:F$61)</f>
        <v>DIAMOND APARTMENTS</v>
      </c>
      <c r="H20" s="94">
        <f t="shared" si="3"/>
        <v>167</v>
      </c>
      <c r="J20" s="1">
        <v>45901</v>
      </c>
      <c r="K20" s="1">
        <v>45930</v>
      </c>
      <c r="L20">
        <v>100</v>
      </c>
      <c r="M20">
        <v>32</v>
      </c>
      <c r="N20" t="s">
        <v>306</v>
      </c>
      <c r="O20">
        <v>184</v>
      </c>
      <c r="P20">
        <v>167</v>
      </c>
      <c r="U20" s="92" t="str">
        <f t="shared" si="4"/>
        <v>81061Medicare Advantage</v>
      </c>
      <c r="V20" s="59" t="s">
        <v>210</v>
      </c>
      <c r="W20">
        <f t="shared" si="5"/>
        <v>810</v>
      </c>
      <c r="X20">
        <f t="shared" si="6"/>
        <v>61</v>
      </c>
      <c r="Y20" s="43" t="s">
        <v>45</v>
      </c>
      <c r="Z20" s="5">
        <v>1</v>
      </c>
      <c r="AA20" s="5">
        <f t="shared" si="0"/>
        <v>5</v>
      </c>
      <c r="AB20" s="5">
        <f t="shared" si="7"/>
        <v>4</v>
      </c>
    </row>
    <row r="21" spans="1:28" x14ac:dyDescent="0.25">
      <c r="A21" s="103">
        <f t="shared" si="1"/>
        <v>45931</v>
      </c>
      <c r="B21" s="103">
        <f t="shared" si="2"/>
        <v>45961</v>
      </c>
      <c r="C21" s="27" t="str">
        <f>_xlfn.XLOOKUP($L21&amp;"-"&amp;$M21,REF!$J$2:$J$61,REF!B$2:B$61)</f>
        <v>PRIVATE PAY</v>
      </c>
      <c r="D21" s="27" t="str">
        <f>_xlfn.XLOOKUP($L21&amp;"-"&amp;$M21,REF!$J$2:$J$61,REF!C$2:C$61)</f>
        <v>PPM IL</v>
      </c>
      <c r="E21" s="27" t="str">
        <f>_xlfn.XLOOKUP($L21&amp;"-"&amp;$M21,REF!$J$2:$J$61,REF!D$2:D$61)</f>
        <v>ASBURY METHODIST VILLAGE</v>
      </c>
      <c r="F21" s="27" t="str">
        <f>_xlfn.XLOOKUP($L21&amp;"-"&amp;$M21,REF!$J$2:$J$61,REF!E$2:E$61)</f>
        <v>AMV INDEPENDENT LIVING</v>
      </c>
      <c r="G21" s="27" t="str">
        <f>_xlfn.XLOOKUP($L21&amp;"-"&amp;$M21,REF!$J$2:$J$61,REF!F$2:F$61)</f>
        <v>DIAMOND APARTMENTS</v>
      </c>
      <c r="H21" s="94">
        <f t="shared" si="3"/>
        <v>168</v>
      </c>
      <c r="J21" s="1">
        <v>45931</v>
      </c>
      <c r="K21" s="1">
        <v>45961</v>
      </c>
      <c r="L21">
        <v>100</v>
      </c>
      <c r="M21">
        <v>32</v>
      </c>
      <c r="N21" t="s">
        <v>306</v>
      </c>
      <c r="O21">
        <v>184</v>
      </c>
      <c r="P21">
        <v>168</v>
      </c>
      <c r="U21" s="92" t="str">
        <f t="shared" si="4"/>
        <v>81061Medicaid</v>
      </c>
      <c r="V21" s="59" t="s">
        <v>210</v>
      </c>
      <c r="W21">
        <f t="shared" si="5"/>
        <v>810</v>
      </c>
      <c r="X21">
        <f t="shared" si="6"/>
        <v>61</v>
      </c>
      <c r="Y21" s="43" t="s">
        <v>89</v>
      </c>
      <c r="Z21" s="5">
        <v>1</v>
      </c>
      <c r="AA21" s="5">
        <f t="shared" si="0"/>
        <v>5</v>
      </c>
      <c r="AB21" s="5">
        <f t="shared" si="7"/>
        <v>4</v>
      </c>
    </row>
    <row r="22" spans="1:28" x14ac:dyDescent="0.25">
      <c r="A22" s="103">
        <f t="shared" si="1"/>
        <v>45962</v>
      </c>
      <c r="B22" s="103">
        <f t="shared" si="2"/>
        <v>45991</v>
      </c>
      <c r="C22" s="27" t="str">
        <f>_xlfn.XLOOKUP($L22&amp;"-"&amp;$M22,REF!$J$2:$J$61,REF!B$2:B$61)</f>
        <v>PRIVATE PAY</v>
      </c>
      <c r="D22" s="27" t="str">
        <f>_xlfn.XLOOKUP($L22&amp;"-"&amp;$M22,REF!$J$2:$J$61,REF!C$2:C$61)</f>
        <v>PPM IL</v>
      </c>
      <c r="E22" s="27" t="str">
        <f>_xlfn.XLOOKUP($L22&amp;"-"&amp;$M22,REF!$J$2:$J$61,REF!D$2:D$61)</f>
        <v>ASBURY METHODIST VILLAGE</v>
      </c>
      <c r="F22" s="27" t="str">
        <f>_xlfn.XLOOKUP($L22&amp;"-"&amp;$M22,REF!$J$2:$J$61,REF!E$2:E$61)</f>
        <v>AMV INDEPENDENT LIVING</v>
      </c>
      <c r="G22" s="27" t="str">
        <f>_xlfn.XLOOKUP($L22&amp;"-"&amp;$M22,REF!$J$2:$J$61,REF!F$2:F$61)</f>
        <v>DIAMOND APARTMENTS</v>
      </c>
      <c r="H22" s="94">
        <f t="shared" si="3"/>
        <v>169</v>
      </c>
      <c r="J22" s="1">
        <v>45962</v>
      </c>
      <c r="K22" s="1">
        <v>45991</v>
      </c>
      <c r="L22">
        <v>100</v>
      </c>
      <c r="M22">
        <v>32</v>
      </c>
      <c r="N22" t="s">
        <v>306</v>
      </c>
      <c r="O22">
        <v>184</v>
      </c>
      <c r="P22">
        <v>169</v>
      </c>
      <c r="U22" s="92" t="str">
        <f t="shared" si="4"/>
        <v>81061Private Pay</v>
      </c>
      <c r="V22" s="59" t="s">
        <v>210</v>
      </c>
      <c r="W22">
        <f t="shared" si="5"/>
        <v>810</v>
      </c>
      <c r="X22">
        <f t="shared" si="6"/>
        <v>61</v>
      </c>
      <c r="Y22" s="43" t="s">
        <v>91</v>
      </c>
      <c r="Z22" s="5">
        <v>1</v>
      </c>
      <c r="AA22" s="5">
        <f t="shared" si="0"/>
        <v>6</v>
      </c>
      <c r="AB22" s="5">
        <f t="shared" si="7"/>
        <v>5</v>
      </c>
    </row>
    <row r="23" spans="1:28" x14ac:dyDescent="0.25">
      <c r="A23" s="103">
        <f t="shared" si="1"/>
        <v>45992</v>
      </c>
      <c r="B23" s="103">
        <f t="shared" si="2"/>
        <v>46022</v>
      </c>
      <c r="C23" s="27" t="str">
        <f>_xlfn.XLOOKUP($L23&amp;"-"&amp;$M23,REF!$J$2:$J$61,REF!B$2:B$61)</f>
        <v>PRIVATE PAY</v>
      </c>
      <c r="D23" s="27" t="str">
        <f>_xlfn.XLOOKUP($L23&amp;"-"&amp;$M23,REF!$J$2:$J$61,REF!C$2:C$61)</f>
        <v>PPM IL</v>
      </c>
      <c r="E23" s="27" t="str">
        <f>_xlfn.XLOOKUP($L23&amp;"-"&amp;$M23,REF!$J$2:$J$61,REF!D$2:D$61)</f>
        <v>ASBURY METHODIST VILLAGE</v>
      </c>
      <c r="F23" s="27" t="str">
        <f>_xlfn.XLOOKUP($L23&amp;"-"&amp;$M23,REF!$J$2:$J$61,REF!E$2:E$61)</f>
        <v>AMV INDEPENDENT LIVING</v>
      </c>
      <c r="G23" s="27" t="str">
        <f>_xlfn.XLOOKUP($L23&amp;"-"&amp;$M23,REF!$J$2:$J$61,REF!F$2:F$61)</f>
        <v>DIAMOND APARTMENTS</v>
      </c>
      <c r="H23" s="94">
        <f t="shared" si="3"/>
        <v>170</v>
      </c>
      <c r="J23" s="1">
        <v>45992</v>
      </c>
      <c r="K23" s="1">
        <v>46022</v>
      </c>
      <c r="L23">
        <v>100</v>
      </c>
      <c r="M23">
        <v>32</v>
      </c>
      <c r="N23" t="s">
        <v>306</v>
      </c>
      <c r="O23">
        <v>184</v>
      </c>
      <c r="P23">
        <v>170</v>
      </c>
      <c r="U23" s="92" t="str">
        <f t="shared" si="4"/>
        <v>83561Medicare A</v>
      </c>
      <c r="V23" s="60" t="s">
        <v>211</v>
      </c>
      <c r="W23">
        <f t="shared" si="5"/>
        <v>835</v>
      </c>
      <c r="X23">
        <f t="shared" si="6"/>
        <v>61</v>
      </c>
      <c r="Y23" s="43" t="s">
        <v>133</v>
      </c>
      <c r="Z23" s="5">
        <v>1</v>
      </c>
      <c r="AA23" s="5">
        <f t="shared" si="0"/>
        <v>0</v>
      </c>
      <c r="AB23" s="5">
        <f t="shared" si="7"/>
        <v>-1</v>
      </c>
    </row>
    <row r="24" spans="1:28" x14ac:dyDescent="0.25">
      <c r="A24" s="103">
        <f t="shared" si="1"/>
        <v>45658</v>
      </c>
      <c r="B24" s="103">
        <f t="shared" si="2"/>
        <v>46022</v>
      </c>
      <c r="C24" s="27" t="str">
        <f>_xlfn.XLOOKUP($L24&amp;"-"&amp;$M24,REF!$J$2:$J$61,REF!B$2:B$61)</f>
        <v>PRIVATE PAY</v>
      </c>
      <c r="D24" s="27" t="str">
        <f>_xlfn.XLOOKUP($L24&amp;"-"&amp;$M24,REF!$J$2:$J$61,REF!C$2:C$61)</f>
        <v>PPM IL</v>
      </c>
      <c r="E24" s="27" t="str">
        <f>_xlfn.XLOOKUP($L24&amp;"-"&amp;$M24,REF!$J$2:$J$61,REF!D$2:D$61)</f>
        <v>ASBURY METHODIST VILLAGE</v>
      </c>
      <c r="F24" s="27" t="str">
        <f>_xlfn.XLOOKUP($L24&amp;"-"&amp;$M24,REF!$J$2:$J$61,REF!E$2:E$61)</f>
        <v>AMV INDEPENDENT LIVING</v>
      </c>
      <c r="G24" s="27" t="str">
        <f>_xlfn.XLOOKUP($L24&amp;"-"&amp;$M24,REF!$J$2:$J$61,REF!F$2:F$61)</f>
        <v>WALLACE APARTMENTS</v>
      </c>
      <c r="H24" s="94">
        <f t="shared" si="3"/>
        <v>90</v>
      </c>
      <c r="J24" s="1">
        <v>45658</v>
      </c>
      <c r="K24" s="1">
        <v>46022</v>
      </c>
      <c r="L24">
        <v>100</v>
      </c>
      <c r="M24">
        <v>33</v>
      </c>
      <c r="N24" t="s">
        <v>307</v>
      </c>
      <c r="O24">
        <v>99</v>
      </c>
      <c r="P24">
        <v>90</v>
      </c>
      <c r="U24" s="92" t="str">
        <f t="shared" si="4"/>
        <v>83561Medicare Advantage</v>
      </c>
      <c r="V24" s="60" t="s">
        <v>211</v>
      </c>
      <c r="W24">
        <f t="shared" si="5"/>
        <v>835</v>
      </c>
      <c r="X24">
        <f t="shared" si="6"/>
        <v>61</v>
      </c>
      <c r="Y24" s="43" t="s">
        <v>45</v>
      </c>
      <c r="Z24" s="5">
        <v>1</v>
      </c>
      <c r="AA24" s="5">
        <f t="shared" si="0"/>
        <v>0</v>
      </c>
      <c r="AB24" s="5">
        <f t="shared" si="7"/>
        <v>-1</v>
      </c>
    </row>
    <row r="25" spans="1:28" x14ac:dyDescent="0.25">
      <c r="A25" s="103">
        <f t="shared" si="1"/>
        <v>45658</v>
      </c>
      <c r="B25" s="103">
        <f t="shared" si="2"/>
        <v>45838</v>
      </c>
      <c r="C25" s="27" t="str">
        <f>_xlfn.XLOOKUP($L25&amp;"-"&amp;$M25,REF!$J$2:$J$61,REF!B$2:B$61)</f>
        <v>PRIVATE PAY</v>
      </c>
      <c r="D25" s="27" t="str">
        <f>_xlfn.XLOOKUP($L25&amp;"-"&amp;$M25,REF!$J$2:$J$61,REF!C$2:C$61)</f>
        <v>PPM IL</v>
      </c>
      <c r="E25" s="27" t="str">
        <f>_xlfn.XLOOKUP($L25&amp;"-"&amp;$M25,REF!$J$2:$J$61,REF!D$2:D$61)</f>
        <v>ASBURY METHODIST VILLAGE</v>
      </c>
      <c r="F25" s="27" t="str">
        <f>_xlfn.XLOOKUP($L25&amp;"-"&amp;$M25,REF!$J$2:$J$61,REF!E$2:E$61)</f>
        <v>AMV INDEPENDENT LIVING</v>
      </c>
      <c r="G25" s="27" t="str">
        <f>_xlfn.XLOOKUP($L25&amp;"-"&amp;$M25,REF!$J$2:$J$61,REF!F$2:F$61)</f>
        <v>PARK VIEW APARTMENTS</v>
      </c>
      <c r="H25" s="94">
        <f t="shared" si="3"/>
        <v>57</v>
      </c>
      <c r="J25" s="1">
        <v>45658</v>
      </c>
      <c r="K25" s="1">
        <v>45838</v>
      </c>
      <c r="L25">
        <v>100</v>
      </c>
      <c r="M25">
        <v>34</v>
      </c>
      <c r="N25" t="s">
        <v>308</v>
      </c>
      <c r="O25">
        <v>65</v>
      </c>
      <c r="P25">
        <v>57</v>
      </c>
      <c r="U25" s="92" t="str">
        <f t="shared" si="4"/>
        <v>83561Medicaid</v>
      </c>
      <c r="V25" s="60" t="s">
        <v>211</v>
      </c>
      <c r="W25">
        <f t="shared" si="5"/>
        <v>835</v>
      </c>
      <c r="X25">
        <f t="shared" si="6"/>
        <v>61</v>
      </c>
      <c r="Y25" s="43" t="s">
        <v>89</v>
      </c>
      <c r="Z25" s="5">
        <v>1</v>
      </c>
      <c r="AA25" s="5">
        <f t="shared" si="0"/>
        <v>0</v>
      </c>
      <c r="AB25" s="5">
        <f t="shared" si="7"/>
        <v>-1</v>
      </c>
    </row>
    <row r="26" spans="1:28" x14ac:dyDescent="0.25">
      <c r="A26" s="103">
        <f t="shared" si="1"/>
        <v>45839</v>
      </c>
      <c r="B26" s="103">
        <f t="shared" si="2"/>
        <v>46022</v>
      </c>
      <c r="C26" s="27" t="str">
        <f>_xlfn.XLOOKUP($L26&amp;"-"&amp;$M26,REF!$J$2:$J$61,REF!B$2:B$61)</f>
        <v>PRIVATE PAY</v>
      </c>
      <c r="D26" s="27" t="str">
        <f>_xlfn.XLOOKUP($L26&amp;"-"&amp;$M26,REF!$J$2:$J$61,REF!C$2:C$61)</f>
        <v>PPM IL</v>
      </c>
      <c r="E26" s="27" t="str">
        <f>_xlfn.XLOOKUP($L26&amp;"-"&amp;$M26,REF!$J$2:$J$61,REF!D$2:D$61)</f>
        <v>ASBURY METHODIST VILLAGE</v>
      </c>
      <c r="F26" s="27" t="str">
        <f>_xlfn.XLOOKUP($L26&amp;"-"&amp;$M26,REF!$J$2:$J$61,REF!E$2:E$61)</f>
        <v>AMV INDEPENDENT LIVING</v>
      </c>
      <c r="G26" s="27" t="str">
        <f>_xlfn.XLOOKUP($L26&amp;"-"&amp;$M26,REF!$J$2:$J$61,REF!F$2:F$61)</f>
        <v>PARK VIEW APARTMENTS</v>
      </c>
      <c r="H26" s="94">
        <f t="shared" si="3"/>
        <v>58</v>
      </c>
      <c r="J26" s="1">
        <v>45839</v>
      </c>
      <c r="K26" s="1">
        <v>46022</v>
      </c>
      <c r="L26">
        <v>100</v>
      </c>
      <c r="M26">
        <v>34</v>
      </c>
      <c r="N26" t="s">
        <v>308</v>
      </c>
      <c r="O26">
        <v>65</v>
      </c>
      <c r="P26">
        <v>58</v>
      </c>
      <c r="U26" s="92" t="str">
        <f t="shared" si="4"/>
        <v>83561Insurance</v>
      </c>
      <c r="V26" s="60" t="s">
        <v>211</v>
      </c>
      <c r="W26">
        <f t="shared" si="5"/>
        <v>835</v>
      </c>
      <c r="X26">
        <f t="shared" si="6"/>
        <v>61</v>
      </c>
      <c r="Y26" s="43" t="s">
        <v>129</v>
      </c>
      <c r="Z26" s="5">
        <v>1</v>
      </c>
      <c r="AA26" s="5">
        <f t="shared" si="0"/>
        <v>0</v>
      </c>
      <c r="AB26" s="5">
        <f t="shared" si="7"/>
        <v>-1</v>
      </c>
    </row>
    <row r="27" spans="1:28" x14ac:dyDescent="0.25">
      <c r="A27" s="103">
        <f t="shared" si="1"/>
        <v>45658</v>
      </c>
      <c r="B27" s="103">
        <f t="shared" si="2"/>
        <v>45747</v>
      </c>
      <c r="C27" s="27" t="str">
        <f>_xlfn.XLOOKUP($L27&amp;"-"&amp;$M27,REF!$J$2:$J$61,REF!B$2:B$61)</f>
        <v>PRIVATE PAY</v>
      </c>
      <c r="D27" s="27" t="str">
        <f>_xlfn.XLOOKUP($L27&amp;"-"&amp;$M27,REF!$J$2:$J$61,REF!C$2:C$61)</f>
        <v>PPM IL</v>
      </c>
      <c r="E27" s="27" t="str">
        <f>_xlfn.XLOOKUP($L27&amp;"-"&amp;$M27,REF!$J$2:$J$61,REF!D$2:D$61)</f>
        <v>ASBURY METHODIST VILLAGE</v>
      </c>
      <c r="F27" s="27" t="str">
        <f>_xlfn.XLOOKUP($L27&amp;"-"&amp;$M27,REF!$J$2:$J$61,REF!E$2:E$61)</f>
        <v>AMV INDEPENDENT LIVING</v>
      </c>
      <c r="G27" s="27" t="str">
        <f>_xlfn.XLOOKUP($L27&amp;"-"&amp;$M27,REF!$J$2:$J$61,REF!F$2:F$61)</f>
        <v>EDWARDS-FISHER APARTMENTS</v>
      </c>
      <c r="H27" s="94">
        <f t="shared" si="3"/>
        <v>97</v>
      </c>
      <c r="J27" s="1">
        <v>45658</v>
      </c>
      <c r="K27" s="1">
        <v>45747</v>
      </c>
      <c r="L27">
        <v>100</v>
      </c>
      <c r="M27">
        <v>35</v>
      </c>
      <c r="N27" t="s">
        <v>309</v>
      </c>
      <c r="O27">
        <v>126</v>
      </c>
      <c r="P27">
        <v>97</v>
      </c>
      <c r="U27" s="92" t="str">
        <f t="shared" si="4"/>
        <v>83561Private Pay</v>
      </c>
      <c r="V27" s="60" t="s">
        <v>211</v>
      </c>
      <c r="W27">
        <f t="shared" si="5"/>
        <v>835</v>
      </c>
      <c r="X27">
        <f t="shared" si="6"/>
        <v>61</v>
      </c>
      <c r="Y27" s="43" t="s">
        <v>91</v>
      </c>
      <c r="Z27" s="5">
        <v>1</v>
      </c>
      <c r="AA27" s="5">
        <f t="shared" si="0"/>
        <v>0</v>
      </c>
      <c r="AB27" s="5">
        <f t="shared" si="7"/>
        <v>-1</v>
      </c>
    </row>
    <row r="28" spans="1:28" x14ac:dyDescent="0.25">
      <c r="A28" s="103">
        <f t="shared" si="1"/>
        <v>45748</v>
      </c>
      <c r="B28" s="103">
        <f t="shared" si="2"/>
        <v>45838</v>
      </c>
      <c r="C28" s="27" t="str">
        <f>_xlfn.XLOOKUP($L28&amp;"-"&amp;$M28,REF!$J$2:$J$61,REF!B$2:B$61)</f>
        <v>PRIVATE PAY</v>
      </c>
      <c r="D28" s="27" t="str">
        <f>_xlfn.XLOOKUP($L28&amp;"-"&amp;$M28,REF!$J$2:$J$61,REF!C$2:C$61)</f>
        <v>PPM IL</v>
      </c>
      <c r="E28" s="27" t="str">
        <f>_xlfn.XLOOKUP($L28&amp;"-"&amp;$M28,REF!$J$2:$J$61,REF!D$2:D$61)</f>
        <v>ASBURY METHODIST VILLAGE</v>
      </c>
      <c r="F28" s="27" t="str">
        <f>_xlfn.XLOOKUP($L28&amp;"-"&amp;$M28,REF!$J$2:$J$61,REF!E$2:E$61)</f>
        <v>AMV INDEPENDENT LIVING</v>
      </c>
      <c r="G28" s="27" t="str">
        <f>_xlfn.XLOOKUP($L28&amp;"-"&amp;$M28,REF!$J$2:$J$61,REF!F$2:F$61)</f>
        <v>EDWARDS-FISHER APARTMENTS</v>
      </c>
      <c r="H28" s="94">
        <f t="shared" si="3"/>
        <v>98</v>
      </c>
      <c r="J28" s="1">
        <v>45748</v>
      </c>
      <c r="K28" s="1">
        <v>45838</v>
      </c>
      <c r="L28">
        <v>100</v>
      </c>
      <c r="M28">
        <v>35</v>
      </c>
      <c r="N28" t="s">
        <v>309</v>
      </c>
      <c r="O28">
        <v>126</v>
      </c>
      <c r="P28">
        <v>98</v>
      </c>
      <c r="U28" s="92" t="str">
        <f t="shared" si="4"/>
        <v>84061Medicare A</v>
      </c>
      <c r="V28" s="59" t="s">
        <v>212</v>
      </c>
      <c r="W28">
        <f t="shared" si="5"/>
        <v>840</v>
      </c>
      <c r="X28">
        <f t="shared" si="6"/>
        <v>61</v>
      </c>
      <c r="Y28" s="43" t="s">
        <v>133</v>
      </c>
      <c r="Z28" s="5">
        <v>1</v>
      </c>
      <c r="AA28" s="5">
        <f t="shared" si="0"/>
        <v>1</v>
      </c>
      <c r="AB28" s="5">
        <f t="shared" si="7"/>
        <v>0</v>
      </c>
    </row>
    <row r="29" spans="1:28" x14ac:dyDescent="0.25">
      <c r="A29" s="103">
        <f t="shared" si="1"/>
        <v>45839</v>
      </c>
      <c r="B29" s="103">
        <f t="shared" si="2"/>
        <v>45930</v>
      </c>
      <c r="C29" s="27" t="str">
        <f>_xlfn.XLOOKUP($L29&amp;"-"&amp;$M29,REF!$J$2:$J$61,REF!B$2:B$61)</f>
        <v>PRIVATE PAY</v>
      </c>
      <c r="D29" s="27" t="str">
        <f>_xlfn.XLOOKUP($L29&amp;"-"&amp;$M29,REF!$J$2:$J$61,REF!C$2:C$61)</f>
        <v>PPM IL</v>
      </c>
      <c r="E29" s="27" t="str">
        <f>_xlfn.XLOOKUP($L29&amp;"-"&amp;$M29,REF!$J$2:$J$61,REF!D$2:D$61)</f>
        <v>ASBURY METHODIST VILLAGE</v>
      </c>
      <c r="F29" s="27" t="str">
        <f>_xlfn.XLOOKUP($L29&amp;"-"&amp;$M29,REF!$J$2:$J$61,REF!E$2:E$61)</f>
        <v>AMV INDEPENDENT LIVING</v>
      </c>
      <c r="G29" s="27" t="str">
        <f>_xlfn.XLOOKUP($L29&amp;"-"&amp;$M29,REF!$J$2:$J$61,REF!F$2:F$61)</f>
        <v>EDWARDS-FISHER APARTMENTS</v>
      </c>
      <c r="H29" s="94">
        <f t="shared" si="3"/>
        <v>99</v>
      </c>
      <c r="J29" s="1">
        <v>45839</v>
      </c>
      <c r="K29" s="1">
        <v>45930</v>
      </c>
      <c r="L29">
        <v>100</v>
      </c>
      <c r="M29">
        <v>35</v>
      </c>
      <c r="N29" t="s">
        <v>309</v>
      </c>
      <c r="O29">
        <v>126</v>
      </c>
      <c r="P29">
        <v>99</v>
      </c>
      <c r="U29" s="92" t="str">
        <f t="shared" si="4"/>
        <v>84061Medicare Advantage</v>
      </c>
      <c r="V29" s="59" t="s">
        <v>212</v>
      </c>
      <c r="W29">
        <f t="shared" si="5"/>
        <v>840</v>
      </c>
      <c r="X29">
        <f t="shared" si="6"/>
        <v>61</v>
      </c>
      <c r="Y29" s="43" t="s">
        <v>45</v>
      </c>
      <c r="Z29" s="5">
        <v>1</v>
      </c>
      <c r="AA29" s="5">
        <f t="shared" si="0"/>
        <v>1</v>
      </c>
      <c r="AB29" s="5">
        <f t="shared" si="7"/>
        <v>0</v>
      </c>
    </row>
    <row r="30" spans="1:28" x14ac:dyDescent="0.25">
      <c r="A30" s="103">
        <f t="shared" si="1"/>
        <v>45931</v>
      </c>
      <c r="B30" s="103">
        <f t="shared" si="2"/>
        <v>46022</v>
      </c>
      <c r="C30" s="27" t="str">
        <f>_xlfn.XLOOKUP($L30&amp;"-"&amp;$M30,REF!$J$2:$J$61,REF!B$2:B$61)</f>
        <v>PRIVATE PAY</v>
      </c>
      <c r="D30" s="27" t="str">
        <f>_xlfn.XLOOKUP($L30&amp;"-"&amp;$M30,REF!$J$2:$J$61,REF!C$2:C$61)</f>
        <v>PPM IL</v>
      </c>
      <c r="E30" s="27" t="str">
        <f>_xlfn.XLOOKUP($L30&amp;"-"&amp;$M30,REF!$J$2:$J$61,REF!D$2:D$61)</f>
        <v>ASBURY METHODIST VILLAGE</v>
      </c>
      <c r="F30" s="27" t="str">
        <f>_xlfn.XLOOKUP($L30&amp;"-"&amp;$M30,REF!$J$2:$J$61,REF!E$2:E$61)</f>
        <v>AMV INDEPENDENT LIVING</v>
      </c>
      <c r="G30" s="27" t="str">
        <f>_xlfn.XLOOKUP($L30&amp;"-"&amp;$M30,REF!$J$2:$J$61,REF!F$2:F$61)</f>
        <v>EDWARDS-FISHER APARTMENTS</v>
      </c>
      <c r="H30" s="94">
        <f t="shared" si="3"/>
        <v>100</v>
      </c>
      <c r="J30" s="1">
        <v>45931</v>
      </c>
      <c r="K30" s="1">
        <v>46022</v>
      </c>
      <c r="L30">
        <v>100</v>
      </c>
      <c r="M30">
        <v>35</v>
      </c>
      <c r="N30" t="s">
        <v>309</v>
      </c>
      <c r="O30">
        <v>126</v>
      </c>
      <c r="P30">
        <v>100</v>
      </c>
      <c r="U30" s="92" t="str">
        <f t="shared" si="4"/>
        <v>84061Medicaid</v>
      </c>
      <c r="V30" s="59" t="s">
        <v>212</v>
      </c>
      <c r="W30">
        <f t="shared" si="5"/>
        <v>840</v>
      </c>
      <c r="X30">
        <f t="shared" si="6"/>
        <v>61</v>
      </c>
      <c r="Y30" s="43" t="s">
        <v>89</v>
      </c>
      <c r="Z30" s="5">
        <v>1</v>
      </c>
      <c r="AA30" s="5">
        <f t="shared" si="0"/>
        <v>1</v>
      </c>
      <c r="AB30" s="5">
        <f t="shared" si="7"/>
        <v>0</v>
      </c>
    </row>
    <row r="31" spans="1:28" x14ac:dyDescent="0.25">
      <c r="A31" s="103">
        <f t="shared" si="1"/>
        <v>45658</v>
      </c>
      <c r="B31" s="103">
        <f t="shared" si="2"/>
        <v>45716</v>
      </c>
      <c r="C31" s="27" t="str">
        <f>_xlfn.XLOOKUP($L31&amp;"-"&amp;$M31,REF!$J$2:$J$61,REF!B$2:B$61)</f>
        <v>PRIVATE PAY</v>
      </c>
      <c r="D31" s="27" t="str">
        <f>_xlfn.XLOOKUP($L31&amp;"-"&amp;$M31,REF!$J$2:$J$61,REF!C$2:C$61)</f>
        <v>PPM IL</v>
      </c>
      <c r="E31" s="27" t="str">
        <f>_xlfn.XLOOKUP($L31&amp;"-"&amp;$M31,REF!$J$2:$J$61,REF!D$2:D$61)</f>
        <v>ASBURY METHODIST VILLAGE</v>
      </c>
      <c r="F31" s="27" t="str">
        <f>_xlfn.XLOOKUP($L31&amp;"-"&amp;$M31,REF!$J$2:$J$61,REF!E$2:E$61)</f>
        <v>AMV INDEPENDENT LIVING</v>
      </c>
      <c r="G31" s="27" t="str">
        <f>_xlfn.XLOOKUP($L31&amp;"-"&amp;$M31,REF!$J$2:$J$61,REF!F$2:F$61)</f>
        <v>MUND APARTMENTS</v>
      </c>
      <c r="H31" s="94">
        <f t="shared" si="3"/>
        <v>80</v>
      </c>
      <c r="J31" s="1">
        <v>45658</v>
      </c>
      <c r="K31" s="1">
        <v>45716</v>
      </c>
      <c r="L31">
        <v>100</v>
      </c>
      <c r="M31">
        <v>36</v>
      </c>
      <c r="N31" t="s">
        <v>310</v>
      </c>
      <c r="O31">
        <v>126</v>
      </c>
      <c r="P31">
        <v>80</v>
      </c>
      <c r="U31" s="92" t="str">
        <f t="shared" si="4"/>
        <v>84061Private Pay</v>
      </c>
      <c r="V31" s="59" t="s">
        <v>212</v>
      </c>
      <c r="W31">
        <f t="shared" si="5"/>
        <v>840</v>
      </c>
      <c r="X31">
        <f t="shared" si="6"/>
        <v>61</v>
      </c>
      <c r="Y31" s="43" t="s">
        <v>91</v>
      </c>
      <c r="Z31" s="5">
        <v>1</v>
      </c>
      <c r="AA31" s="5">
        <f t="shared" si="0"/>
        <v>1</v>
      </c>
      <c r="AB31" s="5">
        <f t="shared" si="7"/>
        <v>0</v>
      </c>
    </row>
    <row r="32" spans="1:28" x14ac:dyDescent="0.25">
      <c r="A32" s="103">
        <f t="shared" si="1"/>
        <v>45717</v>
      </c>
      <c r="B32" s="103">
        <f t="shared" si="2"/>
        <v>45777</v>
      </c>
      <c r="C32" s="27" t="str">
        <f>_xlfn.XLOOKUP($L32&amp;"-"&amp;$M32,REF!$J$2:$J$61,REF!B$2:B$61)</f>
        <v>PRIVATE PAY</v>
      </c>
      <c r="D32" s="27" t="str">
        <f>_xlfn.XLOOKUP($L32&amp;"-"&amp;$M32,REF!$J$2:$J$61,REF!C$2:C$61)</f>
        <v>PPM IL</v>
      </c>
      <c r="E32" s="27" t="str">
        <f>_xlfn.XLOOKUP($L32&amp;"-"&amp;$M32,REF!$J$2:$J$61,REF!D$2:D$61)</f>
        <v>ASBURY METHODIST VILLAGE</v>
      </c>
      <c r="F32" s="27" t="str">
        <f>_xlfn.XLOOKUP($L32&amp;"-"&amp;$M32,REF!$J$2:$J$61,REF!E$2:E$61)</f>
        <v>AMV INDEPENDENT LIVING</v>
      </c>
      <c r="G32" s="27" t="str">
        <f>_xlfn.XLOOKUP($L32&amp;"-"&amp;$M32,REF!$J$2:$J$61,REF!F$2:F$61)</f>
        <v>MUND APARTMENTS</v>
      </c>
      <c r="H32" s="94">
        <f t="shared" si="3"/>
        <v>81</v>
      </c>
      <c r="J32" s="1">
        <v>45717</v>
      </c>
      <c r="K32" s="1">
        <v>45777</v>
      </c>
      <c r="L32">
        <v>100</v>
      </c>
      <c r="M32">
        <v>36</v>
      </c>
      <c r="N32" t="s">
        <v>310</v>
      </c>
      <c r="O32">
        <v>126</v>
      </c>
      <c r="P32">
        <v>81</v>
      </c>
    </row>
    <row r="33" spans="1:16" x14ac:dyDescent="0.25">
      <c r="A33" s="103">
        <f t="shared" si="1"/>
        <v>45778</v>
      </c>
      <c r="B33" s="103">
        <f t="shared" si="2"/>
        <v>45838</v>
      </c>
      <c r="C33" s="27" t="str">
        <f>_xlfn.XLOOKUP($L33&amp;"-"&amp;$M33,REF!$J$2:$J$61,REF!B$2:B$61)</f>
        <v>PRIVATE PAY</v>
      </c>
      <c r="D33" s="27" t="str">
        <f>_xlfn.XLOOKUP($L33&amp;"-"&amp;$M33,REF!$J$2:$J$61,REF!C$2:C$61)</f>
        <v>PPM IL</v>
      </c>
      <c r="E33" s="27" t="str">
        <f>_xlfn.XLOOKUP($L33&amp;"-"&amp;$M33,REF!$J$2:$J$61,REF!D$2:D$61)</f>
        <v>ASBURY METHODIST VILLAGE</v>
      </c>
      <c r="F33" s="27" t="str">
        <f>_xlfn.XLOOKUP($L33&amp;"-"&amp;$M33,REF!$J$2:$J$61,REF!E$2:E$61)</f>
        <v>AMV INDEPENDENT LIVING</v>
      </c>
      <c r="G33" s="27" t="str">
        <f>_xlfn.XLOOKUP($L33&amp;"-"&amp;$M33,REF!$J$2:$J$61,REF!F$2:F$61)</f>
        <v>MUND APARTMENTS</v>
      </c>
      <c r="H33" s="94">
        <f t="shared" si="3"/>
        <v>82</v>
      </c>
      <c r="J33" s="1">
        <v>45778</v>
      </c>
      <c r="K33" s="1">
        <v>45838</v>
      </c>
      <c r="L33">
        <v>100</v>
      </c>
      <c r="M33">
        <v>36</v>
      </c>
      <c r="N33" t="s">
        <v>310</v>
      </c>
      <c r="O33">
        <v>126</v>
      </c>
      <c r="P33">
        <v>82</v>
      </c>
    </row>
    <row r="34" spans="1:16" x14ac:dyDescent="0.25">
      <c r="A34" s="103">
        <f t="shared" si="1"/>
        <v>45839</v>
      </c>
      <c r="B34" s="103">
        <f t="shared" si="2"/>
        <v>45900</v>
      </c>
      <c r="C34" s="27" t="str">
        <f>_xlfn.XLOOKUP($L34&amp;"-"&amp;$M34,REF!$J$2:$J$61,REF!B$2:B$61)</f>
        <v>PRIVATE PAY</v>
      </c>
      <c r="D34" s="27" t="str">
        <f>_xlfn.XLOOKUP($L34&amp;"-"&amp;$M34,REF!$J$2:$J$61,REF!C$2:C$61)</f>
        <v>PPM IL</v>
      </c>
      <c r="E34" s="27" t="str">
        <f>_xlfn.XLOOKUP($L34&amp;"-"&amp;$M34,REF!$J$2:$J$61,REF!D$2:D$61)</f>
        <v>ASBURY METHODIST VILLAGE</v>
      </c>
      <c r="F34" s="27" t="str">
        <f>_xlfn.XLOOKUP($L34&amp;"-"&amp;$M34,REF!$J$2:$J$61,REF!E$2:E$61)</f>
        <v>AMV INDEPENDENT LIVING</v>
      </c>
      <c r="G34" s="27" t="str">
        <f>_xlfn.XLOOKUP($L34&amp;"-"&amp;$M34,REF!$J$2:$J$61,REF!F$2:F$61)</f>
        <v>MUND APARTMENTS</v>
      </c>
      <c r="H34" s="94">
        <f t="shared" si="3"/>
        <v>83</v>
      </c>
      <c r="J34" s="1">
        <v>45839</v>
      </c>
      <c r="K34" s="1">
        <v>45900</v>
      </c>
      <c r="L34">
        <v>100</v>
      </c>
      <c r="M34">
        <v>36</v>
      </c>
      <c r="N34" t="s">
        <v>310</v>
      </c>
      <c r="O34">
        <v>126</v>
      </c>
      <c r="P34">
        <v>83</v>
      </c>
    </row>
    <row r="35" spans="1:16" x14ac:dyDescent="0.25">
      <c r="A35" s="103">
        <f t="shared" si="1"/>
        <v>45901</v>
      </c>
      <c r="B35" s="103">
        <f t="shared" si="2"/>
        <v>45961</v>
      </c>
      <c r="C35" s="27" t="str">
        <f>_xlfn.XLOOKUP($L35&amp;"-"&amp;$M35,REF!$J$2:$J$61,REF!B$2:B$61)</f>
        <v>PRIVATE PAY</v>
      </c>
      <c r="D35" s="27" t="str">
        <f>_xlfn.XLOOKUP($L35&amp;"-"&amp;$M35,REF!$J$2:$J$61,REF!C$2:C$61)</f>
        <v>PPM IL</v>
      </c>
      <c r="E35" s="27" t="str">
        <f>_xlfn.XLOOKUP($L35&amp;"-"&amp;$M35,REF!$J$2:$J$61,REF!D$2:D$61)</f>
        <v>ASBURY METHODIST VILLAGE</v>
      </c>
      <c r="F35" s="27" t="str">
        <f>_xlfn.XLOOKUP($L35&amp;"-"&amp;$M35,REF!$J$2:$J$61,REF!E$2:E$61)</f>
        <v>AMV INDEPENDENT LIVING</v>
      </c>
      <c r="G35" s="27" t="str">
        <f>_xlfn.XLOOKUP($L35&amp;"-"&amp;$M35,REF!$J$2:$J$61,REF!F$2:F$61)</f>
        <v>MUND APARTMENTS</v>
      </c>
      <c r="H35" s="94">
        <f t="shared" si="3"/>
        <v>84</v>
      </c>
      <c r="J35" s="1">
        <v>45901</v>
      </c>
      <c r="K35" s="1">
        <v>45961</v>
      </c>
      <c r="L35">
        <v>100</v>
      </c>
      <c r="M35">
        <v>36</v>
      </c>
      <c r="N35" t="s">
        <v>310</v>
      </c>
      <c r="O35">
        <v>126</v>
      </c>
      <c r="P35">
        <v>84</v>
      </c>
    </row>
    <row r="36" spans="1:16" x14ac:dyDescent="0.25">
      <c r="A36" s="103">
        <f t="shared" si="1"/>
        <v>45962</v>
      </c>
      <c r="B36" s="103">
        <f t="shared" si="2"/>
        <v>46022</v>
      </c>
      <c r="C36" s="27" t="str">
        <f>_xlfn.XLOOKUP($L36&amp;"-"&amp;$M36,REF!$J$2:$J$61,REF!B$2:B$61)</f>
        <v>PRIVATE PAY</v>
      </c>
      <c r="D36" s="27" t="str">
        <f>_xlfn.XLOOKUP($L36&amp;"-"&amp;$M36,REF!$J$2:$J$61,REF!C$2:C$61)</f>
        <v>PPM IL</v>
      </c>
      <c r="E36" s="27" t="str">
        <f>_xlfn.XLOOKUP($L36&amp;"-"&amp;$M36,REF!$J$2:$J$61,REF!D$2:D$61)</f>
        <v>ASBURY METHODIST VILLAGE</v>
      </c>
      <c r="F36" s="27" t="str">
        <f>_xlfn.XLOOKUP($L36&amp;"-"&amp;$M36,REF!$J$2:$J$61,REF!E$2:E$61)</f>
        <v>AMV INDEPENDENT LIVING</v>
      </c>
      <c r="G36" s="27" t="str">
        <f>_xlfn.XLOOKUP($L36&amp;"-"&amp;$M36,REF!$J$2:$J$61,REF!F$2:F$61)</f>
        <v>MUND APARTMENTS</v>
      </c>
      <c r="H36" s="94">
        <f t="shared" si="3"/>
        <v>85</v>
      </c>
      <c r="J36" s="1">
        <v>45962</v>
      </c>
      <c r="K36" s="1">
        <v>46022</v>
      </c>
      <c r="L36">
        <v>100</v>
      </c>
      <c r="M36">
        <v>36</v>
      </c>
      <c r="N36" t="s">
        <v>310</v>
      </c>
      <c r="O36">
        <v>126</v>
      </c>
      <c r="P36">
        <v>85</v>
      </c>
    </row>
    <row r="37" spans="1:16" x14ac:dyDescent="0.25">
      <c r="A37" s="103">
        <f t="shared" si="1"/>
        <v>45658</v>
      </c>
      <c r="B37" s="103">
        <f t="shared" si="2"/>
        <v>46022</v>
      </c>
      <c r="C37" s="27" t="str">
        <f>_xlfn.XLOOKUP($L37&amp;"-"&amp;$M37,REF!$J$2:$J$61,REF!B$2:B$61)</f>
        <v>PRIVATE PAY</v>
      </c>
      <c r="D37" s="27" t="str">
        <f>_xlfn.XLOOKUP($L37&amp;"-"&amp;$M37,REF!$J$2:$J$61,REF!C$2:C$61)</f>
        <v>PPM AL</v>
      </c>
      <c r="E37" s="27" t="str">
        <f>_xlfn.XLOOKUP($L37&amp;"-"&amp;$M37,REF!$J$2:$J$61,REF!D$2:D$61)</f>
        <v>ASBURY METHODIST VILLAGE</v>
      </c>
      <c r="F37" s="27" t="str">
        <f>_xlfn.XLOOKUP($L37&amp;"-"&amp;$M37,REF!$J$2:$J$61,REF!E$2:E$61)</f>
        <v>AMV ASSISTED LIVING</v>
      </c>
      <c r="G37" s="27" t="str">
        <f>_xlfn.XLOOKUP($L37&amp;"-"&amp;$M37,REF!$J$2:$J$61,REF!F$2:F$61)</f>
        <v>KINDLEY</v>
      </c>
      <c r="H37" s="94">
        <f t="shared" si="3"/>
        <v>124</v>
      </c>
      <c r="J37" s="1">
        <v>45658</v>
      </c>
      <c r="K37" s="1">
        <v>46022</v>
      </c>
      <c r="L37">
        <v>100</v>
      </c>
      <c r="M37">
        <v>51</v>
      </c>
      <c r="N37" t="s">
        <v>311</v>
      </c>
      <c r="O37">
        <v>133</v>
      </c>
      <c r="P37">
        <v>124</v>
      </c>
    </row>
    <row r="38" spans="1:16" x14ac:dyDescent="0.25">
      <c r="A38" s="103">
        <f t="shared" si="1"/>
        <v>45658</v>
      </c>
      <c r="B38" s="103">
        <f t="shared" si="2"/>
        <v>46022</v>
      </c>
      <c r="C38" s="27" t="str">
        <f>_xlfn.XLOOKUP($L38&amp;"-"&amp;$M38,REF!$J$2:$J$61,REF!B$2:B$61)</f>
        <v>Hospice</v>
      </c>
      <c r="D38" s="27" t="str">
        <f>_xlfn.XLOOKUP($L38&amp;"-"&amp;$M38,REF!$J$2:$J$61,REF!C$2:C$61)</f>
        <v>Hospice - Private Pay</v>
      </c>
      <c r="E38" s="27" t="str">
        <f>_xlfn.XLOOKUP($L38&amp;"-"&amp;$M38,REF!$J$2:$J$61,REF!D$2:D$61)</f>
        <v>ASBURY METHODIST VILLAGE</v>
      </c>
      <c r="F38" s="27" t="str">
        <f>_xlfn.XLOOKUP($L38&amp;"-"&amp;$M38,REF!$J$2:$J$61,REF!E$2:E$61)</f>
        <v>SKILLED NURSING</v>
      </c>
      <c r="G38" s="27" t="str">
        <f>_xlfn.XLOOKUP($L38&amp;"-"&amp;$M38,REF!$J$2:$J$61,REF!F$2:F$61)</f>
        <v>AMV - WILSON HEALTH CARE CENTER</v>
      </c>
      <c r="H38" s="94">
        <f t="shared" si="3"/>
        <v>133</v>
      </c>
      <c r="J38" s="1">
        <v>45658</v>
      </c>
      <c r="K38" s="1">
        <v>46022</v>
      </c>
      <c r="L38">
        <v>100</v>
      </c>
      <c r="M38">
        <v>61</v>
      </c>
      <c r="N38" t="s">
        <v>392</v>
      </c>
      <c r="O38">
        <v>139</v>
      </c>
      <c r="P38">
        <v>133</v>
      </c>
    </row>
    <row r="39" spans="1:16" x14ac:dyDescent="0.25">
      <c r="A39" s="103">
        <f t="shared" si="1"/>
        <v>45658</v>
      </c>
      <c r="B39" s="103">
        <f t="shared" si="2"/>
        <v>46022</v>
      </c>
      <c r="C39" s="27" t="str">
        <f>_xlfn.XLOOKUP($L39&amp;"-"&amp;$M39,REF!$J$2:$J$61,REF!B$2:B$61)</f>
        <v>Medicare Advantage</v>
      </c>
      <c r="D39" s="27" t="str">
        <f>_xlfn.XLOOKUP($L39&amp;"-"&amp;$M39,REF!$J$2:$J$61,REF!C$2:C$61)</f>
        <v>Med Adv HMO A</v>
      </c>
      <c r="E39" s="27" t="str">
        <f>_xlfn.XLOOKUP($L39&amp;"-"&amp;$M39,REF!$J$2:$J$61,REF!D$2:D$61)</f>
        <v>ASBURY METHODIST VILLAGE</v>
      </c>
      <c r="F39" s="27" t="str">
        <f>_xlfn.XLOOKUP($L39&amp;"-"&amp;$M39,REF!$J$2:$J$61,REF!E$2:E$61)</f>
        <v>SKILLED NURSING - Household</v>
      </c>
      <c r="G39" s="27" t="str">
        <f>_xlfn.XLOOKUP($L39&amp;"-"&amp;$M39,REF!$J$2:$J$61,REF!F$2:F$61)</f>
        <v>AMV - WILSON HEALTH CARE CENTER</v>
      </c>
      <c r="H39" s="94">
        <f t="shared" si="3"/>
        <v>45</v>
      </c>
      <c r="J39" s="1">
        <v>45658</v>
      </c>
      <c r="K39" s="1">
        <v>46022</v>
      </c>
      <c r="L39">
        <v>100</v>
      </c>
      <c r="M39">
        <v>62</v>
      </c>
      <c r="N39" t="s">
        <v>393</v>
      </c>
      <c r="O39">
        <v>46</v>
      </c>
      <c r="P39">
        <v>45</v>
      </c>
    </row>
    <row r="40" spans="1:16" x14ac:dyDescent="0.25">
      <c r="A40" s="103">
        <f t="shared" si="1"/>
        <v>45658</v>
      </c>
      <c r="B40" s="103">
        <f t="shared" si="2"/>
        <v>46022</v>
      </c>
      <c r="C40" s="27" t="str">
        <f>_xlfn.XLOOKUP($L40&amp;"-"&amp;$M40,REF!$J$2:$J$61,REF!B$2:B$61)</f>
        <v>PRIVATE PAY</v>
      </c>
      <c r="D40" s="27" t="str">
        <f>_xlfn.XLOOKUP($L40&amp;"-"&amp;$M40,REF!$J$2:$J$61,REF!C$2:C$61)</f>
        <v>PPM IL</v>
      </c>
      <c r="E40" s="27" t="str">
        <f>_xlfn.XLOOKUP($L40&amp;"-"&amp;$M40,REF!$J$2:$J$61,REF!D$2:D$61)</f>
        <v>ASBURY SOLOMONS</v>
      </c>
      <c r="F40" s="27" t="str">
        <f>_xlfn.XLOOKUP($L40&amp;"-"&amp;$M40,REF!$J$2:$J$61,REF!E$2:E$61)</f>
        <v>AS INDEPENDENT LIVING</v>
      </c>
      <c r="G40" s="27" t="str">
        <f>_xlfn.XLOOKUP($L40&amp;"-"&amp;$M40,REF!$J$2:$J$61,REF!F$2:F$61)</f>
        <v>IL COTTAGES</v>
      </c>
      <c r="H40" s="94">
        <f t="shared" si="3"/>
        <v>71</v>
      </c>
      <c r="J40" s="1">
        <v>45658</v>
      </c>
      <c r="K40" s="1">
        <v>46022</v>
      </c>
      <c r="L40">
        <v>200</v>
      </c>
      <c r="M40">
        <v>21</v>
      </c>
      <c r="N40" t="s">
        <v>312</v>
      </c>
      <c r="O40">
        <v>72</v>
      </c>
      <c r="P40">
        <v>71</v>
      </c>
    </row>
    <row r="41" spans="1:16" x14ac:dyDescent="0.25">
      <c r="A41" s="103">
        <f t="shared" si="1"/>
        <v>45658</v>
      </c>
      <c r="B41" s="103">
        <f t="shared" si="2"/>
        <v>46022</v>
      </c>
      <c r="C41" s="27" t="str">
        <f>_xlfn.XLOOKUP($L41&amp;"-"&amp;$M41,REF!$J$2:$J$61,REF!B$2:B$61)</f>
        <v>PRIVATE PAY</v>
      </c>
      <c r="D41" s="27" t="str">
        <f>_xlfn.XLOOKUP($L41&amp;"-"&amp;$M41,REF!$J$2:$J$61,REF!C$2:C$61)</f>
        <v>PPM IL</v>
      </c>
      <c r="E41" s="27" t="str">
        <f>_xlfn.XLOOKUP($L41&amp;"-"&amp;$M41,REF!$J$2:$J$61,REF!D$2:D$61)</f>
        <v>ASBURY SOLOMONS</v>
      </c>
      <c r="F41" s="27" t="str">
        <f>_xlfn.XLOOKUP($L41&amp;"-"&amp;$M41,REF!$J$2:$J$61,REF!E$2:E$61)</f>
        <v>AS INDEPENDENT LIVING</v>
      </c>
      <c r="G41" s="27" t="str">
        <f>_xlfn.XLOOKUP($L41&amp;"-"&amp;$M41,REF!$J$2:$J$61,REF!F$2:F$61)</f>
        <v>IL NORTH APARTMENTS</v>
      </c>
      <c r="H41" s="94">
        <f t="shared" si="3"/>
        <v>134</v>
      </c>
      <c r="J41" s="1">
        <v>45658</v>
      </c>
      <c r="K41" s="1">
        <v>46022</v>
      </c>
      <c r="L41">
        <v>200</v>
      </c>
      <c r="M41">
        <v>31</v>
      </c>
      <c r="N41" t="s">
        <v>313</v>
      </c>
      <c r="O41">
        <v>142</v>
      </c>
      <c r="P41">
        <v>134</v>
      </c>
    </row>
    <row r="42" spans="1:16" x14ac:dyDescent="0.25">
      <c r="A42" s="103">
        <f t="shared" si="1"/>
        <v>45658</v>
      </c>
      <c r="B42" s="103">
        <f t="shared" si="2"/>
        <v>46022</v>
      </c>
      <c r="C42" s="27" t="str">
        <f>_xlfn.XLOOKUP($L42&amp;"-"&amp;$M42,REF!$J$2:$J$61,REF!B$2:B$61)</f>
        <v>PRIVATE PAY</v>
      </c>
      <c r="D42" s="27" t="str">
        <f>_xlfn.XLOOKUP($L42&amp;"-"&amp;$M42,REF!$J$2:$J$61,REF!C$2:C$61)</f>
        <v>PPM IL</v>
      </c>
      <c r="E42" s="27" t="str">
        <f>_xlfn.XLOOKUP($L42&amp;"-"&amp;$M42,REF!$J$2:$J$61,REF!D$2:D$61)</f>
        <v>ASBURY SOLOMONS</v>
      </c>
      <c r="F42" s="27" t="str">
        <f>_xlfn.XLOOKUP($L42&amp;"-"&amp;$M42,REF!$J$2:$J$61,REF!E$2:E$61)</f>
        <v>AS INDEPENDENT LIVING</v>
      </c>
      <c r="G42" s="27" t="str">
        <f>_xlfn.XLOOKUP($L42&amp;"-"&amp;$M42,REF!$J$2:$J$61,REF!F$2:F$61)</f>
        <v>IL SOUTH APARTMENTS</v>
      </c>
      <c r="H42" s="94">
        <f t="shared" si="3"/>
        <v>83</v>
      </c>
      <c r="J42" s="1">
        <v>45658</v>
      </c>
      <c r="K42" s="1">
        <v>46022</v>
      </c>
      <c r="L42">
        <v>200</v>
      </c>
      <c r="M42">
        <v>32</v>
      </c>
      <c r="N42" t="s">
        <v>314</v>
      </c>
      <c r="O42">
        <v>86</v>
      </c>
      <c r="P42">
        <v>83</v>
      </c>
    </row>
    <row r="43" spans="1:16" x14ac:dyDescent="0.25">
      <c r="A43" s="103">
        <f t="shared" si="1"/>
        <v>45658</v>
      </c>
      <c r="B43" s="103">
        <f t="shared" si="2"/>
        <v>46022</v>
      </c>
      <c r="C43" s="27" t="str">
        <f>_xlfn.XLOOKUP($L43&amp;"-"&amp;$M43,REF!$J$2:$J$61,REF!B$2:B$61)</f>
        <v>PRIVATE PAY</v>
      </c>
      <c r="D43" s="27" t="str">
        <f>_xlfn.XLOOKUP($L43&amp;"-"&amp;$M43,REF!$J$2:$J$61,REF!C$2:C$61)</f>
        <v>PPM AL</v>
      </c>
      <c r="E43" s="27" t="str">
        <f>_xlfn.XLOOKUP($L43&amp;"-"&amp;$M43,REF!$J$2:$J$61,REF!D$2:D$61)</f>
        <v>ASBURY SOLOMONS</v>
      </c>
      <c r="F43" s="27" t="str">
        <f>_xlfn.XLOOKUP($L43&amp;"-"&amp;$M43,REF!$J$2:$J$61,REF!E$2:E$61)</f>
        <v>AS ASSISTED LIVING</v>
      </c>
      <c r="G43" s="27" t="str">
        <f>_xlfn.XLOOKUP($L43&amp;"-"&amp;$M43,REF!$J$2:$J$61,REF!F$2:F$61)</f>
        <v>ASSISTED LIVING</v>
      </c>
      <c r="H43" s="94">
        <f t="shared" si="3"/>
        <v>23.5</v>
      </c>
      <c r="J43" s="1">
        <v>45658</v>
      </c>
      <c r="K43" s="1">
        <v>46022</v>
      </c>
      <c r="L43">
        <v>200</v>
      </c>
      <c r="M43">
        <v>51</v>
      </c>
      <c r="N43" t="s">
        <v>315</v>
      </c>
      <c r="O43">
        <v>24</v>
      </c>
      <c r="P43">
        <v>23.5</v>
      </c>
    </row>
    <row r="44" spans="1:16" x14ac:dyDescent="0.25">
      <c r="A44" s="103">
        <f t="shared" si="1"/>
        <v>45658</v>
      </c>
      <c r="B44" s="103">
        <f t="shared" si="2"/>
        <v>46022</v>
      </c>
      <c r="C44" s="27" t="str">
        <f>_xlfn.XLOOKUP($L44&amp;"-"&amp;$M44,REF!$J$2:$J$61,REF!B$2:B$61)</f>
        <v>MEDICAID</v>
      </c>
      <c r="D44" s="27" t="str">
        <f>_xlfn.XLOOKUP($L44&amp;"-"&amp;$M44,REF!$J$2:$J$61,REF!C$2:C$61)</f>
        <v>MARYLAND MEDICAID</v>
      </c>
      <c r="E44" s="27" t="str">
        <f>_xlfn.XLOOKUP($L44&amp;"-"&amp;$M44,REF!$J$2:$J$61,REF!D$2:D$61)</f>
        <v>ASBURY SOLOMONS</v>
      </c>
      <c r="F44" s="27" t="str">
        <f>_xlfn.XLOOKUP($L44&amp;"-"&amp;$M44,REF!$J$2:$J$61,REF!E$2:E$61)</f>
        <v>SKILLED NURSING</v>
      </c>
      <c r="G44" s="27" t="str">
        <f>_xlfn.XLOOKUP($L44&amp;"-"&amp;$M44,REF!$J$2:$J$61,REF!F$2:F$61)</f>
        <v>ASBURY SOLOMONS SKILLED NURSING</v>
      </c>
      <c r="H44" s="94">
        <f t="shared" si="3"/>
        <v>37.5</v>
      </c>
      <c r="J44" s="1">
        <v>45658</v>
      </c>
      <c r="K44" s="1">
        <v>46022</v>
      </c>
      <c r="L44">
        <v>200</v>
      </c>
      <c r="M44">
        <v>61</v>
      </c>
      <c r="N44" t="s">
        <v>394</v>
      </c>
      <c r="O44">
        <v>48</v>
      </c>
      <c r="P44">
        <v>37.5</v>
      </c>
    </row>
    <row r="45" spans="1:16" x14ac:dyDescent="0.25">
      <c r="A45" s="103">
        <f t="shared" si="1"/>
        <v>45658</v>
      </c>
      <c r="B45" s="103">
        <f t="shared" si="2"/>
        <v>46022</v>
      </c>
      <c r="C45" s="27" t="str">
        <f>_xlfn.XLOOKUP($L45&amp;"-"&amp;$M45,REF!$J$2:$J$61,REF!B$2:B$61)</f>
        <v>PRIVATE PAY</v>
      </c>
      <c r="D45" s="27" t="str">
        <f>_xlfn.XLOOKUP($L45&amp;"-"&amp;$M45,REF!$J$2:$J$61,REF!C$2:C$61)</f>
        <v>PPM IL</v>
      </c>
      <c r="E45" s="27" t="str">
        <f>_xlfn.XLOOKUP($L45&amp;"-"&amp;$M45,REF!$J$2:$J$61,REF!D$2:D$61)</f>
        <v>SPRINGHILL</v>
      </c>
      <c r="F45" s="27" t="str">
        <f>_xlfn.XLOOKUP($L45&amp;"-"&amp;$M45,REF!$J$2:$J$61,REF!E$2:E$61)</f>
        <v>SPH INDEPENDENT LIVING</v>
      </c>
      <c r="G45" s="27" t="str">
        <f>_xlfn.XLOOKUP($L45&amp;"-"&amp;$M45,REF!$J$2:$J$61,REF!F$2:F$61)</f>
        <v>SPH RL GH</v>
      </c>
      <c r="H45" s="94">
        <f t="shared" si="3"/>
        <v>35</v>
      </c>
      <c r="J45" s="1">
        <v>45658</v>
      </c>
      <c r="K45" s="1">
        <v>46022</v>
      </c>
      <c r="L45">
        <v>324</v>
      </c>
      <c r="M45">
        <v>21</v>
      </c>
      <c r="N45" t="s">
        <v>316</v>
      </c>
      <c r="O45">
        <v>36</v>
      </c>
      <c r="P45">
        <v>35</v>
      </c>
    </row>
    <row r="46" spans="1:16" x14ac:dyDescent="0.25">
      <c r="A46" s="103">
        <f t="shared" si="1"/>
        <v>45658</v>
      </c>
      <c r="B46" s="103">
        <f t="shared" si="2"/>
        <v>46022</v>
      </c>
      <c r="C46" s="27" t="str">
        <f>_xlfn.XLOOKUP($L46&amp;"-"&amp;$M46,REF!$J$2:$J$61,REF!B$2:B$61)</f>
        <v>PRIVATE PAY</v>
      </c>
      <c r="D46" s="27" t="str">
        <f>_xlfn.XLOOKUP($L46&amp;"-"&amp;$M46,REF!$J$2:$J$61,REF!C$2:C$61)</f>
        <v>PPM IL</v>
      </c>
      <c r="E46" s="27" t="str">
        <f>_xlfn.XLOOKUP($L46&amp;"-"&amp;$M46,REF!$J$2:$J$61,REF!D$2:D$61)</f>
        <v>SPRINGHILL</v>
      </c>
      <c r="F46" s="27" t="str">
        <f>_xlfn.XLOOKUP($L46&amp;"-"&amp;$M46,REF!$J$2:$J$61,REF!E$2:E$61)</f>
        <v>SPH INDEPENDENT LIVING</v>
      </c>
      <c r="G46" s="27" t="str">
        <f>_xlfn.XLOOKUP($L46&amp;"-"&amp;$M46,REF!$J$2:$J$61,REF!F$2:F$61)</f>
        <v>SPH RL APTS</v>
      </c>
      <c r="H46" s="94">
        <f t="shared" si="3"/>
        <v>113</v>
      </c>
      <c r="J46" s="1">
        <v>45658</v>
      </c>
      <c r="K46" s="1">
        <v>46022</v>
      </c>
      <c r="L46">
        <v>324</v>
      </c>
      <c r="M46">
        <v>31</v>
      </c>
      <c r="N46" t="s">
        <v>317</v>
      </c>
      <c r="O46">
        <v>123</v>
      </c>
      <c r="P46">
        <v>113</v>
      </c>
    </row>
    <row r="47" spans="1:16" x14ac:dyDescent="0.25">
      <c r="A47" s="103">
        <f t="shared" si="1"/>
        <v>45658</v>
      </c>
      <c r="B47" s="103">
        <f t="shared" si="2"/>
        <v>46022</v>
      </c>
      <c r="C47" s="27" t="str">
        <f>_xlfn.XLOOKUP($L47&amp;"-"&amp;$M47,REF!$J$2:$J$61,REF!B$2:B$61)</f>
        <v>PRIVATE PAY</v>
      </c>
      <c r="D47" s="27" t="str">
        <f>_xlfn.XLOOKUP($L47&amp;"-"&amp;$M47,REF!$J$2:$J$61,REF!C$2:C$61)</f>
        <v>PPM AL</v>
      </c>
      <c r="E47" s="27" t="str">
        <f>_xlfn.XLOOKUP($L47&amp;"-"&amp;$M47,REF!$J$2:$J$61,REF!D$2:D$61)</f>
        <v>SPRINGHILL</v>
      </c>
      <c r="F47" s="27" t="str">
        <f>_xlfn.XLOOKUP($L47&amp;"-"&amp;$M47,REF!$J$2:$J$61,REF!E$2:E$61)</f>
        <v>SPH Personal Care</v>
      </c>
      <c r="G47" s="27" t="str">
        <f>_xlfn.XLOOKUP($L47&amp;"-"&amp;$M47,REF!$J$2:$J$61,REF!F$2:F$61)</f>
        <v>SPH PC APTS</v>
      </c>
      <c r="H47" s="94">
        <f t="shared" si="3"/>
        <v>33</v>
      </c>
      <c r="J47" s="1">
        <v>45658</v>
      </c>
      <c r="K47" s="1">
        <v>46022</v>
      </c>
      <c r="L47">
        <v>324</v>
      </c>
      <c r="M47">
        <v>51</v>
      </c>
      <c r="N47" t="s">
        <v>318</v>
      </c>
      <c r="O47">
        <v>35</v>
      </c>
      <c r="P47">
        <v>33</v>
      </c>
    </row>
    <row r="48" spans="1:16" x14ac:dyDescent="0.25">
      <c r="A48" s="103">
        <f t="shared" si="1"/>
        <v>45658</v>
      </c>
      <c r="B48" s="103">
        <f t="shared" si="2"/>
        <v>46022</v>
      </c>
      <c r="C48" s="27" t="str">
        <f>_xlfn.XLOOKUP($L48&amp;"-"&amp;$M48,REF!$J$2:$J$61,REF!B$2:B$61)</f>
        <v>MEDICAID</v>
      </c>
      <c r="D48" s="27" t="str">
        <f>_xlfn.XLOOKUP($L48&amp;"-"&amp;$M48,REF!$J$2:$J$61,REF!C$2:C$61)</f>
        <v>PA MEDICAID</v>
      </c>
      <c r="E48" s="27" t="str">
        <f>_xlfn.XLOOKUP($L48&amp;"-"&amp;$M48,REF!$J$2:$J$61,REF!D$2:D$61)</f>
        <v>SPRINGHILL</v>
      </c>
      <c r="F48" s="27" t="str">
        <f>_xlfn.XLOOKUP($L48&amp;"-"&amp;$M48,REF!$J$2:$J$61,REF!E$2:E$61)</f>
        <v>SKILLED NURSING</v>
      </c>
      <c r="G48" s="27" t="str">
        <f>_xlfn.XLOOKUP($L48&amp;"-"&amp;$M48,REF!$J$2:$J$61,REF!F$2:F$61)</f>
        <v>Forest View</v>
      </c>
      <c r="H48" s="94">
        <f t="shared" si="3"/>
        <v>73</v>
      </c>
      <c r="J48" s="1">
        <v>45658</v>
      </c>
      <c r="K48" s="1">
        <v>46022</v>
      </c>
      <c r="L48">
        <v>324</v>
      </c>
      <c r="M48">
        <v>61</v>
      </c>
      <c r="N48" t="s">
        <v>395</v>
      </c>
      <c r="O48">
        <v>76</v>
      </c>
      <c r="P48">
        <v>73</v>
      </c>
    </row>
    <row r="49" spans="1:16" x14ac:dyDescent="0.25">
      <c r="A49" s="103">
        <f t="shared" ref="A49:A66" si="8">J49</f>
        <v>45658</v>
      </c>
      <c r="B49" s="103">
        <f t="shared" ref="B49:B66" si="9">K49</f>
        <v>46022</v>
      </c>
      <c r="C49" s="27" t="str">
        <f>_xlfn.XLOOKUP($L49&amp;"-"&amp;$M49,REF!$J$2:$J$61,REF!B$2:B$61)</f>
        <v>PRIVATE PAY</v>
      </c>
      <c r="D49" s="27" t="str">
        <f>_xlfn.XLOOKUP($L49&amp;"-"&amp;$M49,REF!$J$2:$J$61,REF!C$2:C$61)</f>
        <v>PPM IL</v>
      </c>
      <c r="E49" s="27" t="str">
        <f>_xlfn.XLOOKUP($L49&amp;"-"&amp;$M49,REF!$J$2:$J$61,REF!D$2:D$61)</f>
        <v>BETHANY VILLAGE</v>
      </c>
      <c r="F49" s="27" t="str">
        <f>_xlfn.XLOOKUP($L49&amp;"-"&amp;$M49,REF!$J$2:$J$61,REF!E$2:E$61)</f>
        <v>BV INDEPENDENT LIVING</v>
      </c>
      <c r="G49" s="27" t="str">
        <f>_xlfn.XLOOKUP($L49&amp;"-"&amp;$M49,REF!$J$2:$J$61,REF!F$2:F$61)</f>
        <v>COTTAGE EAST</v>
      </c>
      <c r="H49" s="94">
        <f t="shared" ref="H49:H64" si="10">P49</f>
        <v>93</v>
      </c>
      <c r="J49" s="1">
        <v>45658</v>
      </c>
      <c r="K49" s="1">
        <v>46022</v>
      </c>
      <c r="L49">
        <v>810</v>
      </c>
      <c r="M49">
        <v>21</v>
      </c>
      <c r="N49" t="s">
        <v>319</v>
      </c>
      <c r="O49">
        <v>95</v>
      </c>
      <c r="P49">
        <v>93</v>
      </c>
    </row>
    <row r="50" spans="1:16" x14ac:dyDescent="0.25">
      <c r="A50" s="103">
        <f t="shared" si="8"/>
        <v>45658</v>
      </c>
      <c r="B50" s="103">
        <f t="shared" si="9"/>
        <v>46022</v>
      </c>
      <c r="C50" s="27" t="str">
        <f>_xlfn.XLOOKUP($L50&amp;"-"&amp;$M50,REF!$J$2:$J$61,REF!B$2:B$61)</f>
        <v>PRIVATE PAY</v>
      </c>
      <c r="D50" s="27" t="str">
        <f>_xlfn.XLOOKUP($L50&amp;"-"&amp;$M50,REF!$J$2:$J$61,REF!C$2:C$61)</f>
        <v>PPM IL</v>
      </c>
      <c r="E50" s="27" t="str">
        <f>_xlfn.XLOOKUP($L50&amp;"-"&amp;$M50,REF!$J$2:$J$61,REF!D$2:D$61)</f>
        <v>BETHANY VILLAGE</v>
      </c>
      <c r="F50" s="27" t="str">
        <f>_xlfn.XLOOKUP($L50&amp;"-"&amp;$M50,REF!$J$2:$J$61,REF!E$2:E$61)</f>
        <v>BV INDEPENDENT LIVING</v>
      </c>
      <c r="G50" s="27" t="str">
        <f>_xlfn.XLOOKUP($L50&amp;"-"&amp;$M50,REF!$J$2:$J$61,REF!F$2:F$61)</f>
        <v>COTTAGE WEST</v>
      </c>
      <c r="H50" s="94">
        <f t="shared" si="10"/>
        <v>46</v>
      </c>
      <c r="J50" s="1">
        <v>45658</v>
      </c>
      <c r="K50" s="1">
        <v>46022</v>
      </c>
      <c r="L50">
        <v>810</v>
      </c>
      <c r="M50">
        <v>22</v>
      </c>
      <c r="N50" t="s">
        <v>320</v>
      </c>
      <c r="O50">
        <v>47</v>
      </c>
      <c r="P50">
        <v>46</v>
      </c>
    </row>
    <row r="51" spans="1:16" x14ac:dyDescent="0.25">
      <c r="A51" s="103">
        <f t="shared" si="8"/>
        <v>45658</v>
      </c>
      <c r="B51" s="103">
        <f t="shared" si="9"/>
        <v>46022</v>
      </c>
      <c r="C51" s="27" t="str">
        <f>_xlfn.XLOOKUP($L51&amp;"-"&amp;$M51,REF!$J$2:$J$61,REF!B$2:B$61)</f>
        <v>PRIVATE PAY</v>
      </c>
      <c r="D51" s="27" t="str">
        <f>_xlfn.XLOOKUP($L51&amp;"-"&amp;$M51,REF!$J$2:$J$61,REF!C$2:C$61)</f>
        <v>PPM IL</v>
      </c>
      <c r="E51" s="27" t="str">
        <f>_xlfn.XLOOKUP($L51&amp;"-"&amp;$M51,REF!$J$2:$J$61,REF!D$2:D$61)</f>
        <v>BETHANY VILLAGE</v>
      </c>
      <c r="F51" s="27" t="str">
        <f>_xlfn.XLOOKUP($L51&amp;"-"&amp;$M51,REF!$J$2:$J$61,REF!E$2:E$61)</f>
        <v>BV INDEPENDENT LIVING</v>
      </c>
      <c r="G51" s="27" t="str">
        <f>_xlfn.XLOOKUP($L51&amp;"-"&amp;$M51,REF!$J$2:$J$61,REF!F$2:F$61)</f>
        <v>CENTER APARTMENTS</v>
      </c>
      <c r="H51" s="94">
        <f t="shared" si="10"/>
        <v>16</v>
      </c>
      <c r="J51" s="1">
        <v>45658</v>
      </c>
      <c r="K51" s="1">
        <v>46022</v>
      </c>
      <c r="L51">
        <v>810</v>
      </c>
      <c r="M51">
        <v>31</v>
      </c>
      <c r="N51" t="s">
        <v>321</v>
      </c>
      <c r="O51">
        <v>17</v>
      </c>
      <c r="P51">
        <v>16</v>
      </c>
    </row>
    <row r="52" spans="1:16" x14ac:dyDescent="0.25">
      <c r="A52" s="103">
        <f t="shared" si="8"/>
        <v>45658</v>
      </c>
      <c r="B52" s="103">
        <f t="shared" si="9"/>
        <v>46022</v>
      </c>
      <c r="C52" s="27" t="str">
        <f>_xlfn.XLOOKUP($L52&amp;"-"&amp;$M52,REF!$J$2:$J$61,REF!B$2:B$61)</f>
        <v>PRIVATE PAY</v>
      </c>
      <c r="D52" s="27" t="str">
        <f>_xlfn.XLOOKUP($L52&amp;"-"&amp;$M52,REF!$J$2:$J$61,REF!C$2:C$61)</f>
        <v>PPM IL</v>
      </c>
      <c r="E52" s="27" t="str">
        <f>_xlfn.XLOOKUP($L52&amp;"-"&amp;$M52,REF!$J$2:$J$61,REF!D$2:D$61)</f>
        <v>BETHANY VILLAGE</v>
      </c>
      <c r="F52" s="27" t="str">
        <f>_xlfn.XLOOKUP($L52&amp;"-"&amp;$M52,REF!$J$2:$J$61,REF!E$2:E$61)</f>
        <v>BV INDEPENDENT LIVING</v>
      </c>
      <c r="G52" s="27" t="str">
        <f>_xlfn.XLOOKUP($L52&amp;"-"&amp;$M52,REF!$J$2:$J$61,REF!F$2:F$61)</f>
        <v>COURT APARTMENTS</v>
      </c>
      <c r="H52" s="94">
        <f t="shared" si="10"/>
        <v>85.5</v>
      </c>
      <c r="J52" s="1">
        <v>45658</v>
      </c>
      <c r="K52" s="1">
        <v>46022</v>
      </c>
      <c r="L52">
        <v>810</v>
      </c>
      <c r="M52">
        <v>32</v>
      </c>
      <c r="N52" t="s">
        <v>322</v>
      </c>
      <c r="O52">
        <v>94</v>
      </c>
      <c r="P52">
        <v>85.5</v>
      </c>
    </row>
    <row r="53" spans="1:16" x14ac:dyDescent="0.25">
      <c r="A53" s="103">
        <f t="shared" si="8"/>
        <v>45658</v>
      </c>
      <c r="B53" s="103">
        <f t="shared" si="9"/>
        <v>46022</v>
      </c>
      <c r="C53" s="27" t="str">
        <f>_xlfn.XLOOKUP($L53&amp;"-"&amp;$M53,REF!$J$2:$J$61,REF!B$2:B$61)</f>
        <v>PRIVATE PAY</v>
      </c>
      <c r="D53" s="27" t="str">
        <f>_xlfn.XLOOKUP($L53&amp;"-"&amp;$M53,REF!$J$2:$J$61,REF!C$2:C$61)</f>
        <v>PPM IL</v>
      </c>
      <c r="E53" s="27" t="str">
        <f>_xlfn.XLOOKUP($L53&amp;"-"&amp;$M53,REF!$J$2:$J$61,REF!D$2:D$61)</f>
        <v>BETHANY VILLAGE</v>
      </c>
      <c r="F53" s="27" t="str">
        <f>_xlfn.XLOOKUP($L53&amp;"-"&amp;$M53,REF!$J$2:$J$61,REF!E$2:E$61)</f>
        <v>BV INDEPENDENT LIVING</v>
      </c>
      <c r="G53" s="27" t="str">
        <f>_xlfn.XLOOKUP($L53&amp;"-"&amp;$M53,REF!$J$2:$J$61,REF!F$2:F$61)</f>
        <v>WEST APARTMENTS</v>
      </c>
      <c r="H53" s="94">
        <f t="shared" si="10"/>
        <v>132</v>
      </c>
      <c r="J53" s="1">
        <v>45658</v>
      </c>
      <c r="K53" s="1">
        <v>46022</v>
      </c>
      <c r="L53">
        <v>810</v>
      </c>
      <c r="M53">
        <v>33</v>
      </c>
      <c r="N53" t="s">
        <v>323</v>
      </c>
      <c r="O53">
        <v>138</v>
      </c>
      <c r="P53">
        <v>132</v>
      </c>
    </row>
    <row r="54" spans="1:16" x14ac:dyDescent="0.25">
      <c r="A54" s="103">
        <f t="shared" si="8"/>
        <v>45658</v>
      </c>
      <c r="B54" s="103">
        <f t="shared" si="9"/>
        <v>46022</v>
      </c>
      <c r="C54" s="27" t="str">
        <f>_xlfn.XLOOKUP($L54&amp;"-"&amp;$M54,REF!$J$2:$J$61,REF!B$2:B$61)</f>
        <v>PRIVATE PAY</v>
      </c>
      <c r="D54" s="27" t="str">
        <f>_xlfn.XLOOKUP($L54&amp;"-"&amp;$M54,REF!$J$2:$J$61,REF!C$2:C$61)</f>
        <v>PPM AL</v>
      </c>
      <c r="E54" s="27" t="str">
        <f>_xlfn.XLOOKUP($L54&amp;"-"&amp;$M54,REF!$J$2:$J$61,REF!D$2:D$61)</f>
        <v>BETHANY VILLAGE</v>
      </c>
      <c r="F54" s="27" t="str">
        <f>_xlfn.XLOOKUP($L54&amp;"-"&amp;$M54,REF!$J$2:$J$61,REF!E$2:E$61)</f>
        <v>BV ASSISTED LIVING</v>
      </c>
      <c r="G54" s="27" t="str">
        <f>_xlfn.XLOOKUP($L54&amp;"-"&amp;$M54,REF!$J$2:$J$61,REF!F$2:F$61)</f>
        <v>MAPLEWOOD</v>
      </c>
      <c r="H54" s="94">
        <f t="shared" si="10"/>
        <v>96.5</v>
      </c>
      <c r="J54" s="1">
        <v>45658</v>
      </c>
      <c r="K54" s="1">
        <v>46022</v>
      </c>
      <c r="L54">
        <v>810</v>
      </c>
      <c r="M54">
        <v>51</v>
      </c>
      <c r="N54" t="s">
        <v>324</v>
      </c>
      <c r="O54">
        <v>100</v>
      </c>
      <c r="P54">
        <v>96.5</v>
      </c>
    </row>
    <row r="55" spans="1:16" x14ac:dyDescent="0.25">
      <c r="A55" s="103">
        <f t="shared" si="8"/>
        <v>45658</v>
      </c>
      <c r="B55" s="103">
        <f t="shared" si="9"/>
        <v>46022</v>
      </c>
      <c r="C55" s="27" t="str">
        <f>_xlfn.XLOOKUP($L55&amp;"-"&amp;$M55,REF!$J$2:$J$61,REF!B$2:B$61)</f>
        <v>MEDICAID</v>
      </c>
      <c r="D55" s="27" t="str">
        <f>_xlfn.XLOOKUP($L55&amp;"-"&amp;$M55,REF!$J$2:$J$61,REF!C$2:C$61)</f>
        <v>PA MEDICAID</v>
      </c>
      <c r="E55" s="27" t="str">
        <f>_xlfn.XLOOKUP($L55&amp;"-"&amp;$M55,REF!$J$2:$J$61,REF!D$2:D$61)</f>
        <v>BETHANY VILLAGE</v>
      </c>
      <c r="F55" s="27" t="str">
        <f>_xlfn.XLOOKUP($L55&amp;"-"&amp;$M55,REF!$J$2:$J$61,REF!E$2:E$61)</f>
        <v>SKILLED NURSING</v>
      </c>
      <c r="G55" s="27" t="str">
        <f>_xlfn.XLOOKUP($L55&amp;"-"&amp;$M55,REF!$J$2:$J$61,REF!F$2:F$61)</f>
        <v>BETHANY VILLAGE - THE OAKS</v>
      </c>
      <c r="H55" s="94">
        <f t="shared" si="10"/>
        <v>66</v>
      </c>
      <c r="J55" s="1">
        <v>45658</v>
      </c>
      <c r="K55" s="1">
        <v>46022</v>
      </c>
      <c r="L55">
        <v>810</v>
      </c>
      <c r="M55">
        <v>61</v>
      </c>
      <c r="N55" t="s">
        <v>396</v>
      </c>
      <c r="O55">
        <v>69</v>
      </c>
      <c r="P55">
        <v>66</v>
      </c>
    </row>
    <row r="56" spans="1:16" x14ac:dyDescent="0.25">
      <c r="A56" s="103">
        <f t="shared" si="8"/>
        <v>45658</v>
      </c>
      <c r="B56" s="103">
        <f t="shared" si="9"/>
        <v>46022</v>
      </c>
      <c r="C56" s="27" t="str">
        <f>_xlfn.XLOOKUP($L56&amp;"-"&amp;$M56,REF!$J$2:$J$61,REF!B$2:B$61)</f>
        <v>PRIVATE PAY</v>
      </c>
      <c r="D56" s="27" t="str">
        <f>_xlfn.XLOOKUP($L56&amp;"-"&amp;$M56,REF!$J$2:$J$61,REF!C$2:C$61)</f>
        <v>PPM IL</v>
      </c>
      <c r="E56" s="27" t="str">
        <f>_xlfn.XLOOKUP($L56&amp;"-"&amp;$M56,REF!$J$2:$J$61,REF!D$2:D$61)</f>
        <v>Chandler Estates</v>
      </c>
      <c r="F56" s="27" t="str">
        <f>_xlfn.XLOOKUP($L56&amp;"-"&amp;$M56,REF!$J$2:$J$61,REF!E$2:E$61)</f>
        <v>CE Independent Living</v>
      </c>
      <c r="G56" s="27" t="str">
        <f>_xlfn.XLOOKUP($L56&amp;"-"&amp;$M56,REF!$J$2:$J$61,REF!F$2:F$61)</f>
        <v>Cottage Units</v>
      </c>
      <c r="H56" s="94">
        <f t="shared" si="10"/>
        <v>30</v>
      </c>
      <c r="J56" s="1">
        <v>45658</v>
      </c>
      <c r="K56" s="1">
        <v>46022</v>
      </c>
      <c r="L56">
        <v>925</v>
      </c>
      <c r="M56">
        <v>21</v>
      </c>
      <c r="N56" t="s">
        <v>325</v>
      </c>
      <c r="O56">
        <v>31</v>
      </c>
      <c r="P56">
        <v>30</v>
      </c>
    </row>
    <row r="57" spans="1:16" x14ac:dyDescent="0.25">
      <c r="A57" s="103">
        <f t="shared" si="8"/>
        <v>45658</v>
      </c>
      <c r="B57" s="103">
        <f t="shared" si="9"/>
        <v>46022</v>
      </c>
      <c r="C57" s="27" t="str">
        <f>_xlfn.XLOOKUP($L57&amp;"-"&amp;$M57,REF!$J$2:$J$61,REF!B$2:B$61)</f>
        <v>PRIVATE PAY</v>
      </c>
      <c r="D57" s="27" t="str">
        <f>_xlfn.XLOOKUP($L57&amp;"-"&amp;$M57,REF!$J$2:$J$61,REF!C$2:C$61)</f>
        <v>PPM IL</v>
      </c>
      <c r="E57" s="27" t="str">
        <f>_xlfn.XLOOKUP($L57&amp;"-"&amp;$M57,REF!$J$2:$J$61,REF!D$2:D$61)</f>
        <v>Chandler Estates</v>
      </c>
      <c r="F57" s="27" t="str">
        <f>_xlfn.XLOOKUP($L57&amp;"-"&amp;$M57,REF!$J$2:$J$61,REF!E$2:E$61)</f>
        <v>CE Independent Living</v>
      </c>
      <c r="G57" s="27" t="str">
        <f>_xlfn.XLOOKUP($L57&amp;"-"&amp;$M57,REF!$J$2:$J$61,REF!F$2:F$61)</f>
        <v>Garden Units</v>
      </c>
      <c r="H57" s="94">
        <f t="shared" si="10"/>
        <v>35</v>
      </c>
      <c r="J57" s="1">
        <v>45658</v>
      </c>
      <c r="K57" s="1">
        <v>46022</v>
      </c>
      <c r="L57">
        <v>925</v>
      </c>
      <c r="M57">
        <v>31</v>
      </c>
      <c r="N57" t="s">
        <v>326</v>
      </c>
      <c r="O57">
        <v>36</v>
      </c>
      <c r="P57">
        <v>35</v>
      </c>
    </row>
    <row r="58" spans="1:16" x14ac:dyDescent="0.25">
      <c r="A58" s="103">
        <f t="shared" si="8"/>
        <v>45658</v>
      </c>
      <c r="B58" s="103">
        <f t="shared" si="9"/>
        <v>46022</v>
      </c>
      <c r="C58" s="27" t="str">
        <f>_xlfn.XLOOKUP($L58&amp;"-"&amp;$M58,REF!$J$2:$J$61,REF!B$2:B$61)</f>
        <v>PRIVATE PAY</v>
      </c>
      <c r="D58" s="27" t="str">
        <f>_xlfn.XLOOKUP($L58&amp;"-"&amp;$M58,REF!$J$2:$J$61,REF!C$2:C$61)</f>
        <v>PPM AL</v>
      </c>
      <c r="E58" s="27" t="str">
        <f>_xlfn.XLOOKUP($L58&amp;"-"&amp;$M58,REF!$J$2:$J$61,REF!D$2:D$61)</f>
        <v>Chandler Estates</v>
      </c>
      <c r="F58" s="27" t="str">
        <f>_xlfn.XLOOKUP($L58&amp;"-"&amp;$M58,REF!$J$2:$J$61,REF!E$2:E$61)</f>
        <v>CE Assisted Living</v>
      </c>
      <c r="G58" s="27" t="str">
        <f>_xlfn.XLOOKUP($L58&amp;"-"&amp;$M58,REF!$J$2:$J$61,REF!F$2:F$61)</f>
        <v>CE PC Units</v>
      </c>
      <c r="H58" s="94">
        <f t="shared" si="10"/>
        <v>37</v>
      </c>
      <c r="J58" s="1">
        <v>45658</v>
      </c>
      <c r="K58" s="1">
        <v>46022</v>
      </c>
      <c r="L58">
        <v>925</v>
      </c>
      <c r="M58">
        <v>51</v>
      </c>
      <c r="N58" t="s">
        <v>327</v>
      </c>
      <c r="O58">
        <v>39</v>
      </c>
      <c r="P58">
        <v>37</v>
      </c>
    </row>
    <row r="59" spans="1:16" x14ac:dyDescent="0.25">
      <c r="A59" s="103">
        <f t="shared" si="8"/>
        <v>45658</v>
      </c>
      <c r="B59" s="103">
        <f t="shared" si="9"/>
        <v>46022</v>
      </c>
      <c r="C59" s="27" t="str">
        <f>_xlfn.XLOOKUP($L59&amp;"-"&amp;$M59,REF!$J$2:$J$61,REF!B$2:B$61)</f>
        <v>PRIVATE PAY</v>
      </c>
      <c r="D59" s="27" t="str">
        <f>_xlfn.XLOOKUP($L59&amp;"-"&amp;$M59,REF!$J$2:$J$61,REF!C$2:C$61)</f>
        <v>PPM IL</v>
      </c>
      <c r="E59" s="27" t="str">
        <f>_xlfn.XLOOKUP($L59&amp;"-"&amp;$M59,REF!$J$2:$J$61,REF!D$2:D$61)</f>
        <v>Riverwoods</v>
      </c>
      <c r="F59" s="27" t="str">
        <f>_xlfn.XLOOKUP($L59&amp;"-"&amp;$M59,REF!$J$2:$J$61,REF!E$2:E$61)</f>
        <v>RIVERWOODS INDEPENDENT LIVING</v>
      </c>
      <c r="G59" s="27" t="str">
        <f>_xlfn.XLOOKUP($L59&amp;"-"&amp;$M59,REF!$J$2:$J$61,REF!F$2:F$61)</f>
        <v>GC</v>
      </c>
      <c r="H59" s="94">
        <f t="shared" si="10"/>
        <v>48</v>
      </c>
      <c r="J59" s="1">
        <v>45658</v>
      </c>
      <c r="K59" s="1">
        <v>46022</v>
      </c>
      <c r="L59">
        <v>835</v>
      </c>
      <c r="M59">
        <v>21</v>
      </c>
      <c r="N59" t="s">
        <v>328</v>
      </c>
      <c r="O59">
        <v>51</v>
      </c>
      <c r="P59">
        <v>48</v>
      </c>
    </row>
    <row r="60" spans="1:16" x14ac:dyDescent="0.25">
      <c r="A60" s="103">
        <f t="shared" si="8"/>
        <v>45658</v>
      </c>
      <c r="B60" s="103">
        <f t="shared" si="9"/>
        <v>46022</v>
      </c>
      <c r="C60" s="27" t="str">
        <f>_xlfn.XLOOKUP($L60&amp;"-"&amp;$M60,REF!$J$2:$J$61,REF!B$2:B$61)</f>
        <v>PRIVATE PAY</v>
      </c>
      <c r="D60" s="27" t="str">
        <f>_xlfn.XLOOKUP($L60&amp;"-"&amp;$M60,REF!$J$2:$J$61,REF!C$2:C$61)</f>
        <v>PPM IL</v>
      </c>
      <c r="E60" s="27" t="str">
        <f>_xlfn.XLOOKUP($L60&amp;"-"&amp;$M60,REF!$J$2:$J$61,REF!D$2:D$61)</f>
        <v>Riverwoods</v>
      </c>
      <c r="F60" s="27" t="str">
        <f>_xlfn.XLOOKUP($L60&amp;"-"&amp;$M60,REF!$J$2:$J$61,REF!E$2:E$61)</f>
        <v>RIVERWOODS INDEPENDENT LIVING</v>
      </c>
      <c r="G60" s="27" t="str">
        <f>_xlfn.XLOOKUP($L60&amp;"-"&amp;$M60,REF!$J$2:$J$61,REF!F$2:F$61)</f>
        <v>RC APT</v>
      </c>
      <c r="H60" s="94">
        <f t="shared" si="10"/>
        <v>72</v>
      </c>
      <c r="J60" s="1">
        <v>45658</v>
      </c>
      <c r="K60" s="1">
        <v>46022</v>
      </c>
      <c r="L60">
        <v>835</v>
      </c>
      <c r="M60">
        <v>31</v>
      </c>
      <c r="N60" t="s">
        <v>329</v>
      </c>
      <c r="O60">
        <v>78</v>
      </c>
      <c r="P60">
        <v>72</v>
      </c>
    </row>
    <row r="61" spans="1:16" x14ac:dyDescent="0.25">
      <c r="A61" s="103">
        <f t="shared" si="8"/>
        <v>45658</v>
      </c>
      <c r="B61" s="103">
        <f t="shared" si="9"/>
        <v>46022</v>
      </c>
      <c r="C61" s="27" t="str">
        <f>_xlfn.XLOOKUP($L61&amp;"-"&amp;$M61,REF!$J$2:$J$61,REF!B$2:B$61)</f>
        <v>PRIVATE PAY</v>
      </c>
      <c r="D61" s="27" t="str">
        <f>_xlfn.XLOOKUP($L61&amp;"-"&amp;$M61,REF!$J$2:$J$61,REF!C$2:C$61)</f>
        <v>PPM AL</v>
      </c>
      <c r="E61" s="27" t="str">
        <f>_xlfn.XLOOKUP($L61&amp;"-"&amp;$M61,REF!$J$2:$J$61,REF!D$2:D$61)</f>
        <v>Riverwoods</v>
      </c>
      <c r="F61" s="27" t="str">
        <f>_xlfn.XLOOKUP($L61&amp;"-"&amp;$M61,REF!$J$2:$J$61,REF!E$2:E$61)</f>
        <v>RIVERWOODS ASSISTED LIVING</v>
      </c>
      <c r="G61" s="27" t="str">
        <f>_xlfn.XLOOKUP($L61&amp;"-"&amp;$M61,REF!$J$2:$J$61,REF!F$2:F$61)</f>
        <v>RW PC</v>
      </c>
      <c r="H61" s="94">
        <f t="shared" si="10"/>
        <v>35.340000000000003</v>
      </c>
      <c r="J61" s="1">
        <v>45658</v>
      </c>
      <c r="K61" s="1">
        <v>46022</v>
      </c>
      <c r="L61">
        <v>835</v>
      </c>
      <c r="M61">
        <v>51</v>
      </c>
      <c r="N61" t="s">
        <v>330</v>
      </c>
      <c r="O61">
        <v>38</v>
      </c>
      <c r="P61">
        <v>35.340000000000003</v>
      </c>
    </row>
    <row r="62" spans="1:16" x14ac:dyDescent="0.25">
      <c r="A62" s="103">
        <f t="shared" si="8"/>
        <v>45658</v>
      </c>
      <c r="B62" s="103">
        <f t="shared" si="9"/>
        <v>46022</v>
      </c>
      <c r="C62" s="27" t="str">
        <f>_xlfn.XLOOKUP($L62&amp;"-"&amp;$M62,REF!$J$2:$J$61,REF!B$2:B$61)</f>
        <v>MANAGED CARE</v>
      </c>
      <c r="D62" s="27" t="str">
        <f>_xlfn.XLOOKUP($L62&amp;"-"&amp;$M62,REF!$J$2:$J$61,REF!C$2:C$61)</f>
        <v>MGCARE LEVEL OF CARE</v>
      </c>
      <c r="E62" s="27" t="str">
        <f>_xlfn.XLOOKUP($L62&amp;"-"&amp;$M62,REF!$J$2:$J$61,REF!D$2:D$61)</f>
        <v>Riverwoods</v>
      </c>
      <c r="F62" s="27" t="str">
        <f>_xlfn.XLOOKUP($L62&amp;"-"&amp;$M62,REF!$J$2:$J$61,REF!E$2:E$61)</f>
        <v>SKILLED NURSING</v>
      </c>
      <c r="G62" s="27" t="str">
        <f>_xlfn.XLOOKUP($L62&amp;"-"&amp;$M62,REF!$J$2:$J$61,REF!F$2:F$61)</f>
        <v>RIVERWOODS SKILLED NURSING FACILITY</v>
      </c>
      <c r="H62" s="94">
        <f t="shared" si="10"/>
        <v>0</v>
      </c>
      <c r="J62" s="1">
        <v>45658</v>
      </c>
      <c r="K62" s="1">
        <v>46022</v>
      </c>
      <c r="L62">
        <v>835</v>
      </c>
      <c r="M62">
        <v>61</v>
      </c>
      <c r="N62" t="s">
        <v>397</v>
      </c>
      <c r="O62">
        <v>0</v>
      </c>
      <c r="P62">
        <v>0</v>
      </c>
    </row>
    <row r="63" spans="1:16" x14ac:dyDescent="0.25">
      <c r="A63" s="103">
        <f t="shared" si="8"/>
        <v>45658</v>
      </c>
      <c r="B63" s="103">
        <f t="shared" si="9"/>
        <v>46022</v>
      </c>
      <c r="C63" s="27" t="str">
        <f>_xlfn.XLOOKUP($L63&amp;"-"&amp;$M63,REF!$J$2:$J$61,REF!B$2:B$61)</f>
        <v>PRIVATE PAY</v>
      </c>
      <c r="D63" s="27" t="str">
        <f>_xlfn.XLOOKUP($L63&amp;"-"&amp;$M63,REF!$J$2:$J$61,REF!C$2:C$61)</f>
        <v>PPM IL</v>
      </c>
      <c r="E63" s="27" t="str">
        <f>_xlfn.XLOOKUP($L63&amp;"-"&amp;$M63,REF!$J$2:$J$61,REF!D$2:D$61)</f>
        <v>Normandie Ridge</v>
      </c>
      <c r="F63" s="27" t="str">
        <f>_xlfn.XLOOKUP($L63&amp;"-"&amp;$M63,REF!$J$2:$J$61,REF!E$2:E$61)</f>
        <v>NORMANDIE RIDGE IL</v>
      </c>
      <c r="G63" s="27" t="str">
        <f>_xlfn.XLOOKUP($L63&amp;"-"&amp;$M63,REF!$J$2:$J$61,REF!F$2:F$61)</f>
        <v>Garden Cottages</v>
      </c>
      <c r="H63" s="94">
        <f t="shared" si="10"/>
        <v>62</v>
      </c>
      <c r="J63" s="1">
        <v>45658</v>
      </c>
      <c r="K63" s="1">
        <v>46022</v>
      </c>
      <c r="L63">
        <v>840</v>
      </c>
      <c r="M63">
        <v>21</v>
      </c>
      <c r="N63" t="s">
        <v>331</v>
      </c>
      <c r="O63">
        <v>66</v>
      </c>
      <c r="P63">
        <v>62</v>
      </c>
    </row>
    <row r="64" spans="1:16" x14ac:dyDescent="0.25">
      <c r="A64" s="103">
        <f t="shared" si="8"/>
        <v>45658</v>
      </c>
      <c r="B64" s="103">
        <f t="shared" si="9"/>
        <v>46022</v>
      </c>
      <c r="C64" s="27" t="str">
        <f>_xlfn.XLOOKUP($L64&amp;"-"&amp;$M64,REF!$J$2:$J$61,REF!B$2:B$61)</f>
        <v>PRIVATE PAY</v>
      </c>
      <c r="D64" s="27" t="str">
        <f>_xlfn.XLOOKUP($L64&amp;"-"&amp;$M64,REF!$J$2:$J$61,REF!C$2:C$61)</f>
        <v>PPM IL</v>
      </c>
      <c r="E64" s="27" t="str">
        <f>_xlfn.XLOOKUP($L64&amp;"-"&amp;$M64,REF!$J$2:$J$61,REF!D$2:D$61)</f>
        <v>Normandie Ridge</v>
      </c>
      <c r="F64" s="27" t="str">
        <f>_xlfn.XLOOKUP($L64&amp;"-"&amp;$M64,REF!$J$2:$J$61,REF!E$2:E$61)</f>
        <v>NORMANDIE RIDGE IL</v>
      </c>
      <c r="G64" s="27" t="str">
        <f>_xlfn.XLOOKUP($L64&amp;"-"&amp;$M64,REF!$J$2:$J$61,REF!F$2:F$61)</f>
        <v>MANCHESTER APTS</v>
      </c>
      <c r="H64" s="94">
        <f t="shared" si="10"/>
        <v>84</v>
      </c>
      <c r="J64" s="1">
        <v>45658</v>
      </c>
      <c r="K64" s="1">
        <v>46022</v>
      </c>
      <c r="L64">
        <v>840</v>
      </c>
      <c r="M64">
        <v>31</v>
      </c>
      <c r="N64" t="s">
        <v>332</v>
      </c>
      <c r="O64">
        <v>88</v>
      </c>
      <c r="P64">
        <v>84</v>
      </c>
    </row>
    <row r="65" spans="1:27" x14ac:dyDescent="0.25">
      <c r="A65" s="103">
        <f>J65</f>
        <v>45658</v>
      </c>
      <c r="B65" s="103">
        <f>K65</f>
        <v>46022</v>
      </c>
      <c r="C65" s="27" t="str">
        <f>_xlfn.XLOOKUP($L65&amp;"-"&amp;$M65,REF!$J$2:$J$61,REF!B$2:B$61)</f>
        <v>MANAGED CARE</v>
      </c>
      <c r="D65" s="27" t="str">
        <f>_xlfn.XLOOKUP($L65&amp;"-"&amp;$M65,REF!$J$2:$J$61,REF!C$2:C$61)</f>
        <v>MGCARE LEVEL OF CARE</v>
      </c>
      <c r="E65" s="27" t="str">
        <f>_xlfn.XLOOKUP($L65&amp;"-"&amp;$M65,REF!$J$2:$J$61,REF!D$2:D$61)</f>
        <v>Normandie Ridge</v>
      </c>
      <c r="F65" s="27" t="str">
        <f>_xlfn.XLOOKUP($L65&amp;"-"&amp;$M65,REF!$J$2:$J$61,REF!E$2:E$61)</f>
        <v>SKILLED NURSING</v>
      </c>
      <c r="G65" s="27" t="str">
        <f>_xlfn.XLOOKUP($L65&amp;"-"&amp;$M65,REF!$J$2:$J$61,REF!F$2:F$61)</f>
        <v>NORMANDIE RIDGE SNF</v>
      </c>
      <c r="H65" s="94">
        <f>P65</f>
        <v>61</v>
      </c>
      <c r="J65" s="1">
        <v>45658</v>
      </c>
      <c r="K65" s="1">
        <v>46022</v>
      </c>
      <c r="L65">
        <v>840</v>
      </c>
      <c r="M65">
        <v>61</v>
      </c>
      <c r="N65" t="s">
        <v>280</v>
      </c>
      <c r="O65">
        <v>64</v>
      </c>
      <c r="P65">
        <v>61</v>
      </c>
    </row>
    <row r="66" spans="1:27" x14ac:dyDescent="0.25">
      <c r="A66" s="103">
        <f t="shared" si="8"/>
        <v>45658</v>
      </c>
      <c r="B66" s="103">
        <f t="shared" si="9"/>
        <v>46022</v>
      </c>
      <c r="C66" s="27" t="str">
        <f>_xlfn.XLOOKUP($L66&amp;"-"&amp;$M66,REF!$J$2:$J$61,REF!B$2:B$61)</f>
        <v>PRIVATE PAY</v>
      </c>
      <c r="D66" s="27" t="str">
        <f>_xlfn.XLOOKUP($L66&amp;"-"&amp;$M66,REF!$J$2:$J$61,REF!C$2:C$61)</f>
        <v>PPM AL</v>
      </c>
      <c r="E66" s="27" t="str">
        <f>_xlfn.XLOOKUP($L66&amp;"-"&amp;$M66,REF!$J$2:$J$61,REF!D$2:D$61)</f>
        <v>Normandie Ridge</v>
      </c>
      <c r="F66" s="27" t="str">
        <f>_xlfn.XLOOKUP($L66&amp;"-"&amp;$M66,REF!$J$2:$J$61,REF!E$2:E$61)</f>
        <v>NORMANDIE RIDGE AL</v>
      </c>
      <c r="G66" s="27" t="str">
        <f>_xlfn.XLOOKUP($L66&amp;"-"&amp;$M66,REF!$J$2:$J$61,REF!F$2:F$61)</f>
        <v>NR PC</v>
      </c>
      <c r="H66" s="78">
        <f>P66+P67</f>
        <v>24</v>
      </c>
      <c r="J66" s="1">
        <v>45658</v>
      </c>
      <c r="K66" s="1">
        <v>46022</v>
      </c>
      <c r="L66">
        <v>840</v>
      </c>
      <c r="M66">
        <v>51</v>
      </c>
      <c r="N66" t="s">
        <v>333</v>
      </c>
      <c r="O66">
        <v>9</v>
      </c>
      <c r="P66">
        <v>8.5</v>
      </c>
      <c r="Q66" t="s">
        <v>340</v>
      </c>
    </row>
    <row r="67" spans="1:27" x14ac:dyDescent="0.25">
      <c r="A67" s="102">
        <f>J68</f>
        <v>45658</v>
      </c>
      <c r="B67" s="102">
        <f>K68</f>
        <v>46022</v>
      </c>
      <c r="C67" s="78" t="s">
        <v>8</v>
      </c>
      <c r="D67" s="78" t="s">
        <v>9</v>
      </c>
      <c r="E67" s="78" t="s">
        <v>341</v>
      </c>
      <c r="F67" s="78" t="s">
        <v>344</v>
      </c>
      <c r="G67" s="78" t="s">
        <v>348</v>
      </c>
      <c r="H67" s="78">
        <f>P68</f>
        <v>12</v>
      </c>
      <c r="J67" s="1">
        <v>45658</v>
      </c>
      <c r="K67" s="1">
        <v>46022</v>
      </c>
      <c r="L67">
        <v>840</v>
      </c>
      <c r="M67">
        <v>52</v>
      </c>
      <c r="N67" t="s">
        <v>281</v>
      </c>
      <c r="O67">
        <v>16</v>
      </c>
      <c r="P67">
        <v>15.5</v>
      </c>
      <c r="Q67" t="s">
        <v>340</v>
      </c>
    </row>
    <row r="68" spans="1:27" x14ac:dyDescent="0.25">
      <c r="A68" s="102">
        <f>J69</f>
        <v>45658</v>
      </c>
      <c r="B68" s="102">
        <f>K69</f>
        <v>46022</v>
      </c>
      <c r="C68" s="78" t="s">
        <v>8</v>
      </c>
      <c r="D68" s="78" t="s">
        <v>20</v>
      </c>
      <c r="E68" s="78" t="s">
        <v>341</v>
      </c>
      <c r="F68" s="78" t="s">
        <v>343</v>
      </c>
      <c r="G68" s="78" t="s">
        <v>346</v>
      </c>
      <c r="H68" s="78">
        <f>P69+P70</f>
        <v>77</v>
      </c>
      <c r="J68" s="1">
        <v>45658</v>
      </c>
      <c r="K68" s="1">
        <v>46022</v>
      </c>
      <c r="L68">
        <v>350</v>
      </c>
      <c r="M68">
        <v>21</v>
      </c>
      <c r="N68" t="s">
        <v>400</v>
      </c>
      <c r="O68">
        <v>13</v>
      </c>
      <c r="P68">
        <v>12</v>
      </c>
    </row>
    <row r="69" spans="1:27" x14ac:dyDescent="0.25">
      <c r="A69" s="102">
        <f t="shared" ref="A69:B72" si="11">J71</f>
        <v>45658</v>
      </c>
      <c r="B69" s="102">
        <f t="shared" si="11"/>
        <v>45688</v>
      </c>
      <c r="C69" s="78" t="str">
        <f>$C$68</f>
        <v>PRIVATE PAY</v>
      </c>
      <c r="D69" s="78" t="str">
        <f>$D$68</f>
        <v>PPM AL</v>
      </c>
      <c r="E69" s="78" t="s">
        <v>342</v>
      </c>
      <c r="F69" s="78" t="s">
        <v>345</v>
      </c>
      <c r="G69" s="78" t="s">
        <v>347</v>
      </c>
      <c r="H69" s="78">
        <f>P71+$P$75</f>
        <v>42</v>
      </c>
      <c r="J69" s="1">
        <v>45658</v>
      </c>
      <c r="K69" s="1">
        <v>46022</v>
      </c>
      <c r="L69" s="95">
        <v>350</v>
      </c>
      <c r="M69" s="81">
        <v>51</v>
      </c>
      <c r="N69" s="95" t="s">
        <v>398</v>
      </c>
      <c r="O69">
        <v>70</v>
      </c>
      <c r="P69">
        <v>66</v>
      </c>
      <c r="Q69" t="s">
        <v>340</v>
      </c>
    </row>
    <row r="70" spans="1:27" x14ac:dyDescent="0.25">
      <c r="A70" s="102">
        <f t="shared" si="11"/>
        <v>45689</v>
      </c>
      <c r="B70" s="102">
        <f t="shared" si="11"/>
        <v>45716</v>
      </c>
      <c r="C70" s="78" t="str">
        <f>$C$68</f>
        <v>PRIVATE PAY</v>
      </c>
      <c r="D70" s="78" t="str">
        <f>$D$68</f>
        <v>PPM AL</v>
      </c>
      <c r="E70" s="78" t="s">
        <v>342</v>
      </c>
      <c r="F70" s="78" t="s">
        <v>345</v>
      </c>
      <c r="G70" s="78" t="s">
        <v>347</v>
      </c>
      <c r="H70" s="78">
        <f>P72+$P$75</f>
        <v>43</v>
      </c>
      <c r="J70" s="1">
        <v>45658</v>
      </c>
      <c r="K70" s="1">
        <v>46022</v>
      </c>
      <c r="L70" s="95">
        <v>350</v>
      </c>
      <c r="M70" s="96">
        <v>52</v>
      </c>
      <c r="N70" s="95" t="s">
        <v>398</v>
      </c>
      <c r="O70">
        <v>12</v>
      </c>
      <c r="P70">
        <v>11</v>
      </c>
      <c r="Q70" t="s">
        <v>340</v>
      </c>
    </row>
    <row r="71" spans="1:27" x14ac:dyDescent="0.25">
      <c r="A71" s="102">
        <f t="shared" si="11"/>
        <v>45717</v>
      </c>
      <c r="B71" s="102">
        <f t="shared" si="11"/>
        <v>45747</v>
      </c>
      <c r="C71" s="78" t="str">
        <f>$C$68</f>
        <v>PRIVATE PAY</v>
      </c>
      <c r="D71" s="78" t="str">
        <f>$D$68</f>
        <v>PPM AL</v>
      </c>
      <c r="E71" s="78" t="s">
        <v>342</v>
      </c>
      <c r="F71" s="78" t="s">
        <v>345</v>
      </c>
      <c r="G71" s="78" t="s">
        <v>347</v>
      </c>
      <c r="H71" s="78">
        <f>P73+$P$75</f>
        <v>44</v>
      </c>
      <c r="J71" s="1">
        <v>45658</v>
      </c>
      <c r="K71" s="1">
        <v>45688</v>
      </c>
      <c r="L71" s="107">
        <v>360</v>
      </c>
      <c r="M71" s="82">
        <v>51</v>
      </c>
      <c r="N71" s="107" t="s">
        <v>399</v>
      </c>
      <c r="O71">
        <v>43</v>
      </c>
      <c r="P71">
        <v>34</v>
      </c>
      <c r="Q71" t="s">
        <v>340</v>
      </c>
    </row>
    <row r="72" spans="1:27" x14ac:dyDescent="0.25">
      <c r="A72" s="102">
        <f t="shared" si="11"/>
        <v>45748</v>
      </c>
      <c r="B72" s="102">
        <f t="shared" si="11"/>
        <v>46022</v>
      </c>
      <c r="C72" s="78" t="str">
        <f>$C$68</f>
        <v>PRIVATE PAY</v>
      </c>
      <c r="D72" s="78" t="str">
        <f>$D$68</f>
        <v>PPM AL</v>
      </c>
      <c r="E72" s="78" t="s">
        <v>342</v>
      </c>
      <c r="F72" s="78" t="s">
        <v>345</v>
      </c>
      <c r="G72" s="78" t="s">
        <v>347</v>
      </c>
      <c r="H72" s="78">
        <f>P74+$P$75</f>
        <v>45</v>
      </c>
      <c r="J72" s="1">
        <v>45689</v>
      </c>
      <c r="K72" s="1">
        <v>45716</v>
      </c>
      <c r="L72" s="107">
        <v>360</v>
      </c>
      <c r="M72" s="82">
        <v>51</v>
      </c>
      <c r="N72" s="107" t="s">
        <v>399</v>
      </c>
      <c r="O72">
        <v>43</v>
      </c>
      <c r="P72">
        <v>35</v>
      </c>
      <c r="Q72" t="s">
        <v>340</v>
      </c>
    </row>
    <row r="73" spans="1:27" x14ac:dyDescent="0.25">
      <c r="A73" s="104" cm="1">
        <f t="array" ref="A73">INDEX('OC-SNF PMix Anc Days'!$DA$6:$EV$41,_xlfn.XMATCH($U73,'OC-SNF PMix Anc Days'!$CT$6:$CT$41),_xlfn.XMATCH(A$3&amp;$S73,'OC-SNF PMix Anc Days'!$DA$3:$EV$3))</f>
        <v>45658</v>
      </c>
      <c r="B73" s="104" cm="1">
        <f t="array" ref="B73">INDEX('OC-SNF PMix Anc Days'!$DA$6:$EV$41,_xlfn.XMATCH($U73,'OC-SNF PMix Anc Days'!$CT$6:$CT$41),_xlfn.XMATCH(B$3&amp;$S73,'OC-SNF PMix Anc Days'!$DA$3:$EV$3))</f>
        <v>46022</v>
      </c>
      <c r="C73" s="11" t="str" cm="1">
        <f t="array" ref="C73">INDEX('OC-SNF PMix Anc Days'!$DA$6:$EV$41,_xlfn.XMATCH($U73,'OC-SNF PMix Anc Days'!$CT$6:$CT$41),_xlfn.XMATCH(C$3&amp;$S73,'OC-SNF PMix Anc Days'!$DA$3:$EV$3))</f>
        <v>MEDICAREA/MC HMO</v>
      </c>
      <c r="D73" s="11" t="str" cm="1">
        <f t="array" ref="D73">INDEX('OC-SNF PMix Anc Days'!$DA$6:$EV$41,_xlfn.XMATCH($U73,'OC-SNF PMix Anc Days'!$CT$6:$CT$41),_xlfn.XMATCH(D$3&amp;$S73,'OC-SNF PMix Anc Days'!$DA$3:$EV$3))</f>
        <v>MEDICARE A HIGHMARK</v>
      </c>
      <c r="E73" s="11" t="str" cm="1">
        <f t="array" ref="E73">INDEX('OC-SNF PMix Anc Days'!$DA$6:$EV$41,_xlfn.XMATCH($U73,'OC-SNF PMix Anc Days'!$CT$6:$CT$41),_xlfn.XMATCH(E$3&amp;$S73,'OC-SNF PMix Anc Days'!$DA$3:$EV$3))</f>
        <v>ASBURY METHODIST VILLAGE</v>
      </c>
      <c r="F73" s="11" t="str" cm="1">
        <f t="array" ref="F73">INDEX('OC-SNF PMix Anc Days'!$DA$6:$EV$41,_xlfn.XMATCH($U73,'OC-SNF PMix Anc Days'!$CT$6:$CT$41),_xlfn.XMATCH(F$3&amp;$S73,'OC-SNF PMix Anc Days'!$DA$3:$EV$3))</f>
        <v>SKILLED NURSING</v>
      </c>
      <c r="G73" s="11" t="str" cm="1">
        <f t="array" ref="G73">INDEX('OC-SNF PMix Anc Days'!$DA$6:$EV$41,_xlfn.XMATCH($U73,'OC-SNF PMix Anc Days'!$CT$6:$CT$41),_xlfn.XMATCH(G$3&amp;$S73,'OC-SNF PMix Anc Days'!$DA$3:$EV$3))</f>
        <v>AMV - WILSON HEALTH CARE CENTER</v>
      </c>
      <c r="H73" s="11" cm="1">
        <f t="array" ref="H73">INDEX('OC-SNF PMix Anc Days'!$DA$6:$EV$41,_xlfn.XMATCH($U73,'OC-SNF PMix Anc Days'!$CT$6:$CT$41),_xlfn.XMATCH(H$3&amp;$S73,'OC-SNF PMix Anc Days'!$DA$3:$EV$3))</f>
        <v>1.9949999999999999</v>
      </c>
      <c r="J73" s="1">
        <v>45717</v>
      </c>
      <c r="K73" s="1">
        <v>45747</v>
      </c>
      <c r="L73" s="107">
        <v>360</v>
      </c>
      <c r="M73" s="82">
        <v>51</v>
      </c>
      <c r="N73" s="107" t="s">
        <v>399</v>
      </c>
      <c r="O73">
        <v>43</v>
      </c>
      <c r="P73">
        <v>36</v>
      </c>
      <c r="Q73" t="s">
        <v>340</v>
      </c>
      <c r="S73">
        <f>COUNTIFS($W$73:W73,W73,$X$73:X73,X73,$Y$73:Y73,Y73)</f>
        <v>1</v>
      </c>
      <c r="U73" s="92" t="str">
        <f>W73&amp;X73&amp;Y73</f>
        <v>10061Medicare A</v>
      </c>
      <c r="W73">
        <v>100</v>
      </c>
      <c r="X73">
        <v>61</v>
      </c>
      <c r="Y73" t="s">
        <v>133</v>
      </c>
      <c r="AA73">
        <v>1</v>
      </c>
    </row>
    <row r="74" spans="1:27" x14ac:dyDescent="0.25">
      <c r="A74" s="104" cm="1">
        <f t="array" ref="A74">INDEX('OC-SNF PMix Anc Days'!$DA$6:$EV$41,_xlfn.XMATCH($U74,'OC-SNF PMix Anc Days'!$CT$6:$CT$41),_xlfn.XMATCH(A$3&amp;$S74,'OC-SNF PMix Anc Days'!$DA$3:$EV$3))</f>
        <v>45658</v>
      </c>
      <c r="B74" s="104" cm="1">
        <f t="array" ref="B74">INDEX('OC-SNF PMix Anc Days'!$DA$6:$EV$41,_xlfn.XMATCH($U74,'OC-SNF PMix Anc Days'!$CT$6:$CT$41),_xlfn.XMATCH(B$3&amp;$S74,'OC-SNF PMix Anc Days'!$DA$3:$EV$3))</f>
        <v>46022</v>
      </c>
      <c r="C74" s="11" t="str" cm="1">
        <f t="array" ref="C74">INDEX('OC-SNF PMix Anc Days'!$DA$6:$EV$41,_xlfn.XMATCH($U74,'OC-SNF PMix Anc Days'!$CT$6:$CT$41),_xlfn.XMATCH(C$3&amp;$S74,'OC-SNF PMix Anc Days'!$DA$3:$EV$3))</f>
        <v>MEDICAID</v>
      </c>
      <c r="D74" s="11" t="str" cm="1">
        <f t="array" ref="D74">INDEX('OC-SNF PMix Anc Days'!$DA$6:$EV$41,_xlfn.XMATCH($U74,'OC-SNF PMix Anc Days'!$CT$6:$CT$41),_xlfn.XMATCH(D$3&amp;$S74,'OC-SNF PMix Anc Days'!$DA$3:$EV$3))</f>
        <v>MARYLAND MEDICAID</v>
      </c>
      <c r="E74" s="11" t="str" cm="1">
        <f t="array" ref="E74">INDEX('OC-SNF PMix Anc Days'!$DA$6:$EV$41,_xlfn.XMATCH($U74,'OC-SNF PMix Anc Days'!$CT$6:$CT$41),_xlfn.XMATCH(E$3&amp;$S74,'OC-SNF PMix Anc Days'!$DA$3:$EV$3))</f>
        <v>ASBURY METHODIST VILLAGE</v>
      </c>
      <c r="F74" s="11" t="str" cm="1">
        <f t="array" ref="F74">INDEX('OC-SNF PMix Anc Days'!$DA$6:$EV$41,_xlfn.XMATCH($U74,'OC-SNF PMix Anc Days'!$CT$6:$CT$41),_xlfn.XMATCH(F$3&amp;$S74,'OC-SNF PMix Anc Days'!$DA$3:$EV$3))</f>
        <v>SKILLED NURSING</v>
      </c>
      <c r="G74" s="11" t="str" cm="1">
        <f t="array" ref="G74">INDEX('OC-SNF PMix Anc Days'!$DA$6:$EV$41,_xlfn.XMATCH($U74,'OC-SNF PMix Anc Days'!$CT$6:$CT$41),_xlfn.XMATCH(G$3&amp;$S74,'OC-SNF PMix Anc Days'!$DA$3:$EV$3))</f>
        <v>AMV - WILSON HEALTH CARE CENTER</v>
      </c>
      <c r="H74" s="11" cm="1">
        <f t="array" ref="H74">INDEX('OC-SNF PMix Anc Days'!$DA$6:$EV$41,_xlfn.XMATCH($U74,'OC-SNF PMix Anc Days'!$CT$6:$CT$41),_xlfn.XMATCH(H$3&amp;$S74,'OC-SNF PMix Anc Days'!$DA$3:$EV$3))</f>
        <v>85.000299999999996</v>
      </c>
      <c r="J74" s="1">
        <v>45748</v>
      </c>
      <c r="K74" s="1">
        <v>46022</v>
      </c>
      <c r="L74" s="107">
        <v>360</v>
      </c>
      <c r="M74" s="82">
        <v>51</v>
      </c>
      <c r="N74" s="107" t="s">
        <v>399</v>
      </c>
      <c r="O74">
        <v>43</v>
      </c>
      <c r="P74">
        <v>37</v>
      </c>
      <c r="S74">
        <f>COUNTIFS($W$73:W74,W74,$X$73:X74,X74,$Y$73:Y74,Y74)</f>
        <v>1</v>
      </c>
      <c r="U74" s="92" t="str">
        <f t="shared" ref="U74:U113" si="12">W74&amp;X74&amp;Y74</f>
        <v>10061Medicaid</v>
      </c>
      <c r="W74">
        <v>100</v>
      </c>
      <c r="X74">
        <v>61</v>
      </c>
      <c r="Y74" t="s">
        <v>89</v>
      </c>
      <c r="AA74">
        <v>1</v>
      </c>
    </row>
    <row r="75" spans="1:27" x14ac:dyDescent="0.25">
      <c r="A75" s="104" cm="1">
        <f t="array" ref="A75">INDEX('OC-SNF PMix Anc Days'!$DA$6:$EV$41,_xlfn.XMATCH($U75,'OC-SNF PMix Anc Days'!$CT$6:$CT$41),_xlfn.XMATCH(A$3&amp;$S75,'OC-SNF PMix Anc Days'!$DA$3:$EV$3))</f>
        <v>45658</v>
      </c>
      <c r="B75" s="104" cm="1">
        <f t="array" ref="B75">INDEX('OC-SNF PMix Anc Days'!$DA$6:$EV$41,_xlfn.XMATCH($U75,'OC-SNF PMix Anc Days'!$CT$6:$CT$41),_xlfn.XMATCH(B$3&amp;$S75,'OC-SNF PMix Anc Days'!$DA$3:$EV$3))</f>
        <v>46022</v>
      </c>
      <c r="C75" s="11" t="str" cm="1">
        <f t="array" ref="C75">INDEX('OC-SNF PMix Anc Days'!$DA$6:$EV$41,_xlfn.XMATCH($U75,'OC-SNF PMix Anc Days'!$CT$6:$CT$41),_xlfn.XMATCH(C$3&amp;$S75,'OC-SNF PMix Anc Days'!$DA$3:$EV$3))</f>
        <v>PRIVATE PAY</v>
      </c>
      <c r="D75" s="11" t="str" cm="1">
        <f t="array" ref="D75">INDEX('OC-SNF PMix Anc Days'!$DA$6:$EV$41,_xlfn.XMATCH($U75,'OC-SNF PMix Anc Days'!$CT$6:$CT$41),_xlfn.XMATCH(D$3&amp;$S75,'OC-SNF PMix Anc Days'!$DA$3:$EV$3))</f>
        <v>PRIVATE PAY</v>
      </c>
      <c r="E75" s="11" t="str" cm="1">
        <f t="array" ref="E75">INDEX('OC-SNF PMix Anc Days'!$DA$6:$EV$41,_xlfn.XMATCH($U75,'OC-SNF PMix Anc Days'!$CT$6:$CT$41),_xlfn.XMATCH(E$3&amp;$S75,'OC-SNF PMix Anc Days'!$DA$3:$EV$3))</f>
        <v>ASBURY METHODIST VILLAGE</v>
      </c>
      <c r="F75" s="11" t="str" cm="1">
        <f t="array" ref="F75">INDEX('OC-SNF PMix Anc Days'!$DA$6:$EV$41,_xlfn.XMATCH($U75,'OC-SNF PMix Anc Days'!$CT$6:$CT$41),_xlfn.XMATCH(F$3&amp;$S75,'OC-SNF PMix Anc Days'!$DA$3:$EV$3))</f>
        <v>SKILLED NURSING</v>
      </c>
      <c r="G75" s="11" t="str" cm="1">
        <f t="array" ref="G75">INDEX('OC-SNF PMix Anc Days'!$DA$6:$EV$41,_xlfn.XMATCH($U75,'OC-SNF PMix Anc Days'!$CT$6:$CT$41),_xlfn.XMATCH(G$3&amp;$S75,'OC-SNF PMix Anc Days'!$DA$3:$EV$3))</f>
        <v>AMV - WILSON HEALTH CARE CENTER</v>
      </c>
      <c r="H75" s="11" cm="1">
        <f t="array" ref="H75">INDEX('OC-SNF PMix Anc Days'!$DA$6:$EV$41,_xlfn.XMATCH($U75,'OC-SNF PMix Anc Days'!$CT$6:$CT$41),_xlfn.XMATCH(H$3&amp;$S75,'OC-SNF PMix Anc Days'!$DA$3:$EV$3))</f>
        <v>42.998899999999999</v>
      </c>
      <c r="J75" s="1">
        <v>45658</v>
      </c>
      <c r="K75" s="1">
        <v>46022</v>
      </c>
      <c r="L75" s="107">
        <v>360</v>
      </c>
      <c r="M75" s="108">
        <v>52</v>
      </c>
      <c r="N75" s="107" t="s">
        <v>399</v>
      </c>
      <c r="O75">
        <v>9</v>
      </c>
      <c r="P75">
        <v>8</v>
      </c>
      <c r="S75">
        <f>COUNTIFS($W$73:W75,W75,$X$73:X75,X75,$Y$73:Y75,Y75)</f>
        <v>1</v>
      </c>
      <c r="U75" s="92" t="str">
        <f t="shared" si="12"/>
        <v>10061Private Pay</v>
      </c>
      <c r="W75">
        <v>100</v>
      </c>
      <c r="X75">
        <v>61</v>
      </c>
      <c r="Y75" t="s">
        <v>91</v>
      </c>
      <c r="AA75">
        <v>1</v>
      </c>
    </row>
    <row r="76" spans="1:27" x14ac:dyDescent="0.25">
      <c r="A76" s="104" cm="1">
        <f t="array" ref="A76">INDEX('OC-SNF PMix Anc Days'!$DA$6:$EV$41,_xlfn.XMATCH($U76,'OC-SNF PMix Anc Days'!$CT$6:$CT$41),_xlfn.XMATCH(A$3&amp;$S76,'OC-SNF PMix Anc Days'!$DA$3:$EV$3))</f>
        <v>45658</v>
      </c>
      <c r="B76" s="104" cm="1">
        <f t="array" ref="B76">INDEX('OC-SNF PMix Anc Days'!$DA$6:$EV$41,_xlfn.XMATCH($U76,'OC-SNF PMix Anc Days'!$CT$6:$CT$41),_xlfn.XMATCH(B$3&amp;$S76,'OC-SNF PMix Anc Days'!$DA$3:$EV$3))</f>
        <v>46022</v>
      </c>
      <c r="C76" s="11" t="str" cm="1">
        <f t="array" ref="C76">INDEX('OC-SNF PMix Anc Days'!$DA$6:$EV$41,_xlfn.XMATCH($U76,'OC-SNF PMix Anc Days'!$CT$6:$CT$41),_xlfn.XMATCH(C$3&amp;$S76,'OC-SNF PMix Anc Days'!$DA$3:$EV$3))</f>
        <v>Hospice</v>
      </c>
      <c r="D76" s="11" t="str" cm="1">
        <f t="array" ref="D76">INDEX('OC-SNF PMix Anc Days'!$DA$6:$EV$41,_xlfn.XMATCH($U76,'OC-SNF PMix Anc Days'!$CT$6:$CT$41),_xlfn.XMATCH(D$3&amp;$S76,'OC-SNF PMix Anc Days'!$DA$3:$EV$3))</f>
        <v>Hospice - Private Pay</v>
      </c>
      <c r="E76" s="11" t="str" cm="1">
        <f t="array" ref="E76">INDEX('OC-SNF PMix Anc Days'!$DA$6:$EV$41,_xlfn.XMATCH($U76,'OC-SNF PMix Anc Days'!$CT$6:$CT$41),_xlfn.XMATCH(E$3&amp;$S76,'OC-SNF PMix Anc Days'!$DA$3:$EV$3))</f>
        <v>ASBURY METHODIST VILLAGE</v>
      </c>
      <c r="F76" s="11" t="str" cm="1">
        <f t="array" ref="F76">INDEX('OC-SNF PMix Anc Days'!$DA$6:$EV$41,_xlfn.XMATCH($U76,'OC-SNF PMix Anc Days'!$CT$6:$CT$41),_xlfn.XMATCH(F$3&amp;$S76,'OC-SNF PMix Anc Days'!$DA$3:$EV$3))</f>
        <v>SKILLED NURSING</v>
      </c>
      <c r="G76" s="11" t="str" cm="1">
        <f t="array" ref="G76">INDEX('OC-SNF PMix Anc Days'!$DA$6:$EV$41,_xlfn.XMATCH($U76,'OC-SNF PMix Anc Days'!$CT$6:$CT$41),_xlfn.XMATCH(G$3&amp;$S76,'OC-SNF PMix Anc Days'!$DA$3:$EV$3))</f>
        <v>AMV - WILSON HEALTH CARE CENTER</v>
      </c>
      <c r="H76" s="11" cm="1">
        <f t="array" ref="H76">INDEX('OC-SNF PMix Anc Days'!$DA$6:$EV$41,_xlfn.XMATCH($U76,'OC-SNF PMix Anc Days'!$CT$6:$CT$41),_xlfn.XMATCH(H$3&amp;$S76,'OC-SNF PMix Anc Days'!$DA$3:$EV$3))</f>
        <v>3.0057999999999998</v>
      </c>
      <c r="S76">
        <f>COUNTIFS($W$73:W76,W76,$X$73:X76,X76,$Y$73:Y76,Y76)</f>
        <v>1</v>
      </c>
      <c r="U76" s="92" t="str">
        <f t="shared" si="12"/>
        <v>10061Hospice</v>
      </c>
      <c r="W76">
        <v>100</v>
      </c>
      <c r="X76">
        <v>61</v>
      </c>
      <c r="Y76" t="s">
        <v>23</v>
      </c>
      <c r="AA76">
        <v>1</v>
      </c>
    </row>
    <row r="77" spans="1:27" x14ac:dyDescent="0.25">
      <c r="A77" s="104" cm="1">
        <f t="array" ref="A77">INDEX('OC-SNF PMix Anc Days'!$DA$6:$EV$41,_xlfn.XMATCH($U77,'OC-SNF PMix Anc Days'!$CT$6:$CT$41),_xlfn.XMATCH(A$3&amp;$S77,'OC-SNF PMix Anc Days'!$DA$3:$EV$3))</f>
        <v>45658</v>
      </c>
      <c r="B77" s="104" cm="1">
        <f t="array" ref="B77">INDEX('OC-SNF PMix Anc Days'!$DA$6:$EV$41,_xlfn.XMATCH($U77,'OC-SNF PMix Anc Days'!$CT$6:$CT$41),_xlfn.XMATCH(B$3&amp;$S77,'OC-SNF PMix Anc Days'!$DA$3:$EV$3))</f>
        <v>46022</v>
      </c>
      <c r="C77" s="11" t="str" cm="1">
        <f t="array" ref="C77">INDEX('OC-SNF PMix Anc Days'!$DA$6:$EV$41,_xlfn.XMATCH($U77,'OC-SNF PMix Anc Days'!$CT$6:$CT$41),_xlfn.XMATCH(C$3&amp;$S77,'OC-SNF PMix Anc Days'!$DA$3:$EV$3))</f>
        <v>MEDICAREA/MC HMO</v>
      </c>
      <c r="D77" s="11" t="str" cm="1">
        <f t="array" ref="D77">INDEX('OC-SNF PMix Anc Days'!$DA$6:$EV$41,_xlfn.XMATCH($U77,'OC-SNF PMix Anc Days'!$CT$6:$CT$41),_xlfn.XMATCH(D$3&amp;$S77,'OC-SNF PMix Anc Days'!$DA$3:$EV$3))</f>
        <v>MEDICARE A HIGHMARK</v>
      </c>
      <c r="E77" s="11" t="str" cm="1">
        <f t="array" ref="E77">INDEX('OC-SNF PMix Anc Days'!$DA$6:$EV$41,_xlfn.XMATCH($U77,'OC-SNF PMix Anc Days'!$CT$6:$CT$41),_xlfn.XMATCH(E$3&amp;$S77,'OC-SNF PMix Anc Days'!$DA$3:$EV$3))</f>
        <v>ASBURY METHODIST VILLAGE</v>
      </c>
      <c r="F77" s="11" t="str" cm="1">
        <f t="array" ref="F77">INDEX('OC-SNF PMix Anc Days'!$DA$6:$EV$41,_xlfn.XMATCH($U77,'OC-SNF PMix Anc Days'!$CT$6:$CT$41),_xlfn.XMATCH(F$3&amp;$S77,'OC-SNF PMix Anc Days'!$DA$3:$EV$3))</f>
        <v>SKILLED NURSING - Household</v>
      </c>
      <c r="G77" s="11" t="str" cm="1">
        <f t="array" ref="G77">INDEX('OC-SNF PMix Anc Days'!$DA$6:$EV$41,_xlfn.XMATCH($U77,'OC-SNF PMix Anc Days'!$CT$6:$CT$41),_xlfn.XMATCH(G$3&amp;$S77,'OC-SNF PMix Anc Days'!$DA$3:$EV$3))</f>
        <v>AMV - WILSON HEALTH CARE CENTER</v>
      </c>
      <c r="H77" s="11" cm="1">
        <f t="array" ref="H77">INDEX('OC-SNF PMix Anc Days'!$DA$6:$EV$41,_xlfn.XMATCH($U77,'OC-SNF PMix Anc Days'!$CT$6:$CT$41),_xlfn.XMATCH(H$3&amp;$S77,'OC-SNF PMix Anc Days'!$DA$3:$EV$3))</f>
        <v>34.001999999999995</v>
      </c>
      <c r="S77">
        <f>COUNTIFS($W$73:W77,W77,$X$73:X77,X77,$Y$73:Y77,Y77)</f>
        <v>1</v>
      </c>
      <c r="U77" s="92" t="str">
        <f t="shared" si="12"/>
        <v>10062Medicare A</v>
      </c>
      <c r="W77">
        <v>100</v>
      </c>
      <c r="X77">
        <v>62</v>
      </c>
      <c r="Y77" t="s">
        <v>133</v>
      </c>
      <c r="AA77">
        <v>1</v>
      </c>
    </row>
    <row r="78" spans="1:27" x14ac:dyDescent="0.25">
      <c r="A78" s="104" cm="1">
        <f t="array" ref="A78">INDEX('OC-SNF PMix Anc Days'!$DA$6:$EV$41,_xlfn.XMATCH($U78,'OC-SNF PMix Anc Days'!$CT$6:$CT$41),_xlfn.XMATCH(A$3&amp;$S78,'OC-SNF PMix Anc Days'!$DA$3:$EV$3))</f>
        <v>45658</v>
      </c>
      <c r="B78" s="104" cm="1">
        <f t="array" ref="B78">INDEX('OC-SNF PMix Anc Days'!$DA$6:$EV$41,_xlfn.XMATCH($U78,'OC-SNF PMix Anc Days'!$CT$6:$CT$41),_xlfn.XMATCH(B$3&amp;$S78,'OC-SNF PMix Anc Days'!$DA$3:$EV$3))</f>
        <v>46022</v>
      </c>
      <c r="C78" s="11" t="str" cm="1">
        <f t="array" ref="C78">INDEX('OC-SNF PMix Anc Days'!$DA$6:$EV$41,_xlfn.XMATCH($U78,'OC-SNF PMix Anc Days'!$CT$6:$CT$41),_xlfn.XMATCH(C$3&amp;$S78,'OC-SNF PMix Anc Days'!$DA$3:$EV$3))</f>
        <v>Medicare Advantage</v>
      </c>
      <c r="D78" s="11" t="str" cm="1">
        <f t="array" ref="D78">INDEX('OC-SNF PMix Anc Days'!$DA$6:$EV$41,_xlfn.XMATCH($U78,'OC-SNF PMix Anc Days'!$CT$6:$CT$41),_xlfn.XMATCH(D$3&amp;$S78,'OC-SNF PMix Anc Days'!$DA$3:$EV$3))</f>
        <v>Med Adv HMO A</v>
      </c>
      <c r="E78" s="11" t="str" cm="1">
        <f t="array" ref="E78">INDEX('OC-SNF PMix Anc Days'!$DA$6:$EV$41,_xlfn.XMATCH($U78,'OC-SNF PMix Anc Days'!$CT$6:$CT$41),_xlfn.XMATCH(E$3&amp;$S78,'OC-SNF PMix Anc Days'!$DA$3:$EV$3))</f>
        <v>ASBURY METHODIST VILLAGE</v>
      </c>
      <c r="F78" s="11" t="str" cm="1">
        <f t="array" ref="F78">INDEX('OC-SNF PMix Anc Days'!$DA$6:$EV$41,_xlfn.XMATCH($U78,'OC-SNF PMix Anc Days'!$CT$6:$CT$41),_xlfn.XMATCH(F$3&amp;$S78,'OC-SNF PMix Anc Days'!$DA$3:$EV$3))</f>
        <v>SKILLED NURSING - Household</v>
      </c>
      <c r="G78" s="11" t="str" cm="1">
        <f t="array" ref="G78">INDEX('OC-SNF PMix Anc Days'!$DA$6:$EV$41,_xlfn.XMATCH($U78,'OC-SNF PMix Anc Days'!$CT$6:$CT$41),_xlfn.XMATCH(G$3&amp;$S78,'OC-SNF PMix Anc Days'!$DA$3:$EV$3))</f>
        <v>AMV - WILSON HEALTH CARE CENTER</v>
      </c>
      <c r="H78" s="11" cm="1">
        <f t="array" ref="H78">INDEX('OC-SNF PMix Anc Days'!$DA$6:$EV$41,_xlfn.XMATCH($U78,'OC-SNF PMix Anc Days'!$CT$6:$CT$41),_xlfn.XMATCH(H$3&amp;$S78,'OC-SNF PMix Anc Days'!$DA$3:$EV$3))</f>
        <v>9</v>
      </c>
      <c r="S78">
        <f>COUNTIFS($W$73:W78,W78,$X$73:X78,X78,$Y$73:Y78,Y78)</f>
        <v>1</v>
      </c>
      <c r="U78" s="92" t="str">
        <f t="shared" si="12"/>
        <v>10062Medicare Advantage</v>
      </c>
      <c r="W78">
        <v>100</v>
      </c>
      <c r="X78">
        <v>62</v>
      </c>
      <c r="Y78" t="s">
        <v>45</v>
      </c>
      <c r="AA78">
        <v>1</v>
      </c>
    </row>
    <row r="79" spans="1:27" x14ac:dyDescent="0.25">
      <c r="A79" s="104" cm="1">
        <f t="array" ref="A79">INDEX('OC-SNF PMix Anc Days'!$DA$6:$EV$41,_xlfn.XMATCH($U79,'OC-SNF PMix Anc Days'!$CT$6:$CT$41),_xlfn.XMATCH(A$3&amp;$S79,'OC-SNF PMix Anc Days'!$DA$3:$EV$3))</f>
        <v>45658</v>
      </c>
      <c r="B79" s="104" cm="1">
        <f t="array" ref="B79">INDEX('OC-SNF PMix Anc Days'!$DA$6:$EV$41,_xlfn.XMATCH($U79,'OC-SNF PMix Anc Days'!$CT$6:$CT$41),_xlfn.XMATCH(B$3&amp;$S79,'OC-SNF PMix Anc Days'!$DA$3:$EV$3))</f>
        <v>46022</v>
      </c>
      <c r="C79" s="11" t="str" cm="1">
        <f t="array" ref="C79">INDEX('OC-SNF PMix Anc Days'!$DA$6:$EV$41,_xlfn.XMATCH($U79,'OC-SNF PMix Anc Days'!$CT$6:$CT$41),_xlfn.XMATCH(C$3&amp;$S79,'OC-SNF PMix Anc Days'!$DA$3:$EV$3))</f>
        <v>MANAGED CARE</v>
      </c>
      <c r="D79" s="11" t="str" cm="1">
        <f t="array" ref="D79">INDEX('OC-SNF PMix Anc Days'!$DA$6:$EV$41,_xlfn.XMATCH($U79,'OC-SNF PMix Anc Days'!$CT$6:$CT$41),_xlfn.XMATCH(D$3&amp;$S79,'OC-SNF PMix Anc Days'!$DA$3:$EV$3))</f>
        <v>MGCARE LEVEL OF CARE</v>
      </c>
      <c r="E79" s="11" t="str" cm="1">
        <f t="array" ref="E79">INDEX('OC-SNF PMix Anc Days'!$DA$6:$EV$41,_xlfn.XMATCH($U79,'OC-SNF PMix Anc Days'!$CT$6:$CT$41),_xlfn.XMATCH(E$3&amp;$S79,'OC-SNF PMix Anc Days'!$DA$3:$EV$3))</f>
        <v>ASBURY METHODIST VILLAGE</v>
      </c>
      <c r="F79" s="11" t="str" cm="1">
        <f t="array" ref="F79">INDEX('OC-SNF PMix Anc Days'!$DA$6:$EV$41,_xlfn.XMATCH($U79,'OC-SNF PMix Anc Days'!$CT$6:$CT$41),_xlfn.XMATCH(F$3&amp;$S79,'OC-SNF PMix Anc Days'!$DA$3:$EV$3))</f>
        <v>SKILLED NURSING - Household</v>
      </c>
      <c r="G79" s="11" t="str" cm="1">
        <f t="array" ref="G79">INDEX('OC-SNF PMix Anc Days'!$DA$6:$EV$41,_xlfn.XMATCH($U79,'OC-SNF PMix Anc Days'!$CT$6:$CT$41),_xlfn.XMATCH(G$3&amp;$S79,'OC-SNF PMix Anc Days'!$DA$3:$EV$3))</f>
        <v>AMV - WILSON HEALTH CARE CENTER</v>
      </c>
      <c r="H79" s="11" cm="1">
        <f t="array" ref="H79">INDEX('OC-SNF PMix Anc Days'!$DA$6:$EV$41,_xlfn.XMATCH($U79,'OC-SNF PMix Anc Days'!$CT$6:$CT$41),_xlfn.XMATCH(H$3&amp;$S79,'OC-SNF PMix Anc Days'!$DA$3:$EV$3))</f>
        <v>1.998</v>
      </c>
      <c r="S79">
        <f>COUNTIFS($W$73:W79,W79,$X$73:X79,X79,$Y$73:Y79,Y79)</f>
        <v>1</v>
      </c>
      <c r="U79" s="92" t="str">
        <f t="shared" si="12"/>
        <v>10062Insurance</v>
      </c>
      <c r="W79">
        <v>100</v>
      </c>
      <c r="X79">
        <v>62</v>
      </c>
      <c r="Y79" t="s">
        <v>129</v>
      </c>
      <c r="AA79">
        <v>1</v>
      </c>
    </row>
    <row r="80" spans="1:27" x14ac:dyDescent="0.25">
      <c r="A80" s="104" cm="1">
        <f t="array" ref="A80">INDEX('OC-SNF PMix Anc Days'!$DA$6:$EV$41,_xlfn.XMATCH($U80,'OC-SNF PMix Anc Days'!$CT$6:$CT$41),_xlfn.XMATCH(A$3&amp;$S80,'OC-SNF PMix Anc Days'!$DA$3:$EV$3))</f>
        <v>45658</v>
      </c>
      <c r="B80" s="104" cm="1">
        <f t="array" ref="B80">INDEX('OC-SNF PMix Anc Days'!$DA$6:$EV$41,_xlfn.XMATCH($U80,'OC-SNF PMix Anc Days'!$CT$6:$CT$41),_xlfn.XMATCH(B$3&amp;$S80,'OC-SNF PMix Anc Days'!$DA$3:$EV$3))</f>
        <v>46022</v>
      </c>
      <c r="C80" s="11" t="str" cm="1">
        <f t="array" ref="C80">INDEX('OC-SNF PMix Anc Days'!$DA$6:$EV$41,_xlfn.XMATCH($U80,'OC-SNF PMix Anc Days'!$CT$6:$CT$41),_xlfn.XMATCH(C$3&amp;$S80,'OC-SNF PMix Anc Days'!$DA$3:$EV$3))</f>
        <v>MEDICAREA/MC HMO</v>
      </c>
      <c r="D80" s="11" t="str" cm="1">
        <f t="array" ref="D80">INDEX('OC-SNF PMix Anc Days'!$DA$6:$EV$41,_xlfn.XMATCH($U80,'OC-SNF PMix Anc Days'!$CT$6:$CT$41),_xlfn.XMATCH(D$3&amp;$S80,'OC-SNF PMix Anc Days'!$DA$3:$EV$3))</f>
        <v>MEDICARE A HIGHMARK</v>
      </c>
      <c r="E80" s="11" t="str" cm="1">
        <f t="array" ref="E80">INDEX('OC-SNF PMix Anc Days'!$DA$6:$EV$41,_xlfn.XMATCH($U80,'OC-SNF PMix Anc Days'!$CT$6:$CT$41),_xlfn.XMATCH(E$3&amp;$S80,'OC-SNF PMix Anc Days'!$DA$3:$EV$3))</f>
        <v>ASBURY SOLOMONS</v>
      </c>
      <c r="F80" s="11" t="str" cm="1">
        <f t="array" ref="F80">INDEX('OC-SNF PMix Anc Days'!$DA$6:$EV$41,_xlfn.XMATCH($U80,'OC-SNF PMix Anc Days'!$CT$6:$CT$41),_xlfn.XMATCH(F$3&amp;$S80,'OC-SNF PMix Anc Days'!$DA$3:$EV$3))</f>
        <v>SKILLED NURSING</v>
      </c>
      <c r="G80" s="11" t="str" cm="1">
        <f t="array" ref="G80">INDEX('OC-SNF PMix Anc Days'!$DA$6:$EV$41,_xlfn.XMATCH($U80,'OC-SNF PMix Anc Days'!$CT$6:$CT$41),_xlfn.XMATCH(G$3&amp;$S80,'OC-SNF PMix Anc Days'!$DA$3:$EV$3))</f>
        <v>ASBURY SOLOMONS SKILLED NURSING</v>
      </c>
      <c r="H80" s="11" cm="1">
        <f t="array" ref="H80">INDEX('OC-SNF PMix Anc Days'!$DA$6:$EV$41,_xlfn.XMATCH($U80,'OC-SNF PMix Anc Days'!$CT$6:$CT$41),_xlfn.XMATCH(H$3&amp;$S80,'OC-SNF PMix Anc Days'!$DA$3:$EV$3))</f>
        <v>5.3749874999999996</v>
      </c>
      <c r="S80">
        <f>COUNTIFS($W$73:W80,W80,$X$73:X80,X80,$Y$73:Y80,Y80)</f>
        <v>1</v>
      </c>
      <c r="U80" s="92" t="str">
        <f t="shared" si="12"/>
        <v>20061Medicare A</v>
      </c>
      <c r="W80">
        <v>200</v>
      </c>
      <c r="X80">
        <v>61</v>
      </c>
      <c r="Y80" t="s">
        <v>133</v>
      </c>
      <c r="AA80">
        <v>1</v>
      </c>
    </row>
    <row r="81" spans="1:27" x14ac:dyDescent="0.25">
      <c r="A81" s="104" cm="1">
        <f t="array" ref="A81">INDEX('OC-SNF PMix Anc Days'!$DA$6:$EV$41,_xlfn.XMATCH($U81,'OC-SNF PMix Anc Days'!$CT$6:$CT$41),_xlfn.XMATCH(A$3&amp;$S81,'OC-SNF PMix Anc Days'!$DA$3:$EV$3))</f>
        <v>45658</v>
      </c>
      <c r="B81" s="104" cm="1">
        <f t="array" ref="B81">INDEX('OC-SNF PMix Anc Days'!$DA$6:$EV$41,_xlfn.XMATCH($U81,'OC-SNF PMix Anc Days'!$CT$6:$CT$41),_xlfn.XMATCH(B$3&amp;$S81,'OC-SNF PMix Anc Days'!$DA$3:$EV$3))</f>
        <v>46022</v>
      </c>
      <c r="C81" s="11" t="str" cm="1">
        <f t="array" ref="C81">INDEX('OC-SNF PMix Anc Days'!$DA$6:$EV$41,_xlfn.XMATCH($U81,'OC-SNF PMix Anc Days'!$CT$6:$CT$41),_xlfn.XMATCH(C$3&amp;$S81,'OC-SNF PMix Anc Days'!$DA$3:$EV$3))</f>
        <v>Medicare Advantage</v>
      </c>
      <c r="D81" s="11" t="str" cm="1">
        <f t="array" ref="D81">INDEX('OC-SNF PMix Anc Days'!$DA$6:$EV$41,_xlfn.XMATCH($U81,'OC-SNF PMix Anc Days'!$CT$6:$CT$41),_xlfn.XMATCH(D$3&amp;$S81,'OC-SNF PMix Anc Days'!$DA$3:$EV$3))</f>
        <v>Med Adv HMO A</v>
      </c>
      <c r="E81" s="11" t="str" cm="1">
        <f t="array" ref="E81">INDEX('OC-SNF PMix Anc Days'!$DA$6:$EV$41,_xlfn.XMATCH($U81,'OC-SNF PMix Anc Days'!$CT$6:$CT$41),_xlfn.XMATCH(E$3&amp;$S81,'OC-SNF PMix Anc Days'!$DA$3:$EV$3))</f>
        <v>ASBURY SOLOMONS</v>
      </c>
      <c r="F81" s="11" t="str" cm="1">
        <f t="array" ref="F81">INDEX('OC-SNF PMix Anc Days'!$DA$6:$EV$41,_xlfn.XMATCH($U81,'OC-SNF PMix Anc Days'!$CT$6:$CT$41),_xlfn.XMATCH(F$3&amp;$S81,'OC-SNF PMix Anc Days'!$DA$3:$EV$3))</f>
        <v>SKILLED NURSING</v>
      </c>
      <c r="G81" s="11" t="str" cm="1">
        <f t="array" ref="G81">INDEX('OC-SNF PMix Anc Days'!$DA$6:$EV$41,_xlfn.XMATCH($U81,'OC-SNF PMix Anc Days'!$CT$6:$CT$41),_xlfn.XMATCH(G$3&amp;$S81,'OC-SNF PMix Anc Days'!$DA$3:$EV$3))</f>
        <v>ASBURY SOLOMONS SKILLED NURSING</v>
      </c>
      <c r="H81" s="11" cm="1">
        <f t="array" ref="H81">INDEX('OC-SNF PMix Anc Days'!$DA$6:$EV$41,_xlfn.XMATCH($U81,'OC-SNF PMix Anc Days'!$CT$6:$CT$41),_xlfn.XMATCH(H$3&amp;$S81,'OC-SNF PMix Anc Days'!$DA$3:$EV$3))</f>
        <v>0.52500000000000002</v>
      </c>
      <c r="S81">
        <f>COUNTIFS($W$73:W81,W81,$X$73:X81,X81,$Y$73:Y81,Y81)</f>
        <v>1</v>
      </c>
      <c r="U81" s="92" t="str">
        <f t="shared" si="12"/>
        <v>20061Medicare Advantage</v>
      </c>
      <c r="W81">
        <v>200</v>
      </c>
      <c r="X81">
        <v>61</v>
      </c>
      <c r="Y81" t="s">
        <v>45</v>
      </c>
      <c r="AA81">
        <v>1</v>
      </c>
    </row>
    <row r="82" spans="1:27" x14ac:dyDescent="0.25">
      <c r="A82" s="104" cm="1">
        <f t="array" ref="A82">INDEX('OC-SNF PMix Anc Days'!$DA$6:$EV$41,_xlfn.XMATCH($U82,'OC-SNF PMix Anc Days'!$CT$6:$CT$41),_xlfn.XMATCH(A$3&amp;$S82,'OC-SNF PMix Anc Days'!$DA$3:$EV$3))</f>
        <v>45658</v>
      </c>
      <c r="B82" s="104" cm="1">
        <f t="array" ref="B82">INDEX('OC-SNF PMix Anc Days'!$DA$6:$EV$41,_xlfn.XMATCH($U82,'OC-SNF PMix Anc Days'!$CT$6:$CT$41),_xlfn.XMATCH(B$3&amp;$S82,'OC-SNF PMix Anc Days'!$DA$3:$EV$3))</f>
        <v>46022</v>
      </c>
      <c r="C82" s="11" t="str" cm="1">
        <f t="array" ref="C82">INDEX('OC-SNF PMix Anc Days'!$DA$6:$EV$41,_xlfn.XMATCH($U82,'OC-SNF PMix Anc Days'!$CT$6:$CT$41),_xlfn.XMATCH(C$3&amp;$S82,'OC-SNF PMix Anc Days'!$DA$3:$EV$3))</f>
        <v>MEDICAID</v>
      </c>
      <c r="D82" s="11" t="str" cm="1">
        <f t="array" ref="D82">INDEX('OC-SNF PMix Anc Days'!$DA$6:$EV$41,_xlfn.XMATCH($U82,'OC-SNF PMix Anc Days'!$CT$6:$CT$41),_xlfn.XMATCH(D$3&amp;$S82,'OC-SNF PMix Anc Days'!$DA$3:$EV$3))</f>
        <v>MARYLAND MEDICAID</v>
      </c>
      <c r="E82" s="11" t="str" cm="1">
        <f t="array" ref="E82">INDEX('OC-SNF PMix Anc Days'!$DA$6:$EV$41,_xlfn.XMATCH($U82,'OC-SNF PMix Anc Days'!$CT$6:$CT$41),_xlfn.XMATCH(E$3&amp;$S82,'OC-SNF PMix Anc Days'!$DA$3:$EV$3))</f>
        <v>ASBURY SOLOMONS</v>
      </c>
      <c r="F82" s="11" t="str" cm="1">
        <f t="array" ref="F82">INDEX('OC-SNF PMix Anc Days'!$DA$6:$EV$41,_xlfn.XMATCH($U82,'OC-SNF PMix Anc Days'!$CT$6:$CT$41),_xlfn.XMATCH(F$3&amp;$S82,'OC-SNF PMix Anc Days'!$DA$3:$EV$3))</f>
        <v>SKILLED NURSING</v>
      </c>
      <c r="G82" s="11" t="str" cm="1">
        <f t="array" ref="G82">INDEX('OC-SNF PMix Anc Days'!$DA$6:$EV$41,_xlfn.XMATCH($U82,'OC-SNF PMix Anc Days'!$CT$6:$CT$41),_xlfn.XMATCH(G$3&amp;$S82,'OC-SNF PMix Anc Days'!$DA$3:$EV$3))</f>
        <v>ASBURY SOLOMONS SKILLED NURSING</v>
      </c>
      <c r="H82" s="11" cm="1">
        <f t="array" ref="H82">INDEX('OC-SNF PMix Anc Days'!$DA$6:$EV$41,_xlfn.XMATCH($U82,'OC-SNF PMix Anc Days'!$CT$6:$CT$41),_xlfn.XMATCH(H$3&amp;$S82,'OC-SNF PMix Anc Days'!$DA$3:$EV$3))</f>
        <v>13.6000125</v>
      </c>
      <c r="S82">
        <f>COUNTIFS($W$73:W82,W82,$X$73:X82,X82,$Y$73:Y82,Y82)</f>
        <v>1</v>
      </c>
      <c r="U82" s="92" t="str">
        <f t="shared" si="12"/>
        <v>20061Medicaid</v>
      </c>
      <c r="W82">
        <v>200</v>
      </c>
      <c r="X82">
        <v>61</v>
      </c>
      <c r="Y82" t="s">
        <v>89</v>
      </c>
      <c r="AA82">
        <v>1</v>
      </c>
    </row>
    <row r="83" spans="1:27" x14ac:dyDescent="0.25">
      <c r="A83" s="104" cm="1">
        <f t="array" ref="A83">INDEX('OC-SNF PMix Anc Days'!$DA$6:$EV$41,_xlfn.XMATCH($U83,'OC-SNF PMix Anc Days'!$CT$6:$CT$41),_xlfn.XMATCH(A$3&amp;$S83,'OC-SNF PMix Anc Days'!$DA$3:$EV$3))</f>
        <v>45658</v>
      </c>
      <c r="B83" s="104" cm="1">
        <f t="array" ref="B83">INDEX('OC-SNF PMix Anc Days'!$DA$6:$EV$41,_xlfn.XMATCH($U83,'OC-SNF PMix Anc Days'!$CT$6:$CT$41),_xlfn.XMATCH(B$3&amp;$S83,'OC-SNF PMix Anc Days'!$DA$3:$EV$3))</f>
        <v>46022</v>
      </c>
      <c r="C83" s="11" t="str" cm="1">
        <f t="array" ref="C83">INDEX('OC-SNF PMix Anc Days'!$DA$6:$EV$41,_xlfn.XMATCH($U83,'OC-SNF PMix Anc Days'!$CT$6:$CT$41),_xlfn.XMATCH(C$3&amp;$S83,'OC-SNF PMix Anc Days'!$DA$3:$EV$3))</f>
        <v>PRIVATE PAY</v>
      </c>
      <c r="D83" s="11" t="str" cm="1">
        <f t="array" ref="D83">INDEX('OC-SNF PMix Anc Days'!$DA$6:$EV$41,_xlfn.XMATCH($U83,'OC-SNF PMix Anc Days'!$CT$6:$CT$41),_xlfn.XMATCH(D$3&amp;$S83,'OC-SNF PMix Anc Days'!$DA$3:$EV$3))</f>
        <v>PRIVATE PAY</v>
      </c>
      <c r="E83" s="11" t="str" cm="1">
        <f t="array" ref="E83">INDEX('OC-SNF PMix Anc Days'!$DA$6:$EV$41,_xlfn.XMATCH($U83,'OC-SNF PMix Anc Days'!$CT$6:$CT$41),_xlfn.XMATCH(E$3&amp;$S83,'OC-SNF PMix Anc Days'!$DA$3:$EV$3))</f>
        <v>ASBURY SOLOMONS</v>
      </c>
      <c r="F83" s="11" t="str" cm="1">
        <f t="array" ref="F83">INDEX('OC-SNF PMix Anc Days'!$DA$6:$EV$41,_xlfn.XMATCH($U83,'OC-SNF PMix Anc Days'!$CT$6:$CT$41),_xlfn.XMATCH(F$3&amp;$S83,'OC-SNF PMix Anc Days'!$DA$3:$EV$3))</f>
        <v>SKILLED NURSING</v>
      </c>
      <c r="G83" s="11" t="str" cm="1">
        <f t="array" ref="G83">INDEX('OC-SNF PMix Anc Days'!$DA$6:$EV$41,_xlfn.XMATCH($U83,'OC-SNF PMix Anc Days'!$CT$6:$CT$41),_xlfn.XMATCH(G$3&amp;$S83,'OC-SNF PMix Anc Days'!$DA$3:$EV$3))</f>
        <v>ASBURY SOLOMONS SKILLED NURSING</v>
      </c>
      <c r="H83" s="11" cm="1">
        <f t="array" ref="H83">INDEX('OC-SNF PMix Anc Days'!$DA$6:$EV$41,_xlfn.XMATCH($U83,'OC-SNF PMix Anc Days'!$CT$6:$CT$41),_xlfn.XMATCH(H$3&amp;$S83,'OC-SNF PMix Anc Days'!$DA$3:$EV$3))</f>
        <v>18</v>
      </c>
      <c r="S83">
        <f>COUNTIFS($W$73:W83,W83,$X$73:X83,X83,$Y$73:Y83,Y83)</f>
        <v>1</v>
      </c>
      <c r="U83" s="92" t="str">
        <f t="shared" si="12"/>
        <v>20061Private Pay</v>
      </c>
      <c r="W83">
        <v>200</v>
      </c>
      <c r="X83">
        <v>61</v>
      </c>
      <c r="Y83" t="s">
        <v>91</v>
      </c>
      <c r="AA83">
        <v>1</v>
      </c>
    </row>
    <row r="84" spans="1:27" x14ac:dyDescent="0.25">
      <c r="A84" s="104" cm="1">
        <f t="array" ref="A84">INDEX('OC-SNF PMix Anc Days'!$DA$6:$EV$41,_xlfn.XMATCH($U84,'OC-SNF PMix Anc Days'!$CT$6:$CT$41),_xlfn.XMATCH(A$3&amp;$S84,'OC-SNF PMix Anc Days'!$DA$3:$EV$3))</f>
        <v>45658</v>
      </c>
      <c r="B84" s="104" cm="1">
        <f t="array" ref="B84">INDEX('OC-SNF PMix Anc Days'!$DA$6:$EV$41,_xlfn.XMATCH($U84,'OC-SNF PMix Anc Days'!$CT$6:$CT$41),_xlfn.XMATCH(B$3&amp;$S84,'OC-SNF PMix Anc Days'!$DA$3:$EV$3))</f>
        <v>46022</v>
      </c>
      <c r="C84" s="11" t="str" cm="1">
        <f t="array" ref="C84">INDEX('OC-SNF PMix Anc Days'!$DA$6:$EV$41,_xlfn.XMATCH($U84,'OC-SNF PMix Anc Days'!$CT$6:$CT$41),_xlfn.XMATCH(C$3&amp;$S84,'OC-SNF PMix Anc Days'!$DA$3:$EV$3))</f>
        <v>MEDICAREA/MC HMO</v>
      </c>
      <c r="D84" s="11" t="str" cm="1">
        <f t="array" ref="D84">INDEX('OC-SNF PMix Anc Days'!$DA$6:$EV$41,_xlfn.XMATCH($U84,'OC-SNF PMix Anc Days'!$CT$6:$CT$41),_xlfn.XMATCH(D$3&amp;$S84,'OC-SNF PMix Anc Days'!$DA$3:$EV$3))</f>
        <v>MEDICARE A HIGHMARK</v>
      </c>
      <c r="E84" s="11" t="str" cm="1">
        <f t="array" ref="E84">INDEX('OC-SNF PMix Anc Days'!$DA$6:$EV$41,_xlfn.XMATCH($U84,'OC-SNF PMix Anc Days'!$CT$6:$CT$41),_xlfn.XMATCH(E$3&amp;$S84,'OC-SNF PMix Anc Days'!$DA$3:$EV$3))</f>
        <v>SPRINGHILL</v>
      </c>
      <c r="F84" s="11" t="str" cm="1">
        <f t="array" ref="F84">INDEX('OC-SNF PMix Anc Days'!$DA$6:$EV$41,_xlfn.XMATCH($U84,'OC-SNF PMix Anc Days'!$CT$6:$CT$41),_xlfn.XMATCH(F$3&amp;$S84,'OC-SNF PMix Anc Days'!$DA$3:$EV$3))</f>
        <v>SKILLED NURSING</v>
      </c>
      <c r="G84" s="11" t="str" cm="1">
        <f t="array" ref="G84">INDEX('OC-SNF PMix Anc Days'!$DA$6:$EV$41,_xlfn.XMATCH($U84,'OC-SNF PMix Anc Days'!$CT$6:$CT$41),_xlfn.XMATCH(G$3&amp;$S84,'OC-SNF PMix Anc Days'!$DA$3:$EV$3))</f>
        <v>Forest View</v>
      </c>
      <c r="H84" s="11" cm="1">
        <f t="array" ref="H84">INDEX('OC-SNF PMix Anc Days'!$DA$6:$EV$41,_xlfn.XMATCH($U84,'OC-SNF PMix Anc Days'!$CT$6:$CT$41),_xlfn.XMATCH(H$3&amp;$S84,'OC-SNF PMix Anc Days'!$DA$3:$EV$3))</f>
        <v>1.999981</v>
      </c>
      <c r="S84">
        <f>COUNTIFS($W$73:W84,W84,$X$73:X84,X84,$Y$73:Y84,Y84)</f>
        <v>1</v>
      </c>
      <c r="U84" s="92" t="str">
        <f t="shared" si="12"/>
        <v>32461Medicare A</v>
      </c>
      <c r="W84">
        <v>324</v>
      </c>
      <c r="X84">
        <v>61</v>
      </c>
      <c r="Y84" t="s">
        <v>133</v>
      </c>
      <c r="AA84">
        <v>1</v>
      </c>
    </row>
    <row r="85" spans="1:27" x14ac:dyDescent="0.25">
      <c r="A85" s="104" cm="1">
        <f t="array" ref="A85">INDEX('OC-SNF PMix Anc Days'!$DA$6:$EV$41,_xlfn.XMATCH($U85,'OC-SNF PMix Anc Days'!$CT$6:$CT$41),_xlfn.XMATCH(A$3&amp;$S85,'OC-SNF PMix Anc Days'!$DA$3:$EV$3))</f>
        <v>45658</v>
      </c>
      <c r="B85" s="104" cm="1">
        <f t="array" ref="B85">INDEX('OC-SNF PMix Anc Days'!$DA$6:$EV$41,_xlfn.XMATCH($U85,'OC-SNF PMix Anc Days'!$CT$6:$CT$41),_xlfn.XMATCH(B$3&amp;$S85,'OC-SNF PMix Anc Days'!$DA$3:$EV$3))</f>
        <v>46022</v>
      </c>
      <c r="C85" s="11" t="str" cm="1">
        <f t="array" ref="C85">INDEX('OC-SNF PMix Anc Days'!$DA$6:$EV$41,_xlfn.XMATCH($U85,'OC-SNF PMix Anc Days'!$CT$6:$CT$41),_xlfn.XMATCH(C$3&amp;$S85,'OC-SNF PMix Anc Days'!$DA$3:$EV$3))</f>
        <v>Medicare Advantage</v>
      </c>
      <c r="D85" s="11" t="str" cm="1">
        <f t="array" ref="D85">INDEX('OC-SNF PMix Anc Days'!$DA$6:$EV$41,_xlfn.XMATCH($U85,'OC-SNF PMix Anc Days'!$CT$6:$CT$41),_xlfn.XMATCH(D$3&amp;$S85,'OC-SNF PMix Anc Days'!$DA$3:$EV$3))</f>
        <v>Med Adv HMO A</v>
      </c>
      <c r="E85" s="11" t="str" cm="1">
        <f t="array" ref="E85">INDEX('OC-SNF PMix Anc Days'!$DA$6:$EV$41,_xlfn.XMATCH($U85,'OC-SNF PMix Anc Days'!$CT$6:$CT$41),_xlfn.XMATCH(E$3&amp;$S85,'OC-SNF PMix Anc Days'!$DA$3:$EV$3))</f>
        <v>SPRINGHILL</v>
      </c>
      <c r="F85" s="11" t="str" cm="1">
        <f t="array" ref="F85">INDEX('OC-SNF PMix Anc Days'!$DA$6:$EV$41,_xlfn.XMATCH($U85,'OC-SNF PMix Anc Days'!$CT$6:$CT$41),_xlfn.XMATCH(F$3&amp;$S85,'OC-SNF PMix Anc Days'!$DA$3:$EV$3))</f>
        <v>SKILLED NURSING</v>
      </c>
      <c r="G85" s="11" t="str" cm="1">
        <f t="array" ref="G85">INDEX('OC-SNF PMix Anc Days'!$DA$6:$EV$41,_xlfn.XMATCH($U85,'OC-SNF PMix Anc Days'!$CT$6:$CT$41),_xlfn.XMATCH(G$3&amp;$S85,'OC-SNF PMix Anc Days'!$DA$3:$EV$3))</f>
        <v>Forest View</v>
      </c>
      <c r="H85" s="11" cm="1">
        <f t="array" ref="H85">INDEX('OC-SNF PMix Anc Days'!$DA$6:$EV$41,_xlfn.XMATCH($U85,'OC-SNF PMix Anc Days'!$CT$6:$CT$41),_xlfn.XMATCH(H$3&amp;$S85,'OC-SNF PMix Anc Days'!$DA$3:$EV$3))</f>
        <v>1.000027</v>
      </c>
      <c r="S85">
        <f>COUNTIFS($W$73:W85,W85,$X$73:X85,X85,$Y$73:Y85,Y85)</f>
        <v>1</v>
      </c>
      <c r="U85" s="92" t="str">
        <f t="shared" si="12"/>
        <v>32461Medicare Advantage</v>
      </c>
      <c r="W85">
        <v>324</v>
      </c>
      <c r="X85">
        <v>61</v>
      </c>
      <c r="Y85" t="s">
        <v>45</v>
      </c>
      <c r="AA85">
        <v>1</v>
      </c>
    </row>
    <row r="86" spans="1:27" x14ac:dyDescent="0.25">
      <c r="A86" s="104" cm="1">
        <f t="array" ref="A86">INDEX('OC-SNF PMix Anc Days'!$DA$6:$EV$41,_xlfn.XMATCH($U86,'OC-SNF PMix Anc Days'!$CT$6:$CT$41),_xlfn.XMATCH(A$3&amp;$S86,'OC-SNF PMix Anc Days'!$DA$3:$EV$3))</f>
        <v>45658</v>
      </c>
      <c r="B86" s="104" cm="1">
        <f t="array" ref="B86">INDEX('OC-SNF PMix Anc Days'!$DA$6:$EV$41,_xlfn.XMATCH($U86,'OC-SNF PMix Anc Days'!$CT$6:$CT$41),_xlfn.XMATCH(B$3&amp;$S86,'OC-SNF PMix Anc Days'!$DA$3:$EV$3))</f>
        <v>46022</v>
      </c>
      <c r="C86" s="11" t="str" cm="1">
        <f t="array" ref="C86">INDEX('OC-SNF PMix Anc Days'!$DA$6:$EV$41,_xlfn.XMATCH($U86,'OC-SNF PMix Anc Days'!$CT$6:$CT$41),_xlfn.XMATCH(C$3&amp;$S86,'OC-SNF PMix Anc Days'!$DA$3:$EV$3))</f>
        <v>MEDICAID</v>
      </c>
      <c r="D86" s="11" t="str" cm="1">
        <f t="array" ref="D86">INDEX('OC-SNF PMix Anc Days'!$DA$6:$EV$41,_xlfn.XMATCH($U86,'OC-SNF PMix Anc Days'!$CT$6:$CT$41),_xlfn.XMATCH(D$3&amp;$S86,'OC-SNF PMix Anc Days'!$DA$3:$EV$3))</f>
        <v>PA MEDICAID</v>
      </c>
      <c r="E86" s="11" t="str" cm="1">
        <f t="array" ref="E86">INDEX('OC-SNF PMix Anc Days'!$DA$6:$EV$41,_xlfn.XMATCH($U86,'OC-SNF PMix Anc Days'!$CT$6:$CT$41),_xlfn.XMATCH(E$3&amp;$S86,'OC-SNF PMix Anc Days'!$DA$3:$EV$3))</f>
        <v>SPRINGHILL</v>
      </c>
      <c r="F86" s="11" t="str" cm="1">
        <f t="array" ref="F86">INDEX('OC-SNF PMix Anc Days'!$DA$6:$EV$41,_xlfn.XMATCH($U86,'OC-SNF PMix Anc Days'!$CT$6:$CT$41),_xlfn.XMATCH(F$3&amp;$S86,'OC-SNF PMix Anc Days'!$DA$3:$EV$3))</f>
        <v>SKILLED NURSING</v>
      </c>
      <c r="G86" s="11" t="str" cm="1">
        <f t="array" ref="G86">INDEX('OC-SNF PMix Anc Days'!$DA$6:$EV$41,_xlfn.XMATCH($U86,'OC-SNF PMix Anc Days'!$CT$6:$CT$41),_xlfn.XMATCH(G$3&amp;$S86,'OC-SNF PMix Anc Days'!$DA$3:$EV$3))</f>
        <v>Forest View</v>
      </c>
      <c r="H86" s="11" cm="1">
        <f t="array" ref="H86">INDEX('OC-SNF PMix Anc Days'!$DA$6:$EV$41,_xlfn.XMATCH($U86,'OC-SNF PMix Anc Days'!$CT$6:$CT$41),_xlfn.XMATCH(H$3&amp;$S86,'OC-SNF PMix Anc Days'!$DA$3:$EV$3))</f>
        <v>31.500011000000001</v>
      </c>
      <c r="S86">
        <f>COUNTIFS($W$73:W86,W86,$X$73:X86,X86,$Y$73:Y86,Y86)</f>
        <v>1</v>
      </c>
      <c r="U86" s="92" t="str">
        <f t="shared" si="12"/>
        <v>32461Medicaid</v>
      </c>
      <c r="W86">
        <v>324</v>
      </c>
      <c r="X86">
        <v>61</v>
      </c>
      <c r="Y86" t="s">
        <v>89</v>
      </c>
      <c r="AA86">
        <v>1</v>
      </c>
    </row>
    <row r="87" spans="1:27" x14ac:dyDescent="0.25">
      <c r="A87" s="104" cm="1">
        <f t="array" ref="A87">INDEX('OC-SNF PMix Anc Days'!$DA$6:$EV$41,_xlfn.XMATCH($U87,'OC-SNF PMix Anc Days'!$CT$6:$CT$41),_xlfn.XMATCH(A$3&amp;$S87,'OC-SNF PMix Anc Days'!$DA$3:$EV$3))</f>
        <v>45658</v>
      </c>
      <c r="B87" s="104" cm="1">
        <f t="array" ref="B87">INDEX('OC-SNF PMix Anc Days'!$DA$6:$EV$41,_xlfn.XMATCH($U87,'OC-SNF PMix Anc Days'!$CT$6:$CT$41),_xlfn.XMATCH(B$3&amp;$S87,'OC-SNF PMix Anc Days'!$DA$3:$EV$3))</f>
        <v>46022</v>
      </c>
      <c r="C87" s="11" t="str" cm="1">
        <f t="array" ref="C87">INDEX('OC-SNF PMix Anc Days'!$DA$6:$EV$41,_xlfn.XMATCH($U87,'OC-SNF PMix Anc Days'!$CT$6:$CT$41),_xlfn.XMATCH(C$3&amp;$S87,'OC-SNF PMix Anc Days'!$DA$3:$EV$3))</f>
        <v>PRIVATE PAY</v>
      </c>
      <c r="D87" s="11" t="str" cm="1">
        <f t="array" ref="D87">INDEX('OC-SNF PMix Anc Days'!$DA$6:$EV$41,_xlfn.XMATCH($U87,'OC-SNF PMix Anc Days'!$CT$6:$CT$41),_xlfn.XMATCH(D$3&amp;$S87,'OC-SNF PMix Anc Days'!$DA$3:$EV$3))</f>
        <v>PRIVATE PAY</v>
      </c>
      <c r="E87" s="11" t="str" cm="1">
        <f t="array" ref="E87">INDEX('OC-SNF PMix Anc Days'!$DA$6:$EV$41,_xlfn.XMATCH($U87,'OC-SNF PMix Anc Days'!$CT$6:$CT$41),_xlfn.XMATCH(E$3&amp;$S87,'OC-SNF PMix Anc Days'!$DA$3:$EV$3))</f>
        <v>SPRINGHILL</v>
      </c>
      <c r="F87" s="11" t="str" cm="1">
        <f t="array" ref="F87">INDEX('OC-SNF PMix Anc Days'!$DA$6:$EV$41,_xlfn.XMATCH($U87,'OC-SNF PMix Anc Days'!$CT$6:$CT$41),_xlfn.XMATCH(F$3&amp;$S87,'OC-SNF PMix Anc Days'!$DA$3:$EV$3))</f>
        <v>SKILLED NURSING</v>
      </c>
      <c r="G87" s="11" t="str" cm="1">
        <f t="array" ref="G87">INDEX('OC-SNF PMix Anc Days'!$DA$6:$EV$41,_xlfn.XMATCH($U87,'OC-SNF PMix Anc Days'!$CT$6:$CT$41),_xlfn.XMATCH(G$3&amp;$S87,'OC-SNF PMix Anc Days'!$DA$3:$EV$3))</f>
        <v>Forest View</v>
      </c>
      <c r="H87" s="11" cm="1">
        <f t="array" ref="H87">INDEX('OC-SNF PMix Anc Days'!$DA$6:$EV$41,_xlfn.XMATCH($U87,'OC-SNF PMix Anc Days'!$CT$6:$CT$41),_xlfn.XMATCH(H$3&amp;$S87,'OC-SNF PMix Anc Days'!$DA$3:$EV$3))</f>
        <v>38.499980999999998</v>
      </c>
      <c r="S87">
        <f>COUNTIFS($W$73:W87,W87,$X$73:X87,X87,$Y$73:Y87,Y87)</f>
        <v>1</v>
      </c>
      <c r="U87" s="92" t="str">
        <f t="shared" si="12"/>
        <v>32461Private Pay</v>
      </c>
      <c r="W87">
        <v>324</v>
      </c>
      <c r="X87">
        <v>61</v>
      </c>
      <c r="Y87" t="s">
        <v>91</v>
      </c>
      <c r="AA87">
        <v>1</v>
      </c>
    </row>
    <row r="88" spans="1:27" x14ac:dyDescent="0.25">
      <c r="A88" s="104" cm="1">
        <f t="array" ref="A88">INDEX('OC-SNF PMix Anc Days'!$DA$6:$EV$41,_xlfn.XMATCH($U88,'OC-SNF PMix Anc Days'!$CT$6:$CT$41),_xlfn.XMATCH(A$3&amp;$S88,'OC-SNF PMix Anc Days'!$DA$3:$EV$3))</f>
        <v>45658</v>
      </c>
      <c r="B88" s="104" cm="1">
        <f t="array" ref="B88">INDEX('OC-SNF PMix Anc Days'!$DA$6:$EV$41,_xlfn.XMATCH($U88,'OC-SNF PMix Anc Days'!$CT$6:$CT$41),_xlfn.XMATCH(B$3&amp;$S88,'OC-SNF PMix Anc Days'!$DA$3:$EV$3))</f>
        <v>45688</v>
      </c>
      <c r="C88" s="11" t="str" cm="1">
        <f t="array" ref="C88">INDEX('OC-SNF PMix Anc Days'!$DA$6:$EV$41,_xlfn.XMATCH($U88,'OC-SNF PMix Anc Days'!$CT$6:$CT$41),_xlfn.XMATCH(C$3&amp;$S88,'OC-SNF PMix Anc Days'!$DA$3:$EV$3))</f>
        <v>MEDICAREA/MC HMO</v>
      </c>
      <c r="D88" s="11" t="str" cm="1">
        <f t="array" ref="D88">INDEX('OC-SNF PMix Anc Days'!$DA$6:$EV$41,_xlfn.XMATCH($U88,'OC-SNF PMix Anc Days'!$CT$6:$CT$41),_xlfn.XMATCH(D$3&amp;$S88,'OC-SNF PMix Anc Days'!$DA$3:$EV$3))</f>
        <v>MEDICARE A HIGHMARK</v>
      </c>
      <c r="E88" s="11" t="str" cm="1">
        <f t="array" ref="E88">INDEX('OC-SNF PMix Anc Days'!$DA$6:$EV$41,_xlfn.XMATCH($U88,'OC-SNF PMix Anc Days'!$CT$6:$CT$41),_xlfn.XMATCH(E$3&amp;$S88,'OC-SNF PMix Anc Days'!$DA$3:$EV$3))</f>
        <v>BETHANY VILLAGE</v>
      </c>
      <c r="F88" s="11" t="str" cm="1">
        <f t="array" ref="F88">INDEX('OC-SNF PMix Anc Days'!$DA$6:$EV$41,_xlfn.XMATCH($U88,'OC-SNF PMix Anc Days'!$CT$6:$CT$41),_xlfn.XMATCH(F$3&amp;$S88,'OC-SNF PMix Anc Days'!$DA$3:$EV$3))</f>
        <v>SKILLED NURSING</v>
      </c>
      <c r="G88" s="11" t="str" cm="1">
        <f t="array" ref="G88">INDEX('OC-SNF PMix Anc Days'!$DA$6:$EV$41,_xlfn.XMATCH($U88,'OC-SNF PMix Anc Days'!$CT$6:$CT$41),_xlfn.XMATCH(G$3&amp;$S88,'OC-SNF PMix Anc Days'!$DA$3:$EV$3))</f>
        <v>BETHANY VILLAGE - THE OAKS</v>
      </c>
      <c r="H88" s="11" cm="1">
        <f t="array" ref="H88">INDEX('OC-SNF PMix Anc Days'!$DA$6:$EV$41,_xlfn.XMATCH($U88,'OC-SNF PMix Anc Days'!$CT$6:$CT$41),_xlfn.XMATCH(H$3&amp;$S88,'OC-SNF PMix Anc Days'!$DA$3:$EV$3))</f>
        <v>4.1844000000000001</v>
      </c>
      <c r="S88">
        <f>COUNTIFS($W$73:W88,W88,$X$73:X88,X88,$Y$73:Y88,Y88)</f>
        <v>1</v>
      </c>
      <c r="U88" s="92" t="str">
        <f t="shared" si="12"/>
        <v>81061Medicare A</v>
      </c>
      <c r="W88">
        <v>810</v>
      </c>
      <c r="X88">
        <v>61</v>
      </c>
      <c r="Y88" t="s">
        <v>133</v>
      </c>
      <c r="AA88">
        <v>6</v>
      </c>
    </row>
    <row r="89" spans="1:27" x14ac:dyDescent="0.25">
      <c r="A89" s="104" cm="1">
        <f t="array" ref="A89">INDEX('OC-SNF PMix Anc Days'!$DA$6:$EV$41,_xlfn.XMATCH($U89,'OC-SNF PMix Anc Days'!$CT$6:$CT$41),_xlfn.XMATCH(A$3&amp;$S89,'OC-SNF PMix Anc Days'!$DA$3:$EV$3))</f>
        <v>45689</v>
      </c>
      <c r="B89" s="104" cm="1">
        <f t="array" ref="B89">INDEX('OC-SNF PMix Anc Days'!$DA$6:$EV$41,_xlfn.XMATCH($U89,'OC-SNF PMix Anc Days'!$CT$6:$CT$41),_xlfn.XMATCH(B$3&amp;$S89,'OC-SNF PMix Anc Days'!$DA$3:$EV$3))</f>
        <v>45716</v>
      </c>
      <c r="C89" s="11" t="str" cm="1">
        <f t="array" ref="C89">INDEX('OC-SNF PMix Anc Days'!$DA$6:$EV$41,_xlfn.XMATCH($U89,'OC-SNF PMix Anc Days'!$CT$6:$CT$41),_xlfn.XMATCH(C$3&amp;$S89,'OC-SNF PMix Anc Days'!$DA$3:$EV$3))</f>
        <v>MEDICAREA/MC HMO</v>
      </c>
      <c r="D89" s="11" t="str" cm="1">
        <f t="array" ref="D89">INDEX('OC-SNF PMix Anc Days'!$DA$6:$EV$41,_xlfn.XMATCH($U89,'OC-SNF PMix Anc Days'!$CT$6:$CT$41),_xlfn.XMATCH(D$3&amp;$S89,'OC-SNF PMix Anc Days'!$DA$3:$EV$3))</f>
        <v>MEDICARE A HIGHMARK</v>
      </c>
      <c r="E89" s="11" t="str" cm="1">
        <f t="array" ref="E89">INDEX('OC-SNF PMix Anc Days'!$DA$6:$EV$41,_xlfn.XMATCH($U89,'OC-SNF PMix Anc Days'!$CT$6:$CT$41),_xlfn.XMATCH(E$3&amp;$S89,'OC-SNF PMix Anc Days'!$DA$3:$EV$3))</f>
        <v>BETHANY VILLAGE</v>
      </c>
      <c r="F89" s="11" t="str" cm="1">
        <f t="array" ref="F89">INDEX('OC-SNF PMix Anc Days'!$DA$6:$EV$41,_xlfn.XMATCH($U89,'OC-SNF PMix Anc Days'!$CT$6:$CT$41),_xlfn.XMATCH(F$3&amp;$S89,'OC-SNF PMix Anc Days'!$DA$3:$EV$3))</f>
        <v>SKILLED NURSING</v>
      </c>
      <c r="G89" s="11" t="str" cm="1">
        <f t="array" ref="G89">INDEX('OC-SNF PMix Anc Days'!$DA$6:$EV$41,_xlfn.XMATCH($U89,'OC-SNF PMix Anc Days'!$CT$6:$CT$41),_xlfn.XMATCH(G$3&amp;$S89,'OC-SNF PMix Anc Days'!$DA$3:$EV$3))</f>
        <v>BETHANY VILLAGE - THE OAKS</v>
      </c>
      <c r="H89" s="11" cm="1">
        <f t="array" ref="H89">INDEX('OC-SNF PMix Anc Days'!$DA$6:$EV$41,_xlfn.XMATCH($U89,'OC-SNF PMix Anc Days'!$CT$6:$CT$41),_xlfn.XMATCH(H$3&amp;$S89,'OC-SNF PMix Anc Days'!$DA$3:$EV$3))</f>
        <v>2.64</v>
      </c>
      <c r="S89">
        <f>COUNTIFS($W$73:W89,W89,$X$73:X89,X89,$Y$73:Y89,Y89)</f>
        <v>2</v>
      </c>
      <c r="U89" s="92" t="str">
        <f t="shared" si="12"/>
        <v>81061Medicare A</v>
      </c>
      <c r="W89">
        <v>810</v>
      </c>
      <c r="X89">
        <v>61</v>
      </c>
      <c r="Y89" t="s">
        <v>133</v>
      </c>
      <c r="AA89">
        <v>6</v>
      </c>
    </row>
    <row r="90" spans="1:27" x14ac:dyDescent="0.25">
      <c r="A90" s="104" cm="1">
        <f t="array" ref="A90">INDEX('OC-SNF PMix Anc Days'!$DA$6:$EV$41,_xlfn.XMATCH($U90,'OC-SNF PMix Anc Days'!$CT$6:$CT$41),_xlfn.XMATCH(A$3&amp;$S90,'OC-SNF PMix Anc Days'!$DA$3:$EV$3))</f>
        <v>45717</v>
      </c>
      <c r="B90" s="104" cm="1">
        <f t="array" ref="B90">INDEX('OC-SNF PMix Anc Days'!$DA$6:$EV$41,_xlfn.XMATCH($U90,'OC-SNF PMix Anc Days'!$CT$6:$CT$41),_xlfn.XMATCH(B$3&amp;$S90,'OC-SNF PMix Anc Days'!$DA$3:$EV$3))</f>
        <v>45747</v>
      </c>
      <c r="C90" s="11" t="str" cm="1">
        <f t="array" ref="C90">INDEX('OC-SNF PMix Anc Days'!$DA$6:$EV$41,_xlfn.XMATCH($U90,'OC-SNF PMix Anc Days'!$CT$6:$CT$41),_xlfn.XMATCH(C$3&amp;$S90,'OC-SNF PMix Anc Days'!$DA$3:$EV$3))</f>
        <v>MEDICAREA/MC HMO</v>
      </c>
      <c r="D90" s="11" t="str" cm="1">
        <f t="array" ref="D90">INDEX('OC-SNF PMix Anc Days'!$DA$6:$EV$41,_xlfn.XMATCH($U90,'OC-SNF PMix Anc Days'!$CT$6:$CT$41),_xlfn.XMATCH(D$3&amp;$S90,'OC-SNF PMix Anc Days'!$DA$3:$EV$3))</f>
        <v>MEDICARE A HIGHMARK</v>
      </c>
      <c r="E90" s="11" t="str" cm="1">
        <f t="array" ref="E90">INDEX('OC-SNF PMix Anc Days'!$DA$6:$EV$41,_xlfn.XMATCH($U90,'OC-SNF PMix Anc Days'!$CT$6:$CT$41),_xlfn.XMATCH(E$3&amp;$S90,'OC-SNF PMix Anc Days'!$DA$3:$EV$3))</f>
        <v>BETHANY VILLAGE</v>
      </c>
      <c r="F90" s="11" t="str" cm="1">
        <f t="array" ref="F90">INDEX('OC-SNF PMix Anc Days'!$DA$6:$EV$41,_xlfn.XMATCH($U90,'OC-SNF PMix Anc Days'!$CT$6:$CT$41),_xlfn.XMATCH(F$3&amp;$S90,'OC-SNF PMix Anc Days'!$DA$3:$EV$3))</f>
        <v>SKILLED NURSING</v>
      </c>
      <c r="G90" s="11" t="str" cm="1">
        <f t="array" ref="G90">INDEX('OC-SNF PMix Anc Days'!$DA$6:$EV$41,_xlfn.XMATCH($U90,'OC-SNF PMix Anc Days'!$CT$6:$CT$41),_xlfn.XMATCH(G$3&amp;$S90,'OC-SNF PMix Anc Days'!$DA$3:$EV$3))</f>
        <v>BETHANY VILLAGE - THE OAKS</v>
      </c>
      <c r="H90" s="11" cm="1">
        <f t="array" ref="H90">INDEX('OC-SNF PMix Anc Days'!$DA$6:$EV$41,_xlfn.XMATCH($U90,'OC-SNF PMix Anc Days'!$CT$6:$CT$41),_xlfn.XMATCH(H$3&amp;$S90,'OC-SNF PMix Anc Days'!$DA$3:$EV$3))</f>
        <v>2.9699999999999998</v>
      </c>
      <c r="S90">
        <f>COUNTIFS($W$73:W90,W90,$X$73:X90,X90,$Y$73:Y90,Y90)</f>
        <v>3</v>
      </c>
      <c r="U90" s="92" t="str">
        <f t="shared" si="12"/>
        <v>81061Medicare A</v>
      </c>
      <c r="W90">
        <v>810</v>
      </c>
      <c r="X90">
        <v>61</v>
      </c>
      <c r="Y90" t="s">
        <v>133</v>
      </c>
      <c r="AA90">
        <v>6</v>
      </c>
    </row>
    <row r="91" spans="1:27" x14ac:dyDescent="0.25">
      <c r="A91" s="104" cm="1">
        <f t="array" ref="A91">INDEX('OC-SNF PMix Anc Days'!$DA$6:$EV$41,_xlfn.XMATCH($U91,'OC-SNF PMix Anc Days'!$CT$6:$CT$41),_xlfn.XMATCH(A$3&amp;$S91,'OC-SNF PMix Anc Days'!$DA$3:$EV$3))</f>
        <v>45748</v>
      </c>
      <c r="B91" s="104" cm="1">
        <f t="array" ref="B91">INDEX('OC-SNF PMix Anc Days'!$DA$6:$EV$41,_xlfn.XMATCH($U91,'OC-SNF PMix Anc Days'!$CT$6:$CT$41),_xlfn.XMATCH(B$3&amp;$S91,'OC-SNF PMix Anc Days'!$DA$3:$EV$3))</f>
        <v>45777</v>
      </c>
      <c r="C91" s="11" t="str" cm="1">
        <f t="array" ref="C91">INDEX('OC-SNF PMix Anc Days'!$DA$6:$EV$41,_xlfn.XMATCH($U91,'OC-SNF PMix Anc Days'!$CT$6:$CT$41),_xlfn.XMATCH(C$3&amp;$S91,'OC-SNF PMix Anc Days'!$DA$3:$EV$3))</f>
        <v>MEDICAREA/MC HMO</v>
      </c>
      <c r="D91" s="11" t="str" cm="1">
        <f t="array" ref="D91">INDEX('OC-SNF PMix Anc Days'!$DA$6:$EV$41,_xlfn.XMATCH($U91,'OC-SNF PMix Anc Days'!$CT$6:$CT$41),_xlfn.XMATCH(D$3&amp;$S91,'OC-SNF PMix Anc Days'!$DA$3:$EV$3))</f>
        <v>MEDICARE A HIGHMARK</v>
      </c>
      <c r="E91" s="11" t="str" cm="1">
        <f t="array" ref="E91">INDEX('OC-SNF PMix Anc Days'!$DA$6:$EV$41,_xlfn.XMATCH($U91,'OC-SNF PMix Anc Days'!$CT$6:$CT$41),_xlfn.XMATCH(E$3&amp;$S91,'OC-SNF PMix Anc Days'!$DA$3:$EV$3))</f>
        <v>BETHANY VILLAGE</v>
      </c>
      <c r="F91" s="11" t="str" cm="1">
        <f t="array" ref="F91">INDEX('OC-SNF PMix Anc Days'!$DA$6:$EV$41,_xlfn.XMATCH($U91,'OC-SNF PMix Anc Days'!$CT$6:$CT$41),_xlfn.XMATCH(F$3&amp;$S91,'OC-SNF PMix Anc Days'!$DA$3:$EV$3))</f>
        <v>SKILLED NURSING</v>
      </c>
      <c r="G91" s="11" t="str" cm="1">
        <f t="array" ref="G91">INDEX('OC-SNF PMix Anc Days'!$DA$6:$EV$41,_xlfn.XMATCH($U91,'OC-SNF PMix Anc Days'!$CT$6:$CT$41),_xlfn.XMATCH(G$3&amp;$S91,'OC-SNF PMix Anc Days'!$DA$3:$EV$3))</f>
        <v>BETHANY VILLAGE - THE OAKS</v>
      </c>
      <c r="H91" s="11" cm="1">
        <f t="array" ref="H91">INDEX('OC-SNF PMix Anc Days'!$DA$6:$EV$41,_xlfn.XMATCH($U91,'OC-SNF PMix Anc Days'!$CT$6:$CT$41),_xlfn.XMATCH(H$3&amp;$S91,'OC-SNF PMix Anc Days'!$DA$3:$EV$3))</f>
        <v>4.1844000000000001</v>
      </c>
      <c r="S91">
        <f>COUNTIFS($W$73:W91,W91,$X$73:X91,X91,$Y$73:Y91,Y91)</f>
        <v>4</v>
      </c>
      <c r="U91" s="92" t="str">
        <f t="shared" si="12"/>
        <v>81061Medicare A</v>
      </c>
      <c r="W91">
        <v>810</v>
      </c>
      <c r="X91">
        <v>61</v>
      </c>
      <c r="Y91" t="s">
        <v>133</v>
      </c>
      <c r="AA91">
        <v>6</v>
      </c>
    </row>
    <row r="92" spans="1:27" x14ac:dyDescent="0.25">
      <c r="A92" s="104" cm="1">
        <f t="array" ref="A92">INDEX('OC-SNF PMix Anc Days'!$DA$6:$EV$41,_xlfn.XMATCH($U92,'OC-SNF PMix Anc Days'!$CT$6:$CT$41),_xlfn.XMATCH(A$3&amp;$S92,'OC-SNF PMix Anc Days'!$DA$3:$EV$3))</f>
        <v>45778</v>
      </c>
      <c r="B92" s="104" cm="1">
        <f t="array" ref="B92">INDEX('OC-SNF PMix Anc Days'!$DA$6:$EV$41,_xlfn.XMATCH($U92,'OC-SNF PMix Anc Days'!$CT$6:$CT$41),_xlfn.XMATCH(B$3&amp;$S92,'OC-SNF PMix Anc Days'!$DA$3:$EV$3))</f>
        <v>45808</v>
      </c>
      <c r="C92" s="11" t="str" cm="1">
        <f t="array" ref="C92">INDEX('OC-SNF PMix Anc Days'!$DA$6:$EV$41,_xlfn.XMATCH($U92,'OC-SNF PMix Anc Days'!$CT$6:$CT$41),_xlfn.XMATCH(C$3&amp;$S92,'OC-SNF PMix Anc Days'!$DA$3:$EV$3))</f>
        <v>MEDICAREA/MC HMO</v>
      </c>
      <c r="D92" s="11" t="str" cm="1">
        <f t="array" ref="D92">INDEX('OC-SNF PMix Anc Days'!$DA$6:$EV$41,_xlfn.XMATCH($U92,'OC-SNF PMix Anc Days'!$CT$6:$CT$41),_xlfn.XMATCH(D$3&amp;$S92,'OC-SNF PMix Anc Days'!$DA$3:$EV$3))</f>
        <v>MEDICARE A HIGHMARK</v>
      </c>
      <c r="E92" s="11" t="str" cm="1">
        <f t="array" ref="E92">INDEX('OC-SNF PMix Anc Days'!$DA$6:$EV$41,_xlfn.XMATCH($U92,'OC-SNF PMix Anc Days'!$CT$6:$CT$41),_xlfn.XMATCH(E$3&amp;$S92,'OC-SNF PMix Anc Days'!$DA$3:$EV$3))</f>
        <v>BETHANY VILLAGE</v>
      </c>
      <c r="F92" s="11" t="str" cm="1">
        <f t="array" ref="F92">INDEX('OC-SNF PMix Anc Days'!$DA$6:$EV$41,_xlfn.XMATCH($U92,'OC-SNF PMix Anc Days'!$CT$6:$CT$41),_xlfn.XMATCH(F$3&amp;$S92,'OC-SNF PMix Anc Days'!$DA$3:$EV$3))</f>
        <v>SKILLED NURSING</v>
      </c>
      <c r="G92" s="11" t="str" cm="1">
        <f t="array" ref="G92">INDEX('OC-SNF PMix Anc Days'!$DA$6:$EV$41,_xlfn.XMATCH($U92,'OC-SNF PMix Anc Days'!$CT$6:$CT$41),_xlfn.XMATCH(G$3&amp;$S92,'OC-SNF PMix Anc Days'!$DA$3:$EV$3))</f>
        <v>BETHANY VILLAGE - THE OAKS</v>
      </c>
      <c r="H92" s="11" cm="1">
        <f t="array" ref="H92">INDEX('OC-SNF PMix Anc Days'!$DA$6:$EV$41,_xlfn.XMATCH($U92,'OC-SNF PMix Anc Days'!$CT$6:$CT$41),_xlfn.XMATCH(H$3&amp;$S92,'OC-SNF PMix Anc Days'!$DA$3:$EV$3))</f>
        <v>4.95</v>
      </c>
      <c r="S92">
        <f>COUNTIFS($W$73:W92,W92,$X$73:X92,X92,$Y$73:Y92,Y92)</f>
        <v>5</v>
      </c>
      <c r="U92" s="92" t="str">
        <f t="shared" si="12"/>
        <v>81061Medicare A</v>
      </c>
      <c r="W92">
        <v>810</v>
      </c>
      <c r="X92">
        <v>61</v>
      </c>
      <c r="Y92" t="s">
        <v>133</v>
      </c>
      <c r="AA92">
        <v>6</v>
      </c>
    </row>
    <row r="93" spans="1:27" x14ac:dyDescent="0.25">
      <c r="A93" s="104" cm="1">
        <f t="array" ref="A93">INDEX('OC-SNF PMix Anc Days'!$DA$6:$EV$41,_xlfn.XMATCH($U93,'OC-SNF PMix Anc Days'!$CT$6:$CT$41),_xlfn.XMATCH(A$3&amp;$S93,'OC-SNF PMix Anc Days'!$DA$3:$EV$3))</f>
        <v>45809</v>
      </c>
      <c r="B93" s="104" cm="1">
        <f t="array" ref="B93">INDEX('OC-SNF PMix Anc Days'!$DA$6:$EV$41,_xlfn.XMATCH($U93,'OC-SNF PMix Anc Days'!$CT$6:$CT$41),_xlfn.XMATCH(B$3&amp;$S93,'OC-SNF PMix Anc Days'!$DA$3:$EV$3))</f>
        <v>46022</v>
      </c>
      <c r="C93" s="11" t="str" cm="1">
        <f t="array" ref="C93">INDEX('OC-SNF PMix Anc Days'!$DA$6:$EV$41,_xlfn.XMATCH($U93,'OC-SNF PMix Anc Days'!$CT$6:$CT$41),_xlfn.XMATCH(C$3&amp;$S93,'OC-SNF PMix Anc Days'!$DA$3:$EV$3))</f>
        <v>MEDICAREA/MC HMO</v>
      </c>
      <c r="D93" s="11" t="str" cm="1">
        <f t="array" ref="D93">INDEX('OC-SNF PMix Anc Days'!$DA$6:$EV$41,_xlfn.XMATCH($U93,'OC-SNF PMix Anc Days'!$CT$6:$CT$41),_xlfn.XMATCH(D$3&amp;$S93,'OC-SNF PMix Anc Days'!$DA$3:$EV$3))</f>
        <v>MEDICARE A HIGHMARK</v>
      </c>
      <c r="E93" s="11" t="str" cm="1">
        <f t="array" ref="E93">INDEX('OC-SNF PMix Anc Days'!$DA$6:$EV$41,_xlfn.XMATCH($U93,'OC-SNF PMix Anc Days'!$CT$6:$CT$41),_xlfn.XMATCH(E$3&amp;$S93,'OC-SNF PMix Anc Days'!$DA$3:$EV$3))</f>
        <v>BETHANY VILLAGE</v>
      </c>
      <c r="F93" s="11" t="str" cm="1">
        <f t="array" ref="F93">INDEX('OC-SNF PMix Anc Days'!$DA$6:$EV$41,_xlfn.XMATCH($U93,'OC-SNF PMix Anc Days'!$CT$6:$CT$41),_xlfn.XMATCH(F$3&amp;$S93,'OC-SNF PMix Anc Days'!$DA$3:$EV$3))</f>
        <v>SKILLED NURSING</v>
      </c>
      <c r="G93" s="11" t="str" cm="1">
        <f t="array" ref="G93">INDEX('OC-SNF PMix Anc Days'!$DA$6:$EV$41,_xlfn.XMATCH($U93,'OC-SNF PMix Anc Days'!$CT$6:$CT$41),_xlfn.XMATCH(G$3&amp;$S93,'OC-SNF PMix Anc Days'!$DA$3:$EV$3))</f>
        <v>BETHANY VILLAGE - THE OAKS</v>
      </c>
      <c r="H93" s="11" cm="1">
        <f t="array" ref="H93">INDEX('OC-SNF PMix Anc Days'!$DA$6:$EV$41,_xlfn.XMATCH($U93,'OC-SNF PMix Anc Days'!$CT$6:$CT$41),_xlfn.XMATCH(H$3&amp;$S93,'OC-SNF PMix Anc Days'!$DA$3:$EV$3))</f>
        <v>4.1844000000000001</v>
      </c>
      <c r="S93">
        <f>COUNTIFS($W$73:W93,W93,$X$73:X93,X93,$Y$73:Y93,Y93)</f>
        <v>6</v>
      </c>
      <c r="U93" s="92" t="str">
        <f t="shared" si="12"/>
        <v>81061Medicare A</v>
      </c>
      <c r="W93">
        <v>810</v>
      </c>
      <c r="X93">
        <v>61</v>
      </c>
      <c r="Y93" t="s">
        <v>133</v>
      </c>
      <c r="AA93">
        <v>6</v>
      </c>
    </row>
    <row r="94" spans="1:27" x14ac:dyDescent="0.25">
      <c r="A94" s="104" cm="1">
        <f t="array" ref="A94">INDEX('OC-SNF PMix Anc Days'!$DA$6:$EV$41,_xlfn.XMATCH($U94,'OC-SNF PMix Anc Days'!$CT$6:$CT$41),_xlfn.XMATCH(A$3&amp;$S94,'OC-SNF PMix Anc Days'!$DA$3:$EV$3))</f>
        <v>45658</v>
      </c>
      <c r="B94" s="104" cm="1">
        <f t="array" ref="B94">INDEX('OC-SNF PMix Anc Days'!$DA$6:$EV$41,_xlfn.XMATCH($U94,'OC-SNF PMix Anc Days'!$CT$6:$CT$41),_xlfn.XMATCH(B$3&amp;$S94,'OC-SNF PMix Anc Days'!$DA$3:$EV$3))</f>
        <v>45688</v>
      </c>
      <c r="C94" s="11" t="str" cm="1">
        <f t="array" ref="C94">INDEX('OC-SNF PMix Anc Days'!$DA$6:$EV$41,_xlfn.XMATCH($U94,'OC-SNF PMix Anc Days'!$CT$6:$CT$41),_xlfn.XMATCH(C$3&amp;$S94,'OC-SNF PMix Anc Days'!$DA$3:$EV$3))</f>
        <v>Medicare Advantage</v>
      </c>
      <c r="D94" s="11" t="str" cm="1">
        <f t="array" ref="D94">INDEX('OC-SNF PMix Anc Days'!$DA$6:$EV$41,_xlfn.XMATCH($U94,'OC-SNF PMix Anc Days'!$CT$6:$CT$41),_xlfn.XMATCH(D$3&amp;$S94,'OC-SNF PMix Anc Days'!$DA$3:$EV$3))</f>
        <v>Med Adv HMO A</v>
      </c>
      <c r="E94" s="11" t="str" cm="1">
        <f t="array" ref="E94">INDEX('OC-SNF PMix Anc Days'!$DA$6:$EV$41,_xlfn.XMATCH($U94,'OC-SNF PMix Anc Days'!$CT$6:$CT$41),_xlfn.XMATCH(E$3&amp;$S94,'OC-SNF PMix Anc Days'!$DA$3:$EV$3))</f>
        <v>BETHANY VILLAGE</v>
      </c>
      <c r="F94" s="11" t="str" cm="1">
        <f t="array" ref="F94">INDEX('OC-SNF PMix Anc Days'!$DA$6:$EV$41,_xlfn.XMATCH($U94,'OC-SNF PMix Anc Days'!$CT$6:$CT$41),_xlfn.XMATCH(F$3&amp;$S94,'OC-SNF PMix Anc Days'!$DA$3:$EV$3))</f>
        <v>SKILLED NURSING</v>
      </c>
      <c r="G94" s="11" t="str" cm="1">
        <f t="array" ref="G94">INDEX('OC-SNF PMix Anc Days'!$DA$6:$EV$41,_xlfn.XMATCH($U94,'OC-SNF PMix Anc Days'!$CT$6:$CT$41),_xlfn.XMATCH(G$3&amp;$S94,'OC-SNF PMix Anc Days'!$DA$3:$EV$3))</f>
        <v>BETHANY VILLAGE - THE OAKS</v>
      </c>
      <c r="H94" s="11" cm="1">
        <f t="array" ref="H94">INDEX('OC-SNF PMix Anc Days'!$DA$6:$EV$41,_xlfn.XMATCH($U94,'OC-SNF PMix Anc Days'!$CT$6:$CT$41),_xlfn.XMATCH(H$3&amp;$S94,'OC-SNF PMix Anc Days'!$DA$3:$EV$3))</f>
        <v>2.4089999999999998</v>
      </c>
      <c r="S94">
        <f>COUNTIFS($W$73:W94,W94,$X$73:X94,X94,$Y$73:Y94,Y94)</f>
        <v>1</v>
      </c>
      <c r="U94" s="92" t="str">
        <f t="shared" si="12"/>
        <v>81061Medicare Advantage</v>
      </c>
      <c r="W94">
        <v>810</v>
      </c>
      <c r="X94">
        <v>61</v>
      </c>
      <c r="Y94" t="s">
        <v>45</v>
      </c>
      <c r="AA94">
        <v>5</v>
      </c>
    </row>
    <row r="95" spans="1:27" x14ac:dyDescent="0.25">
      <c r="A95" s="104" cm="1">
        <f t="array" ref="A95">INDEX('OC-SNF PMix Anc Days'!$DA$6:$EV$41,_xlfn.XMATCH($U95,'OC-SNF PMix Anc Days'!$CT$6:$CT$41),_xlfn.XMATCH(A$3&amp;$S95,'OC-SNF PMix Anc Days'!$DA$3:$EV$3))</f>
        <v>45689</v>
      </c>
      <c r="B95" s="104" cm="1">
        <f t="array" ref="B95">INDEX('OC-SNF PMix Anc Days'!$DA$6:$EV$41,_xlfn.XMATCH($U95,'OC-SNF PMix Anc Days'!$CT$6:$CT$41),_xlfn.XMATCH(B$3&amp;$S95,'OC-SNF PMix Anc Days'!$DA$3:$EV$3))</f>
        <v>45716</v>
      </c>
      <c r="C95" s="11" t="str" cm="1">
        <f t="array" ref="C95">INDEX('OC-SNF PMix Anc Days'!$DA$6:$EV$41,_xlfn.XMATCH($U95,'OC-SNF PMix Anc Days'!$CT$6:$CT$41),_xlfn.XMATCH(C$3&amp;$S95,'OC-SNF PMix Anc Days'!$DA$3:$EV$3))</f>
        <v>Medicare Advantage</v>
      </c>
      <c r="D95" s="11" t="str" cm="1">
        <f t="array" ref="D95">INDEX('OC-SNF PMix Anc Days'!$DA$6:$EV$41,_xlfn.XMATCH($U95,'OC-SNF PMix Anc Days'!$CT$6:$CT$41),_xlfn.XMATCH(D$3&amp;$S95,'OC-SNF PMix Anc Days'!$DA$3:$EV$3))</f>
        <v>Med Adv HMO A</v>
      </c>
      <c r="E95" s="11" t="str" cm="1">
        <f t="array" ref="E95">INDEX('OC-SNF PMix Anc Days'!$DA$6:$EV$41,_xlfn.XMATCH($U95,'OC-SNF PMix Anc Days'!$CT$6:$CT$41),_xlfn.XMATCH(E$3&amp;$S95,'OC-SNF PMix Anc Days'!$DA$3:$EV$3))</f>
        <v>BETHANY VILLAGE</v>
      </c>
      <c r="F95" s="11" t="str" cm="1">
        <f t="array" ref="F95">INDEX('OC-SNF PMix Anc Days'!$DA$6:$EV$41,_xlfn.XMATCH($U95,'OC-SNF PMix Anc Days'!$CT$6:$CT$41),_xlfn.XMATCH(F$3&amp;$S95,'OC-SNF PMix Anc Days'!$DA$3:$EV$3))</f>
        <v>SKILLED NURSING</v>
      </c>
      <c r="G95" s="11" t="str" cm="1">
        <f t="array" ref="G95">INDEX('OC-SNF PMix Anc Days'!$DA$6:$EV$41,_xlfn.XMATCH($U95,'OC-SNF PMix Anc Days'!$CT$6:$CT$41),_xlfn.XMATCH(G$3&amp;$S95,'OC-SNF PMix Anc Days'!$DA$3:$EV$3))</f>
        <v>BETHANY VILLAGE - THE OAKS</v>
      </c>
      <c r="H95" s="11" cm="1">
        <f t="array" ref="H95">INDEX('OC-SNF PMix Anc Days'!$DA$6:$EV$41,_xlfn.XMATCH($U95,'OC-SNF PMix Anc Days'!$CT$6:$CT$41),_xlfn.XMATCH(H$3&amp;$S95,'OC-SNF PMix Anc Days'!$DA$3:$EV$3))</f>
        <v>1.6500000000000001</v>
      </c>
      <c r="S95">
        <f>COUNTIFS($W$73:W95,W95,$X$73:X95,X95,$Y$73:Y95,Y95)</f>
        <v>2</v>
      </c>
      <c r="U95" s="92" t="str">
        <f t="shared" si="12"/>
        <v>81061Medicare Advantage</v>
      </c>
      <c r="W95">
        <v>810</v>
      </c>
      <c r="X95">
        <v>61</v>
      </c>
      <c r="Y95" t="s">
        <v>45</v>
      </c>
      <c r="AA95">
        <v>5</v>
      </c>
    </row>
    <row r="96" spans="1:27" x14ac:dyDescent="0.25">
      <c r="A96" s="104" cm="1">
        <f t="array" ref="A96">INDEX('OC-SNF PMix Anc Days'!$DA$6:$EV$41,_xlfn.XMATCH($U96,'OC-SNF PMix Anc Days'!$CT$6:$CT$41),_xlfn.XMATCH(A$3&amp;$S96,'OC-SNF PMix Anc Days'!$DA$3:$EV$3))</f>
        <v>45717</v>
      </c>
      <c r="B96" s="104" cm="1">
        <f t="array" ref="B96">INDEX('OC-SNF PMix Anc Days'!$DA$6:$EV$41,_xlfn.XMATCH($U96,'OC-SNF PMix Anc Days'!$CT$6:$CT$41),_xlfn.XMATCH(B$3&amp;$S96,'OC-SNF PMix Anc Days'!$DA$3:$EV$3))</f>
        <v>45777</v>
      </c>
      <c r="C96" s="11" t="str" cm="1">
        <f t="array" ref="C96">INDEX('OC-SNF PMix Anc Days'!$DA$6:$EV$41,_xlfn.XMATCH($U96,'OC-SNF PMix Anc Days'!$CT$6:$CT$41),_xlfn.XMATCH(C$3&amp;$S96,'OC-SNF PMix Anc Days'!$DA$3:$EV$3))</f>
        <v>Medicare Advantage</v>
      </c>
      <c r="D96" s="11" t="str" cm="1">
        <f t="array" ref="D96">INDEX('OC-SNF PMix Anc Days'!$DA$6:$EV$41,_xlfn.XMATCH($U96,'OC-SNF PMix Anc Days'!$CT$6:$CT$41),_xlfn.XMATCH(D$3&amp;$S96,'OC-SNF PMix Anc Days'!$DA$3:$EV$3))</f>
        <v>Med Adv HMO A</v>
      </c>
      <c r="E96" s="11" t="str" cm="1">
        <f t="array" ref="E96">INDEX('OC-SNF PMix Anc Days'!$DA$6:$EV$41,_xlfn.XMATCH($U96,'OC-SNF PMix Anc Days'!$CT$6:$CT$41),_xlfn.XMATCH(E$3&amp;$S96,'OC-SNF PMix Anc Days'!$DA$3:$EV$3))</f>
        <v>BETHANY VILLAGE</v>
      </c>
      <c r="F96" s="11" t="str" cm="1">
        <f t="array" ref="F96">INDEX('OC-SNF PMix Anc Days'!$DA$6:$EV$41,_xlfn.XMATCH($U96,'OC-SNF PMix Anc Days'!$CT$6:$CT$41),_xlfn.XMATCH(F$3&amp;$S96,'OC-SNF PMix Anc Days'!$DA$3:$EV$3))</f>
        <v>SKILLED NURSING</v>
      </c>
      <c r="G96" s="11" t="str" cm="1">
        <f t="array" ref="G96">INDEX('OC-SNF PMix Anc Days'!$DA$6:$EV$41,_xlfn.XMATCH($U96,'OC-SNF PMix Anc Days'!$CT$6:$CT$41),_xlfn.XMATCH(G$3&amp;$S96,'OC-SNF PMix Anc Days'!$DA$3:$EV$3))</f>
        <v>BETHANY VILLAGE - THE OAKS</v>
      </c>
      <c r="H96" s="11" cm="1">
        <f t="array" ref="H96">INDEX('OC-SNF PMix Anc Days'!$DA$6:$EV$41,_xlfn.XMATCH($U96,'OC-SNF PMix Anc Days'!$CT$6:$CT$41),_xlfn.XMATCH(H$3&amp;$S96,'OC-SNF PMix Anc Days'!$DA$3:$EV$3))</f>
        <v>2.4089999999999998</v>
      </c>
      <c r="S96">
        <f>COUNTIFS($W$73:W96,W96,$X$73:X96,X96,$Y$73:Y96,Y96)</f>
        <v>3</v>
      </c>
      <c r="U96" s="92" t="str">
        <f t="shared" si="12"/>
        <v>81061Medicare Advantage</v>
      </c>
      <c r="W96">
        <v>810</v>
      </c>
      <c r="X96">
        <v>61</v>
      </c>
      <c r="Y96" t="s">
        <v>45</v>
      </c>
      <c r="AA96">
        <v>5</v>
      </c>
    </row>
    <row r="97" spans="1:27" x14ac:dyDescent="0.25">
      <c r="A97" s="104" cm="1">
        <f t="array" ref="A97">INDEX('OC-SNF PMix Anc Days'!$DA$6:$EV$41,_xlfn.XMATCH($U97,'OC-SNF PMix Anc Days'!$CT$6:$CT$41),_xlfn.XMATCH(A$3&amp;$S97,'OC-SNF PMix Anc Days'!$DA$3:$EV$3))</f>
        <v>45778</v>
      </c>
      <c r="B97" s="104" cm="1">
        <f t="array" ref="B97">INDEX('OC-SNF PMix Anc Days'!$DA$6:$EV$41,_xlfn.XMATCH($U97,'OC-SNF PMix Anc Days'!$CT$6:$CT$41),_xlfn.XMATCH(B$3&amp;$S97,'OC-SNF PMix Anc Days'!$DA$3:$EV$3))</f>
        <v>45808</v>
      </c>
      <c r="C97" s="11" t="str" cm="1">
        <f t="array" ref="C97">INDEX('OC-SNF PMix Anc Days'!$DA$6:$EV$41,_xlfn.XMATCH($U97,'OC-SNF PMix Anc Days'!$CT$6:$CT$41),_xlfn.XMATCH(C$3&amp;$S97,'OC-SNF PMix Anc Days'!$DA$3:$EV$3))</f>
        <v>Medicare Advantage</v>
      </c>
      <c r="D97" s="11" t="str" cm="1">
        <f t="array" ref="D97">INDEX('OC-SNF PMix Anc Days'!$DA$6:$EV$41,_xlfn.XMATCH($U97,'OC-SNF PMix Anc Days'!$CT$6:$CT$41),_xlfn.XMATCH(D$3&amp;$S97,'OC-SNF PMix Anc Days'!$DA$3:$EV$3))</f>
        <v>Med Adv HMO A</v>
      </c>
      <c r="E97" s="11" t="str" cm="1">
        <f t="array" ref="E97">INDEX('OC-SNF PMix Anc Days'!$DA$6:$EV$41,_xlfn.XMATCH($U97,'OC-SNF PMix Anc Days'!$CT$6:$CT$41),_xlfn.XMATCH(E$3&amp;$S97,'OC-SNF PMix Anc Days'!$DA$3:$EV$3))</f>
        <v>BETHANY VILLAGE</v>
      </c>
      <c r="F97" s="11" t="str" cm="1">
        <f t="array" ref="F97">INDEX('OC-SNF PMix Anc Days'!$DA$6:$EV$41,_xlfn.XMATCH($U97,'OC-SNF PMix Anc Days'!$CT$6:$CT$41),_xlfn.XMATCH(F$3&amp;$S97,'OC-SNF PMix Anc Days'!$DA$3:$EV$3))</f>
        <v>SKILLED NURSING</v>
      </c>
      <c r="G97" s="11" t="str" cm="1">
        <f t="array" ref="G97">INDEX('OC-SNF PMix Anc Days'!$DA$6:$EV$41,_xlfn.XMATCH($U97,'OC-SNF PMix Anc Days'!$CT$6:$CT$41),_xlfn.XMATCH(G$3&amp;$S97,'OC-SNF PMix Anc Days'!$DA$3:$EV$3))</f>
        <v>BETHANY VILLAGE - THE OAKS</v>
      </c>
      <c r="H97" s="11" cm="1">
        <f t="array" ref="H97">INDEX('OC-SNF PMix Anc Days'!$DA$6:$EV$41,_xlfn.XMATCH($U97,'OC-SNF PMix Anc Days'!$CT$6:$CT$41),_xlfn.XMATCH(H$3&amp;$S97,'OC-SNF PMix Anc Days'!$DA$3:$EV$3))</f>
        <v>2.145</v>
      </c>
      <c r="S97">
        <f>COUNTIFS($W$73:W97,W97,$X$73:X97,X97,$Y$73:Y97,Y97)</f>
        <v>4</v>
      </c>
      <c r="U97" s="92" t="str">
        <f t="shared" si="12"/>
        <v>81061Medicare Advantage</v>
      </c>
      <c r="W97">
        <v>810</v>
      </c>
      <c r="X97">
        <v>61</v>
      </c>
      <c r="Y97" t="s">
        <v>45</v>
      </c>
      <c r="AA97">
        <v>5</v>
      </c>
    </row>
    <row r="98" spans="1:27" x14ac:dyDescent="0.25">
      <c r="A98" s="104" cm="1">
        <f t="array" ref="A98">INDEX('OC-SNF PMix Anc Days'!$DA$6:$EV$41,_xlfn.XMATCH($U98,'OC-SNF PMix Anc Days'!$CT$6:$CT$41),_xlfn.XMATCH(A$3&amp;$S98,'OC-SNF PMix Anc Days'!$DA$3:$EV$3))</f>
        <v>45809</v>
      </c>
      <c r="B98" s="104" cm="1">
        <f t="array" ref="B98">INDEX('OC-SNF PMix Anc Days'!$DA$6:$EV$41,_xlfn.XMATCH($U98,'OC-SNF PMix Anc Days'!$CT$6:$CT$41),_xlfn.XMATCH(B$3&amp;$S98,'OC-SNF PMix Anc Days'!$DA$3:$EV$3))</f>
        <v>46022</v>
      </c>
      <c r="C98" s="11" t="str" cm="1">
        <f t="array" ref="C98">INDEX('OC-SNF PMix Anc Days'!$DA$6:$EV$41,_xlfn.XMATCH($U98,'OC-SNF PMix Anc Days'!$CT$6:$CT$41),_xlfn.XMATCH(C$3&amp;$S98,'OC-SNF PMix Anc Days'!$DA$3:$EV$3))</f>
        <v>Medicare Advantage</v>
      </c>
      <c r="D98" s="11" t="str" cm="1">
        <f t="array" ref="D98">INDEX('OC-SNF PMix Anc Days'!$DA$6:$EV$41,_xlfn.XMATCH($U98,'OC-SNF PMix Anc Days'!$CT$6:$CT$41),_xlfn.XMATCH(D$3&amp;$S98,'OC-SNF PMix Anc Days'!$DA$3:$EV$3))</f>
        <v>Med Adv HMO A</v>
      </c>
      <c r="E98" s="11" t="str" cm="1">
        <f t="array" ref="E98">INDEX('OC-SNF PMix Anc Days'!$DA$6:$EV$41,_xlfn.XMATCH($U98,'OC-SNF PMix Anc Days'!$CT$6:$CT$41),_xlfn.XMATCH(E$3&amp;$S98,'OC-SNF PMix Anc Days'!$DA$3:$EV$3))</f>
        <v>BETHANY VILLAGE</v>
      </c>
      <c r="F98" s="11" t="str" cm="1">
        <f t="array" ref="F98">INDEX('OC-SNF PMix Anc Days'!$DA$6:$EV$41,_xlfn.XMATCH($U98,'OC-SNF PMix Anc Days'!$CT$6:$CT$41),_xlfn.XMATCH(F$3&amp;$S98,'OC-SNF PMix Anc Days'!$DA$3:$EV$3))</f>
        <v>SKILLED NURSING</v>
      </c>
      <c r="G98" s="11" t="str" cm="1">
        <f t="array" ref="G98">INDEX('OC-SNF PMix Anc Days'!$DA$6:$EV$41,_xlfn.XMATCH($U98,'OC-SNF PMix Anc Days'!$CT$6:$CT$41),_xlfn.XMATCH(G$3&amp;$S98,'OC-SNF PMix Anc Days'!$DA$3:$EV$3))</f>
        <v>BETHANY VILLAGE - THE OAKS</v>
      </c>
      <c r="H98" s="11" cm="1">
        <f t="array" ref="H98">INDEX('OC-SNF PMix Anc Days'!$DA$6:$EV$41,_xlfn.XMATCH($U98,'OC-SNF PMix Anc Days'!$CT$6:$CT$41),_xlfn.XMATCH(H$3&amp;$S98,'OC-SNF PMix Anc Days'!$DA$3:$EV$3))</f>
        <v>2.4089999999999998</v>
      </c>
      <c r="S98">
        <f>COUNTIFS($W$73:W98,W98,$X$73:X98,X98,$Y$73:Y98,Y98)</f>
        <v>5</v>
      </c>
      <c r="U98" s="92" t="str">
        <f t="shared" si="12"/>
        <v>81061Medicare Advantage</v>
      </c>
      <c r="W98">
        <v>810</v>
      </c>
      <c r="X98">
        <v>61</v>
      </c>
      <c r="Y98" t="s">
        <v>45</v>
      </c>
      <c r="AA98">
        <v>5</v>
      </c>
    </row>
    <row r="99" spans="1:27" x14ac:dyDescent="0.25">
      <c r="A99" s="104" cm="1">
        <f t="array" ref="A99">INDEX('OC-SNF PMix Anc Days'!$DA$6:$EV$41,_xlfn.XMATCH($U99,'OC-SNF PMix Anc Days'!$CT$6:$CT$41),_xlfn.XMATCH(A$3&amp;$S99,'OC-SNF PMix Anc Days'!$DA$3:$EV$3))</f>
        <v>45658</v>
      </c>
      <c r="B99" s="104" cm="1">
        <f t="array" ref="B99">INDEX('OC-SNF PMix Anc Days'!$DA$6:$EV$41,_xlfn.XMATCH($U99,'OC-SNF PMix Anc Days'!$CT$6:$CT$41),_xlfn.XMATCH(B$3&amp;$S99,'OC-SNF PMix Anc Days'!$DA$3:$EV$3))</f>
        <v>45716</v>
      </c>
      <c r="C99" s="11" t="str" cm="1">
        <f t="array" ref="C99">INDEX('OC-SNF PMix Anc Days'!$DA$6:$EV$41,_xlfn.XMATCH($U99,'OC-SNF PMix Anc Days'!$CT$6:$CT$41),_xlfn.XMATCH(C$3&amp;$S99,'OC-SNF PMix Anc Days'!$DA$3:$EV$3))</f>
        <v>MEDICAID</v>
      </c>
      <c r="D99" s="11" t="str" cm="1">
        <f t="array" ref="D99">INDEX('OC-SNF PMix Anc Days'!$DA$6:$EV$41,_xlfn.XMATCH($U99,'OC-SNF PMix Anc Days'!$CT$6:$CT$41),_xlfn.XMATCH(D$3&amp;$S99,'OC-SNF PMix Anc Days'!$DA$3:$EV$3))</f>
        <v>PA MEDICAID</v>
      </c>
      <c r="E99" s="11" t="str" cm="1">
        <f t="array" ref="E99">INDEX('OC-SNF PMix Anc Days'!$DA$6:$EV$41,_xlfn.XMATCH($U99,'OC-SNF PMix Anc Days'!$CT$6:$CT$41),_xlfn.XMATCH(E$3&amp;$S99,'OC-SNF PMix Anc Days'!$DA$3:$EV$3))</f>
        <v>BETHANY VILLAGE</v>
      </c>
      <c r="F99" s="11" t="str" cm="1">
        <f t="array" ref="F99">INDEX('OC-SNF PMix Anc Days'!$DA$6:$EV$41,_xlfn.XMATCH($U99,'OC-SNF PMix Anc Days'!$CT$6:$CT$41),_xlfn.XMATCH(F$3&amp;$S99,'OC-SNF PMix Anc Days'!$DA$3:$EV$3))</f>
        <v>SKILLED NURSING</v>
      </c>
      <c r="G99" s="11" t="str" cm="1">
        <f t="array" ref="G99">INDEX('OC-SNF PMix Anc Days'!$DA$6:$EV$41,_xlfn.XMATCH($U99,'OC-SNF PMix Anc Days'!$CT$6:$CT$41),_xlfn.XMATCH(G$3&amp;$S99,'OC-SNF PMix Anc Days'!$DA$3:$EV$3))</f>
        <v>BETHANY VILLAGE - THE OAKS</v>
      </c>
      <c r="H99" s="11" cm="1">
        <f t="array" ref="H99">INDEX('OC-SNF PMix Anc Days'!$DA$6:$EV$41,_xlfn.XMATCH($U99,'OC-SNF PMix Anc Days'!$CT$6:$CT$41),_xlfn.XMATCH(H$3&amp;$S99,'OC-SNF PMix Anc Days'!$DA$3:$EV$3))</f>
        <v>19.6614</v>
      </c>
      <c r="S99">
        <f>COUNTIFS($W$73:W99,W99,$X$73:X99,X99,$Y$73:Y99,Y99)</f>
        <v>1</v>
      </c>
      <c r="U99" s="92" t="str">
        <f t="shared" si="12"/>
        <v>81061Medicaid</v>
      </c>
      <c r="W99">
        <v>810</v>
      </c>
      <c r="X99">
        <v>61</v>
      </c>
      <c r="Y99" t="s">
        <v>89</v>
      </c>
      <c r="AA99">
        <v>5</v>
      </c>
    </row>
    <row r="100" spans="1:27" x14ac:dyDescent="0.25">
      <c r="A100" s="104" cm="1">
        <f t="array" ref="A100">INDEX('OC-SNF PMix Anc Days'!$DA$6:$EV$41,_xlfn.XMATCH($U100,'OC-SNF PMix Anc Days'!$CT$6:$CT$41),_xlfn.XMATCH(A$3&amp;$S100,'OC-SNF PMix Anc Days'!$DA$3:$EV$3))</f>
        <v>45717</v>
      </c>
      <c r="B100" s="104" cm="1">
        <f t="array" ref="B100">INDEX('OC-SNF PMix Anc Days'!$DA$6:$EV$41,_xlfn.XMATCH($U100,'OC-SNF PMix Anc Days'!$CT$6:$CT$41),_xlfn.XMATCH(B$3&amp;$S100,'OC-SNF PMix Anc Days'!$DA$3:$EV$3))</f>
        <v>45747</v>
      </c>
      <c r="C100" s="11" t="str" cm="1">
        <f t="array" ref="C100">INDEX('OC-SNF PMix Anc Days'!$DA$6:$EV$41,_xlfn.XMATCH($U100,'OC-SNF PMix Anc Days'!$CT$6:$CT$41),_xlfn.XMATCH(C$3&amp;$S100,'OC-SNF PMix Anc Days'!$DA$3:$EV$3))</f>
        <v>MEDICAID</v>
      </c>
      <c r="D100" s="11" t="str" cm="1">
        <f t="array" ref="D100">INDEX('OC-SNF PMix Anc Days'!$DA$6:$EV$41,_xlfn.XMATCH($U100,'OC-SNF PMix Anc Days'!$CT$6:$CT$41),_xlfn.XMATCH(D$3&amp;$S100,'OC-SNF PMix Anc Days'!$DA$3:$EV$3))</f>
        <v>PA MEDICAID</v>
      </c>
      <c r="E100" s="11" t="str" cm="1">
        <f t="array" ref="E100">INDEX('OC-SNF PMix Anc Days'!$DA$6:$EV$41,_xlfn.XMATCH($U100,'OC-SNF PMix Anc Days'!$CT$6:$CT$41),_xlfn.XMATCH(E$3&amp;$S100,'OC-SNF PMix Anc Days'!$DA$3:$EV$3))</f>
        <v>BETHANY VILLAGE</v>
      </c>
      <c r="F100" s="11" t="str" cm="1">
        <f t="array" ref="F100">INDEX('OC-SNF PMix Anc Days'!$DA$6:$EV$41,_xlfn.XMATCH($U100,'OC-SNF PMix Anc Days'!$CT$6:$CT$41),_xlfn.XMATCH(F$3&amp;$S100,'OC-SNF PMix Anc Days'!$DA$3:$EV$3))</f>
        <v>SKILLED NURSING</v>
      </c>
      <c r="G100" s="11" t="str" cm="1">
        <f t="array" ref="G100">INDEX('OC-SNF PMix Anc Days'!$DA$6:$EV$41,_xlfn.XMATCH($U100,'OC-SNF PMix Anc Days'!$CT$6:$CT$41),_xlfn.XMATCH(G$3&amp;$S100,'OC-SNF PMix Anc Days'!$DA$3:$EV$3))</f>
        <v>BETHANY VILLAGE - THE OAKS</v>
      </c>
      <c r="H100" s="11" cm="1">
        <f t="array" ref="H100">INDEX('OC-SNF PMix Anc Days'!$DA$6:$EV$41,_xlfn.XMATCH($U100,'OC-SNF PMix Anc Days'!$CT$6:$CT$41),_xlfn.XMATCH(H$3&amp;$S100,'OC-SNF PMix Anc Days'!$DA$3:$EV$3))</f>
        <v>19.139999999999997</v>
      </c>
      <c r="S100">
        <f>COUNTIFS($W$73:W100,W100,$X$73:X100,X100,$Y$73:Y100,Y100)</f>
        <v>2</v>
      </c>
      <c r="U100" s="92" t="str">
        <f t="shared" si="12"/>
        <v>81061Medicaid</v>
      </c>
      <c r="W100">
        <v>810</v>
      </c>
      <c r="X100">
        <v>61</v>
      </c>
      <c r="Y100" t="s">
        <v>89</v>
      </c>
      <c r="AA100">
        <v>5</v>
      </c>
    </row>
    <row r="101" spans="1:27" x14ac:dyDescent="0.25">
      <c r="A101" s="104" cm="1">
        <f t="array" ref="A101">INDEX('OC-SNF PMix Anc Days'!$DA$6:$EV$41,_xlfn.XMATCH($U101,'OC-SNF PMix Anc Days'!$CT$6:$CT$41),_xlfn.XMATCH(A$3&amp;$S101,'OC-SNF PMix Anc Days'!$DA$3:$EV$3))</f>
        <v>45748</v>
      </c>
      <c r="B101" s="104" cm="1">
        <f t="array" ref="B101">INDEX('OC-SNF PMix Anc Days'!$DA$6:$EV$41,_xlfn.XMATCH($U101,'OC-SNF PMix Anc Days'!$CT$6:$CT$41),_xlfn.XMATCH(B$3&amp;$S101,'OC-SNF PMix Anc Days'!$DA$3:$EV$3))</f>
        <v>45777</v>
      </c>
      <c r="C101" s="11" t="str" cm="1">
        <f t="array" ref="C101">INDEX('OC-SNF PMix Anc Days'!$DA$6:$EV$41,_xlfn.XMATCH($U101,'OC-SNF PMix Anc Days'!$CT$6:$CT$41),_xlfn.XMATCH(C$3&amp;$S101,'OC-SNF PMix Anc Days'!$DA$3:$EV$3))</f>
        <v>MEDICAID</v>
      </c>
      <c r="D101" s="11" t="str" cm="1">
        <f t="array" ref="D101">INDEX('OC-SNF PMix Anc Days'!$DA$6:$EV$41,_xlfn.XMATCH($U101,'OC-SNF PMix Anc Days'!$CT$6:$CT$41),_xlfn.XMATCH(D$3&amp;$S101,'OC-SNF PMix Anc Days'!$DA$3:$EV$3))</f>
        <v>PA MEDICAID</v>
      </c>
      <c r="E101" s="11" t="str" cm="1">
        <f t="array" ref="E101">INDEX('OC-SNF PMix Anc Days'!$DA$6:$EV$41,_xlfn.XMATCH($U101,'OC-SNF PMix Anc Days'!$CT$6:$CT$41),_xlfn.XMATCH(E$3&amp;$S101,'OC-SNF PMix Anc Days'!$DA$3:$EV$3))</f>
        <v>BETHANY VILLAGE</v>
      </c>
      <c r="F101" s="11" t="str" cm="1">
        <f t="array" ref="F101">INDEX('OC-SNF PMix Anc Days'!$DA$6:$EV$41,_xlfn.XMATCH($U101,'OC-SNF PMix Anc Days'!$CT$6:$CT$41),_xlfn.XMATCH(F$3&amp;$S101,'OC-SNF PMix Anc Days'!$DA$3:$EV$3))</f>
        <v>SKILLED NURSING</v>
      </c>
      <c r="G101" s="11" t="str" cm="1">
        <f t="array" ref="G101">INDEX('OC-SNF PMix Anc Days'!$DA$6:$EV$41,_xlfn.XMATCH($U101,'OC-SNF PMix Anc Days'!$CT$6:$CT$41),_xlfn.XMATCH(G$3&amp;$S101,'OC-SNF PMix Anc Days'!$DA$3:$EV$3))</f>
        <v>BETHANY VILLAGE - THE OAKS</v>
      </c>
      <c r="H101" s="11" cm="1">
        <f t="array" ref="H101">INDEX('OC-SNF PMix Anc Days'!$DA$6:$EV$41,_xlfn.XMATCH($U101,'OC-SNF PMix Anc Days'!$CT$6:$CT$41),_xlfn.XMATCH(H$3&amp;$S101,'OC-SNF PMix Anc Days'!$DA$3:$EV$3))</f>
        <v>18.809999999999999</v>
      </c>
      <c r="S101">
        <f>COUNTIFS($W$73:W101,W101,$X$73:X101,X101,$Y$73:Y101,Y101)</f>
        <v>3</v>
      </c>
      <c r="U101" s="92" t="str">
        <f t="shared" si="12"/>
        <v>81061Medicaid</v>
      </c>
      <c r="W101">
        <v>810</v>
      </c>
      <c r="X101">
        <v>61</v>
      </c>
      <c r="Y101" t="s">
        <v>89</v>
      </c>
      <c r="AA101">
        <v>5</v>
      </c>
    </row>
    <row r="102" spans="1:27" x14ac:dyDescent="0.25">
      <c r="A102" s="104" cm="1">
        <f t="array" ref="A102">INDEX('OC-SNF PMix Anc Days'!$DA$6:$EV$41,_xlfn.XMATCH($U102,'OC-SNF PMix Anc Days'!$CT$6:$CT$41),_xlfn.XMATCH(A$3&amp;$S102,'OC-SNF PMix Anc Days'!$DA$3:$EV$3))</f>
        <v>45778</v>
      </c>
      <c r="B102" s="104" cm="1">
        <f t="array" ref="B102">INDEX('OC-SNF PMix Anc Days'!$DA$6:$EV$41,_xlfn.XMATCH($U102,'OC-SNF PMix Anc Days'!$CT$6:$CT$41),_xlfn.XMATCH(B$3&amp;$S102,'OC-SNF PMix Anc Days'!$DA$3:$EV$3))</f>
        <v>45808</v>
      </c>
      <c r="C102" s="11" t="str" cm="1">
        <f t="array" ref="C102">INDEX('OC-SNF PMix Anc Days'!$DA$6:$EV$41,_xlfn.XMATCH($U102,'OC-SNF PMix Anc Days'!$CT$6:$CT$41),_xlfn.XMATCH(C$3&amp;$S102,'OC-SNF PMix Anc Days'!$DA$3:$EV$3))</f>
        <v>MEDICAID</v>
      </c>
      <c r="D102" s="11" t="str" cm="1">
        <f t="array" ref="D102">INDEX('OC-SNF PMix Anc Days'!$DA$6:$EV$41,_xlfn.XMATCH($U102,'OC-SNF PMix Anc Days'!$CT$6:$CT$41),_xlfn.XMATCH(D$3&amp;$S102,'OC-SNF PMix Anc Days'!$DA$3:$EV$3))</f>
        <v>PA MEDICAID</v>
      </c>
      <c r="E102" s="11" t="str" cm="1">
        <f t="array" ref="E102">INDEX('OC-SNF PMix Anc Days'!$DA$6:$EV$41,_xlfn.XMATCH($U102,'OC-SNF PMix Anc Days'!$CT$6:$CT$41),_xlfn.XMATCH(E$3&amp;$S102,'OC-SNF PMix Anc Days'!$DA$3:$EV$3))</f>
        <v>BETHANY VILLAGE</v>
      </c>
      <c r="F102" s="11" t="str" cm="1">
        <f t="array" ref="F102">INDEX('OC-SNF PMix Anc Days'!$DA$6:$EV$41,_xlfn.XMATCH($U102,'OC-SNF PMix Anc Days'!$CT$6:$CT$41),_xlfn.XMATCH(F$3&amp;$S102,'OC-SNF PMix Anc Days'!$DA$3:$EV$3))</f>
        <v>SKILLED NURSING</v>
      </c>
      <c r="G102" s="11" t="str" cm="1">
        <f t="array" ref="G102">INDEX('OC-SNF PMix Anc Days'!$DA$6:$EV$41,_xlfn.XMATCH($U102,'OC-SNF PMix Anc Days'!$CT$6:$CT$41),_xlfn.XMATCH(G$3&amp;$S102,'OC-SNF PMix Anc Days'!$DA$3:$EV$3))</f>
        <v>BETHANY VILLAGE - THE OAKS</v>
      </c>
      <c r="H102" s="11" cm="1">
        <f t="array" ref="H102">INDEX('OC-SNF PMix Anc Days'!$DA$6:$EV$41,_xlfn.XMATCH($U102,'OC-SNF PMix Anc Days'!$CT$6:$CT$41),_xlfn.XMATCH(H$3&amp;$S102,'OC-SNF PMix Anc Days'!$DA$3:$EV$3))</f>
        <v>19.337999999999997</v>
      </c>
      <c r="S102">
        <f>COUNTIFS($W$73:W102,W102,$X$73:X102,X102,$Y$73:Y102,Y102)</f>
        <v>4</v>
      </c>
      <c r="U102" s="92" t="str">
        <f t="shared" si="12"/>
        <v>81061Medicaid</v>
      </c>
      <c r="W102">
        <v>810</v>
      </c>
      <c r="X102">
        <v>61</v>
      </c>
      <c r="Y102" t="s">
        <v>89</v>
      </c>
      <c r="AA102">
        <v>5</v>
      </c>
    </row>
    <row r="103" spans="1:27" x14ac:dyDescent="0.25">
      <c r="A103" s="104" cm="1">
        <f t="array" ref="A103">INDEX('OC-SNF PMix Anc Days'!$DA$6:$EV$41,_xlfn.XMATCH($U103,'OC-SNF PMix Anc Days'!$CT$6:$CT$41),_xlfn.XMATCH(A$3&amp;$S103,'OC-SNF PMix Anc Days'!$DA$3:$EV$3))</f>
        <v>45809</v>
      </c>
      <c r="B103" s="104" cm="1">
        <f t="array" ref="B103">INDEX('OC-SNF PMix Anc Days'!$DA$6:$EV$41,_xlfn.XMATCH($U103,'OC-SNF PMix Anc Days'!$CT$6:$CT$41),_xlfn.XMATCH(B$3&amp;$S103,'OC-SNF PMix Anc Days'!$DA$3:$EV$3))</f>
        <v>46022</v>
      </c>
      <c r="C103" s="11" t="str" cm="1">
        <f t="array" ref="C103">INDEX('OC-SNF PMix Anc Days'!$DA$6:$EV$41,_xlfn.XMATCH($U103,'OC-SNF PMix Anc Days'!$CT$6:$CT$41),_xlfn.XMATCH(C$3&amp;$S103,'OC-SNF PMix Anc Days'!$DA$3:$EV$3))</f>
        <v>MEDICAID</v>
      </c>
      <c r="D103" s="11" t="str" cm="1">
        <f t="array" ref="D103">INDEX('OC-SNF PMix Anc Days'!$DA$6:$EV$41,_xlfn.XMATCH($U103,'OC-SNF PMix Anc Days'!$CT$6:$CT$41),_xlfn.XMATCH(D$3&amp;$S103,'OC-SNF PMix Anc Days'!$DA$3:$EV$3))</f>
        <v>PA MEDICAID</v>
      </c>
      <c r="E103" s="11" t="str" cm="1">
        <f t="array" ref="E103">INDEX('OC-SNF PMix Anc Days'!$DA$6:$EV$41,_xlfn.XMATCH($U103,'OC-SNF PMix Anc Days'!$CT$6:$CT$41),_xlfn.XMATCH(E$3&amp;$S103,'OC-SNF PMix Anc Days'!$DA$3:$EV$3))</f>
        <v>BETHANY VILLAGE</v>
      </c>
      <c r="F103" s="11" t="str" cm="1">
        <f t="array" ref="F103">INDEX('OC-SNF PMix Anc Days'!$DA$6:$EV$41,_xlfn.XMATCH($U103,'OC-SNF PMix Anc Days'!$CT$6:$CT$41),_xlfn.XMATCH(F$3&amp;$S103,'OC-SNF PMix Anc Days'!$DA$3:$EV$3))</f>
        <v>SKILLED NURSING</v>
      </c>
      <c r="G103" s="11" t="str" cm="1">
        <f t="array" ref="G103">INDEX('OC-SNF PMix Anc Days'!$DA$6:$EV$41,_xlfn.XMATCH($U103,'OC-SNF PMix Anc Days'!$CT$6:$CT$41),_xlfn.XMATCH(G$3&amp;$S103,'OC-SNF PMix Anc Days'!$DA$3:$EV$3))</f>
        <v>BETHANY VILLAGE - THE OAKS</v>
      </c>
      <c r="H103" s="11" cm="1">
        <f t="array" ref="H103">INDEX('OC-SNF PMix Anc Days'!$DA$6:$EV$41,_xlfn.XMATCH($U103,'OC-SNF PMix Anc Days'!$CT$6:$CT$41),_xlfn.XMATCH(H$3&amp;$S103,'OC-SNF PMix Anc Days'!$DA$3:$EV$3))</f>
        <v>19.6614</v>
      </c>
      <c r="S103">
        <f>COUNTIFS($W$73:W103,W103,$X$73:X103,X103,$Y$73:Y103,Y103)</f>
        <v>5</v>
      </c>
      <c r="U103" s="92" t="str">
        <f t="shared" si="12"/>
        <v>81061Medicaid</v>
      </c>
      <c r="W103">
        <v>810</v>
      </c>
      <c r="X103">
        <v>61</v>
      </c>
      <c r="Y103" t="s">
        <v>89</v>
      </c>
      <c r="AA103">
        <v>5</v>
      </c>
    </row>
    <row r="104" spans="1:27" x14ac:dyDescent="0.25">
      <c r="A104" s="104" cm="1">
        <f t="array" ref="A104">INDEX('OC-SNF PMix Anc Days'!$DA$6:$EV$41,_xlfn.XMATCH($U104,'OC-SNF PMix Anc Days'!$CT$6:$CT$41),_xlfn.XMATCH(A$3&amp;$S104,'OC-SNF PMix Anc Days'!$DA$3:$EV$3))</f>
        <v>45658</v>
      </c>
      <c r="B104" s="104" cm="1">
        <f t="array" ref="B104">INDEX('OC-SNF PMix Anc Days'!$DA$6:$EV$41,_xlfn.XMATCH($U104,'OC-SNF PMix Anc Days'!$CT$6:$CT$41),_xlfn.XMATCH(B$3&amp;$S104,'OC-SNF PMix Anc Days'!$DA$3:$EV$3))</f>
        <v>45688</v>
      </c>
      <c r="C104" s="11" t="str" cm="1">
        <f t="array" ref="C104">INDEX('OC-SNF PMix Anc Days'!$DA$6:$EV$41,_xlfn.XMATCH($U104,'OC-SNF PMix Anc Days'!$CT$6:$CT$41),_xlfn.XMATCH(C$3&amp;$S104,'OC-SNF PMix Anc Days'!$DA$3:$EV$3))</f>
        <v>PRIVATE PAY</v>
      </c>
      <c r="D104" s="11" t="str" cm="1">
        <f t="array" ref="D104">INDEX('OC-SNF PMix Anc Days'!$DA$6:$EV$41,_xlfn.XMATCH($U104,'OC-SNF PMix Anc Days'!$CT$6:$CT$41),_xlfn.XMATCH(D$3&amp;$S104,'OC-SNF PMix Anc Days'!$DA$3:$EV$3))</f>
        <v>PRIVATE PAY</v>
      </c>
      <c r="E104" s="11" t="str" cm="1">
        <f t="array" ref="E104">INDEX('OC-SNF PMix Anc Days'!$DA$6:$EV$41,_xlfn.XMATCH($U104,'OC-SNF PMix Anc Days'!$CT$6:$CT$41),_xlfn.XMATCH(E$3&amp;$S104,'OC-SNF PMix Anc Days'!$DA$3:$EV$3))</f>
        <v>BETHANY VILLAGE</v>
      </c>
      <c r="F104" s="11" t="str" cm="1">
        <f t="array" ref="F104">INDEX('OC-SNF PMix Anc Days'!$DA$6:$EV$41,_xlfn.XMATCH($U104,'OC-SNF PMix Anc Days'!$CT$6:$CT$41),_xlfn.XMATCH(F$3&amp;$S104,'OC-SNF PMix Anc Days'!$DA$3:$EV$3))</f>
        <v>SKILLED NURSING</v>
      </c>
      <c r="G104" s="11" t="str" cm="1">
        <f t="array" ref="G104">INDEX('OC-SNF PMix Anc Days'!$DA$6:$EV$41,_xlfn.XMATCH($U104,'OC-SNF PMix Anc Days'!$CT$6:$CT$41),_xlfn.XMATCH(G$3&amp;$S104,'OC-SNF PMix Anc Days'!$DA$3:$EV$3))</f>
        <v>BETHANY VILLAGE - THE OAKS</v>
      </c>
      <c r="H104" s="11" cm="1">
        <f t="array" ref="H104">INDEX('OC-SNF PMix Anc Days'!$DA$6:$EV$41,_xlfn.XMATCH($U104,'OC-SNF PMix Anc Days'!$CT$6:$CT$41),_xlfn.XMATCH(H$3&amp;$S104,'OC-SNF PMix Anc Days'!$DA$3:$EV$3))</f>
        <v>39.745199999999997</v>
      </c>
      <c r="S104">
        <f>COUNTIFS($W$73:W104,W104,$X$73:X104,X104,$Y$73:Y104,Y104)</f>
        <v>1</v>
      </c>
      <c r="U104" s="92" t="str">
        <f t="shared" si="12"/>
        <v>81061Private Pay</v>
      </c>
      <c r="W104">
        <v>810</v>
      </c>
      <c r="X104">
        <v>61</v>
      </c>
      <c r="Y104" t="s">
        <v>91</v>
      </c>
      <c r="AA104">
        <v>6</v>
      </c>
    </row>
    <row r="105" spans="1:27" x14ac:dyDescent="0.25">
      <c r="A105" s="104" cm="1">
        <f t="array" ref="A105">INDEX('OC-SNF PMix Anc Days'!$DA$6:$EV$41,_xlfn.XMATCH($U105,'OC-SNF PMix Anc Days'!$CT$6:$CT$41),_xlfn.XMATCH(A$3&amp;$S105,'OC-SNF PMix Anc Days'!$DA$3:$EV$3))</f>
        <v>45689</v>
      </c>
      <c r="B105" s="104" cm="1">
        <f t="array" ref="B105">INDEX('OC-SNF PMix Anc Days'!$DA$6:$EV$41,_xlfn.XMATCH($U105,'OC-SNF PMix Anc Days'!$CT$6:$CT$41),_xlfn.XMATCH(B$3&amp;$S105,'OC-SNF PMix Anc Days'!$DA$3:$EV$3))</f>
        <v>45716</v>
      </c>
      <c r="C105" s="11" t="str" cm="1">
        <f t="array" ref="C105">INDEX('OC-SNF PMix Anc Days'!$DA$6:$EV$41,_xlfn.XMATCH($U105,'OC-SNF PMix Anc Days'!$CT$6:$CT$41),_xlfn.XMATCH(C$3&amp;$S105,'OC-SNF PMix Anc Days'!$DA$3:$EV$3))</f>
        <v>PRIVATE PAY</v>
      </c>
      <c r="D105" s="11" t="str" cm="1">
        <f t="array" ref="D105">INDEX('OC-SNF PMix Anc Days'!$DA$6:$EV$41,_xlfn.XMATCH($U105,'OC-SNF PMix Anc Days'!$CT$6:$CT$41),_xlfn.XMATCH(D$3&amp;$S105,'OC-SNF PMix Anc Days'!$DA$3:$EV$3))</f>
        <v>PRIVATE PAY</v>
      </c>
      <c r="E105" s="11" t="str" cm="1">
        <f t="array" ref="E105">INDEX('OC-SNF PMix Anc Days'!$DA$6:$EV$41,_xlfn.XMATCH($U105,'OC-SNF PMix Anc Days'!$CT$6:$CT$41),_xlfn.XMATCH(E$3&amp;$S105,'OC-SNF PMix Anc Days'!$DA$3:$EV$3))</f>
        <v>BETHANY VILLAGE</v>
      </c>
      <c r="F105" s="11" t="str" cm="1">
        <f t="array" ref="F105">INDEX('OC-SNF PMix Anc Days'!$DA$6:$EV$41,_xlfn.XMATCH($U105,'OC-SNF PMix Anc Days'!$CT$6:$CT$41),_xlfn.XMATCH(F$3&amp;$S105,'OC-SNF PMix Anc Days'!$DA$3:$EV$3))</f>
        <v>SKILLED NURSING</v>
      </c>
      <c r="G105" s="11" t="str" cm="1">
        <f t="array" ref="G105">INDEX('OC-SNF PMix Anc Days'!$DA$6:$EV$41,_xlfn.XMATCH($U105,'OC-SNF PMix Anc Days'!$CT$6:$CT$41),_xlfn.XMATCH(G$3&amp;$S105,'OC-SNF PMix Anc Days'!$DA$3:$EV$3))</f>
        <v>BETHANY VILLAGE - THE OAKS</v>
      </c>
      <c r="H105" s="11" cm="1">
        <f t="array" ref="H105">INDEX('OC-SNF PMix Anc Days'!$DA$6:$EV$41,_xlfn.XMATCH($U105,'OC-SNF PMix Anc Days'!$CT$6:$CT$41),_xlfn.XMATCH(H$3&amp;$S105,'OC-SNF PMix Anc Days'!$DA$3:$EV$3))</f>
        <v>42.0486</v>
      </c>
      <c r="S105">
        <f>COUNTIFS($W$73:W105,W105,$X$73:X105,X105,$Y$73:Y105,Y105)</f>
        <v>2</v>
      </c>
      <c r="U105" s="92" t="str">
        <f t="shared" si="12"/>
        <v>81061Private Pay</v>
      </c>
      <c r="W105">
        <v>810</v>
      </c>
      <c r="X105">
        <v>61</v>
      </c>
      <c r="Y105" t="s">
        <v>91</v>
      </c>
      <c r="AA105">
        <v>6</v>
      </c>
    </row>
    <row r="106" spans="1:27" x14ac:dyDescent="0.25">
      <c r="A106" s="104" cm="1">
        <f t="array" ref="A106">INDEX('OC-SNF PMix Anc Days'!$DA$6:$EV$41,_xlfn.XMATCH($U106,'OC-SNF PMix Anc Days'!$CT$6:$CT$41),_xlfn.XMATCH(A$3&amp;$S106,'OC-SNF PMix Anc Days'!$DA$3:$EV$3))</f>
        <v>45717</v>
      </c>
      <c r="B106" s="104" cm="1">
        <f t="array" ref="B106">INDEX('OC-SNF PMix Anc Days'!$DA$6:$EV$41,_xlfn.XMATCH($U106,'OC-SNF PMix Anc Days'!$CT$6:$CT$41),_xlfn.XMATCH(B$3&amp;$S106,'OC-SNF PMix Anc Days'!$DA$3:$EV$3))</f>
        <v>45747</v>
      </c>
      <c r="C106" s="11" t="str" cm="1">
        <f t="array" ref="C106">INDEX('OC-SNF PMix Anc Days'!$DA$6:$EV$41,_xlfn.XMATCH($U106,'OC-SNF PMix Anc Days'!$CT$6:$CT$41),_xlfn.XMATCH(C$3&amp;$S106,'OC-SNF PMix Anc Days'!$DA$3:$EV$3))</f>
        <v>PRIVATE PAY</v>
      </c>
      <c r="D106" s="11" t="str" cm="1">
        <f t="array" ref="D106">INDEX('OC-SNF PMix Anc Days'!$DA$6:$EV$41,_xlfn.XMATCH($U106,'OC-SNF PMix Anc Days'!$CT$6:$CT$41),_xlfn.XMATCH(D$3&amp;$S106,'OC-SNF PMix Anc Days'!$DA$3:$EV$3))</f>
        <v>PRIVATE PAY</v>
      </c>
      <c r="E106" s="11" t="str" cm="1">
        <f t="array" ref="E106">INDEX('OC-SNF PMix Anc Days'!$DA$6:$EV$41,_xlfn.XMATCH($U106,'OC-SNF PMix Anc Days'!$CT$6:$CT$41),_xlfn.XMATCH(E$3&amp;$S106,'OC-SNF PMix Anc Days'!$DA$3:$EV$3))</f>
        <v>BETHANY VILLAGE</v>
      </c>
      <c r="F106" s="11" t="str" cm="1">
        <f t="array" ref="F106">INDEX('OC-SNF PMix Anc Days'!$DA$6:$EV$41,_xlfn.XMATCH($U106,'OC-SNF PMix Anc Days'!$CT$6:$CT$41),_xlfn.XMATCH(F$3&amp;$S106,'OC-SNF PMix Anc Days'!$DA$3:$EV$3))</f>
        <v>SKILLED NURSING</v>
      </c>
      <c r="G106" s="11" t="str" cm="1">
        <f t="array" ref="G106">INDEX('OC-SNF PMix Anc Days'!$DA$6:$EV$41,_xlfn.XMATCH($U106,'OC-SNF PMix Anc Days'!$CT$6:$CT$41),_xlfn.XMATCH(G$3&amp;$S106,'OC-SNF PMix Anc Days'!$DA$3:$EV$3))</f>
        <v>BETHANY VILLAGE - THE OAKS</v>
      </c>
      <c r="H106" s="11" cm="1">
        <f t="array" ref="H106">INDEX('OC-SNF PMix Anc Days'!$DA$6:$EV$41,_xlfn.XMATCH($U106,'OC-SNF PMix Anc Days'!$CT$6:$CT$41),_xlfn.XMATCH(H$3&amp;$S106,'OC-SNF PMix Anc Days'!$DA$3:$EV$3))</f>
        <v>41.480999999999995</v>
      </c>
      <c r="S106">
        <f>COUNTIFS($W$73:W106,W106,$X$73:X106,X106,$Y$73:Y106,Y106)</f>
        <v>3</v>
      </c>
      <c r="U106" s="92" t="str">
        <f t="shared" si="12"/>
        <v>81061Private Pay</v>
      </c>
      <c r="W106">
        <v>810</v>
      </c>
      <c r="X106">
        <v>61</v>
      </c>
      <c r="Y106" t="s">
        <v>91</v>
      </c>
      <c r="AA106">
        <v>6</v>
      </c>
    </row>
    <row r="107" spans="1:27" x14ac:dyDescent="0.25">
      <c r="A107" s="104" cm="1">
        <f t="array" ref="A107">INDEX('OC-SNF PMix Anc Days'!$DA$6:$EV$41,_xlfn.XMATCH($U107,'OC-SNF PMix Anc Days'!$CT$6:$CT$41),_xlfn.XMATCH(A$3&amp;$S107,'OC-SNF PMix Anc Days'!$DA$3:$EV$3))</f>
        <v>45748</v>
      </c>
      <c r="B107" s="104" cm="1">
        <f t="array" ref="B107">INDEX('OC-SNF PMix Anc Days'!$DA$6:$EV$41,_xlfn.XMATCH($U107,'OC-SNF PMix Anc Days'!$CT$6:$CT$41),_xlfn.XMATCH(B$3&amp;$S107,'OC-SNF PMix Anc Days'!$DA$3:$EV$3))</f>
        <v>45777</v>
      </c>
      <c r="C107" s="11" t="str" cm="1">
        <f t="array" ref="C107">INDEX('OC-SNF PMix Anc Days'!$DA$6:$EV$41,_xlfn.XMATCH($U107,'OC-SNF PMix Anc Days'!$CT$6:$CT$41),_xlfn.XMATCH(C$3&amp;$S107,'OC-SNF PMix Anc Days'!$DA$3:$EV$3))</f>
        <v>PRIVATE PAY</v>
      </c>
      <c r="D107" s="11" t="str" cm="1">
        <f t="array" ref="D107">INDEX('OC-SNF PMix Anc Days'!$DA$6:$EV$41,_xlfn.XMATCH($U107,'OC-SNF PMix Anc Days'!$CT$6:$CT$41),_xlfn.XMATCH(D$3&amp;$S107,'OC-SNF PMix Anc Days'!$DA$3:$EV$3))</f>
        <v>PRIVATE PAY</v>
      </c>
      <c r="E107" s="11" t="str" cm="1">
        <f t="array" ref="E107">INDEX('OC-SNF PMix Anc Days'!$DA$6:$EV$41,_xlfn.XMATCH($U107,'OC-SNF PMix Anc Days'!$CT$6:$CT$41),_xlfn.XMATCH(E$3&amp;$S107,'OC-SNF PMix Anc Days'!$DA$3:$EV$3))</f>
        <v>BETHANY VILLAGE</v>
      </c>
      <c r="F107" s="11" t="str" cm="1">
        <f t="array" ref="F107">INDEX('OC-SNF PMix Anc Days'!$DA$6:$EV$41,_xlfn.XMATCH($U107,'OC-SNF PMix Anc Days'!$CT$6:$CT$41),_xlfn.XMATCH(F$3&amp;$S107,'OC-SNF PMix Anc Days'!$DA$3:$EV$3))</f>
        <v>SKILLED NURSING</v>
      </c>
      <c r="G107" s="11" t="str" cm="1">
        <f t="array" ref="G107">INDEX('OC-SNF PMix Anc Days'!$DA$6:$EV$41,_xlfn.XMATCH($U107,'OC-SNF PMix Anc Days'!$CT$6:$CT$41),_xlfn.XMATCH(G$3&amp;$S107,'OC-SNF PMix Anc Days'!$DA$3:$EV$3))</f>
        <v>BETHANY VILLAGE - THE OAKS</v>
      </c>
      <c r="H107" s="11" cm="1">
        <f t="array" ref="H107">INDEX('OC-SNF PMix Anc Days'!$DA$6:$EV$41,_xlfn.XMATCH($U107,'OC-SNF PMix Anc Days'!$CT$6:$CT$41),_xlfn.XMATCH(H$3&amp;$S107,'OC-SNF PMix Anc Days'!$DA$3:$EV$3))</f>
        <v>40.596599999999995</v>
      </c>
      <c r="S107">
        <f>COUNTIFS($W$73:W107,W107,$X$73:X107,X107,$Y$73:Y107,Y107)</f>
        <v>4</v>
      </c>
      <c r="U107" s="92" t="str">
        <f t="shared" si="12"/>
        <v>81061Private Pay</v>
      </c>
      <c r="W107">
        <v>810</v>
      </c>
      <c r="X107">
        <v>61</v>
      </c>
      <c r="Y107" t="s">
        <v>91</v>
      </c>
      <c r="AA107">
        <v>6</v>
      </c>
    </row>
    <row r="108" spans="1:27" x14ac:dyDescent="0.25">
      <c r="A108" s="104" cm="1">
        <f t="array" ref="A108">INDEX('OC-SNF PMix Anc Days'!$DA$6:$EV$41,_xlfn.XMATCH($U108,'OC-SNF PMix Anc Days'!$CT$6:$CT$41),_xlfn.XMATCH(A$3&amp;$S108,'OC-SNF PMix Anc Days'!$DA$3:$EV$3))</f>
        <v>45778</v>
      </c>
      <c r="B108" s="104" cm="1">
        <f t="array" ref="B108">INDEX('OC-SNF PMix Anc Days'!$DA$6:$EV$41,_xlfn.XMATCH($U108,'OC-SNF PMix Anc Days'!$CT$6:$CT$41),_xlfn.XMATCH(B$3&amp;$S108,'OC-SNF PMix Anc Days'!$DA$3:$EV$3))</f>
        <v>45808</v>
      </c>
      <c r="C108" s="11" t="str" cm="1">
        <f t="array" ref="C108">INDEX('OC-SNF PMix Anc Days'!$DA$6:$EV$41,_xlfn.XMATCH($U108,'OC-SNF PMix Anc Days'!$CT$6:$CT$41),_xlfn.XMATCH(C$3&amp;$S108,'OC-SNF PMix Anc Days'!$DA$3:$EV$3))</f>
        <v>PRIVATE PAY</v>
      </c>
      <c r="D108" s="11" t="str" cm="1">
        <f t="array" ref="D108">INDEX('OC-SNF PMix Anc Days'!$DA$6:$EV$41,_xlfn.XMATCH($U108,'OC-SNF PMix Anc Days'!$CT$6:$CT$41),_xlfn.XMATCH(D$3&amp;$S108,'OC-SNF PMix Anc Days'!$DA$3:$EV$3))</f>
        <v>PRIVATE PAY</v>
      </c>
      <c r="E108" s="11" t="str" cm="1">
        <f t="array" ref="E108">INDEX('OC-SNF PMix Anc Days'!$DA$6:$EV$41,_xlfn.XMATCH($U108,'OC-SNF PMix Anc Days'!$CT$6:$CT$41),_xlfn.XMATCH(E$3&amp;$S108,'OC-SNF PMix Anc Days'!$DA$3:$EV$3))</f>
        <v>BETHANY VILLAGE</v>
      </c>
      <c r="F108" s="11" t="str" cm="1">
        <f t="array" ref="F108">INDEX('OC-SNF PMix Anc Days'!$DA$6:$EV$41,_xlfn.XMATCH($U108,'OC-SNF PMix Anc Days'!$CT$6:$CT$41),_xlfn.XMATCH(F$3&amp;$S108,'OC-SNF PMix Anc Days'!$DA$3:$EV$3))</f>
        <v>SKILLED NURSING</v>
      </c>
      <c r="G108" s="11" t="str" cm="1">
        <f t="array" ref="G108">INDEX('OC-SNF PMix Anc Days'!$DA$6:$EV$41,_xlfn.XMATCH($U108,'OC-SNF PMix Anc Days'!$CT$6:$CT$41),_xlfn.XMATCH(G$3&amp;$S108,'OC-SNF PMix Anc Days'!$DA$3:$EV$3))</f>
        <v>BETHANY VILLAGE - THE OAKS</v>
      </c>
      <c r="H108" s="11" cm="1">
        <f t="array" ref="H108">INDEX('OC-SNF PMix Anc Days'!$DA$6:$EV$41,_xlfn.XMATCH($U108,'OC-SNF PMix Anc Days'!$CT$6:$CT$41),_xlfn.XMATCH(H$3&amp;$S108,'OC-SNF PMix Anc Days'!$DA$3:$EV$3))</f>
        <v>39.567</v>
      </c>
      <c r="S108">
        <f>COUNTIFS($W$73:W108,W108,$X$73:X108,X108,$Y$73:Y108,Y108)</f>
        <v>5</v>
      </c>
      <c r="U108" s="92" t="str">
        <f t="shared" si="12"/>
        <v>81061Private Pay</v>
      </c>
      <c r="W108">
        <v>810</v>
      </c>
      <c r="X108">
        <v>61</v>
      </c>
      <c r="Y108" t="s">
        <v>91</v>
      </c>
      <c r="AA108">
        <v>6</v>
      </c>
    </row>
    <row r="109" spans="1:27" x14ac:dyDescent="0.25">
      <c r="A109" s="104" cm="1">
        <f t="array" ref="A109">INDEX('OC-SNF PMix Anc Days'!$DA$6:$EV$41,_xlfn.XMATCH($U109,'OC-SNF PMix Anc Days'!$CT$6:$CT$41),_xlfn.XMATCH(A$3&amp;$S109,'OC-SNF PMix Anc Days'!$DA$3:$EV$3))</f>
        <v>45809</v>
      </c>
      <c r="B109" s="104" cm="1">
        <f t="array" ref="B109">INDEX('OC-SNF PMix Anc Days'!$DA$6:$EV$41,_xlfn.XMATCH($U109,'OC-SNF PMix Anc Days'!$CT$6:$CT$41),_xlfn.XMATCH(B$3&amp;$S109,'OC-SNF PMix Anc Days'!$DA$3:$EV$3))</f>
        <v>46022</v>
      </c>
      <c r="C109" s="11" t="str" cm="1">
        <f t="array" ref="C109">INDEX('OC-SNF PMix Anc Days'!$DA$6:$EV$41,_xlfn.XMATCH($U109,'OC-SNF PMix Anc Days'!$CT$6:$CT$41),_xlfn.XMATCH(C$3&amp;$S109,'OC-SNF PMix Anc Days'!$DA$3:$EV$3))</f>
        <v>PRIVATE PAY</v>
      </c>
      <c r="D109" s="11" t="str" cm="1">
        <f t="array" ref="D109">INDEX('OC-SNF PMix Anc Days'!$DA$6:$EV$41,_xlfn.XMATCH($U109,'OC-SNF PMix Anc Days'!$CT$6:$CT$41),_xlfn.XMATCH(D$3&amp;$S109,'OC-SNF PMix Anc Days'!$DA$3:$EV$3))</f>
        <v>PRIVATE PAY</v>
      </c>
      <c r="E109" s="11" t="str" cm="1">
        <f t="array" ref="E109">INDEX('OC-SNF PMix Anc Days'!$DA$6:$EV$41,_xlfn.XMATCH($U109,'OC-SNF PMix Anc Days'!$CT$6:$CT$41),_xlfn.XMATCH(E$3&amp;$S109,'OC-SNF PMix Anc Days'!$DA$3:$EV$3))</f>
        <v>BETHANY VILLAGE</v>
      </c>
      <c r="F109" s="11" t="str" cm="1">
        <f t="array" ref="F109">INDEX('OC-SNF PMix Anc Days'!$DA$6:$EV$41,_xlfn.XMATCH($U109,'OC-SNF PMix Anc Days'!$CT$6:$CT$41),_xlfn.XMATCH(F$3&amp;$S109,'OC-SNF PMix Anc Days'!$DA$3:$EV$3))</f>
        <v>SKILLED NURSING</v>
      </c>
      <c r="G109" s="11" t="str" cm="1">
        <f t="array" ref="G109">INDEX('OC-SNF PMix Anc Days'!$DA$6:$EV$41,_xlfn.XMATCH($U109,'OC-SNF PMix Anc Days'!$CT$6:$CT$41),_xlfn.XMATCH(G$3&amp;$S109,'OC-SNF PMix Anc Days'!$DA$3:$EV$3))</f>
        <v>BETHANY VILLAGE - THE OAKS</v>
      </c>
      <c r="H109" s="11" cm="1">
        <f t="array" ref="H109">INDEX('OC-SNF PMix Anc Days'!$DA$6:$EV$41,_xlfn.XMATCH($U109,'OC-SNF PMix Anc Days'!$CT$6:$CT$41),_xlfn.XMATCH(H$3&amp;$S109,'OC-SNF PMix Anc Days'!$DA$3:$EV$3))</f>
        <v>39.745199999999997</v>
      </c>
      <c r="S109">
        <f>COUNTIFS($W$73:W109,W109,$X$73:X109,X109,$Y$73:Y109,Y109)</f>
        <v>6</v>
      </c>
      <c r="U109" s="92" t="str">
        <f t="shared" si="12"/>
        <v>81061Private Pay</v>
      </c>
      <c r="W109">
        <v>810</v>
      </c>
      <c r="X109">
        <v>61</v>
      </c>
      <c r="Y109" t="s">
        <v>91</v>
      </c>
      <c r="AA109">
        <v>6</v>
      </c>
    </row>
    <row r="110" spans="1:27" x14ac:dyDescent="0.25">
      <c r="A110" s="104" cm="1">
        <f t="array" ref="A110">INDEX('OC-SNF PMix Anc Days'!$DA$6:$EV$41,_xlfn.XMATCH($U110,'OC-SNF PMix Anc Days'!$CT$6:$CT$41),_xlfn.XMATCH(A$3&amp;$S110,'OC-SNF PMix Anc Days'!$DA$3:$EV$3))</f>
        <v>45658</v>
      </c>
      <c r="B110" s="104" cm="1">
        <f t="array" ref="B110">INDEX('OC-SNF PMix Anc Days'!$DA$6:$EV$41,_xlfn.XMATCH($U110,'OC-SNF PMix Anc Days'!$CT$6:$CT$41),_xlfn.XMATCH(B$3&amp;$S110,'OC-SNF PMix Anc Days'!$DA$3:$EV$3))</f>
        <v>46022</v>
      </c>
      <c r="C110" s="11" t="str" cm="1">
        <f t="array" ref="C110">INDEX('OC-SNF PMix Anc Days'!$DA$6:$EV$41,_xlfn.XMATCH($U110,'OC-SNF PMix Anc Days'!$CT$6:$CT$41),_xlfn.XMATCH(C$3&amp;$S110,'OC-SNF PMix Anc Days'!$DA$3:$EV$3))</f>
        <v>MEDICAREA/MC HMO</v>
      </c>
      <c r="D110" s="11" t="str" cm="1">
        <f t="array" ref="D110">INDEX('OC-SNF PMix Anc Days'!$DA$6:$EV$41,_xlfn.XMATCH($U110,'OC-SNF PMix Anc Days'!$CT$6:$CT$41),_xlfn.XMATCH(D$3&amp;$S110,'OC-SNF PMix Anc Days'!$DA$3:$EV$3))</f>
        <v>MEDICARE A HIGHMARK</v>
      </c>
      <c r="E110" s="11" t="str" cm="1">
        <f t="array" ref="E110">INDEX('OC-SNF PMix Anc Days'!$DA$6:$EV$41,_xlfn.XMATCH($U110,'OC-SNF PMix Anc Days'!$CT$6:$CT$41),_xlfn.XMATCH(E$3&amp;$S110,'OC-SNF PMix Anc Days'!$DA$3:$EV$3))</f>
        <v>Normandie Ridge</v>
      </c>
      <c r="F110" s="11" t="str" cm="1">
        <f t="array" ref="F110">INDEX('OC-SNF PMix Anc Days'!$DA$6:$EV$41,_xlfn.XMATCH($U110,'OC-SNF PMix Anc Days'!$CT$6:$CT$41),_xlfn.XMATCH(F$3&amp;$S110,'OC-SNF PMix Anc Days'!$DA$3:$EV$3))</f>
        <v>SKILLED NURSING</v>
      </c>
      <c r="G110" s="11" t="str" cm="1">
        <f t="array" ref="G110">INDEX('OC-SNF PMix Anc Days'!$DA$6:$EV$41,_xlfn.XMATCH($U110,'OC-SNF PMix Anc Days'!$CT$6:$CT$41),_xlfn.XMATCH(G$3&amp;$S110,'OC-SNF PMix Anc Days'!$DA$3:$EV$3))</f>
        <v>NORMANDIE RIDGE SNF</v>
      </c>
      <c r="H110" s="11" cm="1">
        <f t="array" ref="H110">INDEX('OC-SNF PMix Anc Days'!$DA$6:$EV$41,_xlfn.XMATCH($U110,'OC-SNF PMix Anc Days'!$CT$6:$CT$41),_xlfn.XMATCH(H$3&amp;$S110,'OC-SNF PMix Anc Days'!$DA$3:$EV$3))</f>
        <v>12.200000000000003</v>
      </c>
      <c r="S110">
        <f>COUNTIFS($W$73:W110,W110,$X$73:X110,X110,$Y$73:Y110,Y110)</f>
        <v>1</v>
      </c>
      <c r="U110" s="92" t="str">
        <f t="shared" si="12"/>
        <v>84061Medicare A</v>
      </c>
      <c r="W110">
        <v>840</v>
      </c>
      <c r="X110">
        <v>61</v>
      </c>
      <c r="Y110" t="s">
        <v>133</v>
      </c>
      <c r="AA110">
        <v>1</v>
      </c>
    </row>
    <row r="111" spans="1:27" x14ac:dyDescent="0.25">
      <c r="A111" s="104" cm="1">
        <f t="array" ref="A111">INDEX('OC-SNF PMix Anc Days'!$DA$6:$EV$41,_xlfn.XMATCH($U111,'OC-SNF PMix Anc Days'!$CT$6:$CT$41),_xlfn.XMATCH(A$3&amp;$S111,'OC-SNF PMix Anc Days'!$DA$3:$EV$3))</f>
        <v>45658</v>
      </c>
      <c r="B111" s="104" cm="1">
        <f t="array" ref="B111">INDEX('OC-SNF PMix Anc Days'!$DA$6:$EV$41,_xlfn.XMATCH($U111,'OC-SNF PMix Anc Days'!$CT$6:$CT$41),_xlfn.XMATCH(B$3&amp;$S111,'OC-SNF PMix Anc Days'!$DA$3:$EV$3))</f>
        <v>46022</v>
      </c>
      <c r="C111" s="11" t="str" cm="1">
        <f t="array" ref="C111">INDEX('OC-SNF PMix Anc Days'!$DA$6:$EV$41,_xlfn.XMATCH($U111,'OC-SNF PMix Anc Days'!$CT$6:$CT$41),_xlfn.XMATCH(C$3&amp;$S111,'OC-SNF PMix Anc Days'!$DA$3:$EV$3))</f>
        <v>Medicare Advantage</v>
      </c>
      <c r="D111" s="11" t="str" cm="1">
        <f t="array" ref="D111">INDEX('OC-SNF PMix Anc Days'!$DA$6:$EV$41,_xlfn.XMATCH($U111,'OC-SNF PMix Anc Days'!$CT$6:$CT$41),_xlfn.XMATCH(D$3&amp;$S111,'OC-SNF PMix Anc Days'!$DA$3:$EV$3))</f>
        <v>Med Adv HMO A</v>
      </c>
      <c r="E111" s="11" t="str" cm="1">
        <f t="array" ref="E111">INDEX('OC-SNF PMix Anc Days'!$DA$6:$EV$41,_xlfn.XMATCH($U111,'OC-SNF PMix Anc Days'!$CT$6:$CT$41),_xlfn.XMATCH(E$3&amp;$S111,'OC-SNF PMix Anc Days'!$DA$3:$EV$3))</f>
        <v>Normandie Ridge</v>
      </c>
      <c r="F111" s="11" t="str" cm="1">
        <f t="array" ref="F111">INDEX('OC-SNF PMix Anc Days'!$DA$6:$EV$41,_xlfn.XMATCH($U111,'OC-SNF PMix Anc Days'!$CT$6:$CT$41),_xlfn.XMATCH(F$3&amp;$S111,'OC-SNF PMix Anc Days'!$DA$3:$EV$3))</f>
        <v>SKILLED NURSING</v>
      </c>
      <c r="G111" s="11" t="str" cm="1">
        <f t="array" ref="G111">INDEX('OC-SNF PMix Anc Days'!$DA$6:$EV$41,_xlfn.XMATCH($U111,'OC-SNF PMix Anc Days'!$CT$6:$CT$41),_xlfn.XMATCH(G$3&amp;$S111,'OC-SNF PMix Anc Days'!$DA$3:$EV$3))</f>
        <v>NORMANDIE RIDGE SNF</v>
      </c>
      <c r="H111" s="11" cm="1">
        <f t="array" ref="H111">INDEX('OC-SNF PMix Anc Days'!$DA$6:$EV$41,_xlfn.XMATCH($U111,'OC-SNF PMix Anc Days'!$CT$6:$CT$41),_xlfn.XMATCH(H$3&amp;$S111,'OC-SNF PMix Anc Days'!$DA$3:$EV$3))</f>
        <v>3.05</v>
      </c>
      <c r="S111">
        <f>COUNTIFS($W$73:W111,W111,$X$73:X111,X111,$Y$73:Y111,Y111)</f>
        <v>1</v>
      </c>
      <c r="U111" s="92" t="str">
        <f t="shared" si="12"/>
        <v>84061Medicare Advantage</v>
      </c>
      <c r="W111">
        <v>840</v>
      </c>
      <c r="X111">
        <v>61</v>
      </c>
      <c r="Y111" t="s">
        <v>45</v>
      </c>
      <c r="AA111">
        <v>1</v>
      </c>
    </row>
    <row r="112" spans="1:27" x14ac:dyDescent="0.25">
      <c r="A112" s="104" cm="1">
        <f t="array" ref="A112">INDEX('OC-SNF PMix Anc Days'!$DA$6:$EV$41,_xlfn.XMATCH($U112,'OC-SNF PMix Anc Days'!$CT$6:$CT$41),_xlfn.XMATCH(A$3&amp;$S112,'OC-SNF PMix Anc Days'!$DA$3:$EV$3))</f>
        <v>45658</v>
      </c>
      <c r="B112" s="104" cm="1">
        <f t="array" ref="B112">INDEX('OC-SNF PMix Anc Days'!$DA$6:$EV$41,_xlfn.XMATCH($U112,'OC-SNF PMix Anc Days'!$CT$6:$CT$41),_xlfn.XMATCH(B$3&amp;$S112,'OC-SNF PMix Anc Days'!$DA$3:$EV$3))</f>
        <v>46022</v>
      </c>
      <c r="C112" s="11" t="str" cm="1">
        <f t="array" ref="C112">INDEX('OC-SNF PMix Anc Days'!$DA$6:$EV$41,_xlfn.XMATCH($U112,'OC-SNF PMix Anc Days'!$CT$6:$CT$41),_xlfn.XMATCH(C$3&amp;$S112,'OC-SNF PMix Anc Days'!$DA$3:$EV$3))</f>
        <v>MEDICAID</v>
      </c>
      <c r="D112" s="11" t="str" cm="1">
        <f t="array" ref="D112">INDEX('OC-SNF PMix Anc Days'!$DA$6:$EV$41,_xlfn.XMATCH($U112,'OC-SNF PMix Anc Days'!$CT$6:$CT$41),_xlfn.XMATCH(D$3&amp;$S112,'OC-SNF PMix Anc Days'!$DA$3:$EV$3))</f>
        <v>PA MEDICAID</v>
      </c>
      <c r="E112" s="11" t="str" cm="1">
        <f t="array" ref="E112">INDEX('OC-SNF PMix Anc Days'!$DA$6:$EV$41,_xlfn.XMATCH($U112,'OC-SNF PMix Anc Days'!$CT$6:$CT$41),_xlfn.XMATCH(E$3&amp;$S112,'OC-SNF PMix Anc Days'!$DA$3:$EV$3))</f>
        <v>Normandie Ridge</v>
      </c>
      <c r="F112" s="11" t="str" cm="1">
        <f t="array" ref="F112">INDEX('OC-SNF PMix Anc Days'!$DA$6:$EV$41,_xlfn.XMATCH($U112,'OC-SNF PMix Anc Days'!$CT$6:$CT$41),_xlfn.XMATCH(F$3&amp;$S112,'OC-SNF PMix Anc Days'!$DA$3:$EV$3))</f>
        <v>SKILLED NURSING</v>
      </c>
      <c r="G112" s="11" t="str" cm="1">
        <f t="array" ref="G112">INDEX('OC-SNF PMix Anc Days'!$DA$6:$EV$41,_xlfn.XMATCH($U112,'OC-SNF PMix Anc Days'!$CT$6:$CT$41),_xlfn.XMATCH(G$3&amp;$S112,'OC-SNF PMix Anc Days'!$DA$3:$EV$3))</f>
        <v>NORMANDIE RIDGE SNF</v>
      </c>
      <c r="H112" s="11" cm="1">
        <f t="array" ref="H112">INDEX('OC-SNF PMix Anc Days'!$DA$6:$EV$41,_xlfn.XMATCH($U112,'OC-SNF PMix Anc Days'!$CT$6:$CT$41),_xlfn.XMATCH(H$3&amp;$S112,'OC-SNF PMix Anc Days'!$DA$3:$EV$3))</f>
        <v>27.45</v>
      </c>
      <c r="S112">
        <f>COUNTIFS($W$73:W112,W112,$X$73:X112,X112,$Y$73:Y112,Y112)</f>
        <v>1</v>
      </c>
      <c r="U112" s="92" t="str">
        <f t="shared" si="12"/>
        <v>84061Medicaid</v>
      </c>
      <c r="W112">
        <v>840</v>
      </c>
      <c r="X112">
        <v>61</v>
      </c>
      <c r="Y112" t="s">
        <v>89</v>
      </c>
      <c r="AA112">
        <v>1</v>
      </c>
    </row>
    <row r="113" spans="1:27" x14ac:dyDescent="0.25">
      <c r="A113" s="104" cm="1">
        <f t="array" ref="A113">INDEX('OC-SNF PMix Anc Days'!$DA$6:$EV$41,_xlfn.XMATCH($U113,'OC-SNF PMix Anc Days'!$CT$6:$CT$41),_xlfn.XMATCH(A$3&amp;$S113,'OC-SNF PMix Anc Days'!$DA$3:$EV$3))</f>
        <v>45658</v>
      </c>
      <c r="B113" s="104" cm="1">
        <f t="array" ref="B113">INDEX('OC-SNF PMix Anc Days'!$DA$6:$EV$41,_xlfn.XMATCH($U113,'OC-SNF PMix Anc Days'!$CT$6:$CT$41),_xlfn.XMATCH(B$3&amp;$S113,'OC-SNF PMix Anc Days'!$DA$3:$EV$3))</f>
        <v>46022</v>
      </c>
      <c r="C113" s="11" t="str" cm="1">
        <f t="array" ref="C113">INDEX('OC-SNF PMix Anc Days'!$DA$6:$EV$41,_xlfn.XMATCH($U113,'OC-SNF PMix Anc Days'!$CT$6:$CT$41),_xlfn.XMATCH(C$3&amp;$S113,'OC-SNF PMix Anc Days'!$DA$3:$EV$3))</f>
        <v>PRIVATE PAY</v>
      </c>
      <c r="D113" s="11" t="str" cm="1">
        <f t="array" ref="D113">INDEX('OC-SNF PMix Anc Days'!$DA$6:$EV$41,_xlfn.XMATCH($U113,'OC-SNF PMix Anc Days'!$CT$6:$CT$41),_xlfn.XMATCH(D$3&amp;$S113,'OC-SNF PMix Anc Days'!$DA$3:$EV$3))</f>
        <v>PRIVATE PAY</v>
      </c>
      <c r="E113" s="11" t="str" cm="1">
        <f t="array" ref="E113">INDEX('OC-SNF PMix Anc Days'!$DA$6:$EV$41,_xlfn.XMATCH($U113,'OC-SNF PMix Anc Days'!$CT$6:$CT$41),_xlfn.XMATCH(E$3&amp;$S113,'OC-SNF PMix Anc Days'!$DA$3:$EV$3))</f>
        <v>Normandie Ridge</v>
      </c>
      <c r="F113" s="11" t="str" cm="1">
        <f t="array" ref="F113">INDEX('OC-SNF PMix Anc Days'!$DA$6:$EV$41,_xlfn.XMATCH($U113,'OC-SNF PMix Anc Days'!$CT$6:$CT$41),_xlfn.XMATCH(F$3&amp;$S113,'OC-SNF PMix Anc Days'!$DA$3:$EV$3))</f>
        <v>SKILLED NURSING</v>
      </c>
      <c r="G113" s="11" t="str" cm="1">
        <f t="array" ref="G113">INDEX('OC-SNF PMix Anc Days'!$DA$6:$EV$41,_xlfn.XMATCH($U113,'OC-SNF PMix Anc Days'!$CT$6:$CT$41),_xlfn.XMATCH(G$3&amp;$S113,'OC-SNF PMix Anc Days'!$DA$3:$EV$3))</f>
        <v>NORMANDIE RIDGE SNF</v>
      </c>
      <c r="H113" s="11" cm="1">
        <f t="array" ref="H113">INDEX('OC-SNF PMix Anc Days'!$DA$6:$EV$41,_xlfn.XMATCH($U113,'OC-SNF PMix Anc Days'!$CT$6:$CT$41),_xlfn.XMATCH(H$3&amp;$S113,'OC-SNF PMix Anc Days'!$DA$3:$EV$3))</f>
        <v>18.3</v>
      </c>
      <c r="S113">
        <f>COUNTIFS($W$73:W113,W113,$X$73:X113,X113,$Y$73:Y113,Y113)</f>
        <v>1</v>
      </c>
      <c r="U113" s="92" t="str">
        <f t="shared" si="12"/>
        <v>84061Private Pay</v>
      </c>
      <c r="W113">
        <v>840</v>
      </c>
      <c r="X113">
        <v>61</v>
      </c>
      <c r="Y113" t="s">
        <v>91</v>
      </c>
      <c r="AA113">
        <v>1</v>
      </c>
    </row>
    <row r="114" spans="1:27" x14ac:dyDescent="0.25">
      <c r="U114" s="92"/>
    </row>
    <row r="115" spans="1:27" x14ac:dyDescent="0.25">
      <c r="U115" s="92"/>
    </row>
    <row r="116" spans="1:27" x14ac:dyDescent="0.25">
      <c r="U116" s="92"/>
    </row>
    <row r="117" spans="1:27" x14ac:dyDescent="0.25">
      <c r="U117" s="92"/>
    </row>
    <row r="118" spans="1:27" x14ac:dyDescent="0.25">
      <c r="U118" s="92"/>
    </row>
    <row r="119" spans="1:27" x14ac:dyDescent="0.25">
      <c r="U119" s="92"/>
    </row>
    <row r="120" spans="1:27" x14ac:dyDescent="0.25">
      <c r="U120" s="92"/>
    </row>
    <row r="121" spans="1:27" x14ac:dyDescent="0.25">
      <c r="U121" s="92"/>
    </row>
    <row r="122" spans="1:27" x14ac:dyDescent="0.25">
      <c r="U122" s="92"/>
    </row>
    <row r="123" spans="1:27" x14ac:dyDescent="0.25">
      <c r="U123" s="92"/>
    </row>
    <row r="124" spans="1:27" x14ac:dyDescent="0.25">
      <c r="U124" s="92"/>
    </row>
    <row r="125" spans="1:27" x14ac:dyDescent="0.25">
      <c r="U125" s="92"/>
    </row>
    <row r="126" spans="1:27" x14ac:dyDescent="0.25">
      <c r="U126" s="92"/>
    </row>
    <row r="127" spans="1:27" x14ac:dyDescent="0.25">
      <c r="U127" s="92"/>
    </row>
    <row r="128" spans="1:27" x14ac:dyDescent="0.25">
      <c r="U128" s="92"/>
    </row>
    <row r="129" spans="21:21" x14ac:dyDescent="0.25">
      <c r="U129" s="92"/>
    </row>
    <row r="130" spans="21:21" x14ac:dyDescent="0.25">
      <c r="U130" s="92"/>
    </row>
    <row r="131" spans="21:21" x14ac:dyDescent="0.25">
      <c r="U131" s="92"/>
    </row>
    <row r="132" spans="21:21" x14ac:dyDescent="0.25">
      <c r="U132" s="92"/>
    </row>
    <row r="133" spans="21:21" x14ac:dyDescent="0.25">
      <c r="U133" s="92"/>
    </row>
    <row r="134" spans="21:21" x14ac:dyDescent="0.25">
      <c r="U134" s="92"/>
    </row>
    <row r="135" spans="21:21" x14ac:dyDescent="0.25">
      <c r="U135" s="92"/>
    </row>
    <row r="136" spans="21:21" x14ac:dyDescent="0.25">
      <c r="U136" s="9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426C9-ACE7-48B4-B4FB-77BF82CE6C77}">
  <sheetPr filterMode="1"/>
  <dimension ref="A1:EV41"/>
  <sheetViews>
    <sheetView workbookViewId="0">
      <pane xSplit="3" ySplit="5" topLeftCell="CN6" activePane="bottomRight" state="frozen"/>
      <selection pane="topRight" activeCell="D1" sqref="D1"/>
      <selection pane="bottomLeft" activeCell="A6" sqref="A6"/>
      <selection pane="bottomRight" activeCell="CP12" sqref="CP12"/>
    </sheetView>
  </sheetViews>
  <sheetFormatPr defaultRowHeight="15" outlineLevelCol="1" x14ac:dyDescent="0.25"/>
  <cols>
    <col min="1" max="1" width="27.7109375" bestFit="1" customWidth="1"/>
    <col min="2" max="2" width="51.7109375" hidden="1" customWidth="1" outlineLevel="1"/>
    <col min="3" max="3" width="19.42578125" bestFit="1" customWidth="1" collapsed="1"/>
    <col min="4" max="15" width="11.7109375" bestFit="1" customWidth="1"/>
    <col min="16" max="16" width="1.7109375" style="73" hidden="1" customWidth="1" outlineLevel="1"/>
    <col min="17" max="17" width="27.7109375" hidden="1" customWidth="1" outlineLevel="1"/>
    <col min="18" max="18" width="12.7109375" hidden="1" customWidth="1" outlineLevel="1"/>
    <col min="19" max="30" width="9.5703125" hidden="1" customWidth="1" outlineLevel="1"/>
    <col min="31" max="31" width="1.7109375" style="73" customWidth="1" collapsed="1"/>
    <col min="44" max="44" width="1.7109375" customWidth="1"/>
    <col min="45" max="56" width="9.7109375" bestFit="1" customWidth="1"/>
    <col min="57" max="57" width="1.7109375" customWidth="1"/>
    <col min="58" max="66" width="9.7109375" bestFit="1" customWidth="1"/>
    <col min="67" max="67" width="11.140625" customWidth="1"/>
    <col min="68" max="69" width="10.7109375" bestFit="1" customWidth="1"/>
    <col min="70" max="70" width="1.7109375" customWidth="1"/>
    <col min="83" max="83" width="1.7109375" customWidth="1"/>
    <col min="96" max="96" width="1.7109375" customWidth="1"/>
    <col min="97" max="97" width="11" customWidth="1"/>
    <col min="98" max="98" width="14.85546875" bestFit="1" customWidth="1"/>
    <col min="101" max="101" width="1.7109375" customWidth="1"/>
    <col min="102" max="103" width="11.28515625" customWidth="1"/>
    <col min="104" max="104" width="1.7109375" customWidth="1"/>
    <col min="105" max="105" width="10.42578125" customWidth="1"/>
    <col min="106" max="106" width="10.5703125" customWidth="1"/>
    <col min="107" max="107" width="11.85546875" customWidth="1"/>
    <col min="108" max="108" width="10.5703125" customWidth="1"/>
    <col min="109" max="112" width="11.42578125" customWidth="1"/>
    <col min="113" max="113" width="10.42578125" customWidth="1"/>
    <col min="114" max="114" width="10.5703125" customWidth="1"/>
    <col min="115" max="115" width="11.85546875" customWidth="1"/>
    <col min="116" max="116" width="10.5703125" customWidth="1"/>
    <col min="117" max="120" width="11.42578125" customWidth="1"/>
    <col min="121" max="121" width="10.42578125" customWidth="1"/>
    <col min="122" max="122" width="10.5703125" customWidth="1"/>
    <col min="123" max="123" width="11.85546875" customWidth="1"/>
    <col min="124" max="124" width="10.5703125" customWidth="1"/>
    <col min="125" max="128" width="11.42578125" customWidth="1"/>
    <col min="129" max="129" width="10.42578125" customWidth="1"/>
    <col min="130" max="130" width="10.5703125" customWidth="1"/>
    <col min="131" max="131" width="11.85546875" customWidth="1"/>
    <col min="132" max="132" width="10.5703125" customWidth="1"/>
    <col min="133" max="136" width="11.42578125" customWidth="1"/>
    <col min="137" max="137" width="10.42578125" customWidth="1"/>
    <col min="138" max="138" width="10.5703125" customWidth="1"/>
    <col min="139" max="139" width="11.85546875" customWidth="1"/>
    <col min="140" max="140" width="10.5703125" customWidth="1"/>
    <col min="141" max="144" width="11.42578125" customWidth="1"/>
    <col min="145" max="145" width="10.42578125" customWidth="1"/>
    <col min="146" max="146" width="10.5703125" customWidth="1"/>
    <col min="147" max="147" width="11.85546875" customWidth="1"/>
    <col min="148" max="148" width="10.5703125" customWidth="1"/>
    <col min="149" max="152" width="11.42578125" customWidth="1"/>
  </cols>
  <sheetData>
    <row r="1" spans="1:152" x14ac:dyDescent="0.25">
      <c r="A1" s="14" t="s">
        <v>288</v>
      </c>
      <c r="D1" s="72">
        <f>_xlfn.XLOOKUP(D5,'OC-Days'!$G:$G,'OC-Days'!$B:$B)</f>
        <v>31</v>
      </c>
      <c r="E1" s="72">
        <f>_xlfn.XLOOKUP(E5,'OC-Days'!$G:$G,'OC-Days'!$B:$B)</f>
        <v>28</v>
      </c>
      <c r="F1" s="72">
        <f>_xlfn.XLOOKUP(F5,'OC-Days'!$G:$G,'OC-Days'!$B:$B)</f>
        <v>31</v>
      </c>
      <c r="G1" s="72">
        <f>_xlfn.XLOOKUP(G5,'OC-Days'!$G:$G,'OC-Days'!$B:$B)</f>
        <v>30</v>
      </c>
      <c r="H1" s="72">
        <f>_xlfn.XLOOKUP(H5,'OC-Days'!$G:$G,'OC-Days'!$B:$B)</f>
        <v>31</v>
      </c>
      <c r="I1" s="72">
        <f>_xlfn.XLOOKUP(I5,'OC-Days'!$G:$G,'OC-Days'!$B:$B)</f>
        <v>30</v>
      </c>
      <c r="J1" s="72">
        <f>_xlfn.XLOOKUP(J5,'OC-Days'!$G:$G,'OC-Days'!$B:$B)</f>
        <v>31</v>
      </c>
      <c r="K1" s="72">
        <f>_xlfn.XLOOKUP(K5,'OC-Days'!$G:$G,'OC-Days'!$B:$B)</f>
        <v>31</v>
      </c>
      <c r="L1" s="72">
        <f>_xlfn.XLOOKUP(L5,'OC-Days'!$G:$G,'OC-Days'!$B:$B)</f>
        <v>30</v>
      </c>
      <c r="M1" s="72">
        <f>_xlfn.XLOOKUP(M5,'OC-Days'!$G:$G,'OC-Days'!$B:$B)</f>
        <v>31</v>
      </c>
      <c r="N1" s="72">
        <f>_xlfn.XLOOKUP(N5,'OC-Days'!$G:$G,'OC-Days'!$B:$B)</f>
        <v>30</v>
      </c>
      <c r="O1" s="72">
        <f>_xlfn.XLOOKUP(O5,'OC-Days'!$G:$G,'OC-Days'!$B:$B)</f>
        <v>31</v>
      </c>
      <c r="AF1" s="84" t="s">
        <v>350</v>
      </c>
      <c r="AG1" s="84"/>
      <c r="AH1" s="84"/>
      <c r="AI1" s="84" t="s">
        <v>350</v>
      </c>
      <c r="AJ1" s="84"/>
      <c r="AK1" s="84"/>
      <c r="AL1" s="84" t="s">
        <v>350</v>
      </c>
      <c r="AM1" s="84"/>
      <c r="AN1" s="84"/>
      <c r="AO1" s="84" t="s">
        <v>350</v>
      </c>
      <c r="AP1" s="84"/>
      <c r="AQ1" s="84"/>
      <c r="AR1" s="84"/>
      <c r="AS1" s="84" t="s">
        <v>350</v>
      </c>
      <c r="AT1" s="84"/>
      <c r="AU1" s="84"/>
      <c r="AV1" s="84" t="s">
        <v>350</v>
      </c>
      <c r="AW1" s="84"/>
      <c r="AX1" s="84"/>
      <c r="AY1" s="84" t="s">
        <v>350</v>
      </c>
      <c r="AZ1" s="84"/>
      <c r="BA1" s="84"/>
      <c r="BB1" s="84" t="s">
        <v>350</v>
      </c>
      <c r="BC1" s="84"/>
      <c r="BD1" s="84"/>
      <c r="BE1" s="84"/>
      <c r="BF1" s="84" t="s">
        <v>350</v>
      </c>
      <c r="BG1" s="84"/>
      <c r="BH1" s="84"/>
      <c r="BI1" s="84" t="s">
        <v>350</v>
      </c>
      <c r="BJ1" s="84"/>
      <c r="BK1" s="84"/>
      <c r="BL1" s="84" t="s">
        <v>350</v>
      </c>
      <c r="BM1" s="84"/>
      <c r="BN1" s="84"/>
      <c r="BO1" s="84" t="s">
        <v>350</v>
      </c>
      <c r="BP1" s="84"/>
      <c r="BQ1" s="84"/>
      <c r="BR1" s="84"/>
      <c r="BS1" s="84" t="s">
        <v>350</v>
      </c>
      <c r="BT1" s="84"/>
      <c r="BU1" s="84"/>
      <c r="BV1" s="84" t="s">
        <v>350</v>
      </c>
      <c r="BW1" s="84"/>
      <c r="BX1" s="84"/>
      <c r="BY1" s="84" t="s">
        <v>350</v>
      </c>
      <c r="BZ1" s="84"/>
      <c r="CA1" s="84"/>
      <c r="CB1" s="84" t="s">
        <v>350</v>
      </c>
      <c r="CC1" s="84"/>
      <c r="CD1" s="84"/>
      <c r="CE1" s="84"/>
      <c r="CF1" s="84" t="s">
        <v>350</v>
      </c>
      <c r="CG1" s="84"/>
      <c r="CH1" s="84"/>
      <c r="CI1" s="84" t="s">
        <v>350</v>
      </c>
      <c r="CJ1" s="84"/>
      <c r="CK1" s="84"/>
      <c r="CL1" s="84" t="s">
        <v>350</v>
      </c>
      <c r="CM1" s="84"/>
      <c r="CN1" s="84"/>
      <c r="CO1" s="84" t="s">
        <v>350</v>
      </c>
      <c r="CP1" s="84"/>
      <c r="CQ1" s="84"/>
      <c r="CR1" s="84"/>
      <c r="CS1" s="84" t="s">
        <v>350</v>
      </c>
      <c r="CT1" s="84"/>
      <c r="CU1" s="84"/>
      <c r="CV1" s="34"/>
      <c r="CW1" s="34"/>
      <c r="CX1" s="84" t="s">
        <v>350</v>
      </c>
      <c r="CY1" s="84"/>
      <c r="CZ1" s="84"/>
      <c r="DA1" s="84" t="s">
        <v>350</v>
      </c>
      <c r="DB1" s="84"/>
      <c r="DC1" s="84"/>
      <c r="DD1" s="84"/>
      <c r="DE1" s="84"/>
      <c r="DF1" s="84"/>
      <c r="DG1" s="84"/>
      <c r="DH1" s="84"/>
      <c r="DI1" s="84" t="s">
        <v>350</v>
      </c>
      <c r="DJ1" s="84"/>
      <c r="DK1" s="84"/>
      <c r="DL1" s="84"/>
      <c r="DM1" s="84"/>
      <c r="DN1" s="84"/>
      <c r="DO1" s="84"/>
      <c r="DP1" s="84"/>
      <c r="DQ1" s="84" t="s">
        <v>350</v>
      </c>
      <c r="DR1" s="84"/>
      <c r="DS1" s="84"/>
      <c r="DT1" s="84"/>
      <c r="DU1" s="84"/>
      <c r="DV1" s="84"/>
      <c r="DW1" s="84"/>
      <c r="DX1" s="84"/>
      <c r="DY1" s="84" t="s">
        <v>350</v>
      </c>
      <c r="DZ1" s="84"/>
      <c r="EA1" s="84"/>
      <c r="EB1" s="84"/>
      <c r="EC1" s="84"/>
      <c r="ED1" s="84"/>
      <c r="EE1" s="84"/>
      <c r="EF1" s="84"/>
      <c r="EG1" s="84" t="s">
        <v>350</v>
      </c>
      <c r="EH1" s="84"/>
      <c r="EI1" s="84"/>
      <c r="EJ1" s="84"/>
      <c r="EK1" s="84"/>
      <c r="EL1" s="84"/>
      <c r="EM1" s="84"/>
      <c r="EN1" s="84"/>
      <c r="EO1" s="84" t="s">
        <v>350</v>
      </c>
      <c r="EP1" s="84"/>
      <c r="EQ1" s="84"/>
      <c r="ER1" s="84"/>
      <c r="ES1" s="84"/>
      <c r="ET1" s="84"/>
      <c r="EU1" s="84"/>
      <c r="EV1" s="84"/>
    </row>
    <row r="2" spans="1:152" x14ac:dyDescent="0.25">
      <c r="AF2" s="79" t="s">
        <v>338</v>
      </c>
      <c r="AG2" s="79" t="s">
        <v>338</v>
      </c>
      <c r="AH2" s="79" t="s">
        <v>338</v>
      </c>
      <c r="AI2" s="79" t="s">
        <v>338</v>
      </c>
      <c r="AJ2" s="79" t="s">
        <v>338</v>
      </c>
      <c r="AK2" s="79" t="s">
        <v>338</v>
      </c>
      <c r="AL2" s="79" t="s">
        <v>338</v>
      </c>
      <c r="AM2" s="79" t="s">
        <v>338</v>
      </c>
      <c r="AN2" s="79" t="s">
        <v>338</v>
      </c>
      <c r="AO2" s="79" t="s">
        <v>338</v>
      </c>
      <c r="AP2" s="79" t="s">
        <v>338</v>
      </c>
      <c r="AQ2" s="79" t="s">
        <v>338</v>
      </c>
      <c r="AS2" s="79" t="s">
        <v>338</v>
      </c>
      <c r="AT2" s="79" t="s">
        <v>338</v>
      </c>
      <c r="AU2" s="79" t="s">
        <v>338</v>
      </c>
      <c r="AV2" s="79" t="s">
        <v>338</v>
      </c>
      <c r="AW2" s="79" t="s">
        <v>338</v>
      </c>
      <c r="AX2" s="79" t="s">
        <v>338</v>
      </c>
      <c r="AY2" s="79" t="s">
        <v>338</v>
      </c>
      <c r="AZ2" s="79" t="s">
        <v>338</v>
      </c>
      <c r="BA2" s="79" t="s">
        <v>338</v>
      </c>
      <c r="BB2" s="79" t="s">
        <v>338</v>
      </c>
      <c r="BC2" s="79" t="s">
        <v>338</v>
      </c>
      <c r="BD2" s="79" t="s">
        <v>338</v>
      </c>
      <c r="BF2" s="79" t="s">
        <v>338</v>
      </c>
      <c r="BG2" s="79" t="s">
        <v>338</v>
      </c>
      <c r="BH2" s="79" t="s">
        <v>338</v>
      </c>
      <c r="BI2" s="79" t="s">
        <v>338</v>
      </c>
      <c r="BJ2" s="79" t="s">
        <v>338</v>
      </c>
      <c r="BK2" s="79" t="s">
        <v>338</v>
      </c>
      <c r="BL2" s="79" t="s">
        <v>338</v>
      </c>
      <c r="BM2" s="79" t="s">
        <v>338</v>
      </c>
      <c r="BN2" s="79" t="s">
        <v>338</v>
      </c>
      <c r="BO2" s="79" t="s">
        <v>338</v>
      </c>
      <c r="BP2" s="79" t="s">
        <v>338</v>
      </c>
      <c r="BQ2" s="79" t="s">
        <v>338</v>
      </c>
      <c r="BS2" s="79" t="s">
        <v>338</v>
      </c>
      <c r="BT2" s="79" t="s">
        <v>338</v>
      </c>
      <c r="BU2" s="79" t="s">
        <v>338</v>
      </c>
      <c r="BV2" s="79" t="s">
        <v>338</v>
      </c>
      <c r="BW2" s="79" t="s">
        <v>338</v>
      </c>
      <c r="BX2" s="79" t="s">
        <v>338</v>
      </c>
      <c r="BY2" s="79" t="s">
        <v>338</v>
      </c>
      <c r="BZ2" s="79" t="s">
        <v>338</v>
      </c>
      <c r="CA2" s="79" t="s">
        <v>338</v>
      </c>
      <c r="CB2" s="79" t="s">
        <v>338</v>
      </c>
      <c r="CC2" s="79" t="s">
        <v>338</v>
      </c>
      <c r="CD2" s="79" t="s">
        <v>338</v>
      </c>
      <c r="CF2" s="79" t="s">
        <v>338</v>
      </c>
      <c r="CG2" s="79" t="s">
        <v>338</v>
      </c>
      <c r="CH2" s="79" t="s">
        <v>338</v>
      </c>
      <c r="CI2" s="79" t="s">
        <v>338</v>
      </c>
      <c r="CJ2" s="79" t="s">
        <v>338</v>
      </c>
      <c r="CK2" s="79" t="s">
        <v>338</v>
      </c>
      <c r="CL2" s="79" t="s">
        <v>338</v>
      </c>
      <c r="CM2" s="79" t="s">
        <v>338</v>
      </c>
      <c r="CN2" s="79" t="s">
        <v>338</v>
      </c>
      <c r="CO2" s="79" t="s">
        <v>338</v>
      </c>
      <c r="CP2" s="79" t="s">
        <v>338</v>
      </c>
      <c r="CQ2" s="79" t="s">
        <v>338</v>
      </c>
      <c r="CS2" s="79" t="s">
        <v>338</v>
      </c>
      <c r="CT2" s="79" t="s">
        <v>338</v>
      </c>
      <c r="CU2" s="79" t="s">
        <v>338</v>
      </c>
      <c r="CV2" s="79" t="s">
        <v>338</v>
      </c>
      <c r="CX2" s="79" t="s">
        <v>338</v>
      </c>
      <c r="CY2" s="79" t="s">
        <v>338</v>
      </c>
      <c r="DA2" s="79" t="s">
        <v>338</v>
      </c>
      <c r="DB2" s="79" t="s">
        <v>338</v>
      </c>
      <c r="DC2" s="79" t="s">
        <v>338</v>
      </c>
      <c r="DD2" s="79" t="s">
        <v>338</v>
      </c>
      <c r="DE2" s="79" t="s">
        <v>338</v>
      </c>
      <c r="DF2" s="79" t="s">
        <v>338</v>
      </c>
      <c r="DG2" s="79" t="s">
        <v>338</v>
      </c>
      <c r="DH2" s="79" t="s">
        <v>338</v>
      </c>
      <c r="DI2" s="79" t="s">
        <v>338</v>
      </c>
      <c r="DJ2" s="79" t="s">
        <v>338</v>
      </c>
      <c r="DK2" s="79" t="s">
        <v>338</v>
      </c>
      <c r="DL2" s="79" t="s">
        <v>338</v>
      </c>
      <c r="DM2" s="79" t="s">
        <v>338</v>
      </c>
      <c r="DN2" s="79" t="s">
        <v>338</v>
      </c>
      <c r="DO2" s="79" t="s">
        <v>338</v>
      </c>
      <c r="DP2" s="79" t="s">
        <v>338</v>
      </c>
      <c r="DQ2" s="79" t="s">
        <v>338</v>
      </c>
      <c r="DR2" s="79" t="s">
        <v>338</v>
      </c>
      <c r="DS2" s="79" t="s">
        <v>338</v>
      </c>
      <c r="DT2" s="79" t="s">
        <v>338</v>
      </c>
      <c r="DU2" s="79" t="s">
        <v>338</v>
      </c>
      <c r="DV2" s="79" t="s">
        <v>338</v>
      </c>
      <c r="DW2" s="79" t="s">
        <v>338</v>
      </c>
      <c r="DX2" s="79" t="s">
        <v>338</v>
      </c>
      <c r="DY2" s="79" t="s">
        <v>338</v>
      </c>
      <c r="DZ2" s="79" t="s">
        <v>338</v>
      </c>
      <c r="EA2" s="79" t="s">
        <v>338</v>
      </c>
      <c r="EB2" s="79" t="s">
        <v>338</v>
      </c>
      <c r="EC2" s="79" t="s">
        <v>338</v>
      </c>
      <c r="ED2" s="79" t="s">
        <v>338</v>
      </c>
      <c r="EE2" s="79" t="s">
        <v>338</v>
      </c>
      <c r="EF2" s="79" t="s">
        <v>338</v>
      </c>
      <c r="EG2" s="79" t="s">
        <v>338</v>
      </c>
      <c r="EH2" s="79" t="s">
        <v>338</v>
      </c>
      <c r="EI2" s="79" t="s">
        <v>338</v>
      </c>
      <c r="EJ2" s="79" t="s">
        <v>338</v>
      </c>
      <c r="EK2" s="79" t="s">
        <v>338</v>
      </c>
      <c r="EL2" s="79" t="s">
        <v>338</v>
      </c>
      <c r="EM2" s="79" t="s">
        <v>338</v>
      </c>
      <c r="EN2" s="79" t="s">
        <v>338</v>
      </c>
      <c r="EO2" s="79" t="s">
        <v>338</v>
      </c>
      <c r="EP2" s="79" t="s">
        <v>338</v>
      </c>
      <c r="EQ2" s="79" t="s">
        <v>338</v>
      </c>
      <c r="ER2" s="79" t="s">
        <v>338</v>
      </c>
      <c r="ES2" s="79" t="s">
        <v>338</v>
      </c>
      <c r="ET2" s="79" t="s">
        <v>338</v>
      </c>
      <c r="EU2" s="79" t="s">
        <v>338</v>
      </c>
      <c r="EV2" s="79" t="s">
        <v>338</v>
      </c>
    </row>
    <row r="3" spans="1:152" x14ac:dyDescent="0.25">
      <c r="DA3" s="92" t="str">
        <f>DA4&amp;DA5</f>
        <v>StartDate1</v>
      </c>
      <c r="DB3" s="92" t="str">
        <f t="shared" ref="DB3:EN3" si="0">DB4&amp;DB5</f>
        <v>EndDate1</v>
      </c>
      <c r="DC3" s="92" t="str">
        <f t="shared" si="0"/>
        <v>PayerName1</v>
      </c>
      <c r="DD3" s="92" t="str">
        <f t="shared" si="0"/>
        <v>PlanName1</v>
      </c>
      <c r="DE3" s="92" t="str">
        <f t="shared" si="0"/>
        <v>CampusName1</v>
      </c>
      <c r="DF3" s="92" t="str">
        <f t="shared" si="0"/>
        <v>LevelOfCareName1</v>
      </c>
      <c r="DG3" s="92" t="str">
        <f t="shared" si="0"/>
        <v>BuildingName1</v>
      </c>
      <c r="DH3" s="92" t="str">
        <f t="shared" si="0"/>
        <v>BudgetPlanDays1</v>
      </c>
      <c r="DI3" s="92" t="str">
        <f t="shared" si="0"/>
        <v>StartDate2</v>
      </c>
      <c r="DJ3" s="92" t="str">
        <f t="shared" si="0"/>
        <v>EndDate2</v>
      </c>
      <c r="DK3" s="92" t="str">
        <f t="shared" si="0"/>
        <v>PayerName2</v>
      </c>
      <c r="DL3" s="92" t="str">
        <f t="shared" si="0"/>
        <v>PlanName2</v>
      </c>
      <c r="DM3" s="92" t="str">
        <f t="shared" si="0"/>
        <v>CampusName2</v>
      </c>
      <c r="DN3" s="92" t="str">
        <f t="shared" si="0"/>
        <v>LevelOfCareName2</v>
      </c>
      <c r="DO3" s="92" t="str">
        <f t="shared" si="0"/>
        <v>BuildingName2</v>
      </c>
      <c r="DP3" s="92" t="str">
        <f t="shared" si="0"/>
        <v>BudgetPlanDays2</v>
      </c>
      <c r="DQ3" s="92" t="str">
        <f t="shared" si="0"/>
        <v>StartDate3</v>
      </c>
      <c r="DR3" s="92" t="str">
        <f t="shared" si="0"/>
        <v>EndDate3</v>
      </c>
      <c r="DS3" s="92" t="str">
        <f t="shared" si="0"/>
        <v>PayerName3</v>
      </c>
      <c r="DT3" s="92" t="str">
        <f t="shared" si="0"/>
        <v>PlanName3</v>
      </c>
      <c r="DU3" s="92" t="str">
        <f t="shared" si="0"/>
        <v>CampusName3</v>
      </c>
      <c r="DV3" s="92" t="str">
        <f t="shared" si="0"/>
        <v>LevelOfCareName3</v>
      </c>
      <c r="DW3" s="92" t="str">
        <f t="shared" si="0"/>
        <v>BuildingName3</v>
      </c>
      <c r="DX3" s="92" t="str">
        <f t="shared" si="0"/>
        <v>BudgetPlanDays3</v>
      </c>
      <c r="DY3" s="92" t="str">
        <f t="shared" si="0"/>
        <v>StartDate4</v>
      </c>
      <c r="DZ3" s="92" t="str">
        <f t="shared" si="0"/>
        <v>EndDate4</v>
      </c>
      <c r="EA3" s="92" t="str">
        <f t="shared" si="0"/>
        <v>PayerName4</v>
      </c>
      <c r="EB3" s="92" t="str">
        <f t="shared" si="0"/>
        <v>PlanName4</v>
      </c>
      <c r="EC3" s="92" t="str">
        <f t="shared" si="0"/>
        <v>CampusName4</v>
      </c>
      <c r="ED3" s="92" t="str">
        <f t="shared" si="0"/>
        <v>LevelOfCareName4</v>
      </c>
      <c r="EE3" s="92" t="str">
        <f t="shared" si="0"/>
        <v>BuildingName4</v>
      </c>
      <c r="EF3" s="92" t="str">
        <f t="shared" si="0"/>
        <v>BudgetPlanDays4</v>
      </c>
      <c r="EG3" s="92" t="str">
        <f t="shared" si="0"/>
        <v>StartDate5</v>
      </c>
      <c r="EH3" s="92" t="str">
        <f t="shared" si="0"/>
        <v>EndDate5</v>
      </c>
      <c r="EI3" s="92" t="str">
        <f t="shared" si="0"/>
        <v>PayerName5</v>
      </c>
      <c r="EJ3" s="92" t="str">
        <f t="shared" si="0"/>
        <v>PlanName5</v>
      </c>
      <c r="EK3" s="92" t="str">
        <f t="shared" si="0"/>
        <v>CampusName5</v>
      </c>
      <c r="EL3" s="92" t="str">
        <f t="shared" si="0"/>
        <v>LevelOfCareName5</v>
      </c>
      <c r="EM3" s="92" t="str">
        <f t="shared" si="0"/>
        <v>BuildingName5</v>
      </c>
      <c r="EN3" s="92" t="str">
        <f t="shared" si="0"/>
        <v>BudgetPlanDays5</v>
      </c>
      <c r="EO3" s="92" t="str">
        <f t="shared" ref="EO3:EV3" si="1">EO4&amp;EO5</f>
        <v>StartDate6</v>
      </c>
      <c r="EP3" s="92" t="str">
        <f t="shared" si="1"/>
        <v>EndDate6</v>
      </c>
      <c r="EQ3" s="92" t="str">
        <f t="shared" si="1"/>
        <v>PayerName6</v>
      </c>
      <c r="ER3" s="92" t="str">
        <f t="shared" si="1"/>
        <v>PlanName6</v>
      </c>
      <c r="ES3" s="92" t="str">
        <f t="shared" si="1"/>
        <v>CampusName6</v>
      </c>
      <c r="ET3" s="92" t="str">
        <f t="shared" si="1"/>
        <v>LevelOfCareName6</v>
      </c>
      <c r="EU3" s="92" t="str">
        <f t="shared" si="1"/>
        <v>BuildingName6</v>
      </c>
      <c r="EV3" s="92" t="str">
        <f t="shared" si="1"/>
        <v>BudgetPlanDays6</v>
      </c>
    </row>
    <row r="4" spans="1:152" ht="45" x14ac:dyDescent="0.25">
      <c r="D4" s="61" t="s">
        <v>379</v>
      </c>
      <c r="E4" s="61" t="s">
        <v>379</v>
      </c>
      <c r="F4" s="61" t="s">
        <v>379</v>
      </c>
      <c r="G4" s="61" t="s">
        <v>379</v>
      </c>
      <c r="H4" s="61" t="s">
        <v>379</v>
      </c>
      <c r="I4" s="61" t="s">
        <v>379</v>
      </c>
      <c r="J4" s="61" t="s">
        <v>379</v>
      </c>
      <c r="K4" s="61" t="s">
        <v>379</v>
      </c>
      <c r="L4" s="61" t="s">
        <v>379</v>
      </c>
      <c r="M4" s="61" t="s">
        <v>379</v>
      </c>
      <c r="N4" s="61" t="s">
        <v>379</v>
      </c>
      <c r="O4" s="61" t="s">
        <v>379</v>
      </c>
      <c r="Q4" s="75" t="s">
        <v>293</v>
      </c>
      <c r="AF4" s="85" t="s">
        <v>349</v>
      </c>
      <c r="AG4" s="85" t="s">
        <v>349</v>
      </c>
      <c r="AH4" s="85" t="s">
        <v>349</v>
      </c>
      <c r="AI4" s="85" t="s">
        <v>349</v>
      </c>
      <c r="AJ4" s="85" t="s">
        <v>349</v>
      </c>
      <c r="AK4" s="85" t="s">
        <v>349</v>
      </c>
      <c r="AL4" s="85" t="s">
        <v>349</v>
      </c>
      <c r="AM4" s="85" t="s">
        <v>349</v>
      </c>
      <c r="AN4" s="85" t="s">
        <v>349</v>
      </c>
      <c r="AO4" s="85" t="s">
        <v>349</v>
      </c>
      <c r="AP4" s="85" t="s">
        <v>349</v>
      </c>
      <c r="AQ4" s="85" t="s">
        <v>349</v>
      </c>
      <c r="AS4" s="85" t="s">
        <v>352</v>
      </c>
      <c r="AT4" s="85" t="s">
        <v>352</v>
      </c>
      <c r="AU4" s="85" t="s">
        <v>352</v>
      </c>
      <c r="AV4" s="85" t="s">
        <v>352</v>
      </c>
      <c r="AW4" s="85" t="s">
        <v>352</v>
      </c>
      <c r="AX4" s="85" t="s">
        <v>352</v>
      </c>
      <c r="AY4" s="85" t="s">
        <v>352</v>
      </c>
      <c r="AZ4" s="85" t="s">
        <v>352</v>
      </c>
      <c r="BA4" s="85" t="s">
        <v>352</v>
      </c>
      <c r="BB4" s="85" t="s">
        <v>352</v>
      </c>
      <c r="BC4" s="85" t="s">
        <v>352</v>
      </c>
      <c r="BD4" s="85" t="s">
        <v>352</v>
      </c>
      <c r="BF4" s="85" t="s">
        <v>353</v>
      </c>
      <c r="BG4" s="85" t="s">
        <v>353</v>
      </c>
      <c r="BH4" s="85" t="s">
        <v>353</v>
      </c>
      <c r="BI4" s="85" t="s">
        <v>353</v>
      </c>
      <c r="BJ4" s="85" t="s">
        <v>353</v>
      </c>
      <c r="BK4" s="85" t="s">
        <v>353</v>
      </c>
      <c r="BL4" s="85" t="s">
        <v>353</v>
      </c>
      <c r="BM4" s="85" t="s">
        <v>353</v>
      </c>
      <c r="BN4" s="85" t="s">
        <v>353</v>
      </c>
      <c r="BO4" s="85" t="s">
        <v>353</v>
      </c>
      <c r="BP4" s="85" t="s">
        <v>353</v>
      </c>
      <c r="BQ4" s="85" t="s">
        <v>353</v>
      </c>
      <c r="BS4" s="85" t="s">
        <v>354</v>
      </c>
      <c r="BT4" s="85" t="s">
        <v>354</v>
      </c>
      <c r="BU4" s="85" t="s">
        <v>354</v>
      </c>
      <c r="BV4" s="85" t="s">
        <v>354</v>
      </c>
      <c r="BW4" s="85" t="s">
        <v>354</v>
      </c>
      <c r="BX4" s="85" t="s">
        <v>354</v>
      </c>
      <c r="BY4" s="85" t="s">
        <v>354</v>
      </c>
      <c r="BZ4" s="85" t="s">
        <v>354</v>
      </c>
      <c r="CA4" s="85" t="s">
        <v>354</v>
      </c>
      <c r="CB4" s="85" t="s">
        <v>354</v>
      </c>
      <c r="CC4" s="85" t="s">
        <v>354</v>
      </c>
      <c r="CD4" s="85" t="s">
        <v>354</v>
      </c>
      <c r="CF4" s="85" t="s">
        <v>355</v>
      </c>
      <c r="CG4" s="85" t="s">
        <v>355</v>
      </c>
      <c r="CH4" s="85" t="s">
        <v>355</v>
      </c>
      <c r="CI4" s="85" t="s">
        <v>355</v>
      </c>
      <c r="CJ4" s="85" t="s">
        <v>355</v>
      </c>
      <c r="CK4" s="85" t="s">
        <v>355</v>
      </c>
      <c r="CL4" s="85" t="s">
        <v>355</v>
      </c>
      <c r="CM4" s="85" t="s">
        <v>355</v>
      </c>
      <c r="CN4" s="85" t="s">
        <v>355</v>
      </c>
      <c r="CO4" s="85" t="s">
        <v>355</v>
      </c>
      <c r="CP4" s="85" t="s">
        <v>355</v>
      </c>
      <c r="CQ4" s="85" t="s">
        <v>355</v>
      </c>
      <c r="CX4" s="85" t="s">
        <v>356</v>
      </c>
      <c r="CY4" s="85" t="s">
        <v>357</v>
      </c>
      <c r="DA4" s="85" t="s">
        <v>0</v>
      </c>
      <c r="DB4" s="85" t="s">
        <v>1</v>
      </c>
      <c r="DC4" s="85" t="s">
        <v>2</v>
      </c>
      <c r="DD4" s="85" t="s">
        <v>3</v>
      </c>
      <c r="DE4" s="85" t="s">
        <v>4</v>
      </c>
      <c r="DF4" s="85" t="s">
        <v>5</v>
      </c>
      <c r="DG4" s="85" t="s">
        <v>6</v>
      </c>
      <c r="DH4" s="85" t="s">
        <v>7</v>
      </c>
      <c r="DI4" s="85" t="s">
        <v>0</v>
      </c>
      <c r="DJ4" s="85" t="s">
        <v>1</v>
      </c>
      <c r="DK4" s="85" t="s">
        <v>2</v>
      </c>
      <c r="DL4" s="85" t="s">
        <v>3</v>
      </c>
      <c r="DM4" s="85" t="s">
        <v>4</v>
      </c>
      <c r="DN4" s="85" t="s">
        <v>5</v>
      </c>
      <c r="DO4" s="85" t="s">
        <v>6</v>
      </c>
      <c r="DP4" s="85" t="s">
        <v>7</v>
      </c>
      <c r="DQ4" s="85" t="s">
        <v>0</v>
      </c>
      <c r="DR4" s="85" t="s">
        <v>1</v>
      </c>
      <c r="DS4" s="85" t="s">
        <v>2</v>
      </c>
      <c r="DT4" s="85" t="s">
        <v>3</v>
      </c>
      <c r="DU4" s="85" t="s">
        <v>4</v>
      </c>
      <c r="DV4" s="85" t="s">
        <v>5</v>
      </c>
      <c r="DW4" s="85" t="s">
        <v>6</v>
      </c>
      <c r="DX4" s="85" t="s">
        <v>7</v>
      </c>
      <c r="DY4" s="85" t="s">
        <v>0</v>
      </c>
      <c r="DZ4" s="85" t="s">
        <v>1</v>
      </c>
      <c r="EA4" s="85" t="s">
        <v>2</v>
      </c>
      <c r="EB4" s="85" t="s">
        <v>3</v>
      </c>
      <c r="EC4" s="85" t="s">
        <v>4</v>
      </c>
      <c r="ED4" s="85" t="s">
        <v>5</v>
      </c>
      <c r="EE4" s="85" t="s">
        <v>6</v>
      </c>
      <c r="EF4" s="85" t="s">
        <v>7</v>
      </c>
      <c r="EG4" s="85" t="s">
        <v>0</v>
      </c>
      <c r="EH4" s="85" t="s">
        <v>1</v>
      </c>
      <c r="EI4" s="85" t="s">
        <v>2</v>
      </c>
      <c r="EJ4" s="85" t="s">
        <v>3</v>
      </c>
      <c r="EK4" s="85" t="s">
        <v>4</v>
      </c>
      <c r="EL4" s="85" t="s">
        <v>5</v>
      </c>
      <c r="EM4" s="85" t="s">
        <v>6</v>
      </c>
      <c r="EN4" s="85" t="s">
        <v>7</v>
      </c>
      <c r="EO4" s="85" t="s">
        <v>0</v>
      </c>
      <c r="EP4" s="85" t="s">
        <v>1</v>
      </c>
      <c r="EQ4" s="85" t="s">
        <v>2</v>
      </c>
      <c r="ER4" s="85" t="s">
        <v>3</v>
      </c>
      <c r="ES4" s="85" t="s">
        <v>4</v>
      </c>
      <c r="ET4" s="85" t="s">
        <v>5</v>
      </c>
      <c r="EU4" s="85" t="s">
        <v>6</v>
      </c>
      <c r="EV4" s="85" t="s">
        <v>7</v>
      </c>
    </row>
    <row r="5" spans="1:152" x14ac:dyDescent="0.25">
      <c r="D5" s="62" t="s">
        <v>380</v>
      </c>
      <c r="E5" s="62" t="s">
        <v>381</v>
      </c>
      <c r="F5" s="62" t="s">
        <v>382</v>
      </c>
      <c r="G5" s="62" t="s">
        <v>383</v>
      </c>
      <c r="H5" s="62" t="s">
        <v>384</v>
      </c>
      <c r="I5" s="62" t="s">
        <v>385</v>
      </c>
      <c r="J5" s="62" t="s">
        <v>386</v>
      </c>
      <c r="K5" s="62" t="s">
        <v>387</v>
      </c>
      <c r="L5" s="62" t="s">
        <v>388</v>
      </c>
      <c r="M5" s="62" t="s">
        <v>389</v>
      </c>
      <c r="N5" s="62" t="s">
        <v>390</v>
      </c>
      <c r="O5" s="62" t="s">
        <v>391</v>
      </c>
      <c r="S5" s="69" t="str">
        <f t="shared" ref="S5:AD5" si="2">D5</f>
        <v>Jan-2025</v>
      </c>
      <c r="T5" s="69" t="str">
        <f t="shared" si="2"/>
        <v>Feb-2025</v>
      </c>
      <c r="U5" s="69" t="str">
        <f t="shared" si="2"/>
        <v>Mar-2025</v>
      </c>
      <c r="V5" s="69" t="str">
        <f t="shared" si="2"/>
        <v>Apr-2025</v>
      </c>
      <c r="W5" s="69" t="str">
        <f t="shared" si="2"/>
        <v>May-2025</v>
      </c>
      <c r="X5" s="69" t="str">
        <f t="shared" si="2"/>
        <v>Jun-2025</v>
      </c>
      <c r="Y5" s="69" t="str">
        <f t="shared" si="2"/>
        <v>Jul-2025</v>
      </c>
      <c r="Z5" s="69" t="str">
        <f t="shared" si="2"/>
        <v>Aug-2025</v>
      </c>
      <c r="AA5" s="69" t="str">
        <f t="shared" si="2"/>
        <v>Sep-2025</v>
      </c>
      <c r="AB5" s="69" t="str">
        <f t="shared" si="2"/>
        <v>Oct-2025</v>
      </c>
      <c r="AC5" s="69" t="str">
        <f t="shared" si="2"/>
        <v>Nov-2025</v>
      </c>
      <c r="AD5" s="69" t="str">
        <f t="shared" si="2"/>
        <v>Dec-2025</v>
      </c>
      <c r="AF5" t="str">
        <f t="shared" ref="AF5:AQ5" si="3">D5</f>
        <v>Jan-2025</v>
      </c>
      <c r="AG5" t="str">
        <f t="shared" si="3"/>
        <v>Feb-2025</v>
      </c>
      <c r="AH5" t="str">
        <f t="shared" si="3"/>
        <v>Mar-2025</v>
      </c>
      <c r="AI5" t="str">
        <f t="shared" si="3"/>
        <v>Apr-2025</v>
      </c>
      <c r="AJ5" t="str">
        <f t="shared" si="3"/>
        <v>May-2025</v>
      </c>
      <c r="AK5" t="str">
        <f t="shared" si="3"/>
        <v>Jun-2025</v>
      </c>
      <c r="AL5" t="str">
        <f t="shared" si="3"/>
        <v>Jul-2025</v>
      </c>
      <c r="AM5" t="str">
        <f t="shared" si="3"/>
        <v>Aug-2025</v>
      </c>
      <c r="AN5" t="str">
        <f t="shared" si="3"/>
        <v>Sep-2025</v>
      </c>
      <c r="AO5" t="str">
        <f t="shared" si="3"/>
        <v>Oct-2025</v>
      </c>
      <c r="AP5" t="str">
        <f t="shared" si="3"/>
        <v>Nov-2025</v>
      </c>
      <c r="AQ5" t="str">
        <f t="shared" si="3"/>
        <v>Dec-2025</v>
      </c>
      <c r="AS5" t="str">
        <f t="shared" ref="AS5:BD5" si="4">AF5</f>
        <v>Jan-2025</v>
      </c>
      <c r="AT5" t="str">
        <f t="shared" si="4"/>
        <v>Feb-2025</v>
      </c>
      <c r="AU5" t="str">
        <f t="shared" si="4"/>
        <v>Mar-2025</v>
      </c>
      <c r="AV5" t="str">
        <f t="shared" si="4"/>
        <v>Apr-2025</v>
      </c>
      <c r="AW5" t="str">
        <f t="shared" si="4"/>
        <v>May-2025</v>
      </c>
      <c r="AX5" t="str">
        <f t="shared" si="4"/>
        <v>Jun-2025</v>
      </c>
      <c r="AY5" t="str">
        <f t="shared" si="4"/>
        <v>Jul-2025</v>
      </c>
      <c r="AZ5" t="str">
        <f t="shared" si="4"/>
        <v>Aug-2025</v>
      </c>
      <c r="BA5" t="str">
        <f t="shared" si="4"/>
        <v>Sep-2025</v>
      </c>
      <c r="BB5" t="str">
        <f t="shared" si="4"/>
        <v>Oct-2025</v>
      </c>
      <c r="BC5" t="str">
        <f t="shared" si="4"/>
        <v>Nov-2025</v>
      </c>
      <c r="BD5" t="str">
        <f t="shared" si="4"/>
        <v>Dec-2025</v>
      </c>
      <c r="BF5" t="str">
        <f t="shared" ref="BF5:BQ5" si="5">AS5</f>
        <v>Jan-2025</v>
      </c>
      <c r="BG5" t="str">
        <f t="shared" si="5"/>
        <v>Feb-2025</v>
      </c>
      <c r="BH5" t="str">
        <f t="shared" si="5"/>
        <v>Mar-2025</v>
      </c>
      <c r="BI5" t="str">
        <f t="shared" si="5"/>
        <v>Apr-2025</v>
      </c>
      <c r="BJ5" t="str">
        <f t="shared" si="5"/>
        <v>May-2025</v>
      </c>
      <c r="BK5" t="str">
        <f t="shared" si="5"/>
        <v>Jun-2025</v>
      </c>
      <c r="BL5" t="str">
        <f t="shared" si="5"/>
        <v>Jul-2025</v>
      </c>
      <c r="BM5" t="str">
        <f t="shared" si="5"/>
        <v>Aug-2025</v>
      </c>
      <c r="BN5" t="str">
        <f t="shared" si="5"/>
        <v>Sep-2025</v>
      </c>
      <c r="BO5" t="str">
        <f t="shared" si="5"/>
        <v>Oct-2025</v>
      </c>
      <c r="BP5" t="str">
        <f t="shared" si="5"/>
        <v>Nov-2025</v>
      </c>
      <c r="BQ5" t="str">
        <f t="shared" si="5"/>
        <v>Dec-2025</v>
      </c>
      <c r="BS5" t="str">
        <f t="shared" ref="BS5:CD5" si="6">BF5</f>
        <v>Jan-2025</v>
      </c>
      <c r="BT5" t="str">
        <f t="shared" si="6"/>
        <v>Feb-2025</v>
      </c>
      <c r="BU5" t="str">
        <f t="shared" si="6"/>
        <v>Mar-2025</v>
      </c>
      <c r="BV5" t="str">
        <f t="shared" si="6"/>
        <v>Apr-2025</v>
      </c>
      <c r="BW5" t="str">
        <f t="shared" si="6"/>
        <v>May-2025</v>
      </c>
      <c r="BX5" t="str">
        <f t="shared" si="6"/>
        <v>Jun-2025</v>
      </c>
      <c r="BY5" t="str">
        <f t="shared" si="6"/>
        <v>Jul-2025</v>
      </c>
      <c r="BZ5" t="str">
        <f t="shared" si="6"/>
        <v>Aug-2025</v>
      </c>
      <c r="CA5" t="str">
        <f t="shared" si="6"/>
        <v>Sep-2025</v>
      </c>
      <c r="CB5" t="str">
        <f t="shared" si="6"/>
        <v>Oct-2025</v>
      </c>
      <c r="CC5" t="str">
        <f t="shared" si="6"/>
        <v>Nov-2025</v>
      </c>
      <c r="CD5" t="str">
        <f t="shared" si="6"/>
        <v>Dec-2025</v>
      </c>
      <c r="CF5" t="str">
        <f t="shared" ref="CF5:CQ5" si="7">BS5</f>
        <v>Jan-2025</v>
      </c>
      <c r="CG5" t="str">
        <f t="shared" si="7"/>
        <v>Feb-2025</v>
      </c>
      <c r="CH5" t="str">
        <f t="shared" si="7"/>
        <v>Mar-2025</v>
      </c>
      <c r="CI5" t="str">
        <f t="shared" si="7"/>
        <v>Apr-2025</v>
      </c>
      <c r="CJ5" t="str">
        <f t="shared" si="7"/>
        <v>May-2025</v>
      </c>
      <c r="CK5" t="str">
        <f t="shared" si="7"/>
        <v>Jun-2025</v>
      </c>
      <c r="CL5" t="str">
        <f t="shared" si="7"/>
        <v>Jul-2025</v>
      </c>
      <c r="CM5" t="str">
        <f t="shared" si="7"/>
        <v>Aug-2025</v>
      </c>
      <c r="CN5" t="str">
        <f t="shared" si="7"/>
        <v>Sep-2025</v>
      </c>
      <c r="CO5" t="str">
        <f t="shared" si="7"/>
        <v>Oct-2025</v>
      </c>
      <c r="CP5" t="str">
        <f t="shared" si="7"/>
        <v>Nov-2025</v>
      </c>
      <c r="CQ5" t="str">
        <f t="shared" si="7"/>
        <v>Dec-2025</v>
      </c>
      <c r="CS5" t="s">
        <v>351</v>
      </c>
      <c r="CT5" t="s">
        <v>365</v>
      </c>
      <c r="CU5" t="s">
        <v>296</v>
      </c>
      <c r="CV5" t="s">
        <v>297</v>
      </c>
      <c r="DA5" s="34">
        <v>1</v>
      </c>
      <c r="DB5" s="34">
        <v>1</v>
      </c>
      <c r="DC5" s="34">
        <v>1</v>
      </c>
      <c r="DD5" s="34">
        <v>1</v>
      </c>
      <c r="DE5" s="34">
        <v>1</v>
      </c>
      <c r="DF5" s="34">
        <v>1</v>
      </c>
      <c r="DG5" s="34">
        <v>1</v>
      </c>
      <c r="DH5" s="34">
        <v>1</v>
      </c>
      <c r="DI5" s="81">
        <f>DA5+1</f>
        <v>2</v>
      </c>
      <c r="DJ5" s="81">
        <f t="shared" ref="DJ5:DL5" si="8">DB5+1</f>
        <v>2</v>
      </c>
      <c r="DK5" s="81">
        <f t="shared" si="8"/>
        <v>2</v>
      </c>
      <c r="DL5" s="81">
        <f t="shared" si="8"/>
        <v>2</v>
      </c>
      <c r="DM5" s="81">
        <f t="shared" ref="DM5:EJ5" si="9">DE5+1</f>
        <v>2</v>
      </c>
      <c r="DN5" s="81">
        <f t="shared" si="9"/>
        <v>2</v>
      </c>
      <c r="DO5" s="81">
        <f t="shared" si="9"/>
        <v>2</v>
      </c>
      <c r="DP5" s="81">
        <f t="shared" si="9"/>
        <v>2</v>
      </c>
      <c r="DQ5" s="34">
        <f t="shared" si="9"/>
        <v>3</v>
      </c>
      <c r="DR5" s="34">
        <f t="shared" si="9"/>
        <v>3</v>
      </c>
      <c r="DS5" s="34">
        <f t="shared" si="9"/>
        <v>3</v>
      </c>
      <c r="DT5" s="34">
        <f t="shared" si="9"/>
        <v>3</v>
      </c>
      <c r="DU5" s="34">
        <f t="shared" si="9"/>
        <v>3</v>
      </c>
      <c r="DV5" s="34">
        <f t="shared" si="9"/>
        <v>3</v>
      </c>
      <c r="DW5" s="34">
        <f t="shared" si="9"/>
        <v>3</v>
      </c>
      <c r="DX5" s="34">
        <f t="shared" si="9"/>
        <v>3</v>
      </c>
      <c r="DY5" s="81">
        <f t="shared" si="9"/>
        <v>4</v>
      </c>
      <c r="DZ5" s="81">
        <f t="shared" si="9"/>
        <v>4</v>
      </c>
      <c r="EA5" s="81">
        <f t="shared" si="9"/>
        <v>4</v>
      </c>
      <c r="EB5" s="81">
        <f t="shared" si="9"/>
        <v>4</v>
      </c>
      <c r="EC5" s="81">
        <f t="shared" si="9"/>
        <v>4</v>
      </c>
      <c r="ED5" s="81">
        <f t="shared" si="9"/>
        <v>4</v>
      </c>
      <c r="EE5" s="81">
        <f t="shared" si="9"/>
        <v>4</v>
      </c>
      <c r="EF5" s="81">
        <f t="shared" si="9"/>
        <v>4</v>
      </c>
      <c r="EG5" s="34">
        <f t="shared" si="9"/>
        <v>5</v>
      </c>
      <c r="EH5" s="34">
        <f t="shared" si="9"/>
        <v>5</v>
      </c>
      <c r="EI5" s="34">
        <f t="shared" si="9"/>
        <v>5</v>
      </c>
      <c r="EJ5" s="34">
        <f t="shared" si="9"/>
        <v>5</v>
      </c>
      <c r="EK5" s="34">
        <f t="shared" ref="EK5" si="10">EC5+1</f>
        <v>5</v>
      </c>
      <c r="EL5" s="34">
        <f t="shared" ref="EL5" si="11">ED5+1</f>
        <v>5</v>
      </c>
      <c r="EM5" s="34">
        <f t="shared" ref="EM5" si="12">EE5+1</f>
        <v>5</v>
      </c>
      <c r="EN5" s="34">
        <f>EF5+1</f>
        <v>5</v>
      </c>
      <c r="EO5" s="81">
        <f t="shared" ref="EO5" si="13">EG5+1</f>
        <v>6</v>
      </c>
      <c r="EP5" s="81">
        <f t="shared" ref="EP5" si="14">EH5+1</f>
        <v>6</v>
      </c>
      <c r="EQ5" s="81">
        <f t="shared" ref="EQ5" si="15">EI5+1</f>
        <v>6</v>
      </c>
      <c r="ER5" s="81">
        <f t="shared" ref="ER5" si="16">EJ5+1</f>
        <v>6</v>
      </c>
      <c r="ES5" s="81">
        <f t="shared" ref="ES5" si="17">EK5+1</f>
        <v>6</v>
      </c>
      <c r="ET5" s="81">
        <f t="shared" ref="ET5" si="18">EL5+1</f>
        <v>6</v>
      </c>
      <c r="EU5" s="81">
        <f t="shared" ref="EU5" si="19">EM5+1</f>
        <v>6</v>
      </c>
      <c r="EV5" s="81">
        <f t="shared" ref="EV5" si="20">EN5+1</f>
        <v>6</v>
      </c>
    </row>
    <row r="6" spans="1:152" x14ac:dyDescent="0.25">
      <c r="A6" s="59" t="s">
        <v>199</v>
      </c>
      <c r="B6" s="43" t="s">
        <v>200</v>
      </c>
      <c r="C6" s="43" t="s">
        <v>133</v>
      </c>
      <c r="D6" s="4">
        <v>61.844999999999999</v>
      </c>
      <c r="E6" s="4">
        <v>55.86</v>
      </c>
      <c r="F6" s="4">
        <v>61.844999999999999</v>
      </c>
      <c r="G6" s="4">
        <v>59.849999999999994</v>
      </c>
      <c r="H6" s="4">
        <v>61.844999999999999</v>
      </c>
      <c r="I6" s="4">
        <v>59.849999999999994</v>
      </c>
      <c r="J6" s="4">
        <v>61.844999999999999</v>
      </c>
      <c r="K6" s="4">
        <v>61.844999999999999</v>
      </c>
      <c r="L6" s="4">
        <v>59.849999999999994</v>
      </c>
      <c r="M6" s="4">
        <v>61.844999999999999</v>
      </c>
      <c r="N6" s="4">
        <v>59.849999999999994</v>
      </c>
      <c r="O6" s="4">
        <v>61.844999999999999</v>
      </c>
      <c r="Q6" t="s">
        <v>199</v>
      </c>
      <c r="R6" t="s">
        <v>289</v>
      </c>
      <c r="S6" s="64">
        <f t="shared" ref="S6:AD11" si="21">SUMIFS(D$6:D$41,$A$6:$A$41,$Q6)</f>
        <v>4122.9999999999991</v>
      </c>
      <c r="T6" s="64">
        <f t="shared" si="21"/>
        <v>3724</v>
      </c>
      <c r="U6" s="64">
        <f t="shared" si="21"/>
        <v>4122.9999999999991</v>
      </c>
      <c r="V6" s="64">
        <f t="shared" si="21"/>
        <v>3990</v>
      </c>
      <c r="W6" s="64">
        <f t="shared" si="21"/>
        <v>4122.9999999999991</v>
      </c>
      <c r="X6" s="64">
        <f t="shared" si="21"/>
        <v>3990</v>
      </c>
      <c r="Y6" s="64">
        <f t="shared" si="21"/>
        <v>4122.9999999999991</v>
      </c>
      <c r="Z6" s="64">
        <f t="shared" si="21"/>
        <v>4122.9999999999991</v>
      </c>
      <c r="AA6" s="64">
        <f t="shared" si="21"/>
        <v>3990</v>
      </c>
      <c r="AB6" s="64">
        <f t="shared" si="21"/>
        <v>4122.9999999999991</v>
      </c>
      <c r="AC6" s="64">
        <f t="shared" si="21"/>
        <v>3990</v>
      </c>
      <c r="AD6" s="64">
        <f t="shared" si="21"/>
        <v>4122.9999999999991</v>
      </c>
      <c r="AF6" s="7">
        <f t="shared" ref="AF6:AF41" si="22">D6/D$1</f>
        <v>1.9949999999999999</v>
      </c>
      <c r="AG6" s="7">
        <f t="shared" ref="AG6:AG41" si="23">E6/E$1</f>
        <v>1.9949999999999999</v>
      </c>
      <c r="AH6" s="7">
        <f t="shared" ref="AH6:AH41" si="24">F6/F$1</f>
        <v>1.9949999999999999</v>
      </c>
      <c r="AI6" s="7">
        <f t="shared" ref="AI6:AI41" si="25">G6/G$1</f>
        <v>1.9949999999999999</v>
      </c>
      <c r="AJ6" s="7">
        <f t="shared" ref="AJ6:AJ41" si="26">H6/H$1</f>
        <v>1.9949999999999999</v>
      </c>
      <c r="AK6" s="7">
        <f t="shared" ref="AK6:AK41" si="27">I6/I$1</f>
        <v>1.9949999999999999</v>
      </c>
      <c r="AL6" s="7">
        <f t="shared" ref="AL6:AL41" si="28">J6/J$1</f>
        <v>1.9949999999999999</v>
      </c>
      <c r="AM6" s="7">
        <f t="shared" ref="AM6:AM41" si="29">K6/K$1</f>
        <v>1.9949999999999999</v>
      </c>
      <c r="AN6" s="7">
        <f t="shared" ref="AN6:AN41" si="30">L6/L$1</f>
        <v>1.9949999999999999</v>
      </c>
      <c r="AO6" s="7">
        <f t="shared" ref="AO6:AO41" si="31">M6/M$1</f>
        <v>1.9949999999999999</v>
      </c>
      <c r="AP6" s="7">
        <f t="shared" ref="AP6:AP41" si="32">N6/N$1</f>
        <v>1.9949999999999999</v>
      </c>
      <c r="AQ6" s="7">
        <f t="shared" ref="AQ6:AQ41" si="33">O6/O$1</f>
        <v>1.9949999999999999</v>
      </c>
      <c r="AS6" s="86">
        <f>_xlfn.XLOOKUP(AS$5,'OC-Days'!$G:$G,'OC-Days'!$F:$F)</f>
        <v>45658</v>
      </c>
      <c r="AT6" s="87" t="str">
        <f>IF(AG6=AF6,"na",_xlfn.XLOOKUP(AT$5,'OC-Days'!$G:$G,'OC-Days'!$F:$F))</f>
        <v>na</v>
      </c>
      <c r="AU6" s="87" t="str">
        <f>IF(AH6=AG6,"na",_xlfn.XLOOKUP(AU$5,'OC-Days'!$G:$G,'OC-Days'!$F:$F))</f>
        <v>na</v>
      </c>
      <c r="AV6" s="87" t="str">
        <f>IF(AI6=AH6,"na",_xlfn.XLOOKUP(AV$5,'OC-Days'!$G:$G,'OC-Days'!$F:$F))</f>
        <v>na</v>
      </c>
      <c r="AW6" s="87" t="str">
        <f>IF(AJ6=AI6,"na",_xlfn.XLOOKUP(AW$5,'OC-Days'!$G:$G,'OC-Days'!$F:$F))</f>
        <v>na</v>
      </c>
      <c r="AX6" s="87" t="str">
        <f>IF(AK6=AJ6,"na",_xlfn.XLOOKUP(AX$5,'OC-Days'!$G:$G,'OC-Days'!$F:$F))</f>
        <v>na</v>
      </c>
      <c r="AY6" s="87" t="str">
        <f>IF(AL6=AK6,"na",_xlfn.XLOOKUP(AY$5,'OC-Days'!$G:$G,'OC-Days'!$F:$F))</f>
        <v>na</v>
      </c>
      <c r="AZ6" s="87" t="str">
        <f>IF(AM6=AL6,"na",_xlfn.XLOOKUP(AZ$5,'OC-Days'!$G:$G,'OC-Days'!$F:$F))</f>
        <v>na</v>
      </c>
      <c r="BA6" s="87" t="str">
        <f>IF(AN6=AM6,"na",_xlfn.XLOOKUP(BA$5,'OC-Days'!$G:$G,'OC-Days'!$F:$F))</f>
        <v>na</v>
      </c>
      <c r="BB6" s="87" t="str">
        <f>IF(AO6=AN6,"na",_xlfn.XLOOKUP(BB$5,'OC-Days'!$G:$G,'OC-Days'!$F:$F))</f>
        <v>na</v>
      </c>
      <c r="BC6" s="87" t="str">
        <f>IF(AP6=AO6,"na",_xlfn.XLOOKUP(BC$5,'OC-Days'!$G:$G,'OC-Days'!$F:$F))</f>
        <v>na</v>
      </c>
      <c r="BD6" s="87" t="str">
        <f>IF(AQ6=AP6,"na",_xlfn.XLOOKUP(BD$5,'OC-Days'!$G:$G,'OC-Days'!$F:$F))</f>
        <v>na</v>
      </c>
      <c r="BF6" s="88" t="str">
        <f t="shared" ref="BF6" si="34">IF(AT6="na",AT6,AT6-1)</f>
        <v>na</v>
      </c>
      <c r="BG6" s="88" t="str">
        <f t="shared" ref="BG6" si="35">IF(AU6="na",AU6,AU6-1)</f>
        <v>na</v>
      </c>
      <c r="BH6" s="88" t="str">
        <f t="shared" ref="BH6" si="36">IF(AV6="na",AV6,AV6-1)</f>
        <v>na</v>
      </c>
      <c r="BI6" s="88" t="str">
        <f t="shared" ref="BI6" si="37">IF(AW6="na",AW6,AW6-1)</f>
        <v>na</v>
      </c>
      <c r="BJ6" s="88" t="str">
        <f t="shared" ref="BJ6" si="38">IF(AX6="na",AX6,AX6-1)</f>
        <v>na</v>
      </c>
      <c r="BK6" s="88" t="str">
        <f t="shared" ref="BK6" si="39">IF(AY6="na",AY6,AY6-1)</f>
        <v>na</v>
      </c>
      <c r="BL6" s="88" t="str">
        <f t="shared" ref="BL6" si="40">IF(AZ6="na",AZ6,AZ6-1)</f>
        <v>na</v>
      </c>
      <c r="BM6" s="88" t="str">
        <f t="shared" ref="BM6" si="41">IF(BA6="na",BA6,BA6-1)</f>
        <v>na</v>
      </c>
      <c r="BN6" s="88" t="str">
        <f t="shared" ref="BN6" si="42">IF(BB6="na",BB6,BB6-1)</f>
        <v>na</v>
      </c>
      <c r="BO6" s="88" t="str">
        <f t="shared" ref="BO6" si="43">IF(BC6="na",BC6,BC6-1)</f>
        <v>na</v>
      </c>
      <c r="BP6" s="88" t="str">
        <f t="shared" ref="BP6" si="44">IF(BD6="na",BD6,BD6-1)</f>
        <v>na</v>
      </c>
      <c r="BQ6" s="89">
        <f>DATE(VALUE(RIGHT($BQ$5,4)),12,31)</f>
        <v>46022</v>
      </c>
      <c r="BS6">
        <f>COUNT($AS6:AS6)</f>
        <v>1</v>
      </c>
      <c r="BT6">
        <f>COUNT($AS6:AT6)</f>
        <v>1</v>
      </c>
      <c r="BU6">
        <f>COUNT($AS6:AU6)</f>
        <v>1</v>
      </c>
      <c r="BV6">
        <f>COUNT($AS6:AV6)</f>
        <v>1</v>
      </c>
      <c r="BW6">
        <f>COUNT($AS6:AW6)</f>
        <v>1</v>
      </c>
      <c r="BX6">
        <f>COUNT($AS6:AX6)</f>
        <v>1</v>
      </c>
      <c r="BY6">
        <f>COUNT($AS6:AY6)</f>
        <v>1</v>
      </c>
      <c r="BZ6">
        <f>COUNT($AS6:AZ6)</f>
        <v>1</v>
      </c>
      <c r="CA6">
        <f>COUNT($AS6:BA6)</f>
        <v>1</v>
      </c>
      <c r="CB6">
        <f>COUNT($AS6:BB6)</f>
        <v>1</v>
      </c>
      <c r="CC6">
        <f>COUNT($AS6:BC6)</f>
        <v>1</v>
      </c>
      <c r="CD6">
        <f>COUNT($AS6:BD6)</f>
        <v>1</v>
      </c>
      <c r="CF6">
        <f>COUNT($BF6:BF6)</f>
        <v>0</v>
      </c>
      <c r="CG6">
        <f>COUNT($BF6:BG6)</f>
        <v>0</v>
      </c>
      <c r="CH6">
        <f>COUNT($BF6:BH6)</f>
        <v>0</v>
      </c>
      <c r="CI6">
        <f>COUNT($BF6:BI6)</f>
        <v>0</v>
      </c>
      <c r="CJ6">
        <f>COUNT($BF6:BJ6)</f>
        <v>0</v>
      </c>
      <c r="CK6">
        <f>COUNT($BF6:BK6)</f>
        <v>0</v>
      </c>
      <c r="CL6">
        <f>COUNT($BF6:BL6)</f>
        <v>0</v>
      </c>
      <c r="CM6">
        <f>COUNT($BF6:BM6)</f>
        <v>0</v>
      </c>
      <c r="CN6">
        <f>COUNT($BF6:BN6)</f>
        <v>0</v>
      </c>
      <c r="CO6">
        <f>COUNT($BF6:BO6)</f>
        <v>0</v>
      </c>
      <c r="CP6">
        <f>COUNT($BF6:BP6)</f>
        <v>0</v>
      </c>
      <c r="CQ6">
        <f>COUNT($BF6:BQ6)</f>
        <v>1</v>
      </c>
      <c r="CS6" s="5">
        <f t="shared" ref="CS6:CS41" si="45">IF(SUM(D6:O6)=0,0,1)</f>
        <v>1</v>
      </c>
      <c r="CT6" s="100" t="str">
        <f>CU6&amp;CV6&amp;C6</f>
        <v>10061Medicare A</v>
      </c>
      <c r="CU6" s="83">
        <f t="shared" ref="CU6:CU41" si="46">VALUE(LEFT(A6,3))</f>
        <v>100</v>
      </c>
      <c r="CV6" s="83">
        <f t="shared" ref="CV6:CV41" si="47">VALUE(MID(A6,5,2))</f>
        <v>61</v>
      </c>
      <c r="CX6">
        <f>COUNT(AS6:BD6)</f>
        <v>1</v>
      </c>
      <c r="CY6">
        <f>COUNT(BF6:BQ6)</f>
        <v>1</v>
      </c>
      <c r="DA6" s="90" cm="1">
        <f t="array" ref="DA6">IF(DA$5&lt;=$CX6,INDEX($AS6:$BD6,1,_xlfn.XMATCH(DA$5,$BS6:$CD6)),"na")</f>
        <v>45658</v>
      </c>
      <c r="DB6" s="91" cm="1">
        <f t="array" ref="DB6">IF(DB$5&lt;=$CY6,INDEX($BF6:$BQ6,1,_xlfn.XMATCH(DB$5,$CF6:$CQ6)),"na")</f>
        <v>46022</v>
      </c>
      <c r="DC6" s="82" t="str">
        <f>_xlfn.XLOOKUP($CU6&amp;"-"&amp;$CV6&amp;$C6,REF!$K$2:$K$90,REF!B$2:B$90)</f>
        <v>MEDICAREA/MC HMO</v>
      </c>
      <c r="DD6" s="82" t="str">
        <f>_xlfn.XLOOKUP($CU6&amp;"-"&amp;$CV6&amp;$C6,REF!$K$2:$K$90,REF!C$2:C$90)</f>
        <v>MEDICARE A HIGHMARK</v>
      </c>
      <c r="DE6" s="82" t="str">
        <f>_xlfn.XLOOKUP($CU6&amp;"-"&amp;$CV6&amp;$C6,REF!$K$2:$K$90,REF!D$2:D$90)</f>
        <v>ASBURY METHODIST VILLAGE</v>
      </c>
      <c r="DF6" s="82" t="str">
        <f>_xlfn.XLOOKUP($CU6&amp;"-"&amp;$CV6&amp;$C6,REF!$K$2:$K$90,REF!E$2:E$90)</f>
        <v>SKILLED NURSING</v>
      </c>
      <c r="DG6" s="82" t="str">
        <f>_xlfn.XLOOKUP($CU6&amp;"-"&amp;$CV6&amp;$C6,REF!$K$2:$K$90,REF!F$2:F$90)</f>
        <v>AMV - WILSON HEALTH CARE CENTER</v>
      </c>
      <c r="DH6" s="93" cm="1">
        <f t="array" ref="DH6">IF(DH$5&lt;=$CX6,INDEX($AF6:$AQ6,1,_xlfn.XMATCH(DH$5,$BS6:$CD6)),"na")</f>
        <v>1.9949999999999999</v>
      </c>
      <c r="DI6" s="90" t="str" cm="1">
        <f t="array" ref="DI6">IF(DI$5&lt;=$CX6,INDEX($AS6:$BD6,1,_xlfn.XMATCH(DI$5,$BS6:$CD6)),"na")</f>
        <v>na</v>
      </c>
      <c r="DJ6" s="91" t="str" cm="1">
        <f t="array" ref="DJ6">IF(DJ$5&lt;=$CY6,INDEX($BF6:$BQ6,1,_xlfn.XMATCH(DJ$5,$CF6:$CQ6)),"na")</f>
        <v>na</v>
      </c>
      <c r="DK6" s="101" t="str">
        <f>DC6</f>
        <v>MEDICAREA/MC HMO</v>
      </c>
      <c r="DL6" s="101" t="str">
        <f t="shared" ref="DL6:DL41" si="48">DD6</f>
        <v>MEDICARE A HIGHMARK</v>
      </c>
      <c r="DM6" s="101" t="str">
        <f t="shared" ref="DM6:DM41" si="49">DE6</f>
        <v>ASBURY METHODIST VILLAGE</v>
      </c>
      <c r="DN6" s="101" t="str">
        <f t="shared" ref="DN6:DN41" si="50">DF6</f>
        <v>SKILLED NURSING</v>
      </c>
      <c r="DO6" s="101" t="str">
        <f t="shared" ref="DO6:DO41" si="51">DG6</f>
        <v>AMV - WILSON HEALTH CARE CENTER</v>
      </c>
      <c r="DP6" s="93" t="str" cm="1">
        <f t="array" ref="DP6">IF(DP$5&lt;=$CX6,INDEX($AF6:$AQ6,1,_xlfn.XMATCH(DP$5,$BS6:$CD6)),"na")</f>
        <v>na</v>
      </c>
      <c r="DQ6" s="90" t="str" cm="1">
        <f t="array" ref="DQ6">IF(DQ$5&lt;=$CX6,INDEX($AS6:$BD6,1,_xlfn.XMATCH(DQ$5,$BS6:$CD6)),"na")</f>
        <v>na</v>
      </c>
      <c r="DR6" s="91" t="str" cm="1">
        <f t="array" ref="DR6">IF(DR$5&lt;=$CY6,INDEX($BF6:$BQ6,1,_xlfn.XMATCH(DR$5,$CF6:$CQ6)),"na")</f>
        <v>na</v>
      </c>
      <c r="DS6" s="101" t="str">
        <f>DK6</f>
        <v>MEDICAREA/MC HMO</v>
      </c>
      <c r="DT6" s="101" t="str">
        <f t="shared" ref="DT6:DT41" si="52">DL6</f>
        <v>MEDICARE A HIGHMARK</v>
      </c>
      <c r="DU6" s="101" t="str">
        <f t="shared" ref="DU6:DU41" si="53">DM6</f>
        <v>ASBURY METHODIST VILLAGE</v>
      </c>
      <c r="DV6" s="101" t="str">
        <f t="shared" ref="DV6:DV41" si="54">DN6</f>
        <v>SKILLED NURSING</v>
      </c>
      <c r="DW6" s="101" t="str">
        <f t="shared" ref="DW6:DW41" si="55">DO6</f>
        <v>AMV - WILSON HEALTH CARE CENTER</v>
      </c>
      <c r="DX6" s="93" t="str" cm="1">
        <f t="array" ref="DX6">IF(DX$5&lt;=$CX6,INDEX($AF6:$AQ6,1,_xlfn.XMATCH(DX$5,$BS6:$CD6)),"na")</f>
        <v>na</v>
      </c>
      <c r="DY6" s="90" t="str" cm="1">
        <f t="array" ref="DY6">IF(DY$5&lt;=$CX6,INDEX($AS6:$BD6,1,_xlfn.XMATCH(DY$5,$BS6:$CD6)),"na")</f>
        <v>na</v>
      </c>
      <c r="DZ6" s="91" t="str" cm="1">
        <f t="array" ref="DZ6">IF(DZ$5&lt;=$CY6,INDEX($BF6:$BQ6,1,_xlfn.XMATCH(DZ$5,$CF6:$CQ6)),"na")</f>
        <v>na</v>
      </c>
      <c r="EA6" s="101" t="str">
        <f>DS6</f>
        <v>MEDICAREA/MC HMO</v>
      </c>
      <c r="EB6" s="101" t="str">
        <f t="shared" ref="EB6:EB41" si="56">DT6</f>
        <v>MEDICARE A HIGHMARK</v>
      </c>
      <c r="EC6" s="101" t="str">
        <f t="shared" ref="EC6:EC41" si="57">DU6</f>
        <v>ASBURY METHODIST VILLAGE</v>
      </c>
      <c r="ED6" s="101" t="str">
        <f t="shared" ref="ED6:ED41" si="58">DV6</f>
        <v>SKILLED NURSING</v>
      </c>
      <c r="EE6" s="101" t="str">
        <f t="shared" ref="EE6:EE41" si="59">DW6</f>
        <v>AMV - WILSON HEALTH CARE CENTER</v>
      </c>
      <c r="EF6" s="93" t="str" cm="1">
        <f t="array" ref="EF6">IF(EF$5&lt;=$CX6,INDEX($AF6:$AQ6,1,_xlfn.XMATCH(EF$5,$BS6:$CD6)),"na")</f>
        <v>na</v>
      </c>
      <c r="EG6" s="90" t="str" cm="1">
        <f t="array" ref="EG6">IF(EG$5&lt;=$CX6,INDEX($AS6:$BD6,1,_xlfn.XMATCH(EG$5,$BS6:$CD6)),"na")</f>
        <v>na</v>
      </c>
      <c r="EH6" s="91" t="str" cm="1">
        <f t="array" ref="EH6">IF(EH$5&lt;=$CY6,INDEX($BF6:$BQ6,1,_xlfn.XMATCH(EH$5,$CF6:$CQ6)),"na")</f>
        <v>na</v>
      </c>
      <c r="EI6" s="101" t="str">
        <f>EA6</f>
        <v>MEDICAREA/MC HMO</v>
      </c>
      <c r="EJ6" s="101" t="str">
        <f t="shared" ref="EJ6:EJ41" si="60">EB6</f>
        <v>MEDICARE A HIGHMARK</v>
      </c>
      <c r="EK6" s="101" t="str">
        <f t="shared" ref="EK6:EK41" si="61">EC6</f>
        <v>ASBURY METHODIST VILLAGE</v>
      </c>
      <c r="EL6" s="101" t="str">
        <f t="shared" ref="EL6:EL41" si="62">ED6</f>
        <v>SKILLED NURSING</v>
      </c>
      <c r="EM6" s="101" t="str">
        <f t="shared" ref="EM6:EM41" si="63">EE6</f>
        <v>AMV - WILSON HEALTH CARE CENTER</v>
      </c>
      <c r="EN6" s="93" t="str" cm="1">
        <f t="array" ref="EN6">IF(EN$5&lt;=$CX6,INDEX($AF6:$AQ6,1,_xlfn.XMATCH(EN$5,$BS6:$CD6)),"na")</f>
        <v>na</v>
      </c>
      <c r="EO6" s="90" t="str" cm="1">
        <f t="array" ref="EO6">IF(EO$5&lt;=$CX6,INDEX($AS6:$BD6,1,_xlfn.XMATCH(EO$5,$BS6:$CD6)),"na")</f>
        <v>na</v>
      </c>
      <c r="EP6" s="91" t="str" cm="1">
        <f t="array" ref="EP6">IF(EP$5&lt;=$CY6,INDEX($BF6:$BQ6,1,_xlfn.XMATCH(EP$5,$CF6:$CQ6)),"na")</f>
        <v>na</v>
      </c>
      <c r="EQ6" s="101" t="str">
        <f>EI6</f>
        <v>MEDICAREA/MC HMO</v>
      </c>
      <c r="ER6" s="101" t="str">
        <f t="shared" ref="ER6:ER41" si="64">EJ6</f>
        <v>MEDICARE A HIGHMARK</v>
      </c>
      <c r="ES6" s="101" t="str">
        <f t="shared" ref="ES6:ES41" si="65">EK6</f>
        <v>ASBURY METHODIST VILLAGE</v>
      </c>
      <c r="ET6" s="101" t="str">
        <f t="shared" ref="ET6:ET41" si="66">EL6</f>
        <v>SKILLED NURSING</v>
      </c>
      <c r="EU6" s="101" t="str">
        <f t="shared" ref="EU6:EU41" si="67">EM6</f>
        <v>AMV - WILSON HEALTH CARE CENTER</v>
      </c>
      <c r="EV6" s="93" t="str" cm="1">
        <f t="array" ref="EV6">IF(EV$5&lt;=$CX6,INDEX($AF6:$AQ6,1,_xlfn.XMATCH(EV$5,$BS6:$CD6)),"na")</f>
        <v>na</v>
      </c>
    </row>
    <row r="7" spans="1:152" hidden="1" x14ac:dyDescent="0.25">
      <c r="A7" s="59" t="s">
        <v>199</v>
      </c>
      <c r="B7" s="43" t="s">
        <v>201</v>
      </c>
      <c r="C7" s="43" t="s">
        <v>45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Q7" t="s">
        <v>207</v>
      </c>
      <c r="R7" t="s">
        <v>289</v>
      </c>
      <c r="S7" s="64">
        <f t="shared" si="21"/>
        <v>1395</v>
      </c>
      <c r="T7" s="64">
        <f t="shared" si="21"/>
        <v>1260</v>
      </c>
      <c r="U7" s="64">
        <f t="shared" si="21"/>
        <v>1395</v>
      </c>
      <c r="V7" s="64">
        <f t="shared" si="21"/>
        <v>1350</v>
      </c>
      <c r="W7" s="64">
        <f t="shared" si="21"/>
        <v>1395</v>
      </c>
      <c r="X7" s="64">
        <f t="shared" si="21"/>
        <v>1350</v>
      </c>
      <c r="Y7" s="64">
        <f t="shared" si="21"/>
        <v>1395</v>
      </c>
      <c r="Z7" s="64">
        <f t="shared" si="21"/>
        <v>1395</v>
      </c>
      <c r="AA7" s="64">
        <f t="shared" si="21"/>
        <v>1350</v>
      </c>
      <c r="AB7" s="64">
        <f t="shared" si="21"/>
        <v>1395</v>
      </c>
      <c r="AC7" s="64">
        <f t="shared" si="21"/>
        <v>1350</v>
      </c>
      <c r="AD7" s="64">
        <f t="shared" si="21"/>
        <v>1395</v>
      </c>
      <c r="AF7" s="7">
        <f t="shared" si="22"/>
        <v>0</v>
      </c>
      <c r="AG7" s="7">
        <f t="shared" si="23"/>
        <v>0</v>
      </c>
      <c r="AH7" s="7">
        <f t="shared" si="24"/>
        <v>0</v>
      </c>
      <c r="AI7" s="7">
        <f t="shared" si="25"/>
        <v>0</v>
      </c>
      <c r="AJ7" s="7">
        <f t="shared" si="26"/>
        <v>0</v>
      </c>
      <c r="AK7" s="7">
        <f t="shared" si="27"/>
        <v>0</v>
      </c>
      <c r="AL7" s="7">
        <f t="shared" si="28"/>
        <v>0</v>
      </c>
      <c r="AM7" s="7">
        <f t="shared" si="29"/>
        <v>0</v>
      </c>
      <c r="AN7" s="7">
        <f t="shared" si="30"/>
        <v>0</v>
      </c>
      <c r="AO7" s="7">
        <f t="shared" si="31"/>
        <v>0</v>
      </c>
      <c r="AP7" s="7">
        <f t="shared" si="32"/>
        <v>0</v>
      </c>
      <c r="AQ7" s="7">
        <f t="shared" si="33"/>
        <v>0</v>
      </c>
      <c r="AS7" s="86">
        <f>_xlfn.XLOOKUP(AS$5,'OC-Days'!$G:$G,'OC-Days'!$F:$F)</f>
        <v>45658</v>
      </c>
      <c r="AT7" s="87" t="str">
        <f>IF(AG7=AF7,"na",_xlfn.XLOOKUP(AT$5,'OC-Days'!$G:$G,'OC-Days'!$F:$F))</f>
        <v>na</v>
      </c>
      <c r="AU7" s="87" t="str">
        <f>IF(AH7=AG7,"na",_xlfn.XLOOKUP(AU$5,'OC-Days'!$G:$G,'OC-Days'!$F:$F))</f>
        <v>na</v>
      </c>
      <c r="AV7" s="87" t="str">
        <f>IF(AI7=AH7,"na",_xlfn.XLOOKUP(AV$5,'OC-Days'!$G:$G,'OC-Days'!$F:$F))</f>
        <v>na</v>
      </c>
      <c r="AW7" s="87" t="str">
        <f>IF(AJ7=AI7,"na",_xlfn.XLOOKUP(AW$5,'OC-Days'!$G:$G,'OC-Days'!$F:$F))</f>
        <v>na</v>
      </c>
      <c r="AX7" s="87" t="str">
        <f>IF(AK7=AJ7,"na",_xlfn.XLOOKUP(AX$5,'OC-Days'!$G:$G,'OC-Days'!$F:$F))</f>
        <v>na</v>
      </c>
      <c r="AY7" s="87" t="str">
        <f>IF(AL7=AK7,"na",_xlfn.XLOOKUP(AY$5,'OC-Days'!$G:$G,'OC-Days'!$F:$F))</f>
        <v>na</v>
      </c>
      <c r="AZ7" s="87" t="str">
        <f>IF(AM7=AL7,"na",_xlfn.XLOOKUP(AZ$5,'OC-Days'!$G:$G,'OC-Days'!$F:$F))</f>
        <v>na</v>
      </c>
      <c r="BA7" s="87" t="str">
        <f>IF(AN7=AM7,"na",_xlfn.XLOOKUP(BA$5,'OC-Days'!$G:$G,'OC-Days'!$F:$F))</f>
        <v>na</v>
      </c>
      <c r="BB7" s="87" t="str">
        <f>IF(AO7=AN7,"na",_xlfn.XLOOKUP(BB$5,'OC-Days'!$G:$G,'OC-Days'!$F:$F))</f>
        <v>na</v>
      </c>
      <c r="BC7" s="87" t="str">
        <f>IF(AP7=AO7,"na",_xlfn.XLOOKUP(BC$5,'OC-Days'!$G:$G,'OC-Days'!$F:$F))</f>
        <v>na</v>
      </c>
      <c r="BD7" s="87" t="str">
        <f>IF(AQ7=AP7,"na",_xlfn.XLOOKUP(BD$5,'OC-Days'!$G:$G,'OC-Days'!$F:$F))</f>
        <v>na</v>
      </c>
      <c r="BF7" s="88" t="str">
        <f t="shared" ref="BF7:BF41" si="68">IF(AT7="na",AT7,AT7-1)</f>
        <v>na</v>
      </c>
      <c r="BG7" s="88" t="str">
        <f t="shared" ref="BG7:BG41" si="69">IF(AU7="na",AU7,AU7-1)</f>
        <v>na</v>
      </c>
      <c r="BH7" s="88" t="str">
        <f t="shared" ref="BH7:BH41" si="70">IF(AV7="na",AV7,AV7-1)</f>
        <v>na</v>
      </c>
      <c r="BI7" s="88" t="str">
        <f t="shared" ref="BI7:BI41" si="71">IF(AW7="na",AW7,AW7-1)</f>
        <v>na</v>
      </c>
      <c r="BJ7" s="88" t="str">
        <f t="shared" ref="BJ7:BJ41" si="72">IF(AX7="na",AX7,AX7-1)</f>
        <v>na</v>
      </c>
      <c r="BK7" s="88" t="str">
        <f t="shared" ref="BK7:BK41" si="73">IF(AY7="na",AY7,AY7-1)</f>
        <v>na</v>
      </c>
      <c r="BL7" s="88" t="str">
        <f t="shared" ref="BL7:BL41" si="74">IF(AZ7="na",AZ7,AZ7-1)</f>
        <v>na</v>
      </c>
      <c r="BM7" s="88" t="str">
        <f t="shared" ref="BM7:BM41" si="75">IF(BA7="na",BA7,BA7-1)</f>
        <v>na</v>
      </c>
      <c r="BN7" s="88" t="str">
        <f t="shared" ref="BN7:BN41" si="76">IF(BB7="na",BB7,BB7-1)</f>
        <v>na</v>
      </c>
      <c r="BO7" s="88" t="str">
        <f t="shared" ref="BO7:BO41" si="77">IF(BC7="na",BC7,BC7-1)</f>
        <v>na</v>
      </c>
      <c r="BP7" s="88" t="str">
        <f t="shared" ref="BP7:BP41" si="78">IF(BD7="na",BD7,BD7-1)</f>
        <v>na</v>
      </c>
      <c r="BQ7" s="89">
        <f t="shared" ref="BQ7:BQ41" si="79">DATE(VALUE(RIGHT($BQ$5,4)),12,31)</f>
        <v>46022</v>
      </c>
      <c r="BS7">
        <f>COUNT($AS7:AS7)</f>
        <v>1</v>
      </c>
      <c r="BT7">
        <f>COUNT($AS7:AT7)</f>
        <v>1</v>
      </c>
      <c r="BU7">
        <f>COUNT($AS7:AU7)</f>
        <v>1</v>
      </c>
      <c r="BV7">
        <f>COUNT($AS7:AV7)</f>
        <v>1</v>
      </c>
      <c r="BW7">
        <f>COUNT($AS7:AW7)</f>
        <v>1</v>
      </c>
      <c r="BX7">
        <f>COUNT($AS7:AX7)</f>
        <v>1</v>
      </c>
      <c r="BY7">
        <f>COUNT($AS7:AY7)</f>
        <v>1</v>
      </c>
      <c r="BZ7">
        <f>COUNT($AS7:AZ7)</f>
        <v>1</v>
      </c>
      <c r="CA7">
        <f>COUNT($AS7:BA7)</f>
        <v>1</v>
      </c>
      <c r="CB7">
        <f>COUNT($AS7:BB7)</f>
        <v>1</v>
      </c>
      <c r="CC7">
        <f>COUNT($AS7:BC7)</f>
        <v>1</v>
      </c>
      <c r="CD7">
        <f>COUNT($AS7:BD7)</f>
        <v>1</v>
      </c>
      <c r="CF7">
        <f>COUNT($BF7:BF7)</f>
        <v>0</v>
      </c>
      <c r="CG7">
        <f>COUNT($BF7:BG7)</f>
        <v>0</v>
      </c>
      <c r="CH7">
        <f>COUNT($BF7:BH7)</f>
        <v>0</v>
      </c>
      <c r="CI7">
        <f>COUNT($BF7:BI7)</f>
        <v>0</v>
      </c>
      <c r="CJ7">
        <f>COUNT($BF7:BJ7)</f>
        <v>0</v>
      </c>
      <c r="CK7">
        <f>COUNT($BF7:BK7)</f>
        <v>0</v>
      </c>
      <c r="CL7">
        <f>COUNT($BF7:BL7)</f>
        <v>0</v>
      </c>
      <c r="CM7">
        <f>COUNT($BF7:BM7)</f>
        <v>0</v>
      </c>
      <c r="CN7">
        <f>COUNT($BF7:BN7)</f>
        <v>0</v>
      </c>
      <c r="CO7">
        <f>COUNT($BF7:BO7)</f>
        <v>0</v>
      </c>
      <c r="CP7">
        <f>COUNT($BF7:BP7)</f>
        <v>0</v>
      </c>
      <c r="CQ7">
        <f>COUNT($BF7:BQ7)</f>
        <v>1</v>
      </c>
      <c r="CS7" s="5">
        <f t="shared" si="45"/>
        <v>0</v>
      </c>
      <c r="CT7" s="100" t="str">
        <f t="shared" ref="CT7:CT41" si="80">CU7&amp;CV7&amp;C7</f>
        <v>10061Medicare Advantage</v>
      </c>
      <c r="CU7" s="83">
        <f t="shared" si="46"/>
        <v>100</v>
      </c>
      <c r="CV7" s="83">
        <f t="shared" si="47"/>
        <v>61</v>
      </c>
      <c r="CX7">
        <f t="shared" ref="CX7:CX41" si="81">COUNT(AS7:BD7)</f>
        <v>1</v>
      </c>
      <c r="CY7">
        <f t="shared" ref="CY7:CY41" si="82">COUNT(BF7:BQ7)</f>
        <v>1</v>
      </c>
      <c r="DA7" s="90" cm="1">
        <f t="array" ref="DA7">IF(DA$5&lt;=$CX7,INDEX($AS7:$BD7,1,_xlfn.XMATCH(DA$5,$BS7:$CD7)),"na")</f>
        <v>45658</v>
      </c>
      <c r="DB7" s="91" cm="1">
        <f t="array" ref="DB7">IF(DB$5&lt;=$CY7,INDEX($BF7:$BQ7,1,_xlfn.XMATCH(DB$5,$CF7:$CQ7)),"na")</f>
        <v>46022</v>
      </c>
      <c r="DC7" s="82" t="str">
        <f>_xlfn.XLOOKUP($CU7&amp;"-"&amp;$CV7&amp;$C7,REF!$K$2:$K$90,REF!B$2:B$90)</f>
        <v>Medicare Advantage</v>
      </c>
      <c r="DD7" s="82" t="str">
        <f>_xlfn.XLOOKUP($CU7&amp;"-"&amp;$CV7&amp;$C7,REF!$K$2:$K$90,REF!C$2:C$90)</f>
        <v>Med Adv HMO A</v>
      </c>
      <c r="DE7" s="82" t="str">
        <f>_xlfn.XLOOKUP($CU7&amp;"-"&amp;$CV7&amp;$C7,REF!$K$2:$K$90,REF!D$2:D$90)</f>
        <v>ASBURY METHODIST VILLAGE</v>
      </c>
      <c r="DF7" s="82" t="str">
        <f>_xlfn.XLOOKUP($CU7&amp;"-"&amp;$CV7&amp;$C7,REF!$K$2:$K$90,REF!E$2:E$90)</f>
        <v>SKILLED NURSING</v>
      </c>
      <c r="DG7" s="82" t="str">
        <f>_xlfn.XLOOKUP($CU7&amp;"-"&amp;$CV7&amp;$C7,REF!$K$2:$K$90,REF!F$2:F$90)</f>
        <v>AMV - WILSON HEALTH CARE CENTER</v>
      </c>
      <c r="DH7" s="93" cm="1">
        <f t="array" ref="DH7">IF(DH$5&lt;=$CX7,INDEX($AF7:$AQ7,1,_xlfn.XMATCH(DH$5,$BS7:$CD7)),"na")</f>
        <v>0</v>
      </c>
      <c r="DI7" s="90" t="str" cm="1">
        <f t="array" ref="DI7">IF(DI$5&lt;=$CX7,INDEX($AS7:$BD7,1,_xlfn.XMATCH(DI$5,$BS7:$CD7)),"na")</f>
        <v>na</v>
      </c>
      <c r="DJ7" s="91" t="str" cm="1">
        <f t="array" ref="DJ7">IF(DJ$5&lt;=$CY7,INDEX($BF7:$BQ7,1,_xlfn.XMATCH(DJ$5,$CF7:$CQ7)),"na")</f>
        <v>na</v>
      </c>
      <c r="DK7" s="101" t="str">
        <f t="shared" ref="DK7:DK41" si="83">DC7</f>
        <v>Medicare Advantage</v>
      </c>
      <c r="DL7" s="101" t="str">
        <f t="shared" si="48"/>
        <v>Med Adv HMO A</v>
      </c>
      <c r="DM7" s="101" t="str">
        <f t="shared" si="49"/>
        <v>ASBURY METHODIST VILLAGE</v>
      </c>
      <c r="DN7" s="101" t="str">
        <f t="shared" si="50"/>
        <v>SKILLED NURSING</v>
      </c>
      <c r="DO7" s="101" t="str">
        <f t="shared" si="51"/>
        <v>AMV - WILSON HEALTH CARE CENTER</v>
      </c>
      <c r="DP7" s="93" t="str" cm="1">
        <f t="array" ref="DP7">IF(DP$5&lt;=$CX7,INDEX($AF7:$AQ7,1,_xlfn.XMATCH(DP$5,$BS7:$CD7)),"na")</f>
        <v>na</v>
      </c>
      <c r="DQ7" s="90" t="str" cm="1">
        <f t="array" ref="DQ7">IF(DQ$5&lt;=$CX7,INDEX($AS7:$BD7,1,_xlfn.XMATCH(DQ$5,$BS7:$CD7)),"na")</f>
        <v>na</v>
      </c>
      <c r="DR7" s="91" t="str" cm="1">
        <f t="array" ref="DR7">IF(DR$5&lt;=$CY7,INDEX($BF7:$BQ7,1,_xlfn.XMATCH(DR$5,$CF7:$CQ7)),"na")</f>
        <v>na</v>
      </c>
      <c r="DS7" s="101" t="str">
        <f t="shared" ref="DS7:DS41" si="84">DK7</f>
        <v>Medicare Advantage</v>
      </c>
      <c r="DT7" s="101" t="str">
        <f t="shared" si="52"/>
        <v>Med Adv HMO A</v>
      </c>
      <c r="DU7" s="101" t="str">
        <f t="shared" si="53"/>
        <v>ASBURY METHODIST VILLAGE</v>
      </c>
      <c r="DV7" s="101" t="str">
        <f t="shared" si="54"/>
        <v>SKILLED NURSING</v>
      </c>
      <c r="DW7" s="101" t="str">
        <f t="shared" si="55"/>
        <v>AMV - WILSON HEALTH CARE CENTER</v>
      </c>
      <c r="DX7" s="93" t="str" cm="1">
        <f t="array" ref="DX7">IF(DX$5&lt;=$CX7,INDEX($AF7:$AQ7,1,_xlfn.XMATCH(DX$5,$BS7:$CD7)),"na")</f>
        <v>na</v>
      </c>
      <c r="DY7" s="90" t="str" cm="1">
        <f t="array" ref="DY7">IF(DY$5&lt;=$CX7,INDEX($AS7:$BD7,1,_xlfn.XMATCH(DY$5,$BS7:$CD7)),"na")</f>
        <v>na</v>
      </c>
      <c r="DZ7" s="91" t="str" cm="1">
        <f t="array" ref="DZ7">IF(DZ$5&lt;=$CY7,INDEX($BF7:$BQ7,1,_xlfn.XMATCH(DZ$5,$CF7:$CQ7)),"na")</f>
        <v>na</v>
      </c>
      <c r="EA7" s="101" t="str">
        <f t="shared" ref="EA7:EA41" si="85">DS7</f>
        <v>Medicare Advantage</v>
      </c>
      <c r="EB7" s="101" t="str">
        <f t="shared" si="56"/>
        <v>Med Adv HMO A</v>
      </c>
      <c r="EC7" s="101" t="str">
        <f t="shared" si="57"/>
        <v>ASBURY METHODIST VILLAGE</v>
      </c>
      <c r="ED7" s="101" t="str">
        <f t="shared" si="58"/>
        <v>SKILLED NURSING</v>
      </c>
      <c r="EE7" s="101" t="str">
        <f t="shared" si="59"/>
        <v>AMV - WILSON HEALTH CARE CENTER</v>
      </c>
      <c r="EF7" s="93" t="str" cm="1">
        <f t="array" ref="EF7">IF(EF$5&lt;=$CX7,INDEX($AF7:$AQ7,1,_xlfn.XMATCH(EF$5,$BS7:$CD7)),"na")</f>
        <v>na</v>
      </c>
      <c r="EG7" s="90" t="str" cm="1">
        <f t="array" ref="EG7">IF(EG$5&lt;=$CX7,INDEX($AS7:$BD7,1,_xlfn.XMATCH(EG$5,$BS7:$CD7)),"na")</f>
        <v>na</v>
      </c>
      <c r="EH7" s="91" t="str" cm="1">
        <f t="array" ref="EH7">IF(EH$5&lt;=$CY7,INDEX($BF7:$BQ7,1,_xlfn.XMATCH(EH$5,$CF7:$CQ7)),"na")</f>
        <v>na</v>
      </c>
      <c r="EI7" s="101" t="str">
        <f t="shared" ref="EI7:EI41" si="86">EA7</f>
        <v>Medicare Advantage</v>
      </c>
      <c r="EJ7" s="101" t="str">
        <f t="shared" si="60"/>
        <v>Med Adv HMO A</v>
      </c>
      <c r="EK7" s="101" t="str">
        <f t="shared" si="61"/>
        <v>ASBURY METHODIST VILLAGE</v>
      </c>
      <c r="EL7" s="101" t="str">
        <f t="shared" si="62"/>
        <v>SKILLED NURSING</v>
      </c>
      <c r="EM7" s="101" t="str">
        <f t="shared" si="63"/>
        <v>AMV - WILSON HEALTH CARE CENTER</v>
      </c>
      <c r="EN7" s="93" t="str" cm="1">
        <f t="array" ref="EN7">IF(EN$5&lt;=$CX7,INDEX($AF7:$AQ7,1,_xlfn.XMATCH(EN$5,$BS7:$CD7)),"na")</f>
        <v>na</v>
      </c>
      <c r="EO7" s="90" t="str" cm="1">
        <f t="array" ref="EO7">IF(EO$5&lt;=$CX7,INDEX($AS7:$BD7,1,_xlfn.XMATCH(EO$5,$BS7:$CD7)),"na")</f>
        <v>na</v>
      </c>
      <c r="EP7" s="91" t="str" cm="1">
        <f t="array" ref="EP7">IF(EP$5&lt;=$CY7,INDEX($BF7:$BQ7,1,_xlfn.XMATCH(EP$5,$CF7:$CQ7)),"na")</f>
        <v>na</v>
      </c>
      <c r="EQ7" s="101" t="str">
        <f t="shared" ref="EQ7:EQ41" si="87">EI7</f>
        <v>Medicare Advantage</v>
      </c>
      <c r="ER7" s="101" t="str">
        <f t="shared" si="64"/>
        <v>Med Adv HMO A</v>
      </c>
      <c r="ES7" s="101" t="str">
        <f t="shared" si="65"/>
        <v>ASBURY METHODIST VILLAGE</v>
      </c>
      <c r="ET7" s="101" t="str">
        <f t="shared" si="66"/>
        <v>SKILLED NURSING</v>
      </c>
      <c r="EU7" s="101" t="str">
        <f t="shared" si="67"/>
        <v>AMV - WILSON HEALTH CARE CENTER</v>
      </c>
      <c r="EV7" s="93" t="str" cm="1">
        <f t="array" ref="EV7">IF(EV$5&lt;=$CX7,INDEX($AF7:$AQ7,1,_xlfn.XMATCH(EV$5,$BS7:$CD7)),"na")</f>
        <v>na</v>
      </c>
    </row>
    <row r="8" spans="1:152" x14ac:dyDescent="0.25">
      <c r="A8" s="59" t="s">
        <v>199</v>
      </c>
      <c r="B8" s="43" t="s">
        <v>202</v>
      </c>
      <c r="C8" s="43" t="s">
        <v>89</v>
      </c>
      <c r="D8" s="4">
        <v>2635.0092999999997</v>
      </c>
      <c r="E8" s="4">
        <v>2380.0083999999997</v>
      </c>
      <c r="F8" s="4">
        <v>2635.0092999999997</v>
      </c>
      <c r="G8" s="4">
        <v>2550.009</v>
      </c>
      <c r="H8" s="4">
        <v>2635.0092999999997</v>
      </c>
      <c r="I8" s="4">
        <v>2550.009</v>
      </c>
      <c r="J8" s="4">
        <v>2635.0092999999997</v>
      </c>
      <c r="K8" s="4">
        <v>2635.0092999999997</v>
      </c>
      <c r="L8" s="4">
        <v>2550.009</v>
      </c>
      <c r="M8" s="4">
        <v>2635.0092999999997</v>
      </c>
      <c r="N8" s="4">
        <v>2550.009</v>
      </c>
      <c r="O8" s="4">
        <v>2635.0092999999997</v>
      </c>
      <c r="Q8" t="s">
        <v>208</v>
      </c>
      <c r="R8" t="s">
        <v>289</v>
      </c>
      <c r="S8" s="64">
        <f t="shared" si="21"/>
        <v>1162.5</v>
      </c>
      <c r="T8" s="64">
        <f t="shared" si="21"/>
        <v>1050</v>
      </c>
      <c r="U8" s="64">
        <f t="shared" si="21"/>
        <v>1162.5</v>
      </c>
      <c r="V8" s="64">
        <f t="shared" si="21"/>
        <v>1125</v>
      </c>
      <c r="W8" s="64">
        <f t="shared" si="21"/>
        <v>1162.5</v>
      </c>
      <c r="X8" s="64">
        <f t="shared" si="21"/>
        <v>1125</v>
      </c>
      <c r="Y8" s="64">
        <f t="shared" si="21"/>
        <v>1162.5</v>
      </c>
      <c r="Z8" s="64">
        <f t="shared" si="21"/>
        <v>1162.5</v>
      </c>
      <c r="AA8" s="64">
        <f t="shared" si="21"/>
        <v>1125</v>
      </c>
      <c r="AB8" s="64">
        <f t="shared" si="21"/>
        <v>1162.5</v>
      </c>
      <c r="AC8" s="64">
        <f t="shared" si="21"/>
        <v>1125</v>
      </c>
      <c r="AD8" s="64">
        <f t="shared" si="21"/>
        <v>1162.5</v>
      </c>
      <c r="AF8" s="7">
        <f t="shared" si="22"/>
        <v>85.000299999999996</v>
      </c>
      <c r="AG8" s="7">
        <f t="shared" si="23"/>
        <v>85.000299999999996</v>
      </c>
      <c r="AH8" s="7">
        <f t="shared" si="24"/>
        <v>85.000299999999996</v>
      </c>
      <c r="AI8" s="7">
        <f t="shared" si="25"/>
        <v>85.000299999999996</v>
      </c>
      <c r="AJ8" s="7">
        <f t="shared" si="26"/>
        <v>85.000299999999996</v>
      </c>
      <c r="AK8" s="7">
        <f t="shared" si="27"/>
        <v>85.000299999999996</v>
      </c>
      <c r="AL8" s="7">
        <f t="shared" si="28"/>
        <v>85.000299999999996</v>
      </c>
      <c r="AM8" s="7">
        <f t="shared" si="29"/>
        <v>85.000299999999996</v>
      </c>
      <c r="AN8" s="7">
        <f t="shared" si="30"/>
        <v>85.000299999999996</v>
      </c>
      <c r="AO8" s="7">
        <f t="shared" si="31"/>
        <v>85.000299999999996</v>
      </c>
      <c r="AP8" s="7">
        <f t="shared" si="32"/>
        <v>85.000299999999996</v>
      </c>
      <c r="AQ8" s="7">
        <f t="shared" si="33"/>
        <v>85.000299999999996</v>
      </c>
      <c r="AS8" s="86">
        <f>_xlfn.XLOOKUP(AS$5,'OC-Days'!$G:$G,'OC-Days'!$F:$F)</f>
        <v>45658</v>
      </c>
      <c r="AT8" s="87" t="str">
        <f>IF(AG8=AF8,"na",_xlfn.XLOOKUP(AT$5,'OC-Days'!$G:$G,'OC-Days'!$F:$F))</f>
        <v>na</v>
      </c>
      <c r="AU8" s="87" t="str">
        <f>IF(AH8=AG8,"na",_xlfn.XLOOKUP(AU$5,'OC-Days'!$G:$G,'OC-Days'!$F:$F))</f>
        <v>na</v>
      </c>
      <c r="AV8" s="87" t="str">
        <f>IF(AI8=AH8,"na",_xlfn.XLOOKUP(AV$5,'OC-Days'!$G:$G,'OC-Days'!$F:$F))</f>
        <v>na</v>
      </c>
      <c r="AW8" s="87" t="str">
        <f>IF(AJ8=AI8,"na",_xlfn.XLOOKUP(AW$5,'OC-Days'!$G:$G,'OC-Days'!$F:$F))</f>
        <v>na</v>
      </c>
      <c r="AX8" s="87" t="str">
        <f>IF(AK8=AJ8,"na",_xlfn.XLOOKUP(AX$5,'OC-Days'!$G:$G,'OC-Days'!$F:$F))</f>
        <v>na</v>
      </c>
      <c r="AY8" s="87" t="str">
        <f>IF(AL8=AK8,"na",_xlfn.XLOOKUP(AY$5,'OC-Days'!$G:$G,'OC-Days'!$F:$F))</f>
        <v>na</v>
      </c>
      <c r="AZ8" s="87" t="str">
        <f>IF(AM8=AL8,"na",_xlfn.XLOOKUP(AZ$5,'OC-Days'!$G:$G,'OC-Days'!$F:$F))</f>
        <v>na</v>
      </c>
      <c r="BA8" s="87" t="str">
        <f>IF(AN8=AM8,"na",_xlfn.XLOOKUP(BA$5,'OC-Days'!$G:$G,'OC-Days'!$F:$F))</f>
        <v>na</v>
      </c>
      <c r="BB8" s="87" t="str">
        <f>IF(AO8=AN8,"na",_xlfn.XLOOKUP(BB$5,'OC-Days'!$G:$G,'OC-Days'!$F:$F))</f>
        <v>na</v>
      </c>
      <c r="BC8" s="87" t="str">
        <f>IF(AP8=AO8,"na",_xlfn.XLOOKUP(BC$5,'OC-Days'!$G:$G,'OC-Days'!$F:$F))</f>
        <v>na</v>
      </c>
      <c r="BD8" s="87" t="str">
        <f>IF(AQ8=AP8,"na",_xlfn.XLOOKUP(BD$5,'OC-Days'!$G:$G,'OC-Days'!$F:$F))</f>
        <v>na</v>
      </c>
      <c r="BF8" s="88" t="str">
        <f t="shared" si="68"/>
        <v>na</v>
      </c>
      <c r="BG8" s="88" t="str">
        <f t="shared" si="69"/>
        <v>na</v>
      </c>
      <c r="BH8" s="88" t="str">
        <f t="shared" si="70"/>
        <v>na</v>
      </c>
      <c r="BI8" s="88" t="str">
        <f t="shared" si="71"/>
        <v>na</v>
      </c>
      <c r="BJ8" s="88" t="str">
        <f t="shared" si="72"/>
        <v>na</v>
      </c>
      <c r="BK8" s="88" t="str">
        <f t="shared" si="73"/>
        <v>na</v>
      </c>
      <c r="BL8" s="88" t="str">
        <f t="shared" si="74"/>
        <v>na</v>
      </c>
      <c r="BM8" s="88" t="str">
        <f t="shared" si="75"/>
        <v>na</v>
      </c>
      <c r="BN8" s="88" t="str">
        <f t="shared" si="76"/>
        <v>na</v>
      </c>
      <c r="BO8" s="88" t="str">
        <f t="shared" si="77"/>
        <v>na</v>
      </c>
      <c r="BP8" s="88" t="str">
        <f t="shared" si="78"/>
        <v>na</v>
      </c>
      <c r="BQ8" s="89">
        <f t="shared" si="79"/>
        <v>46022</v>
      </c>
      <c r="BS8">
        <f>COUNT($AS8:AS8)</f>
        <v>1</v>
      </c>
      <c r="BT8">
        <f>COUNT($AS8:AT8)</f>
        <v>1</v>
      </c>
      <c r="BU8">
        <f>COUNT($AS8:AU8)</f>
        <v>1</v>
      </c>
      <c r="BV8">
        <f>COUNT($AS8:AV8)</f>
        <v>1</v>
      </c>
      <c r="BW8">
        <f>COUNT($AS8:AW8)</f>
        <v>1</v>
      </c>
      <c r="BX8">
        <f>COUNT($AS8:AX8)</f>
        <v>1</v>
      </c>
      <c r="BY8">
        <f>COUNT($AS8:AY8)</f>
        <v>1</v>
      </c>
      <c r="BZ8">
        <f>COUNT($AS8:AZ8)</f>
        <v>1</v>
      </c>
      <c r="CA8">
        <f>COUNT($AS8:BA8)</f>
        <v>1</v>
      </c>
      <c r="CB8">
        <f>COUNT($AS8:BB8)</f>
        <v>1</v>
      </c>
      <c r="CC8">
        <f>COUNT($AS8:BC8)</f>
        <v>1</v>
      </c>
      <c r="CD8">
        <f>COUNT($AS8:BD8)</f>
        <v>1</v>
      </c>
      <c r="CF8">
        <f>COUNT($BF8:BF8)</f>
        <v>0</v>
      </c>
      <c r="CG8">
        <f>COUNT($BF8:BG8)</f>
        <v>0</v>
      </c>
      <c r="CH8">
        <f>COUNT($BF8:BH8)</f>
        <v>0</v>
      </c>
      <c r="CI8">
        <f>COUNT($BF8:BI8)</f>
        <v>0</v>
      </c>
      <c r="CJ8">
        <f>COUNT($BF8:BJ8)</f>
        <v>0</v>
      </c>
      <c r="CK8">
        <f>COUNT($BF8:BK8)</f>
        <v>0</v>
      </c>
      <c r="CL8">
        <f>COUNT($BF8:BL8)</f>
        <v>0</v>
      </c>
      <c r="CM8">
        <f>COUNT($BF8:BM8)</f>
        <v>0</v>
      </c>
      <c r="CN8">
        <f>COUNT($BF8:BN8)</f>
        <v>0</v>
      </c>
      <c r="CO8">
        <f>COUNT($BF8:BO8)</f>
        <v>0</v>
      </c>
      <c r="CP8">
        <f>COUNT($BF8:BP8)</f>
        <v>0</v>
      </c>
      <c r="CQ8">
        <f>COUNT($BF8:BQ8)</f>
        <v>1</v>
      </c>
      <c r="CS8" s="5">
        <f t="shared" si="45"/>
        <v>1</v>
      </c>
      <c r="CT8" s="100" t="str">
        <f t="shared" si="80"/>
        <v>10061Medicaid</v>
      </c>
      <c r="CU8" s="83">
        <f t="shared" si="46"/>
        <v>100</v>
      </c>
      <c r="CV8" s="83">
        <f t="shared" si="47"/>
        <v>61</v>
      </c>
      <c r="CX8">
        <f t="shared" si="81"/>
        <v>1</v>
      </c>
      <c r="CY8">
        <f t="shared" si="82"/>
        <v>1</v>
      </c>
      <c r="DA8" s="90" cm="1">
        <f t="array" ref="DA8">IF(DA$5&lt;=$CX8,INDEX($AS8:$BD8,1,_xlfn.XMATCH(DA$5,$BS8:$CD8)),"na")</f>
        <v>45658</v>
      </c>
      <c r="DB8" s="91" cm="1">
        <f t="array" ref="DB8">IF(DB$5&lt;=$CY8,INDEX($BF8:$BQ8,1,_xlfn.XMATCH(DB$5,$CF8:$CQ8)),"na")</f>
        <v>46022</v>
      </c>
      <c r="DC8" s="82" t="str">
        <f>_xlfn.XLOOKUP($CU8&amp;"-"&amp;$CV8&amp;$C8,REF!$K$2:$K$90,REF!B$2:B$90)</f>
        <v>MEDICAID</v>
      </c>
      <c r="DD8" s="82" t="str">
        <f>_xlfn.XLOOKUP($CU8&amp;"-"&amp;$CV8&amp;$C8,REF!$K$2:$K$90,REF!C$2:C$90)</f>
        <v>MARYLAND MEDICAID</v>
      </c>
      <c r="DE8" s="82" t="str">
        <f>_xlfn.XLOOKUP($CU8&amp;"-"&amp;$CV8&amp;$C8,REF!$K$2:$K$90,REF!D$2:D$90)</f>
        <v>ASBURY METHODIST VILLAGE</v>
      </c>
      <c r="DF8" s="82" t="str">
        <f>_xlfn.XLOOKUP($CU8&amp;"-"&amp;$CV8&amp;$C8,REF!$K$2:$K$90,REF!E$2:E$90)</f>
        <v>SKILLED NURSING</v>
      </c>
      <c r="DG8" s="82" t="str">
        <f>_xlfn.XLOOKUP($CU8&amp;"-"&amp;$CV8&amp;$C8,REF!$K$2:$K$90,REF!F$2:F$90)</f>
        <v>AMV - WILSON HEALTH CARE CENTER</v>
      </c>
      <c r="DH8" s="93" cm="1">
        <f t="array" ref="DH8">IF(DH$5&lt;=$CX8,INDEX($AF8:$AQ8,1,_xlfn.XMATCH(DH$5,$BS8:$CD8)),"na")</f>
        <v>85.000299999999996</v>
      </c>
      <c r="DI8" s="90" t="str" cm="1">
        <f t="array" ref="DI8">IF(DI$5&lt;=$CX8,INDEX($AS8:$BD8,1,_xlfn.XMATCH(DI$5,$BS8:$CD8)),"na")</f>
        <v>na</v>
      </c>
      <c r="DJ8" s="91" t="str" cm="1">
        <f t="array" ref="DJ8">IF(DJ$5&lt;=$CY8,INDEX($BF8:$BQ8,1,_xlfn.XMATCH(DJ$5,$CF8:$CQ8)),"na")</f>
        <v>na</v>
      </c>
      <c r="DK8" s="101" t="str">
        <f t="shared" si="83"/>
        <v>MEDICAID</v>
      </c>
      <c r="DL8" s="101" t="str">
        <f t="shared" si="48"/>
        <v>MARYLAND MEDICAID</v>
      </c>
      <c r="DM8" s="101" t="str">
        <f t="shared" si="49"/>
        <v>ASBURY METHODIST VILLAGE</v>
      </c>
      <c r="DN8" s="101" t="str">
        <f t="shared" si="50"/>
        <v>SKILLED NURSING</v>
      </c>
      <c r="DO8" s="101" t="str">
        <f t="shared" si="51"/>
        <v>AMV - WILSON HEALTH CARE CENTER</v>
      </c>
      <c r="DP8" s="93" t="str" cm="1">
        <f t="array" ref="DP8">IF(DP$5&lt;=$CX8,INDEX($AF8:$AQ8,1,_xlfn.XMATCH(DP$5,$BS8:$CD8)),"na")</f>
        <v>na</v>
      </c>
      <c r="DQ8" s="90" t="str" cm="1">
        <f t="array" ref="DQ8">IF(DQ$5&lt;=$CX8,INDEX($AS8:$BD8,1,_xlfn.XMATCH(DQ$5,$BS8:$CD8)),"na")</f>
        <v>na</v>
      </c>
      <c r="DR8" s="91" t="str" cm="1">
        <f t="array" ref="DR8">IF(DR$5&lt;=$CY8,INDEX($BF8:$BQ8,1,_xlfn.XMATCH(DR$5,$CF8:$CQ8)),"na")</f>
        <v>na</v>
      </c>
      <c r="DS8" s="101" t="str">
        <f t="shared" si="84"/>
        <v>MEDICAID</v>
      </c>
      <c r="DT8" s="101" t="str">
        <f t="shared" si="52"/>
        <v>MARYLAND MEDICAID</v>
      </c>
      <c r="DU8" s="101" t="str">
        <f t="shared" si="53"/>
        <v>ASBURY METHODIST VILLAGE</v>
      </c>
      <c r="DV8" s="101" t="str">
        <f t="shared" si="54"/>
        <v>SKILLED NURSING</v>
      </c>
      <c r="DW8" s="101" t="str">
        <f t="shared" si="55"/>
        <v>AMV - WILSON HEALTH CARE CENTER</v>
      </c>
      <c r="DX8" s="93" t="str" cm="1">
        <f t="array" ref="DX8">IF(DX$5&lt;=$CX8,INDEX($AF8:$AQ8,1,_xlfn.XMATCH(DX$5,$BS8:$CD8)),"na")</f>
        <v>na</v>
      </c>
      <c r="DY8" s="90" t="str" cm="1">
        <f t="array" ref="DY8">IF(DY$5&lt;=$CX8,INDEX($AS8:$BD8,1,_xlfn.XMATCH(DY$5,$BS8:$CD8)),"na")</f>
        <v>na</v>
      </c>
      <c r="DZ8" s="91" t="str" cm="1">
        <f t="array" ref="DZ8">IF(DZ$5&lt;=$CY8,INDEX($BF8:$BQ8,1,_xlfn.XMATCH(DZ$5,$CF8:$CQ8)),"na")</f>
        <v>na</v>
      </c>
      <c r="EA8" s="101" t="str">
        <f t="shared" si="85"/>
        <v>MEDICAID</v>
      </c>
      <c r="EB8" s="101" t="str">
        <f t="shared" si="56"/>
        <v>MARYLAND MEDICAID</v>
      </c>
      <c r="EC8" s="101" t="str">
        <f t="shared" si="57"/>
        <v>ASBURY METHODIST VILLAGE</v>
      </c>
      <c r="ED8" s="101" t="str">
        <f t="shared" si="58"/>
        <v>SKILLED NURSING</v>
      </c>
      <c r="EE8" s="101" t="str">
        <f t="shared" si="59"/>
        <v>AMV - WILSON HEALTH CARE CENTER</v>
      </c>
      <c r="EF8" s="93" t="str" cm="1">
        <f t="array" ref="EF8">IF(EF$5&lt;=$CX8,INDEX($AF8:$AQ8,1,_xlfn.XMATCH(EF$5,$BS8:$CD8)),"na")</f>
        <v>na</v>
      </c>
      <c r="EG8" s="90" t="str" cm="1">
        <f t="array" ref="EG8">IF(EG$5&lt;=$CX8,INDEX($AS8:$BD8,1,_xlfn.XMATCH(EG$5,$BS8:$CD8)),"na")</f>
        <v>na</v>
      </c>
      <c r="EH8" s="91" t="str" cm="1">
        <f t="array" ref="EH8">IF(EH$5&lt;=$CY8,INDEX($BF8:$BQ8,1,_xlfn.XMATCH(EH$5,$CF8:$CQ8)),"na")</f>
        <v>na</v>
      </c>
      <c r="EI8" s="101" t="str">
        <f t="shared" si="86"/>
        <v>MEDICAID</v>
      </c>
      <c r="EJ8" s="101" t="str">
        <f t="shared" si="60"/>
        <v>MARYLAND MEDICAID</v>
      </c>
      <c r="EK8" s="101" t="str">
        <f t="shared" si="61"/>
        <v>ASBURY METHODIST VILLAGE</v>
      </c>
      <c r="EL8" s="101" t="str">
        <f t="shared" si="62"/>
        <v>SKILLED NURSING</v>
      </c>
      <c r="EM8" s="101" t="str">
        <f t="shared" si="63"/>
        <v>AMV - WILSON HEALTH CARE CENTER</v>
      </c>
      <c r="EN8" s="93" t="str" cm="1">
        <f t="array" ref="EN8">IF(EN$5&lt;=$CX8,INDEX($AF8:$AQ8,1,_xlfn.XMATCH(EN$5,$BS8:$CD8)),"na")</f>
        <v>na</v>
      </c>
      <c r="EO8" s="90" t="str" cm="1">
        <f t="array" ref="EO8">IF(EO$5&lt;=$CX8,INDEX($AS8:$BD8,1,_xlfn.XMATCH(EO$5,$BS8:$CD8)),"na")</f>
        <v>na</v>
      </c>
      <c r="EP8" s="91" t="str" cm="1">
        <f t="array" ref="EP8">IF(EP$5&lt;=$CY8,INDEX($BF8:$BQ8,1,_xlfn.XMATCH(EP$5,$CF8:$CQ8)),"na")</f>
        <v>na</v>
      </c>
      <c r="EQ8" s="101" t="str">
        <f t="shared" si="87"/>
        <v>MEDICAID</v>
      </c>
      <c r="ER8" s="101" t="str">
        <f t="shared" si="64"/>
        <v>MARYLAND MEDICAID</v>
      </c>
      <c r="ES8" s="101" t="str">
        <f t="shared" si="65"/>
        <v>ASBURY METHODIST VILLAGE</v>
      </c>
      <c r="ET8" s="101" t="str">
        <f t="shared" si="66"/>
        <v>SKILLED NURSING</v>
      </c>
      <c r="EU8" s="101" t="str">
        <f t="shared" si="67"/>
        <v>AMV - WILSON HEALTH CARE CENTER</v>
      </c>
      <c r="EV8" s="93" t="str" cm="1">
        <f t="array" ref="EV8">IF(EV$5&lt;=$CX8,INDEX($AF8:$AQ8,1,_xlfn.XMATCH(EV$5,$BS8:$CD8)),"na")</f>
        <v>na</v>
      </c>
    </row>
    <row r="9" spans="1:152" hidden="1" x14ac:dyDescent="0.25">
      <c r="A9" s="59" t="s">
        <v>199</v>
      </c>
      <c r="B9" s="43" t="s">
        <v>203</v>
      </c>
      <c r="C9" s="43" t="s">
        <v>129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Q9" t="s">
        <v>209</v>
      </c>
      <c r="R9" t="s">
        <v>289</v>
      </c>
      <c r="S9" s="64">
        <f t="shared" si="21"/>
        <v>2263</v>
      </c>
      <c r="T9" s="64">
        <f t="shared" si="21"/>
        <v>2044</v>
      </c>
      <c r="U9" s="64">
        <f t="shared" si="21"/>
        <v>2263</v>
      </c>
      <c r="V9" s="64">
        <f t="shared" si="21"/>
        <v>2190</v>
      </c>
      <c r="W9" s="64">
        <f t="shared" si="21"/>
        <v>2263</v>
      </c>
      <c r="X9" s="64">
        <f t="shared" si="21"/>
        <v>2190</v>
      </c>
      <c r="Y9" s="64">
        <f t="shared" si="21"/>
        <v>2263</v>
      </c>
      <c r="Z9" s="64">
        <f t="shared" si="21"/>
        <v>2263</v>
      </c>
      <c r="AA9" s="64">
        <f t="shared" si="21"/>
        <v>2190</v>
      </c>
      <c r="AB9" s="64">
        <f t="shared" si="21"/>
        <v>2263</v>
      </c>
      <c r="AC9" s="64">
        <f t="shared" si="21"/>
        <v>2190</v>
      </c>
      <c r="AD9" s="64">
        <f t="shared" si="21"/>
        <v>2263</v>
      </c>
      <c r="AF9" s="7">
        <f t="shared" si="22"/>
        <v>0</v>
      </c>
      <c r="AG9" s="7">
        <f t="shared" si="23"/>
        <v>0</v>
      </c>
      <c r="AH9" s="7">
        <f t="shared" si="24"/>
        <v>0</v>
      </c>
      <c r="AI9" s="7">
        <f t="shared" si="25"/>
        <v>0</v>
      </c>
      <c r="AJ9" s="7">
        <f t="shared" si="26"/>
        <v>0</v>
      </c>
      <c r="AK9" s="7">
        <f t="shared" si="27"/>
        <v>0</v>
      </c>
      <c r="AL9" s="7">
        <f t="shared" si="28"/>
        <v>0</v>
      </c>
      <c r="AM9" s="7">
        <f t="shared" si="29"/>
        <v>0</v>
      </c>
      <c r="AN9" s="7">
        <f t="shared" si="30"/>
        <v>0</v>
      </c>
      <c r="AO9" s="7">
        <f t="shared" si="31"/>
        <v>0</v>
      </c>
      <c r="AP9" s="7">
        <f t="shared" si="32"/>
        <v>0</v>
      </c>
      <c r="AQ9" s="7">
        <f t="shared" si="33"/>
        <v>0</v>
      </c>
      <c r="AS9" s="86">
        <f>_xlfn.XLOOKUP(AS$5,'OC-Days'!$G:$G,'OC-Days'!$F:$F)</f>
        <v>45658</v>
      </c>
      <c r="AT9" s="87" t="str">
        <f>IF(AG9=AF9,"na",_xlfn.XLOOKUP(AT$5,'OC-Days'!$G:$G,'OC-Days'!$F:$F))</f>
        <v>na</v>
      </c>
      <c r="AU9" s="87" t="str">
        <f>IF(AH9=AG9,"na",_xlfn.XLOOKUP(AU$5,'OC-Days'!$G:$G,'OC-Days'!$F:$F))</f>
        <v>na</v>
      </c>
      <c r="AV9" s="87" t="str">
        <f>IF(AI9=AH9,"na",_xlfn.XLOOKUP(AV$5,'OC-Days'!$G:$G,'OC-Days'!$F:$F))</f>
        <v>na</v>
      </c>
      <c r="AW9" s="87" t="str">
        <f>IF(AJ9=AI9,"na",_xlfn.XLOOKUP(AW$5,'OC-Days'!$G:$G,'OC-Days'!$F:$F))</f>
        <v>na</v>
      </c>
      <c r="AX9" s="87" t="str">
        <f>IF(AK9=AJ9,"na",_xlfn.XLOOKUP(AX$5,'OC-Days'!$G:$G,'OC-Days'!$F:$F))</f>
        <v>na</v>
      </c>
      <c r="AY9" s="87" t="str">
        <f>IF(AL9=AK9,"na",_xlfn.XLOOKUP(AY$5,'OC-Days'!$G:$G,'OC-Days'!$F:$F))</f>
        <v>na</v>
      </c>
      <c r="AZ9" s="87" t="str">
        <f>IF(AM9=AL9,"na",_xlfn.XLOOKUP(AZ$5,'OC-Days'!$G:$G,'OC-Days'!$F:$F))</f>
        <v>na</v>
      </c>
      <c r="BA9" s="87" t="str">
        <f>IF(AN9=AM9,"na",_xlfn.XLOOKUP(BA$5,'OC-Days'!$G:$G,'OC-Days'!$F:$F))</f>
        <v>na</v>
      </c>
      <c r="BB9" s="87" t="str">
        <f>IF(AO9=AN9,"na",_xlfn.XLOOKUP(BB$5,'OC-Days'!$G:$G,'OC-Days'!$F:$F))</f>
        <v>na</v>
      </c>
      <c r="BC9" s="87" t="str">
        <f>IF(AP9=AO9,"na",_xlfn.XLOOKUP(BC$5,'OC-Days'!$G:$G,'OC-Days'!$F:$F))</f>
        <v>na</v>
      </c>
      <c r="BD9" s="87" t="str">
        <f>IF(AQ9=AP9,"na",_xlfn.XLOOKUP(BD$5,'OC-Days'!$G:$G,'OC-Days'!$F:$F))</f>
        <v>na</v>
      </c>
      <c r="BF9" s="88" t="str">
        <f t="shared" si="68"/>
        <v>na</v>
      </c>
      <c r="BG9" s="88" t="str">
        <f t="shared" si="69"/>
        <v>na</v>
      </c>
      <c r="BH9" s="88" t="str">
        <f t="shared" si="70"/>
        <v>na</v>
      </c>
      <c r="BI9" s="88" t="str">
        <f t="shared" si="71"/>
        <v>na</v>
      </c>
      <c r="BJ9" s="88" t="str">
        <f t="shared" si="72"/>
        <v>na</v>
      </c>
      <c r="BK9" s="88" t="str">
        <f t="shared" si="73"/>
        <v>na</v>
      </c>
      <c r="BL9" s="88" t="str">
        <f t="shared" si="74"/>
        <v>na</v>
      </c>
      <c r="BM9" s="88" t="str">
        <f t="shared" si="75"/>
        <v>na</v>
      </c>
      <c r="BN9" s="88" t="str">
        <f t="shared" si="76"/>
        <v>na</v>
      </c>
      <c r="BO9" s="88" t="str">
        <f t="shared" si="77"/>
        <v>na</v>
      </c>
      <c r="BP9" s="88" t="str">
        <f t="shared" si="78"/>
        <v>na</v>
      </c>
      <c r="BQ9" s="89">
        <f t="shared" si="79"/>
        <v>46022</v>
      </c>
      <c r="BS9">
        <f>COUNT($AS9:AS9)</f>
        <v>1</v>
      </c>
      <c r="BT9">
        <f>COUNT($AS9:AT9)</f>
        <v>1</v>
      </c>
      <c r="BU9">
        <f>COUNT($AS9:AU9)</f>
        <v>1</v>
      </c>
      <c r="BV9">
        <f>COUNT($AS9:AV9)</f>
        <v>1</v>
      </c>
      <c r="BW9">
        <f>COUNT($AS9:AW9)</f>
        <v>1</v>
      </c>
      <c r="BX9">
        <f>COUNT($AS9:AX9)</f>
        <v>1</v>
      </c>
      <c r="BY9">
        <f>COUNT($AS9:AY9)</f>
        <v>1</v>
      </c>
      <c r="BZ9">
        <f>COUNT($AS9:AZ9)</f>
        <v>1</v>
      </c>
      <c r="CA9">
        <f>COUNT($AS9:BA9)</f>
        <v>1</v>
      </c>
      <c r="CB9">
        <f>COUNT($AS9:BB9)</f>
        <v>1</v>
      </c>
      <c r="CC9">
        <f>COUNT($AS9:BC9)</f>
        <v>1</v>
      </c>
      <c r="CD9">
        <f>COUNT($AS9:BD9)</f>
        <v>1</v>
      </c>
      <c r="CF9">
        <f>COUNT($BF9:BF9)</f>
        <v>0</v>
      </c>
      <c r="CG9">
        <f>COUNT($BF9:BG9)</f>
        <v>0</v>
      </c>
      <c r="CH9">
        <f>COUNT($BF9:BH9)</f>
        <v>0</v>
      </c>
      <c r="CI9">
        <f>COUNT($BF9:BI9)</f>
        <v>0</v>
      </c>
      <c r="CJ9">
        <f>COUNT($BF9:BJ9)</f>
        <v>0</v>
      </c>
      <c r="CK9">
        <f>COUNT($BF9:BK9)</f>
        <v>0</v>
      </c>
      <c r="CL9">
        <f>COUNT($BF9:BL9)</f>
        <v>0</v>
      </c>
      <c r="CM9">
        <f>COUNT($BF9:BM9)</f>
        <v>0</v>
      </c>
      <c r="CN9">
        <f>COUNT($BF9:BN9)</f>
        <v>0</v>
      </c>
      <c r="CO9">
        <f>COUNT($BF9:BO9)</f>
        <v>0</v>
      </c>
      <c r="CP9">
        <f>COUNT($BF9:BP9)</f>
        <v>0</v>
      </c>
      <c r="CQ9">
        <f>COUNT($BF9:BQ9)</f>
        <v>1</v>
      </c>
      <c r="CS9" s="5">
        <f t="shared" si="45"/>
        <v>0</v>
      </c>
      <c r="CT9" s="100" t="str">
        <f t="shared" si="80"/>
        <v>10061Insurance</v>
      </c>
      <c r="CU9" s="83">
        <f t="shared" si="46"/>
        <v>100</v>
      </c>
      <c r="CV9" s="83">
        <f t="shared" si="47"/>
        <v>61</v>
      </c>
      <c r="CX9">
        <f t="shared" si="81"/>
        <v>1</v>
      </c>
      <c r="CY9">
        <f t="shared" si="82"/>
        <v>1</v>
      </c>
      <c r="DA9" s="90" cm="1">
        <f t="array" ref="DA9">IF(DA$5&lt;=$CX9,INDEX($AS9:$BD9,1,_xlfn.XMATCH(DA$5,$BS9:$CD9)),"na")</f>
        <v>45658</v>
      </c>
      <c r="DB9" s="91" cm="1">
        <f t="array" ref="DB9">IF(DB$5&lt;=$CY9,INDEX($BF9:$BQ9,1,_xlfn.XMATCH(DB$5,$CF9:$CQ9)),"na")</f>
        <v>46022</v>
      </c>
      <c r="DC9" s="82" t="str">
        <f>_xlfn.XLOOKUP($CU9&amp;"-"&amp;$CV9&amp;$C9,REF!$K$2:$K$90,REF!B$2:B$90)</f>
        <v>MANAGED CARE</v>
      </c>
      <c r="DD9" s="82" t="str">
        <f>_xlfn.XLOOKUP($CU9&amp;"-"&amp;$CV9&amp;$C9,REF!$K$2:$K$90,REF!C$2:C$90)</f>
        <v>MGCARE LEVEL OF CARE</v>
      </c>
      <c r="DE9" s="82" t="str">
        <f>_xlfn.XLOOKUP($CU9&amp;"-"&amp;$CV9&amp;$C9,REF!$K$2:$K$90,REF!D$2:D$90)</f>
        <v>ASBURY METHODIST VILLAGE</v>
      </c>
      <c r="DF9" s="82" t="str">
        <f>_xlfn.XLOOKUP($CU9&amp;"-"&amp;$CV9&amp;$C9,REF!$K$2:$K$90,REF!E$2:E$90)</f>
        <v>SKILLED NURSING</v>
      </c>
      <c r="DG9" s="82" t="str">
        <f>_xlfn.XLOOKUP($CU9&amp;"-"&amp;$CV9&amp;$C9,REF!$K$2:$K$90,REF!F$2:F$90)</f>
        <v>AMV - WILSON HEALTH CARE CENTER</v>
      </c>
      <c r="DH9" s="93" cm="1">
        <f t="array" ref="DH9">IF(DH$5&lt;=$CX9,INDEX($AF9:$AQ9,1,_xlfn.XMATCH(DH$5,$BS9:$CD9)),"na")</f>
        <v>0</v>
      </c>
      <c r="DI9" s="90" t="str" cm="1">
        <f t="array" ref="DI9">IF(DI$5&lt;=$CX9,INDEX($AS9:$BD9,1,_xlfn.XMATCH(DI$5,$BS9:$CD9)),"na")</f>
        <v>na</v>
      </c>
      <c r="DJ9" s="91" t="str" cm="1">
        <f t="array" ref="DJ9">IF(DJ$5&lt;=$CY9,INDEX($BF9:$BQ9,1,_xlfn.XMATCH(DJ$5,$CF9:$CQ9)),"na")</f>
        <v>na</v>
      </c>
      <c r="DK9" s="101" t="str">
        <f t="shared" si="83"/>
        <v>MANAGED CARE</v>
      </c>
      <c r="DL9" s="101" t="str">
        <f t="shared" si="48"/>
        <v>MGCARE LEVEL OF CARE</v>
      </c>
      <c r="DM9" s="101" t="str">
        <f t="shared" si="49"/>
        <v>ASBURY METHODIST VILLAGE</v>
      </c>
      <c r="DN9" s="101" t="str">
        <f t="shared" si="50"/>
        <v>SKILLED NURSING</v>
      </c>
      <c r="DO9" s="101" t="str">
        <f t="shared" si="51"/>
        <v>AMV - WILSON HEALTH CARE CENTER</v>
      </c>
      <c r="DP9" s="93" t="str" cm="1">
        <f t="array" ref="DP9">IF(DP$5&lt;=$CX9,INDEX($AF9:$AQ9,1,_xlfn.XMATCH(DP$5,$BS9:$CD9)),"na")</f>
        <v>na</v>
      </c>
      <c r="DQ9" s="90" t="str" cm="1">
        <f t="array" ref="DQ9">IF(DQ$5&lt;=$CX9,INDEX($AS9:$BD9,1,_xlfn.XMATCH(DQ$5,$BS9:$CD9)),"na")</f>
        <v>na</v>
      </c>
      <c r="DR9" s="91" t="str" cm="1">
        <f t="array" ref="DR9">IF(DR$5&lt;=$CY9,INDEX($BF9:$BQ9,1,_xlfn.XMATCH(DR$5,$CF9:$CQ9)),"na")</f>
        <v>na</v>
      </c>
      <c r="DS9" s="101" t="str">
        <f t="shared" si="84"/>
        <v>MANAGED CARE</v>
      </c>
      <c r="DT9" s="101" t="str">
        <f t="shared" si="52"/>
        <v>MGCARE LEVEL OF CARE</v>
      </c>
      <c r="DU9" s="101" t="str">
        <f t="shared" si="53"/>
        <v>ASBURY METHODIST VILLAGE</v>
      </c>
      <c r="DV9" s="101" t="str">
        <f t="shared" si="54"/>
        <v>SKILLED NURSING</v>
      </c>
      <c r="DW9" s="101" t="str">
        <f t="shared" si="55"/>
        <v>AMV - WILSON HEALTH CARE CENTER</v>
      </c>
      <c r="DX9" s="93" t="str" cm="1">
        <f t="array" ref="DX9">IF(DX$5&lt;=$CX9,INDEX($AF9:$AQ9,1,_xlfn.XMATCH(DX$5,$BS9:$CD9)),"na")</f>
        <v>na</v>
      </c>
      <c r="DY9" s="90" t="str" cm="1">
        <f t="array" ref="DY9">IF(DY$5&lt;=$CX9,INDEX($AS9:$BD9,1,_xlfn.XMATCH(DY$5,$BS9:$CD9)),"na")</f>
        <v>na</v>
      </c>
      <c r="DZ9" s="91" t="str" cm="1">
        <f t="array" ref="DZ9">IF(DZ$5&lt;=$CY9,INDEX($BF9:$BQ9,1,_xlfn.XMATCH(DZ$5,$CF9:$CQ9)),"na")</f>
        <v>na</v>
      </c>
      <c r="EA9" s="101" t="str">
        <f t="shared" si="85"/>
        <v>MANAGED CARE</v>
      </c>
      <c r="EB9" s="101" t="str">
        <f t="shared" si="56"/>
        <v>MGCARE LEVEL OF CARE</v>
      </c>
      <c r="EC9" s="101" t="str">
        <f t="shared" si="57"/>
        <v>ASBURY METHODIST VILLAGE</v>
      </c>
      <c r="ED9" s="101" t="str">
        <f t="shared" si="58"/>
        <v>SKILLED NURSING</v>
      </c>
      <c r="EE9" s="101" t="str">
        <f t="shared" si="59"/>
        <v>AMV - WILSON HEALTH CARE CENTER</v>
      </c>
      <c r="EF9" s="93" t="str" cm="1">
        <f t="array" ref="EF9">IF(EF$5&lt;=$CX9,INDEX($AF9:$AQ9,1,_xlfn.XMATCH(EF$5,$BS9:$CD9)),"na")</f>
        <v>na</v>
      </c>
      <c r="EG9" s="90" t="str" cm="1">
        <f t="array" ref="EG9">IF(EG$5&lt;=$CX9,INDEX($AS9:$BD9,1,_xlfn.XMATCH(EG$5,$BS9:$CD9)),"na")</f>
        <v>na</v>
      </c>
      <c r="EH9" s="91" t="str" cm="1">
        <f t="array" ref="EH9">IF(EH$5&lt;=$CY9,INDEX($BF9:$BQ9,1,_xlfn.XMATCH(EH$5,$CF9:$CQ9)),"na")</f>
        <v>na</v>
      </c>
      <c r="EI9" s="101" t="str">
        <f t="shared" si="86"/>
        <v>MANAGED CARE</v>
      </c>
      <c r="EJ9" s="101" t="str">
        <f t="shared" si="60"/>
        <v>MGCARE LEVEL OF CARE</v>
      </c>
      <c r="EK9" s="101" t="str">
        <f t="shared" si="61"/>
        <v>ASBURY METHODIST VILLAGE</v>
      </c>
      <c r="EL9" s="101" t="str">
        <f t="shared" si="62"/>
        <v>SKILLED NURSING</v>
      </c>
      <c r="EM9" s="101" t="str">
        <f t="shared" si="63"/>
        <v>AMV - WILSON HEALTH CARE CENTER</v>
      </c>
      <c r="EN9" s="93" t="str" cm="1">
        <f t="array" ref="EN9">IF(EN$5&lt;=$CX9,INDEX($AF9:$AQ9,1,_xlfn.XMATCH(EN$5,$BS9:$CD9)),"na")</f>
        <v>na</v>
      </c>
      <c r="EO9" s="90" t="str" cm="1">
        <f t="array" ref="EO9">IF(EO$5&lt;=$CX9,INDEX($AS9:$BD9,1,_xlfn.XMATCH(EO$5,$BS9:$CD9)),"na")</f>
        <v>na</v>
      </c>
      <c r="EP9" s="91" t="str" cm="1">
        <f t="array" ref="EP9">IF(EP$5&lt;=$CY9,INDEX($BF9:$BQ9,1,_xlfn.XMATCH(EP$5,$CF9:$CQ9)),"na")</f>
        <v>na</v>
      </c>
      <c r="EQ9" s="101" t="str">
        <f t="shared" si="87"/>
        <v>MANAGED CARE</v>
      </c>
      <c r="ER9" s="101" t="str">
        <f t="shared" si="64"/>
        <v>MGCARE LEVEL OF CARE</v>
      </c>
      <c r="ES9" s="101" t="str">
        <f t="shared" si="65"/>
        <v>ASBURY METHODIST VILLAGE</v>
      </c>
      <c r="ET9" s="101" t="str">
        <f t="shared" si="66"/>
        <v>SKILLED NURSING</v>
      </c>
      <c r="EU9" s="101" t="str">
        <f t="shared" si="67"/>
        <v>AMV - WILSON HEALTH CARE CENTER</v>
      </c>
      <c r="EV9" s="93" t="str" cm="1">
        <f t="array" ref="EV9">IF(EV$5&lt;=$CX9,INDEX($AF9:$AQ9,1,_xlfn.XMATCH(EV$5,$BS9:$CD9)),"na")</f>
        <v>na</v>
      </c>
    </row>
    <row r="10" spans="1:152" x14ac:dyDescent="0.25">
      <c r="A10" s="59" t="s">
        <v>199</v>
      </c>
      <c r="B10" s="43" t="s">
        <v>204</v>
      </c>
      <c r="C10" s="43" t="s">
        <v>91</v>
      </c>
      <c r="D10" s="4">
        <v>1332.9658999999999</v>
      </c>
      <c r="E10" s="4">
        <v>1203.9692</v>
      </c>
      <c r="F10" s="4">
        <v>1332.9658999999999</v>
      </c>
      <c r="G10" s="4">
        <v>1289.9670000000001</v>
      </c>
      <c r="H10" s="4">
        <v>1332.9658999999999</v>
      </c>
      <c r="I10" s="4">
        <v>1289.9670000000001</v>
      </c>
      <c r="J10" s="4">
        <v>1332.9658999999999</v>
      </c>
      <c r="K10" s="4">
        <v>1332.9658999999999</v>
      </c>
      <c r="L10" s="4">
        <v>1289.9670000000001</v>
      </c>
      <c r="M10" s="4">
        <v>1332.9658999999999</v>
      </c>
      <c r="N10" s="4">
        <v>1289.9670000000001</v>
      </c>
      <c r="O10" s="4">
        <v>1332.9658999999999</v>
      </c>
      <c r="Q10" t="s">
        <v>210</v>
      </c>
      <c r="R10" t="s">
        <v>289</v>
      </c>
      <c r="S10" s="64">
        <f t="shared" si="21"/>
        <v>2046</v>
      </c>
      <c r="T10" s="64">
        <f t="shared" si="21"/>
        <v>1848</v>
      </c>
      <c r="U10" s="64">
        <f t="shared" si="21"/>
        <v>2045.9999999999998</v>
      </c>
      <c r="V10" s="64">
        <f t="shared" si="21"/>
        <v>1980</v>
      </c>
      <c r="W10" s="64">
        <f t="shared" si="21"/>
        <v>2046</v>
      </c>
      <c r="X10" s="64">
        <f t="shared" si="21"/>
        <v>1980</v>
      </c>
      <c r="Y10" s="64">
        <f t="shared" si="21"/>
        <v>2046</v>
      </c>
      <c r="Z10" s="64">
        <f t="shared" si="21"/>
        <v>2046</v>
      </c>
      <c r="AA10" s="64">
        <f t="shared" si="21"/>
        <v>1980</v>
      </c>
      <c r="AB10" s="64">
        <f t="shared" si="21"/>
        <v>2046</v>
      </c>
      <c r="AC10" s="64">
        <f t="shared" si="21"/>
        <v>1980</v>
      </c>
      <c r="AD10" s="64">
        <f t="shared" si="21"/>
        <v>2046</v>
      </c>
      <c r="AF10" s="7">
        <f t="shared" si="22"/>
        <v>42.998899999999999</v>
      </c>
      <c r="AG10" s="7">
        <f t="shared" si="23"/>
        <v>42.998899999999999</v>
      </c>
      <c r="AH10" s="7">
        <f t="shared" si="24"/>
        <v>42.998899999999999</v>
      </c>
      <c r="AI10" s="7">
        <f t="shared" si="25"/>
        <v>42.998900000000006</v>
      </c>
      <c r="AJ10" s="7">
        <f t="shared" si="26"/>
        <v>42.998899999999999</v>
      </c>
      <c r="AK10" s="7">
        <f t="shared" si="27"/>
        <v>42.998900000000006</v>
      </c>
      <c r="AL10" s="7">
        <f t="shared" si="28"/>
        <v>42.998899999999999</v>
      </c>
      <c r="AM10" s="7">
        <f t="shared" si="29"/>
        <v>42.998899999999999</v>
      </c>
      <c r="AN10" s="7">
        <f t="shared" si="30"/>
        <v>42.998900000000006</v>
      </c>
      <c r="AO10" s="7">
        <f t="shared" si="31"/>
        <v>42.998899999999999</v>
      </c>
      <c r="AP10" s="7">
        <f t="shared" si="32"/>
        <v>42.998900000000006</v>
      </c>
      <c r="AQ10" s="7">
        <f t="shared" si="33"/>
        <v>42.998899999999999</v>
      </c>
      <c r="AS10" s="86">
        <f>_xlfn.XLOOKUP(AS$5,'OC-Days'!$G:$G,'OC-Days'!$F:$F)</f>
        <v>45658</v>
      </c>
      <c r="AT10" s="87" t="str">
        <f>IF(AG10=AF10,"na",_xlfn.XLOOKUP(AT$5,'OC-Days'!$G:$G,'OC-Days'!$F:$F))</f>
        <v>na</v>
      </c>
      <c r="AU10" s="87" t="str">
        <f>IF(AH10=AG10,"na",_xlfn.XLOOKUP(AU$5,'OC-Days'!$G:$G,'OC-Days'!$F:$F))</f>
        <v>na</v>
      </c>
      <c r="AV10" s="87" t="str">
        <f>IF(AI10=AH10,"na",_xlfn.XLOOKUP(AV$5,'OC-Days'!$G:$G,'OC-Days'!$F:$F))</f>
        <v>na</v>
      </c>
      <c r="AW10" s="87" t="str">
        <f>IF(AJ10=AI10,"na",_xlfn.XLOOKUP(AW$5,'OC-Days'!$G:$G,'OC-Days'!$F:$F))</f>
        <v>na</v>
      </c>
      <c r="AX10" s="87" t="str">
        <f>IF(AK10=AJ10,"na",_xlfn.XLOOKUP(AX$5,'OC-Days'!$G:$G,'OC-Days'!$F:$F))</f>
        <v>na</v>
      </c>
      <c r="AY10" s="87" t="str">
        <f>IF(AL10=AK10,"na",_xlfn.XLOOKUP(AY$5,'OC-Days'!$G:$G,'OC-Days'!$F:$F))</f>
        <v>na</v>
      </c>
      <c r="AZ10" s="87" t="str">
        <f>IF(AM10=AL10,"na",_xlfn.XLOOKUP(AZ$5,'OC-Days'!$G:$G,'OC-Days'!$F:$F))</f>
        <v>na</v>
      </c>
      <c r="BA10" s="87" t="str">
        <f>IF(AN10=AM10,"na",_xlfn.XLOOKUP(BA$5,'OC-Days'!$G:$G,'OC-Days'!$F:$F))</f>
        <v>na</v>
      </c>
      <c r="BB10" s="87" t="str">
        <f>IF(AO10=AN10,"na",_xlfn.XLOOKUP(BB$5,'OC-Days'!$G:$G,'OC-Days'!$F:$F))</f>
        <v>na</v>
      </c>
      <c r="BC10" s="87" t="str">
        <f>IF(AP10=AO10,"na",_xlfn.XLOOKUP(BC$5,'OC-Days'!$G:$G,'OC-Days'!$F:$F))</f>
        <v>na</v>
      </c>
      <c r="BD10" s="87" t="str">
        <f>IF(AQ10=AP10,"na",_xlfn.XLOOKUP(BD$5,'OC-Days'!$G:$G,'OC-Days'!$F:$F))</f>
        <v>na</v>
      </c>
      <c r="BF10" s="88" t="str">
        <f t="shared" si="68"/>
        <v>na</v>
      </c>
      <c r="BG10" s="88" t="str">
        <f t="shared" si="69"/>
        <v>na</v>
      </c>
      <c r="BH10" s="88" t="str">
        <f t="shared" si="70"/>
        <v>na</v>
      </c>
      <c r="BI10" s="88" t="str">
        <f t="shared" si="71"/>
        <v>na</v>
      </c>
      <c r="BJ10" s="88" t="str">
        <f t="shared" si="72"/>
        <v>na</v>
      </c>
      <c r="BK10" s="88" t="str">
        <f t="shared" si="73"/>
        <v>na</v>
      </c>
      <c r="BL10" s="88" t="str">
        <f t="shared" si="74"/>
        <v>na</v>
      </c>
      <c r="BM10" s="88" t="str">
        <f t="shared" si="75"/>
        <v>na</v>
      </c>
      <c r="BN10" s="88" t="str">
        <f t="shared" si="76"/>
        <v>na</v>
      </c>
      <c r="BO10" s="88" t="str">
        <f t="shared" si="77"/>
        <v>na</v>
      </c>
      <c r="BP10" s="88" t="str">
        <f t="shared" si="78"/>
        <v>na</v>
      </c>
      <c r="BQ10" s="89">
        <f t="shared" si="79"/>
        <v>46022</v>
      </c>
      <c r="BS10">
        <f>COUNT($AS10:AS10)</f>
        <v>1</v>
      </c>
      <c r="BT10">
        <f>COUNT($AS10:AT10)</f>
        <v>1</v>
      </c>
      <c r="BU10">
        <f>COUNT($AS10:AU10)</f>
        <v>1</v>
      </c>
      <c r="BV10">
        <f>COUNT($AS10:AV10)</f>
        <v>1</v>
      </c>
      <c r="BW10">
        <f>COUNT($AS10:AW10)</f>
        <v>1</v>
      </c>
      <c r="BX10">
        <f>COUNT($AS10:AX10)</f>
        <v>1</v>
      </c>
      <c r="BY10">
        <f>COUNT($AS10:AY10)</f>
        <v>1</v>
      </c>
      <c r="BZ10">
        <f>COUNT($AS10:AZ10)</f>
        <v>1</v>
      </c>
      <c r="CA10">
        <f>COUNT($AS10:BA10)</f>
        <v>1</v>
      </c>
      <c r="CB10">
        <f>COUNT($AS10:BB10)</f>
        <v>1</v>
      </c>
      <c r="CC10">
        <f>COUNT($AS10:BC10)</f>
        <v>1</v>
      </c>
      <c r="CD10">
        <f>COUNT($AS10:BD10)</f>
        <v>1</v>
      </c>
      <c r="CF10">
        <f>COUNT($BF10:BF10)</f>
        <v>0</v>
      </c>
      <c r="CG10">
        <f>COUNT($BF10:BG10)</f>
        <v>0</v>
      </c>
      <c r="CH10">
        <f>COUNT($BF10:BH10)</f>
        <v>0</v>
      </c>
      <c r="CI10">
        <f>COUNT($BF10:BI10)</f>
        <v>0</v>
      </c>
      <c r="CJ10">
        <f>COUNT($BF10:BJ10)</f>
        <v>0</v>
      </c>
      <c r="CK10">
        <f>COUNT($BF10:BK10)</f>
        <v>0</v>
      </c>
      <c r="CL10">
        <f>COUNT($BF10:BL10)</f>
        <v>0</v>
      </c>
      <c r="CM10">
        <f>COUNT($BF10:BM10)</f>
        <v>0</v>
      </c>
      <c r="CN10">
        <f>COUNT($BF10:BN10)</f>
        <v>0</v>
      </c>
      <c r="CO10">
        <f>COUNT($BF10:BO10)</f>
        <v>0</v>
      </c>
      <c r="CP10">
        <f>COUNT($BF10:BP10)</f>
        <v>0</v>
      </c>
      <c r="CQ10">
        <f>COUNT($BF10:BQ10)</f>
        <v>1</v>
      </c>
      <c r="CS10" s="5">
        <f t="shared" si="45"/>
        <v>1</v>
      </c>
      <c r="CT10" s="100" t="str">
        <f t="shared" si="80"/>
        <v>10061Private Pay</v>
      </c>
      <c r="CU10" s="83">
        <f t="shared" si="46"/>
        <v>100</v>
      </c>
      <c r="CV10" s="83">
        <f t="shared" si="47"/>
        <v>61</v>
      </c>
      <c r="CX10">
        <f t="shared" si="81"/>
        <v>1</v>
      </c>
      <c r="CY10">
        <f t="shared" si="82"/>
        <v>1</v>
      </c>
      <c r="DA10" s="90" cm="1">
        <f t="array" ref="DA10">IF(DA$5&lt;=$CX10,INDEX($AS10:$BD10,1,_xlfn.XMATCH(DA$5,$BS10:$CD10)),"na")</f>
        <v>45658</v>
      </c>
      <c r="DB10" s="91" cm="1">
        <f t="array" ref="DB10">IF(DB$5&lt;=$CY10,INDEX($BF10:$BQ10,1,_xlfn.XMATCH(DB$5,$CF10:$CQ10)),"na")</f>
        <v>46022</v>
      </c>
      <c r="DC10" s="82" t="str">
        <f>_xlfn.XLOOKUP($CU10&amp;"-"&amp;$CV10&amp;$C10,REF!$K$2:$K$90,REF!B$2:B$90)</f>
        <v>PRIVATE PAY</v>
      </c>
      <c r="DD10" s="82" t="str">
        <f>_xlfn.XLOOKUP($CU10&amp;"-"&amp;$CV10&amp;$C10,REF!$K$2:$K$90,REF!C$2:C$90)</f>
        <v>PRIVATE PAY</v>
      </c>
      <c r="DE10" s="82" t="str">
        <f>_xlfn.XLOOKUP($CU10&amp;"-"&amp;$CV10&amp;$C10,REF!$K$2:$K$90,REF!D$2:D$90)</f>
        <v>ASBURY METHODIST VILLAGE</v>
      </c>
      <c r="DF10" s="82" t="str">
        <f>_xlfn.XLOOKUP($CU10&amp;"-"&amp;$CV10&amp;$C10,REF!$K$2:$K$90,REF!E$2:E$90)</f>
        <v>SKILLED NURSING</v>
      </c>
      <c r="DG10" s="82" t="str">
        <f>_xlfn.XLOOKUP($CU10&amp;"-"&amp;$CV10&amp;$C10,REF!$K$2:$K$90,REF!F$2:F$90)</f>
        <v>AMV - WILSON HEALTH CARE CENTER</v>
      </c>
      <c r="DH10" s="93" cm="1">
        <f t="array" ref="DH10">IF(DH$5&lt;=$CX10,INDEX($AF10:$AQ10,1,_xlfn.XMATCH(DH$5,$BS10:$CD10)),"na")</f>
        <v>42.998899999999999</v>
      </c>
      <c r="DI10" s="90" t="str" cm="1">
        <f t="array" ref="DI10">IF(DI$5&lt;=$CX10,INDEX($AS10:$BD10,1,_xlfn.XMATCH(DI$5,$BS10:$CD10)),"na")</f>
        <v>na</v>
      </c>
      <c r="DJ10" s="91" t="str" cm="1">
        <f t="array" ref="DJ10">IF(DJ$5&lt;=$CY10,INDEX($BF10:$BQ10,1,_xlfn.XMATCH(DJ$5,$CF10:$CQ10)),"na")</f>
        <v>na</v>
      </c>
      <c r="DK10" s="101" t="str">
        <f t="shared" si="83"/>
        <v>PRIVATE PAY</v>
      </c>
      <c r="DL10" s="101" t="str">
        <f t="shared" si="48"/>
        <v>PRIVATE PAY</v>
      </c>
      <c r="DM10" s="101" t="str">
        <f t="shared" si="49"/>
        <v>ASBURY METHODIST VILLAGE</v>
      </c>
      <c r="DN10" s="101" t="str">
        <f t="shared" si="50"/>
        <v>SKILLED NURSING</v>
      </c>
      <c r="DO10" s="101" t="str">
        <f t="shared" si="51"/>
        <v>AMV - WILSON HEALTH CARE CENTER</v>
      </c>
      <c r="DP10" s="93" t="str" cm="1">
        <f t="array" ref="DP10">IF(DP$5&lt;=$CX10,INDEX($AF10:$AQ10,1,_xlfn.XMATCH(DP$5,$BS10:$CD10)),"na")</f>
        <v>na</v>
      </c>
      <c r="DQ10" s="90" t="str" cm="1">
        <f t="array" ref="DQ10">IF(DQ$5&lt;=$CX10,INDEX($AS10:$BD10,1,_xlfn.XMATCH(DQ$5,$BS10:$CD10)),"na")</f>
        <v>na</v>
      </c>
      <c r="DR10" s="91" t="str" cm="1">
        <f t="array" ref="DR10">IF(DR$5&lt;=$CY10,INDEX($BF10:$BQ10,1,_xlfn.XMATCH(DR$5,$CF10:$CQ10)),"na")</f>
        <v>na</v>
      </c>
      <c r="DS10" s="101" t="str">
        <f t="shared" si="84"/>
        <v>PRIVATE PAY</v>
      </c>
      <c r="DT10" s="101" t="str">
        <f t="shared" si="52"/>
        <v>PRIVATE PAY</v>
      </c>
      <c r="DU10" s="101" t="str">
        <f t="shared" si="53"/>
        <v>ASBURY METHODIST VILLAGE</v>
      </c>
      <c r="DV10" s="101" t="str">
        <f t="shared" si="54"/>
        <v>SKILLED NURSING</v>
      </c>
      <c r="DW10" s="101" t="str">
        <f t="shared" si="55"/>
        <v>AMV - WILSON HEALTH CARE CENTER</v>
      </c>
      <c r="DX10" s="93" t="str" cm="1">
        <f t="array" ref="DX10">IF(DX$5&lt;=$CX10,INDEX($AF10:$AQ10,1,_xlfn.XMATCH(DX$5,$BS10:$CD10)),"na")</f>
        <v>na</v>
      </c>
      <c r="DY10" s="90" t="str" cm="1">
        <f t="array" ref="DY10">IF(DY$5&lt;=$CX10,INDEX($AS10:$BD10,1,_xlfn.XMATCH(DY$5,$BS10:$CD10)),"na")</f>
        <v>na</v>
      </c>
      <c r="DZ10" s="91" t="str" cm="1">
        <f t="array" ref="DZ10">IF(DZ$5&lt;=$CY10,INDEX($BF10:$BQ10,1,_xlfn.XMATCH(DZ$5,$CF10:$CQ10)),"na")</f>
        <v>na</v>
      </c>
      <c r="EA10" s="101" t="str">
        <f t="shared" si="85"/>
        <v>PRIVATE PAY</v>
      </c>
      <c r="EB10" s="101" t="str">
        <f t="shared" si="56"/>
        <v>PRIVATE PAY</v>
      </c>
      <c r="EC10" s="101" t="str">
        <f t="shared" si="57"/>
        <v>ASBURY METHODIST VILLAGE</v>
      </c>
      <c r="ED10" s="101" t="str">
        <f t="shared" si="58"/>
        <v>SKILLED NURSING</v>
      </c>
      <c r="EE10" s="101" t="str">
        <f t="shared" si="59"/>
        <v>AMV - WILSON HEALTH CARE CENTER</v>
      </c>
      <c r="EF10" s="93" t="str" cm="1">
        <f t="array" ref="EF10">IF(EF$5&lt;=$CX10,INDEX($AF10:$AQ10,1,_xlfn.XMATCH(EF$5,$BS10:$CD10)),"na")</f>
        <v>na</v>
      </c>
      <c r="EG10" s="90" t="str" cm="1">
        <f t="array" ref="EG10">IF(EG$5&lt;=$CX10,INDEX($AS10:$BD10,1,_xlfn.XMATCH(EG$5,$BS10:$CD10)),"na")</f>
        <v>na</v>
      </c>
      <c r="EH10" s="91" t="str" cm="1">
        <f t="array" ref="EH10">IF(EH$5&lt;=$CY10,INDEX($BF10:$BQ10,1,_xlfn.XMATCH(EH$5,$CF10:$CQ10)),"na")</f>
        <v>na</v>
      </c>
      <c r="EI10" s="101" t="str">
        <f t="shared" si="86"/>
        <v>PRIVATE PAY</v>
      </c>
      <c r="EJ10" s="101" t="str">
        <f t="shared" si="60"/>
        <v>PRIVATE PAY</v>
      </c>
      <c r="EK10" s="101" t="str">
        <f t="shared" si="61"/>
        <v>ASBURY METHODIST VILLAGE</v>
      </c>
      <c r="EL10" s="101" t="str">
        <f t="shared" si="62"/>
        <v>SKILLED NURSING</v>
      </c>
      <c r="EM10" s="101" t="str">
        <f t="shared" si="63"/>
        <v>AMV - WILSON HEALTH CARE CENTER</v>
      </c>
      <c r="EN10" s="93" t="str" cm="1">
        <f t="array" ref="EN10">IF(EN$5&lt;=$CX10,INDEX($AF10:$AQ10,1,_xlfn.XMATCH(EN$5,$BS10:$CD10)),"na")</f>
        <v>na</v>
      </c>
      <c r="EO10" s="90" t="str" cm="1">
        <f t="array" ref="EO10">IF(EO$5&lt;=$CX10,INDEX($AS10:$BD10,1,_xlfn.XMATCH(EO$5,$BS10:$CD10)),"na")</f>
        <v>na</v>
      </c>
      <c r="EP10" s="91" t="str" cm="1">
        <f t="array" ref="EP10">IF(EP$5&lt;=$CY10,INDEX($BF10:$BQ10,1,_xlfn.XMATCH(EP$5,$CF10:$CQ10)),"na")</f>
        <v>na</v>
      </c>
      <c r="EQ10" s="101" t="str">
        <f t="shared" si="87"/>
        <v>PRIVATE PAY</v>
      </c>
      <c r="ER10" s="101" t="str">
        <f t="shared" si="64"/>
        <v>PRIVATE PAY</v>
      </c>
      <c r="ES10" s="101" t="str">
        <f t="shared" si="65"/>
        <v>ASBURY METHODIST VILLAGE</v>
      </c>
      <c r="ET10" s="101" t="str">
        <f t="shared" si="66"/>
        <v>SKILLED NURSING</v>
      </c>
      <c r="EU10" s="101" t="str">
        <f t="shared" si="67"/>
        <v>AMV - WILSON HEALTH CARE CENTER</v>
      </c>
      <c r="EV10" s="93" t="str" cm="1">
        <f t="array" ref="EV10">IF(EV$5&lt;=$CX10,INDEX($AF10:$AQ10,1,_xlfn.XMATCH(EV$5,$BS10:$CD10)),"na")</f>
        <v>na</v>
      </c>
    </row>
    <row r="11" spans="1:152" x14ac:dyDescent="0.25">
      <c r="A11" s="59" t="s">
        <v>199</v>
      </c>
      <c r="B11" s="43" t="s">
        <v>205</v>
      </c>
      <c r="C11" s="43" t="s">
        <v>23</v>
      </c>
      <c r="D11" s="4">
        <v>93.1798</v>
      </c>
      <c r="E11" s="4">
        <v>84.162399999999991</v>
      </c>
      <c r="F11" s="4">
        <v>93.1798</v>
      </c>
      <c r="G11" s="4">
        <v>90.174000000000007</v>
      </c>
      <c r="H11" s="4">
        <v>93.1798</v>
      </c>
      <c r="I11" s="4">
        <v>90.174000000000007</v>
      </c>
      <c r="J11" s="4">
        <v>93.1798</v>
      </c>
      <c r="K11" s="4">
        <v>93.1798</v>
      </c>
      <c r="L11" s="4">
        <v>90.174000000000007</v>
      </c>
      <c r="M11" s="4">
        <v>93.1798</v>
      </c>
      <c r="N11" s="4">
        <v>90.174000000000007</v>
      </c>
      <c r="O11" s="4">
        <v>93.1798</v>
      </c>
      <c r="Q11" t="s">
        <v>212</v>
      </c>
      <c r="R11" t="s">
        <v>289</v>
      </c>
      <c r="S11" s="64">
        <f t="shared" si="21"/>
        <v>1891</v>
      </c>
      <c r="T11" s="64">
        <f t="shared" si="21"/>
        <v>1708</v>
      </c>
      <c r="U11" s="64">
        <f t="shared" si="21"/>
        <v>1891</v>
      </c>
      <c r="V11" s="64">
        <f t="shared" si="21"/>
        <v>1830</v>
      </c>
      <c r="W11" s="64">
        <f t="shared" si="21"/>
        <v>1891</v>
      </c>
      <c r="X11" s="64">
        <f t="shared" si="21"/>
        <v>1830</v>
      </c>
      <c r="Y11" s="64">
        <f t="shared" si="21"/>
        <v>1891</v>
      </c>
      <c r="Z11" s="64">
        <f t="shared" si="21"/>
        <v>1891</v>
      </c>
      <c r="AA11" s="64">
        <f t="shared" si="21"/>
        <v>1830</v>
      </c>
      <c r="AB11" s="64">
        <f t="shared" si="21"/>
        <v>1891</v>
      </c>
      <c r="AC11" s="64">
        <f t="shared" si="21"/>
        <v>1830</v>
      </c>
      <c r="AD11" s="64">
        <f t="shared" si="21"/>
        <v>1891</v>
      </c>
      <c r="AF11" s="7">
        <f t="shared" si="22"/>
        <v>3.0057999999999998</v>
      </c>
      <c r="AG11" s="7">
        <f t="shared" si="23"/>
        <v>3.0057999999999998</v>
      </c>
      <c r="AH11" s="7">
        <f t="shared" si="24"/>
        <v>3.0057999999999998</v>
      </c>
      <c r="AI11" s="7">
        <f t="shared" si="25"/>
        <v>3.0058000000000002</v>
      </c>
      <c r="AJ11" s="7">
        <f t="shared" si="26"/>
        <v>3.0057999999999998</v>
      </c>
      <c r="AK11" s="7">
        <f t="shared" si="27"/>
        <v>3.0058000000000002</v>
      </c>
      <c r="AL11" s="7">
        <f t="shared" si="28"/>
        <v>3.0057999999999998</v>
      </c>
      <c r="AM11" s="7">
        <f t="shared" si="29"/>
        <v>3.0057999999999998</v>
      </c>
      <c r="AN11" s="7">
        <f t="shared" si="30"/>
        <v>3.0058000000000002</v>
      </c>
      <c r="AO11" s="7">
        <f t="shared" si="31"/>
        <v>3.0057999999999998</v>
      </c>
      <c r="AP11" s="7">
        <f t="shared" si="32"/>
        <v>3.0058000000000002</v>
      </c>
      <c r="AQ11" s="7">
        <f t="shared" si="33"/>
        <v>3.0057999999999998</v>
      </c>
      <c r="AS11" s="86">
        <f>_xlfn.XLOOKUP(AS$5,'OC-Days'!$G:$G,'OC-Days'!$F:$F)</f>
        <v>45658</v>
      </c>
      <c r="AT11" s="87" t="str">
        <f>IF(AG11=AF11,"na",_xlfn.XLOOKUP(AT$5,'OC-Days'!$G:$G,'OC-Days'!$F:$F))</f>
        <v>na</v>
      </c>
      <c r="AU11" s="87" t="str">
        <f>IF(AH11=AG11,"na",_xlfn.XLOOKUP(AU$5,'OC-Days'!$G:$G,'OC-Days'!$F:$F))</f>
        <v>na</v>
      </c>
      <c r="AV11" s="87" t="str">
        <f>IF(AI11=AH11,"na",_xlfn.XLOOKUP(AV$5,'OC-Days'!$G:$G,'OC-Days'!$F:$F))</f>
        <v>na</v>
      </c>
      <c r="AW11" s="87" t="str">
        <f>IF(AJ11=AI11,"na",_xlfn.XLOOKUP(AW$5,'OC-Days'!$G:$G,'OC-Days'!$F:$F))</f>
        <v>na</v>
      </c>
      <c r="AX11" s="87" t="str">
        <f>IF(AK11=AJ11,"na",_xlfn.XLOOKUP(AX$5,'OC-Days'!$G:$G,'OC-Days'!$F:$F))</f>
        <v>na</v>
      </c>
      <c r="AY11" s="87" t="str">
        <f>IF(AL11=AK11,"na",_xlfn.XLOOKUP(AY$5,'OC-Days'!$G:$G,'OC-Days'!$F:$F))</f>
        <v>na</v>
      </c>
      <c r="AZ11" s="87" t="str">
        <f>IF(AM11=AL11,"na",_xlfn.XLOOKUP(AZ$5,'OC-Days'!$G:$G,'OC-Days'!$F:$F))</f>
        <v>na</v>
      </c>
      <c r="BA11" s="87" t="str">
        <f>IF(AN11=AM11,"na",_xlfn.XLOOKUP(BA$5,'OC-Days'!$G:$G,'OC-Days'!$F:$F))</f>
        <v>na</v>
      </c>
      <c r="BB11" s="87" t="str">
        <f>IF(AO11=AN11,"na",_xlfn.XLOOKUP(BB$5,'OC-Days'!$G:$G,'OC-Days'!$F:$F))</f>
        <v>na</v>
      </c>
      <c r="BC11" s="87" t="str">
        <f>IF(AP11=AO11,"na",_xlfn.XLOOKUP(BC$5,'OC-Days'!$G:$G,'OC-Days'!$F:$F))</f>
        <v>na</v>
      </c>
      <c r="BD11" s="87" t="str">
        <f>IF(AQ11=AP11,"na",_xlfn.XLOOKUP(BD$5,'OC-Days'!$G:$G,'OC-Days'!$F:$F))</f>
        <v>na</v>
      </c>
      <c r="BF11" s="88" t="str">
        <f t="shared" si="68"/>
        <v>na</v>
      </c>
      <c r="BG11" s="88" t="str">
        <f t="shared" si="69"/>
        <v>na</v>
      </c>
      <c r="BH11" s="88" t="str">
        <f t="shared" si="70"/>
        <v>na</v>
      </c>
      <c r="BI11" s="88" t="str">
        <f t="shared" si="71"/>
        <v>na</v>
      </c>
      <c r="BJ11" s="88" t="str">
        <f t="shared" si="72"/>
        <v>na</v>
      </c>
      <c r="BK11" s="88" t="str">
        <f t="shared" si="73"/>
        <v>na</v>
      </c>
      <c r="BL11" s="88" t="str">
        <f t="shared" si="74"/>
        <v>na</v>
      </c>
      <c r="BM11" s="88" t="str">
        <f t="shared" si="75"/>
        <v>na</v>
      </c>
      <c r="BN11" s="88" t="str">
        <f t="shared" si="76"/>
        <v>na</v>
      </c>
      <c r="BO11" s="88" t="str">
        <f t="shared" si="77"/>
        <v>na</v>
      </c>
      <c r="BP11" s="88" t="str">
        <f t="shared" si="78"/>
        <v>na</v>
      </c>
      <c r="BQ11" s="89">
        <f t="shared" si="79"/>
        <v>46022</v>
      </c>
      <c r="BS11">
        <f>COUNT($AS11:AS11)</f>
        <v>1</v>
      </c>
      <c r="BT11">
        <f>COUNT($AS11:AT11)</f>
        <v>1</v>
      </c>
      <c r="BU11">
        <f>COUNT($AS11:AU11)</f>
        <v>1</v>
      </c>
      <c r="BV11">
        <f>COUNT($AS11:AV11)</f>
        <v>1</v>
      </c>
      <c r="BW11">
        <f>COUNT($AS11:AW11)</f>
        <v>1</v>
      </c>
      <c r="BX11">
        <f>COUNT($AS11:AX11)</f>
        <v>1</v>
      </c>
      <c r="BY11">
        <f>COUNT($AS11:AY11)</f>
        <v>1</v>
      </c>
      <c r="BZ11">
        <f>COUNT($AS11:AZ11)</f>
        <v>1</v>
      </c>
      <c r="CA11">
        <f>COUNT($AS11:BA11)</f>
        <v>1</v>
      </c>
      <c r="CB11">
        <f>COUNT($AS11:BB11)</f>
        <v>1</v>
      </c>
      <c r="CC11">
        <f>COUNT($AS11:BC11)</f>
        <v>1</v>
      </c>
      <c r="CD11">
        <f>COUNT($AS11:BD11)</f>
        <v>1</v>
      </c>
      <c r="CF11">
        <f>COUNT($BF11:BF11)</f>
        <v>0</v>
      </c>
      <c r="CG11">
        <f>COUNT($BF11:BG11)</f>
        <v>0</v>
      </c>
      <c r="CH11">
        <f>COUNT($BF11:BH11)</f>
        <v>0</v>
      </c>
      <c r="CI11">
        <f>COUNT($BF11:BI11)</f>
        <v>0</v>
      </c>
      <c r="CJ11">
        <f>COUNT($BF11:BJ11)</f>
        <v>0</v>
      </c>
      <c r="CK11">
        <f>COUNT($BF11:BK11)</f>
        <v>0</v>
      </c>
      <c r="CL11">
        <f>COUNT($BF11:BL11)</f>
        <v>0</v>
      </c>
      <c r="CM11">
        <f>COUNT($BF11:BM11)</f>
        <v>0</v>
      </c>
      <c r="CN11">
        <f>COUNT($BF11:BN11)</f>
        <v>0</v>
      </c>
      <c r="CO11">
        <f>COUNT($BF11:BO11)</f>
        <v>0</v>
      </c>
      <c r="CP11">
        <f>COUNT($BF11:BP11)</f>
        <v>0</v>
      </c>
      <c r="CQ11">
        <f>COUNT($BF11:BQ11)</f>
        <v>1</v>
      </c>
      <c r="CS11" s="5">
        <f t="shared" si="45"/>
        <v>1</v>
      </c>
      <c r="CT11" s="100" t="str">
        <f t="shared" si="80"/>
        <v>10061Hospice</v>
      </c>
      <c r="CU11" s="83">
        <f t="shared" si="46"/>
        <v>100</v>
      </c>
      <c r="CV11" s="83">
        <f t="shared" si="47"/>
        <v>61</v>
      </c>
      <c r="CX11">
        <f t="shared" si="81"/>
        <v>1</v>
      </c>
      <c r="CY11">
        <f t="shared" si="82"/>
        <v>1</v>
      </c>
      <c r="DA11" s="90" cm="1">
        <f t="array" ref="DA11">IF(DA$5&lt;=$CX11,INDEX($AS11:$BD11,1,_xlfn.XMATCH(DA$5,$BS11:$CD11)),"na")</f>
        <v>45658</v>
      </c>
      <c r="DB11" s="91" cm="1">
        <f t="array" ref="DB11">IF(DB$5&lt;=$CY11,INDEX($BF11:$BQ11,1,_xlfn.XMATCH(DB$5,$CF11:$CQ11)),"na")</f>
        <v>46022</v>
      </c>
      <c r="DC11" s="82" t="str">
        <f>_xlfn.XLOOKUP($CU11&amp;"-"&amp;$CV11&amp;$C11,REF!$K$2:$K$90,REF!B$2:B$90)</f>
        <v>Hospice</v>
      </c>
      <c r="DD11" s="82" t="str">
        <f>_xlfn.XLOOKUP($CU11&amp;"-"&amp;$CV11&amp;$C11,REF!$K$2:$K$90,REF!C$2:C$90)</f>
        <v>Hospice - Private Pay</v>
      </c>
      <c r="DE11" s="82" t="str">
        <f>_xlfn.XLOOKUP($CU11&amp;"-"&amp;$CV11&amp;$C11,REF!$K$2:$K$90,REF!D$2:D$90)</f>
        <v>ASBURY METHODIST VILLAGE</v>
      </c>
      <c r="DF11" s="82" t="str">
        <f>_xlfn.XLOOKUP($CU11&amp;"-"&amp;$CV11&amp;$C11,REF!$K$2:$K$90,REF!E$2:E$90)</f>
        <v>SKILLED NURSING</v>
      </c>
      <c r="DG11" s="82" t="str">
        <f>_xlfn.XLOOKUP($CU11&amp;"-"&amp;$CV11&amp;$C11,REF!$K$2:$K$90,REF!F$2:F$90)</f>
        <v>AMV - WILSON HEALTH CARE CENTER</v>
      </c>
      <c r="DH11" s="93" cm="1">
        <f t="array" ref="DH11">IF(DH$5&lt;=$CX11,INDEX($AF11:$AQ11,1,_xlfn.XMATCH(DH$5,$BS11:$CD11)),"na")</f>
        <v>3.0057999999999998</v>
      </c>
      <c r="DI11" s="90" t="str" cm="1">
        <f t="array" ref="DI11">IF(DI$5&lt;=$CX11,INDEX($AS11:$BD11,1,_xlfn.XMATCH(DI$5,$BS11:$CD11)),"na")</f>
        <v>na</v>
      </c>
      <c r="DJ11" s="91" t="str" cm="1">
        <f t="array" ref="DJ11">IF(DJ$5&lt;=$CY11,INDEX($BF11:$BQ11,1,_xlfn.XMATCH(DJ$5,$CF11:$CQ11)),"na")</f>
        <v>na</v>
      </c>
      <c r="DK11" s="101" t="str">
        <f t="shared" si="83"/>
        <v>Hospice</v>
      </c>
      <c r="DL11" s="101" t="str">
        <f t="shared" si="48"/>
        <v>Hospice - Private Pay</v>
      </c>
      <c r="DM11" s="101" t="str">
        <f t="shared" si="49"/>
        <v>ASBURY METHODIST VILLAGE</v>
      </c>
      <c r="DN11" s="101" t="str">
        <f t="shared" si="50"/>
        <v>SKILLED NURSING</v>
      </c>
      <c r="DO11" s="101" t="str">
        <f t="shared" si="51"/>
        <v>AMV - WILSON HEALTH CARE CENTER</v>
      </c>
      <c r="DP11" s="93" t="str" cm="1">
        <f t="array" ref="DP11">IF(DP$5&lt;=$CX11,INDEX($AF11:$AQ11,1,_xlfn.XMATCH(DP$5,$BS11:$CD11)),"na")</f>
        <v>na</v>
      </c>
      <c r="DQ11" s="90" t="str" cm="1">
        <f t="array" ref="DQ11">IF(DQ$5&lt;=$CX11,INDEX($AS11:$BD11,1,_xlfn.XMATCH(DQ$5,$BS11:$CD11)),"na")</f>
        <v>na</v>
      </c>
      <c r="DR11" s="91" t="str" cm="1">
        <f t="array" ref="DR11">IF(DR$5&lt;=$CY11,INDEX($BF11:$BQ11,1,_xlfn.XMATCH(DR$5,$CF11:$CQ11)),"na")</f>
        <v>na</v>
      </c>
      <c r="DS11" s="101" t="str">
        <f t="shared" si="84"/>
        <v>Hospice</v>
      </c>
      <c r="DT11" s="101" t="str">
        <f t="shared" si="52"/>
        <v>Hospice - Private Pay</v>
      </c>
      <c r="DU11" s="101" t="str">
        <f t="shared" si="53"/>
        <v>ASBURY METHODIST VILLAGE</v>
      </c>
      <c r="DV11" s="101" t="str">
        <f t="shared" si="54"/>
        <v>SKILLED NURSING</v>
      </c>
      <c r="DW11" s="101" t="str">
        <f t="shared" si="55"/>
        <v>AMV - WILSON HEALTH CARE CENTER</v>
      </c>
      <c r="DX11" s="93" t="str" cm="1">
        <f t="array" ref="DX11">IF(DX$5&lt;=$CX11,INDEX($AF11:$AQ11,1,_xlfn.XMATCH(DX$5,$BS11:$CD11)),"na")</f>
        <v>na</v>
      </c>
      <c r="DY11" s="90" t="str" cm="1">
        <f t="array" ref="DY11">IF(DY$5&lt;=$CX11,INDEX($AS11:$BD11,1,_xlfn.XMATCH(DY$5,$BS11:$CD11)),"na")</f>
        <v>na</v>
      </c>
      <c r="DZ11" s="91" t="str" cm="1">
        <f t="array" ref="DZ11">IF(DZ$5&lt;=$CY11,INDEX($BF11:$BQ11,1,_xlfn.XMATCH(DZ$5,$CF11:$CQ11)),"na")</f>
        <v>na</v>
      </c>
      <c r="EA11" s="101" t="str">
        <f t="shared" si="85"/>
        <v>Hospice</v>
      </c>
      <c r="EB11" s="101" t="str">
        <f t="shared" si="56"/>
        <v>Hospice - Private Pay</v>
      </c>
      <c r="EC11" s="101" t="str">
        <f t="shared" si="57"/>
        <v>ASBURY METHODIST VILLAGE</v>
      </c>
      <c r="ED11" s="101" t="str">
        <f t="shared" si="58"/>
        <v>SKILLED NURSING</v>
      </c>
      <c r="EE11" s="101" t="str">
        <f t="shared" si="59"/>
        <v>AMV - WILSON HEALTH CARE CENTER</v>
      </c>
      <c r="EF11" s="93" t="str" cm="1">
        <f t="array" ref="EF11">IF(EF$5&lt;=$CX11,INDEX($AF11:$AQ11,1,_xlfn.XMATCH(EF$5,$BS11:$CD11)),"na")</f>
        <v>na</v>
      </c>
      <c r="EG11" s="90" t="str" cm="1">
        <f t="array" ref="EG11">IF(EG$5&lt;=$CX11,INDEX($AS11:$BD11,1,_xlfn.XMATCH(EG$5,$BS11:$CD11)),"na")</f>
        <v>na</v>
      </c>
      <c r="EH11" s="91" t="str" cm="1">
        <f t="array" ref="EH11">IF(EH$5&lt;=$CY11,INDEX($BF11:$BQ11,1,_xlfn.XMATCH(EH$5,$CF11:$CQ11)),"na")</f>
        <v>na</v>
      </c>
      <c r="EI11" s="101" t="str">
        <f t="shared" si="86"/>
        <v>Hospice</v>
      </c>
      <c r="EJ11" s="101" t="str">
        <f t="shared" si="60"/>
        <v>Hospice - Private Pay</v>
      </c>
      <c r="EK11" s="101" t="str">
        <f t="shared" si="61"/>
        <v>ASBURY METHODIST VILLAGE</v>
      </c>
      <c r="EL11" s="101" t="str">
        <f t="shared" si="62"/>
        <v>SKILLED NURSING</v>
      </c>
      <c r="EM11" s="101" t="str">
        <f t="shared" si="63"/>
        <v>AMV - WILSON HEALTH CARE CENTER</v>
      </c>
      <c r="EN11" s="93" t="str" cm="1">
        <f t="array" ref="EN11">IF(EN$5&lt;=$CX11,INDEX($AF11:$AQ11,1,_xlfn.XMATCH(EN$5,$BS11:$CD11)),"na")</f>
        <v>na</v>
      </c>
      <c r="EO11" s="90" t="str" cm="1">
        <f t="array" ref="EO11">IF(EO$5&lt;=$CX11,INDEX($AS11:$BD11,1,_xlfn.XMATCH(EO$5,$BS11:$CD11)),"na")</f>
        <v>na</v>
      </c>
      <c r="EP11" s="91" t="str" cm="1">
        <f t="array" ref="EP11">IF(EP$5&lt;=$CY11,INDEX($BF11:$BQ11,1,_xlfn.XMATCH(EP$5,$CF11:$CQ11)),"na")</f>
        <v>na</v>
      </c>
      <c r="EQ11" s="101" t="str">
        <f t="shared" si="87"/>
        <v>Hospice</v>
      </c>
      <c r="ER11" s="101" t="str">
        <f t="shared" si="64"/>
        <v>Hospice - Private Pay</v>
      </c>
      <c r="ES11" s="101" t="str">
        <f t="shared" si="65"/>
        <v>ASBURY METHODIST VILLAGE</v>
      </c>
      <c r="ET11" s="101" t="str">
        <f t="shared" si="66"/>
        <v>SKILLED NURSING</v>
      </c>
      <c r="EU11" s="101" t="str">
        <f t="shared" si="67"/>
        <v>AMV - WILSON HEALTH CARE CENTER</v>
      </c>
      <c r="EV11" s="93" t="str" cm="1">
        <f t="array" ref="EV11">IF(EV$5&lt;=$CX11,INDEX($AF11:$AQ11,1,_xlfn.XMATCH(EV$5,$BS11:$CD11)),"na")</f>
        <v>na</v>
      </c>
    </row>
    <row r="12" spans="1:152" x14ac:dyDescent="0.25">
      <c r="A12" s="60" t="s">
        <v>207</v>
      </c>
      <c r="B12" s="43" t="s">
        <v>200</v>
      </c>
      <c r="C12" s="43" t="s">
        <v>133</v>
      </c>
      <c r="D12" s="4">
        <v>1054.0619999999999</v>
      </c>
      <c r="E12" s="4">
        <v>952.05600000000004</v>
      </c>
      <c r="F12" s="4">
        <v>1054.0619999999999</v>
      </c>
      <c r="G12" s="4">
        <v>1020.06</v>
      </c>
      <c r="H12" s="4">
        <v>1054.0619999999999</v>
      </c>
      <c r="I12" s="4">
        <v>1020.06</v>
      </c>
      <c r="J12" s="4">
        <v>1054.0619999999999</v>
      </c>
      <c r="K12" s="4">
        <v>1054.0619999999999</v>
      </c>
      <c r="L12" s="4">
        <v>1020.06</v>
      </c>
      <c r="M12" s="4">
        <v>1054.0619999999999</v>
      </c>
      <c r="N12" s="4">
        <v>1020.06</v>
      </c>
      <c r="O12" s="4">
        <v>1054.0619999999999</v>
      </c>
      <c r="AF12" s="7">
        <f t="shared" si="22"/>
        <v>34.001999999999995</v>
      </c>
      <c r="AG12" s="7">
        <f t="shared" si="23"/>
        <v>34.002000000000002</v>
      </c>
      <c r="AH12" s="7">
        <f t="shared" si="24"/>
        <v>34.001999999999995</v>
      </c>
      <c r="AI12" s="7">
        <f t="shared" si="25"/>
        <v>34.001999999999995</v>
      </c>
      <c r="AJ12" s="7">
        <f t="shared" si="26"/>
        <v>34.001999999999995</v>
      </c>
      <c r="AK12" s="7">
        <f t="shared" si="27"/>
        <v>34.001999999999995</v>
      </c>
      <c r="AL12" s="7">
        <f t="shared" si="28"/>
        <v>34.001999999999995</v>
      </c>
      <c r="AM12" s="7">
        <f t="shared" si="29"/>
        <v>34.001999999999995</v>
      </c>
      <c r="AN12" s="7">
        <f t="shared" si="30"/>
        <v>34.001999999999995</v>
      </c>
      <c r="AO12" s="7">
        <f t="shared" si="31"/>
        <v>34.001999999999995</v>
      </c>
      <c r="AP12" s="7">
        <f t="shared" si="32"/>
        <v>34.001999999999995</v>
      </c>
      <c r="AQ12" s="7">
        <f t="shared" si="33"/>
        <v>34.001999999999995</v>
      </c>
      <c r="AS12" s="86">
        <f>_xlfn.XLOOKUP(AS$5,'OC-Days'!$G:$G,'OC-Days'!$F:$F)</f>
        <v>45658</v>
      </c>
      <c r="AT12" s="87" t="str">
        <f>IF(AG12=AF12,"na",_xlfn.XLOOKUP(AT$5,'OC-Days'!$G:$G,'OC-Days'!$F:$F))</f>
        <v>na</v>
      </c>
      <c r="AU12" s="87" t="str">
        <f>IF(AH12=AG12,"na",_xlfn.XLOOKUP(AU$5,'OC-Days'!$G:$G,'OC-Days'!$F:$F))</f>
        <v>na</v>
      </c>
      <c r="AV12" s="87" t="str">
        <f>IF(AI12=AH12,"na",_xlfn.XLOOKUP(AV$5,'OC-Days'!$G:$G,'OC-Days'!$F:$F))</f>
        <v>na</v>
      </c>
      <c r="AW12" s="87" t="str">
        <f>IF(AJ12=AI12,"na",_xlfn.XLOOKUP(AW$5,'OC-Days'!$G:$G,'OC-Days'!$F:$F))</f>
        <v>na</v>
      </c>
      <c r="AX12" s="87" t="str">
        <f>IF(AK12=AJ12,"na",_xlfn.XLOOKUP(AX$5,'OC-Days'!$G:$G,'OC-Days'!$F:$F))</f>
        <v>na</v>
      </c>
      <c r="AY12" s="87" t="str">
        <f>IF(AL12=AK12,"na",_xlfn.XLOOKUP(AY$5,'OC-Days'!$G:$G,'OC-Days'!$F:$F))</f>
        <v>na</v>
      </c>
      <c r="AZ12" s="87" t="str">
        <f>IF(AM12=AL12,"na",_xlfn.XLOOKUP(AZ$5,'OC-Days'!$G:$G,'OC-Days'!$F:$F))</f>
        <v>na</v>
      </c>
      <c r="BA12" s="87" t="str">
        <f>IF(AN12=AM12,"na",_xlfn.XLOOKUP(BA$5,'OC-Days'!$G:$G,'OC-Days'!$F:$F))</f>
        <v>na</v>
      </c>
      <c r="BB12" s="87" t="str">
        <f>IF(AO12=AN12,"na",_xlfn.XLOOKUP(BB$5,'OC-Days'!$G:$G,'OC-Days'!$F:$F))</f>
        <v>na</v>
      </c>
      <c r="BC12" s="87" t="str">
        <f>IF(AP12=AO12,"na",_xlfn.XLOOKUP(BC$5,'OC-Days'!$G:$G,'OC-Days'!$F:$F))</f>
        <v>na</v>
      </c>
      <c r="BD12" s="87" t="str">
        <f>IF(AQ12=AP12,"na",_xlfn.XLOOKUP(BD$5,'OC-Days'!$G:$G,'OC-Days'!$F:$F))</f>
        <v>na</v>
      </c>
      <c r="BF12" s="88" t="str">
        <f t="shared" si="68"/>
        <v>na</v>
      </c>
      <c r="BG12" s="88" t="str">
        <f t="shared" si="69"/>
        <v>na</v>
      </c>
      <c r="BH12" s="88" t="str">
        <f t="shared" si="70"/>
        <v>na</v>
      </c>
      <c r="BI12" s="88" t="str">
        <f t="shared" si="71"/>
        <v>na</v>
      </c>
      <c r="BJ12" s="88" t="str">
        <f t="shared" si="72"/>
        <v>na</v>
      </c>
      <c r="BK12" s="88" t="str">
        <f t="shared" si="73"/>
        <v>na</v>
      </c>
      <c r="BL12" s="88" t="str">
        <f t="shared" si="74"/>
        <v>na</v>
      </c>
      <c r="BM12" s="88" t="str">
        <f t="shared" si="75"/>
        <v>na</v>
      </c>
      <c r="BN12" s="88" t="str">
        <f t="shared" si="76"/>
        <v>na</v>
      </c>
      <c r="BO12" s="88" t="str">
        <f t="shared" si="77"/>
        <v>na</v>
      </c>
      <c r="BP12" s="88" t="str">
        <f t="shared" si="78"/>
        <v>na</v>
      </c>
      <c r="BQ12" s="89">
        <f t="shared" si="79"/>
        <v>46022</v>
      </c>
      <c r="BS12">
        <f>COUNT($AS12:AS12)</f>
        <v>1</v>
      </c>
      <c r="BT12">
        <f>COUNT($AS12:AT12)</f>
        <v>1</v>
      </c>
      <c r="BU12">
        <f>COUNT($AS12:AU12)</f>
        <v>1</v>
      </c>
      <c r="BV12">
        <f>COUNT($AS12:AV12)</f>
        <v>1</v>
      </c>
      <c r="BW12">
        <f>COUNT($AS12:AW12)</f>
        <v>1</v>
      </c>
      <c r="BX12">
        <f>COUNT($AS12:AX12)</f>
        <v>1</v>
      </c>
      <c r="BY12">
        <f>COUNT($AS12:AY12)</f>
        <v>1</v>
      </c>
      <c r="BZ12">
        <f>COUNT($AS12:AZ12)</f>
        <v>1</v>
      </c>
      <c r="CA12">
        <f>COUNT($AS12:BA12)</f>
        <v>1</v>
      </c>
      <c r="CB12">
        <f>COUNT($AS12:BB12)</f>
        <v>1</v>
      </c>
      <c r="CC12">
        <f>COUNT($AS12:BC12)</f>
        <v>1</v>
      </c>
      <c r="CD12">
        <f>COUNT($AS12:BD12)</f>
        <v>1</v>
      </c>
      <c r="CF12">
        <f>COUNT($BF12:BF12)</f>
        <v>0</v>
      </c>
      <c r="CG12">
        <f>COUNT($BF12:BG12)</f>
        <v>0</v>
      </c>
      <c r="CH12">
        <f>COUNT($BF12:BH12)</f>
        <v>0</v>
      </c>
      <c r="CI12">
        <f>COUNT($BF12:BI12)</f>
        <v>0</v>
      </c>
      <c r="CJ12">
        <f>COUNT($BF12:BJ12)</f>
        <v>0</v>
      </c>
      <c r="CK12">
        <f>COUNT($BF12:BK12)</f>
        <v>0</v>
      </c>
      <c r="CL12">
        <f>COUNT($BF12:BL12)</f>
        <v>0</v>
      </c>
      <c r="CM12">
        <f>COUNT($BF12:BM12)</f>
        <v>0</v>
      </c>
      <c r="CN12">
        <f>COUNT($BF12:BN12)</f>
        <v>0</v>
      </c>
      <c r="CO12">
        <f>COUNT($BF12:BO12)</f>
        <v>0</v>
      </c>
      <c r="CP12">
        <f>COUNT($BF12:BP12)</f>
        <v>0</v>
      </c>
      <c r="CQ12">
        <f>COUNT($BF12:BQ12)</f>
        <v>1</v>
      </c>
      <c r="CS12" s="5">
        <f t="shared" si="45"/>
        <v>1</v>
      </c>
      <c r="CT12" s="100" t="str">
        <f t="shared" si="80"/>
        <v>10062Medicare A</v>
      </c>
      <c r="CU12" s="83">
        <f t="shared" si="46"/>
        <v>100</v>
      </c>
      <c r="CV12" s="83">
        <f t="shared" si="47"/>
        <v>62</v>
      </c>
      <c r="CX12">
        <f t="shared" si="81"/>
        <v>1</v>
      </c>
      <c r="CY12">
        <f t="shared" si="82"/>
        <v>1</v>
      </c>
      <c r="DA12" s="90" cm="1">
        <f t="array" ref="DA12">IF(DA$5&lt;=$CX12,INDEX($AS12:$BD12,1,_xlfn.XMATCH(DA$5,$BS12:$CD12)),"na")</f>
        <v>45658</v>
      </c>
      <c r="DB12" s="91" cm="1">
        <f t="array" ref="DB12">IF(DB$5&lt;=$CY12,INDEX($BF12:$BQ12,1,_xlfn.XMATCH(DB$5,$CF12:$CQ12)),"na")</f>
        <v>46022</v>
      </c>
      <c r="DC12" s="82" t="str">
        <f>_xlfn.XLOOKUP($CU12&amp;"-"&amp;$CV12&amp;$C12,REF!$K$2:$K$90,REF!B$2:B$90)</f>
        <v>MEDICAREA/MC HMO</v>
      </c>
      <c r="DD12" s="82" t="str">
        <f>_xlfn.XLOOKUP($CU12&amp;"-"&amp;$CV12&amp;$C12,REF!$K$2:$K$90,REF!C$2:C$90)</f>
        <v>MEDICARE A HIGHMARK</v>
      </c>
      <c r="DE12" s="82" t="str">
        <f>_xlfn.XLOOKUP($CU12&amp;"-"&amp;$CV12&amp;$C12,REF!$K$2:$K$90,REF!D$2:D$90)</f>
        <v>ASBURY METHODIST VILLAGE</v>
      </c>
      <c r="DF12" s="82" t="str">
        <f>_xlfn.XLOOKUP($CU12&amp;"-"&amp;$CV12&amp;$C12,REF!$K$2:$K$90,REF!E$2:E$90)</f>
        <v>SKILLED NURSING - Household</v>
      </c>
      <c r="DG12" s="82" t="str">
        <f>_xlfn.XLOOKUP($CU12&amp;"-"&amp;$CV12&amp;$C12,REF!$K$2:$K$90,REF!F$2:F$90)</f>
        <v>AMV - WILSON HEALTH CARE CENTER</v>
      </c>
      <c r="DH12" s="93" cm="1">
        <f t="array" ref="DH12">IF(DH$5&lt;=$CX12,INDEX($AF12:$AQ12,1,_xlfn.XMATCH(DH$5,$BS12:$CD12)),"na")</f>
        <v>34.001999999999995</v>
      </c>
      <c r="DI12" s="90" t="str" cm="1">
        <f t="array" ref="DI12">IF(DI$5&lt;=$CX12,INDEX($AS12:$BD12,1,_xlfn.XMATCH(DI$5,$BS12:$CD12)),"na")</f>
        <v>na</v>
      </c>
      <c r="DJ12" s="91" t="str" cm="1">
        <f t="array" ref="DJ12">IF(DJ$5&lt;=$CY12,INDEX($BF12:$BQ12,1,_xlfn.XMATCH(DJ$5,$CF12:$CQ12)),"na")</f>
        <v>na</v>
      </c>
      <c r="DK12" s="101" t="str">
        <f t="shared" si="83"/>
        <v>MEDICAREA/MC HMO</v>
      </c>
      <c r="DL12" s="101" t="str">
        <f t="shared" si="48"/>
        <v>MEDICARE A HIGHMARK</v>
      </c>
      <c r="DM12" s="101" t="str">
        <f t="shared" si="49"/>
        <v>ASBURY METHODIST VILLAGE</v>
      </c>
      <c r="DN12" s="101" t="str">
        <f t="shared" si="50"/>
        <v>SKILLED NURSING - Household</v>
      </c>
      <c r="DO12" s="101" t="str">
        <f t="shared" si="51"/>
        <v>AMV - WILSON HEALTH CARE CENTER</v>
      </c>
      <c r="DP12" s="93" t="str" cm="1">
        <f t="array" ref="DP12">IF(DP$5&lt;=$CX12,INDEX($AF12:$AQ12,1,_xlfn.XMATCH(DP$5,$BS12:$CD12)),"na")</f>
        <v>na</v>
      </c>
      <c r="DQ12" s="90" t="str" cm="1">
        <f t="array" ref="DQ12">IF(DQ$5&lt;=$CX12,INDEX($AS12:$BD12,1,_xlfn.XMATCH(DQ$5,$BS12:$CD12)),"na")</f>
        <v>na</v>
      </c>
      <c r="DR12" s="91" t="str" cm="1">
        <f t="array" ref="DR12">IF(DR$5&lt;=$CY12,INDEX($BF12:$BQ12,1,_xlfn.XMATCH(DR$5,$CF12:$CQ12)),"na")</f>
        <v>na</v>
      </c>
      <c r="DS12" s="101" t="str">
        <f t="shared" si="84"/>
        <v>MEDICAREA/MC HMO</v>
      </c>
      <c r="DT12" s="101" t="str">
        <f t="shared" si="52"/>
        <v>MEDICARE A HIGHMARK</v>
      </c>
      <c r="DU12" s="101" t="str">
        <f t="shared" si="53"/>
        <v>ASBURY METHODIST VILLAGE</v>
      </c>
      <c r="DV12" s="101" t="str">
        <f t="shared" si="54"/>
        <v>SKILLED NURSING - Household</v>
      </c>
      <c r="DW12" s="101" t="str">
        <f t="shared" si="55"/>
        <v>AMV - WILSON HEALTH CARE CENTER</v>
      </c>
      <c r="DX12" s="93" t="str" cm="1">
        <f t="array" ref="DX12">IF(DX$5&lt;=$CX12,INDEX($AF12:$AQ12,1,_xlfn.XMATCH(DX$5,$BS12:$CD12)),"na")</f>
        <v>na</v>
      </c>
      <c r="DY12" s="90" t="str" cm="1">
        <f t="array" ref="DY12">IF(DY$5&lt;=$CX12,INDEX($AS12:$BD12,1,_xlfn.XMATCH(DY$5,$BS12:$CD12)),"na")</f>
        <v>na</v>
      </c>
      <c r="DZ12" s="91" t="str" cm="1">
        <f t="array" ref="DZ12">IF(DZ$5&lt;=$CY12,INDEX($BF12:$BQ12,1,_xlfn.XMATCH(DZ$5,$CF12:$CQ12)),"na")</f>
        <v>na</v>
      </c>
      <c r="EA12" s="101" t="str">
        <f t="shared" si="85"/>
        <v>MEDICAREA/MC HMO</v>
      </c>
      <c r="EB12" s="101" t="str">
        <f t="shared" si="56"/>
        <v>MEDICARE A HIGHMARK</v>
      </c>
      <c r="EC12" s="101" t="str">
        <f t="shared" si="57"/>
        <v>ASBURY METHODIST VILLAGE</v>
      </c>
      <c r="ED12" s="101" t="str">
        <f t="shared" si="58"/>
        <v>SKILLED NURSING - Household</v>
      </c>
      <c r="EE12" s="101" t="str">
        <f t="shared" si="59"/>
        <v>AMV - WILSON HEALTH CARE CENTER</v>
      </c>
      <c r="EF12" s="93" t="str" cm="1">
        <f t="array" ref="EF12">IF(EF$5&lt;=$CX12,INDEX($AF12:$AQ12,1,_xlfn.XMATCH(EF$5,$BS12:$CD12)),"na")</f>
        <v>na</v>
      </c>
      <c r="EG12" s="90" t="str" cm="1">
        <f t="array" ref="EG12">IF(EG$5&lt;=$CX12,INDEX($AS12:$BD12,1,_xlfn.XMATCH(EG$5,$BS12:$CD12)),"na")</f>
        <v>na</v>
      </c>
      <c r="EH12" s="91" t="str" cm="1">
        <f t="array" ref="EH12">IF(EH$5&lt;=$CY12,INDEX($BF12:$BQ12,1,_xlfn.XMATCH(EH$5,$CF12:$CQ12)),"na")</f>
        <v>na</v>
      </c>
      <c r="EI12" s="101" t="str">
        <f t="shared" si="86"/>
        <v>MEDICAREA/MC HMO</v>
      </c>
      <c r="EJ12" s="101" t="str">
        <f t="shared" si="60"/>
        <v>MEDICARE A HIGHMARK</v>
      </c>
      <c r="EK12" s="101" t="str">
        <f t="shared" si="61"/>
        <v>ASBURY METHODIST VILLAGE</v>
      </c>
      <c r="EL12" s="101" t="str">
        <f t="shared" si="62"/>
        <v>SKILLED NURSING - Household</v>
      </c>
      <c r="EM12" s="101" t="str">
        <f t="shared" si="63"/>
        <v>AMV - WILSON HEALTH CARE CENTER</v>
      </c>
      <c r="EN12" s="93" t="str" cm="1">
        <f t="array" ref="EN12">IF(EN$5&lt;=$CX12,INDEX($AF12:$AQ12,1,_xlfn.XMATCH(EN$5,$BS12:$CD12)),"na")</f>
        <v>na</v>
      </c>
      <c r="EO12" s="90" t="str" cm="1">
        <f t="array" ref="EO12">IF(EO$5&lt;=$CX12,INDEX($AS12:$BD12,1,_xlfn.XMATCH(EO$5,$BS12:$CD12)),"na")</f>
        <v>na</v>
      </c>
      <c r="EP12" s="91" t="str" cm="1">
        <f t="array" ref="EP12">IF(EP$5&lt;=$CY12,INDEX($BF12:$BQ12,1,_xlfn.XMATCH(EP$5,$CF12:$CQ12)),"na")</f>
        <v>na</v>
      </c>
      <c r="EQ12" s="101" t="str">
        <f t="shared" si="87"/>
        <v>MEDICAREA/MC HMO</v>
      </c>
      <c r="ER12" s="101" t="str">
        <f t="shared" si="64"/>
        <v>MEDICARE A HIGHMARK</v>
      </c>
      <c r="ES12" s="101" t="str">
        <f t="shared" si="65"/>
        <v>ASBURY METHODIST VILLAGE</v>
      </c>
      <c r="ET12" s="101" t="str">
        <f t="shared" si="66"/>
        <v>SKILLED NURSING - Household</v>
      </c>
      <c r="EU12" s="101" t="str">
        <f t="shared" si="67"/>
        <v>AMV - WILSON HEALTH CARE CENTER</v>
      </c>
      <c r="EV12" s="93" t="str" cm="1">
        <f t="array" ref="EV12">IF(EV$5&lt;=$CX12,INDEX($AF12:$AQ12,1,_xlfn.XMATCH(EV$5,$BS12:$CD12)),"na")</f>
        <v>na</v>
      </c>
    </row>
    <row r="13" spans="1:152" x14ac:dyDescent="0.25">
      <c r="A13" s="60" t="s">
        <v>207</v>
      </c>
      <c r="B13" s="43" t="s">
        <v>201</v>
      </c>
      <c r="C13" s="43" t="s">
        <v>45</v>
      </c>
      <c r="D13" s="4">
        <v>279</v>
      </c>
      <c r="E13" s="4">
        <v>252</v>
      </c>
      <c r="F13" s="4">
        <v>279</v>
      </c>
      <c r="G13" s="4">
        <v>270</v>
      </c>
      <c r="H13" s="4">
        <v>279</v>
      </c>
      <c r="I13" s="4">
        <v>270</v>
      </c>
      <c r="J13" s="4">
        <v>279</v>
      </c>
      <c r="K13" s="4">
        <v>279</v>
      </c>
      <c r="L13" s="4">
        <v>270</v>
      </c>
      <c r="M13" s="4">
        <v>279</v>
      </c>
      <c r="N13" s="4">
        <v>270</v>
      </c>
      <c r="O13" s="4">
        <v>279</v>
      </c>
      <c r="AF13" s="7">
        <f t="shared" si="22"/>
        <v>9</v>
      </c>
      <c r="AG13" s="7">
        <f t="shared" si="23"/>
        <v>9</v>
      </c>
      <c r="AH13" s="7">
        <f t="shared" si="24"/>
        <v>9</v>
      </c>
      <c r="AI13" s="7">
        <f t="shared" si="25"/>
        <v>9</v>
      </c>
      <c r="AJ13" s="7">
        <f t="shared" si="26"/>
        <v>9</v>
      </c>
      <c r="AK13" s="7">
        <f t="shared" si="27"/>
        <v>9</v>
      </c>
      <c r="AL13" s="7">
        <f t="shared" si="28"/>
        <v>9</v>
      </c>
      <c r="AM13" s="7">
        <f t="shared" si="29"/>
        <v>9</v>
      </c>
      <c r="AN13" s="7">
        <f t="shared" si="30"/>
        <v>9</v>
      </c>
      <c r="AO13" s="7">
        <f t="shared" si="31"/>
        <v>9</v>
      </c>
      <c r="AP13" s="7">
        <f t="shared" si="32"/>
        <v>9</v>
      </c>
      <c r="AQ13" s="7">
        <f t="shared" si="33"/>
        <v>9</v>
      </c>
      <c r="AS13" s="86">
        <f>_xlfn.XLOOKUP(AS$5,'OC-Days'!$G:$G,'OC-Days'!$F:$F)</f>
        <v>45658</v>
      </c>
      <c r="AT13" s="87" t="str">
        <f>IF(AG13=AF13,"na",_xlfn.XLOOKUP(AT$5,'OC-Days'!$G:$G,'OC-Days'!$F:$F))</f>
        <v>na</v>
      </c>
      <c r="AU13" s="87" t="str">
        <f>IF(AH13=AG13,"na",_xlfn.XLOOKUP(AU$5,'OC-Days'!$G:$G,'OC-Days'!$F:$F))</f>
        <v>na</v>
      </c>
      <c r="AV13" s="87" t="str">
        <f>IF(AI13=AH13,"na",_xlfn.XLOOKUP(AV$5,'OC-Days'!$G:$G,'OC-Days'!$F:$F))</f>
        <v>na</v>
      </c>
      <c r="AW13" s="87" t="str">
        <f>IF(AJ13=AI13,"na",_xlfn.XLOOKUP(AW$5,'OC-Days'!$G:$G,'OC-Days'!$F:$F))</f>
        <v>na</v>
      </c>
      <c r="AX13" s="87" t="str">
        <f>IF(AK13=AJ13,"na",_xlfn.XLOOKUP(AX$5,'OC-Days'!$G:$G,'OC-Days'!$F:$F))</f>
        <v>na</v>
      </c>
      <c r="AY13" s="87" t="str">
        <f>IF(AL13=AK13,"na",_xlfn.XLOOKUP(AY$5,'OC-Days'!$G:$G,'OC-Days'!$F:$F))</f>
        <v>na</v>
      </c>
      <c r="AZ13" s="87" t="str">
        <f>IF(AM13=AL13,"na",_xlfn.XLOOKUP(AZ$5,'OC-Days'!$G:$G,'OC-Days'!$F:$F))</f>
        <v>na</v>
      </c>
      <c r="BA13" s="87" t="str">
        <f>IF(AN13=AM13,"na",_xlfn.XLOOKUP(BA$5,'OC-Days'!$G:$G,'OC-Days'!$F:$F))</f>
        <v>na</v>
      </c>
      <c r="BB13" s="87" t="str">
        <f>IF(AO13=AN13,"na",_xlfn.XLOOKUP(BB$5,'OC-Days'!$G:$G,'OC-Days'!$F:$F))</f>
        <v>na</v>
      </c>
      <c r="BC13" s="87" t="str">
        <f>IF(AP13=AO13,"na",_xlfn.XLOOKUP(BC$5,'OC-Days'!$G:$G,'OC-Days'!$F:$F))</f>
        <v>na</v>
      </c>
      <c r="BD13" s="87" t="str">
        <f>IF(AQ13=AP13,"na",_xlfn.XLOOKUP(BD$5,'OC-Days'!$G:$G,'OC-Days'!$F:$F))</f>
        <v>na</v>
      </c>
      <c r="BF13" s="88" t="str">
        <f t="shared" si="68"/>
        <v>na</v>
      </c>
      <c r="BG13" s="88" t="str">
        <f t="shared" si="69"/>
        <v>na</v>
      </c>
      <c r="BH13" s="88" t="str">
        <f t="shared" si="70"/>
        <v>na</v>
      </c>
      <c r="BI13" s="88" t="str">
        <f t="shared" si="71"/>
        <v>na</v>
      </c>
      <c r="BJ13" s="88" t="str">
        <f t="shared" si="72"/>
        <v>na</v>
      </c>
      <c r="BK13" s="88" t="str">
        <f t="shared" si="73"/>
        <v>na</v>
      </c>
      <c r="BL13" s="88" t="str">
        <f t="shared" si="74"/>
        <v>na</v>
      </c>
      <c r="BM13" s="88" t="str">
        <f t="shared" si="75"/>
        <v>na</v>
      </c>
      <c r="BN13" s="88" t="str">
        <f t="shared" si="76"/>
        <v>na</v>
      </c>
      <c r="BO13" s="88" t="str">
        <f t="shared" si="77"/>
        <v>na</v>
      </c>
      <c r="BP13" s="88" t="str">
        <f t="shared" si="78"/>
        <v>na</v>
      </c>
      <c r="BQ13" s="89">
        <f t="shared" si="79"/>
        <v>46022</v>
      </c>
      <c r="BS13">
        <f>COUNT($AS13:AS13)</f>
        <v>1</v>
      </c>
      <c r="BT13">
        <f>COUNT($AS13:AT13)</f>
        <v>1</v>
      </c>
      <c r="BU13">
        <f>COUNT($AS13:AU13)</f>
        <v>1</v>
      </c>
      <c r="BV13">
        <f>COUNT($AS13:AV13)</f>
        <v>1</v>
      </c>
      <c r="BW13">
        <f>COUNT($AS13:AW13)</f>
        <v>1</v>
      </c>
      <c r="BX13">
        <f>COUNT($AS13:AX13)</f>
        <v>1</v>
      </c>
      <c r="BY13">
        <f>COUNT($AS13:AY13)</f>
        <v>1</v>
      </c>
      <c r="BZ13">
        <f>COUNT($AS13:AZ13)</f>
        <v>1</v>
      </c>
      <c r="CA13">
        <f>COUNT($AS13:BA13)</f>
        <v>1</v>
      </c>
      <c r="CB13">
        <f>COUNT($AS13:BB13)</f>
        <v>1</v>
      </c>
      <c r="CC13">
        <f>COUNT($AS13:BC13)</f>
        <v>1</v>
      </c>
      <c r="CD13">
        <f>COUNT($AS13:BD13)</f>
        <v>1</v>
      </c>
      <c r="CF13">
        <f>COUNT($BF13:BF13)</f>
        <v>0</v>
      </c>
      <c r="CG13">
        <f>COUNT($BF13:BG13)</f>
        <v>0</v>
      </c>
      <c r="CH13">
        <f>COUNT($BF13:BH13)</f>
        <v>0</v>
      </c>
      <c r="CI13">
        <f>COUNT($BF13:BI13)</f>
        <v>0</v>
      </c>
      <c r="CJ13">
        <f>COUNT($BF13:BJ13)</f>
        <v>0</v>
      </c>
      <c r="CK13">
        <f>COUNT($BF13:BK13)</f>
        <v>0</v>
      </c>
      <c r="CL13">
        <f>COUNT($BF13:BL13)</f>
        <v>0</v>
      </c>
      <c r="CM13">
        <f>COUNT($BF13:BM13)</f>
        <v>0</v>
      </c>
      <c r="CN13">
        <f>COUNT($BF13:BN13)</f>
        <v>0</v>
      </c>
      <c r="CO13">
        <f>COUNT($BF13:BO13)</f>
        <v>0</v>
      </c>
      <c r="CP13">
        <f>COUNT($BF13:BP13)</f>
        <v>0</v>
      </c>
      <c r="CQ13">
        <f>COUNT($BF13:BQ13)</f>
        <v>1</v>
      </c>
      <c r="CS13" s="5">
        <f t="shared" si="45"/>
        <v>1</v>
      </c>
      <c r="CT13" s="100" t="str">
        <f t="shared" si="80"/>
        <v>10062Medicare Advantage</v>
      </c>
      <c r="CU13" s="83">
        <f t="shared" si="46"/>
        <v>100</v>
      </c>
      <c r="CV13" s="83">
        <f t="shared" si="47"/>
        <v>62</v>
      </c>
      <c r="CX13">
        <f t="shared" si="81"/>
        <v>1</v>
      </c>
      <c r="CY13">
        <f t="shared" si="82"/>
        <v>1</v>
      </c>
      <c r="DA13" s="90" cm="1">
        <f t="array" ref="DA13">IF(DA$5&lt;=$CX13,INDEX($AS13:$BD13,1,_xlfn.XMATCH(DA$5,$BS13:$CD13)),"na")</f>
        <v>45658</v>
      </c>
      <c r="DB13" s="91" cm="1">
        <f t="array" ref="DB13">IF(DB$5&lt;=$CY13,INDEX($BF13:$BQ13,1,_xlfn.XMATCH(DB$5,$CF13:$CQ13)),"na")</f>
        <v>46022</v>
      </c>
      <c r="DC13" s="82" t="str">
        <f>_xlfn.XLOOKUP($CU13&amp;"-"&amp;$CV13&amp;$C13,REF!$K$2:$K$90,REF!B$2:B$90)</f>
        <v>Medicare Advantage</v>
      </c>
      <c r="DD13" s="82" t="str">
        <f>_xlfn.XLOOKUP($CU13&amp;"-"&amp;$CV13&amp;$C13,REF!$K$2:$K$90,REF!C$2:C$90)</f>
        <v>Med Adv HMO A</v>
      </c>
      <c r="DE13" s="82" t="str">
        <f>_xlfn.XLOOKUP($CU13&amp;"-"&amp;$CV13&amp;$C13,REF!$K$2:$K$90,REF!D$2:D$90)</f>
        <v>ASBURY METHODIST VILLAGE</v>
      </c>
      <c r="DF13" s="82" t="str">
        <f>_xlfn.XLOOKUP($CU13&amp;"-"&amp;$CV13&amp;$C13,REF!$K$2:$K$90,REF!E$2:E$90)</f>
        <v>SKILLED NURSING - Household</v>
      </c>
      <c r="DG13" s="82" t="str">
        <f>_xlfn.XLOOKUP($CU13&amp;"-"&amp;$CV13&amp;$C13,REF!$K$2:$K$90,REF!F$2:F$90)</f>
        <v>AMV - WILSON HEALTH CARE CENTER</v>
      </c>
      <c r="DH13" s="93" cm="1">
        <f t="array" ref="DH13">IF(DH$5&lt;=$CX13,INDEX($AF13:$AQ13,1,_xlfn.XMATCH(DH$5,$BS13:$CD13)),"na")</f>
        <v>9</v>
      </c>
      <c r="DI13" s="90" t="str" cm="1">
        <f t="array" ref="DI13">IF(DI$5&lt;=$CX13,INDEX($AS13:$BD13,1,_xlfn.XMATCH(DI$5,$BS13:$CD13)),"na")</f>
        <v>na</v>
      </c>
      <c r="DJ13" s="91" t="str" cm="1">
        <f t="array" ref="DJ13">IF(DJ$5&lt;=$CY13,INDEX($BF13:$BQ13,1,_xlfn.XMATCH(DJ$5,$CF13:$CQ13)),"na")</f>
        <v>na</v>
      </c>
      <c r="DK13" s="101" t="str">
        <f t="shared" si="83"/>
        <v>Medicare Advantage</v>
      </c>
      <c r="DL13" s="101" t="str">
        <f t="shared" si="48"/>
        <v>Med Adv HMO A</v>
      </c>
      <c r="DM13" s="101" t="str">
        <f t="shared" si="49"/>
        <v>ASBURY METHODIST VILLAGE</v>
      </c>
      <c r="DN13" s="101" t="str">
        <f t="shared" si="50"/>
        <v>SKILLED NURSING - Household</v>
      </c>
      <c r="DO13" s="101" t="str">
        <f t="shared" si="51"/>
        <v>AMV - WILSON HEALTH CARE CENTER</v>
      </c>
      <c r="DP13" s="93" t="str" cm="1">
        <f t="array" ref="DP13">IF(DP$5&lt;=$CX13,INDEX($AF13:$AQ13,1,_xlfn.XMATCH(DP$5,$BS13:$CD13)),"na")</f>
        <v>na</v>
      </c>
      <c r="DQ13" s="90" t="str" cm="1">
        <f t="array" ref="DQ13">IF(DQ$5&lt;=$CX13,INDEX($AS13:$BD13,1,_xlfn.XMATCH(DQ$5,$BS13:$CD13)),"na")</f>
        <v>na</v>
      </c>
      <c r="DR13" s="91" t="str" cm="1">
        <f t="array" ref="DR13">IF(DR$5&lt;=$CY13,INDEX($BF13:$BQ13,1,_xlfn.XMATCH(DR$5,$CF13:$CQ13)),"na")</f>
        <v>na</v>
      </c>
      <c r="DS13" s="101" t="str">
        <f t="shared" si="84"/>
        <v>Medicare Advantage</v>
      </c>
      <c r="DT13" s="101" t="str">
        <f t="shared" si="52"/>
        <v>Med Adv HMO A</v>
      </c>
      <c r="DU13" s="101" t="str">
        <f t="shared" si="53"/>
        <v>ASBURY METHODIST VILLAGE</v>
      </c>
      <c r="DV13" s="101" t="str">
        <f t="shared" si="54"/>
        <v>SKILLED NURSING - Household</v>
      </c>
      <c r="DW13" s="101" t="str">
        <f t="shared" si="55"/>
        <v>AMV - WILSON HEALTH CARE CENTER</v>
      </c>
      <c r="DX13" s="93" t="str" cm="1">
        <f t="array" ref="DX13">IF(DX$5&lt;=$CX13,INDEX($AF13:$AQ13,1,_xlfn.XMATCH(DX$5,$BS13:$CD13)),"na")</f>
        <v>na</v>
      </c>
      <c r="DY13" s="90" t="str" cm="1">
        <f t="array" ref="DY13">IF(DY$5&lt;=$CX13,INDEX($AS13:$BD13,1,_xlfn.XMATCH(DY$5,$BS13:$CD13)),"na")</f>
        <v>na</v>
      </c>
      <c r="DZ13" s="91" t="str" cm="1">
        <f t="array" ref="DZ13">IF(DZ$5&lt;=$CY13,INDEX($BF13:$BQ13,1,_xlfn.XMATCH(DZ$5,$CF13:$CQ13)),"na")</f>
        <v>na</v>
      </c>
      <c r="EA13" s="101" t="str">
        <f t="shared" si="85"/>
        <v>Medicare Advantage</v>
      </c>
      <c r="EB13" s="101" t="str">
        <f t="shared" si="56"/>
        <v>Med Adv HMO A</v>
      </c>
      <c r="EC13" s="101" t="str">
        <f t="shared" si="57"/>
        <v>ASBURY METHODIST VILLAGE</v>
      </c>
      <c r="ED13" s="101" t="str">
        <f t="shared" si="58"/>
        <v>SKILLED NURSING - Household</v>
      </c>
      <c r="EE13" s="101" t="str">
        <f t="shared" si="59"/>
        <v>AMV - WILSON HEALTH CARE CENTER</v>
      </c>
      <c r="EF13" s="93" t="str" cm="1">
        <f t="array" ref="EF13">IF(EF$5&lt;=$CX13,INDEX($AF13:$AQ13,1,_xlfn.XMATCH(EF$5,$BS13:$CD13)),"na")</f>
        <v>na</v>
      </c>
      <c r="EG13" s="90" t="str" cm="1">
        <f t="array" ref="EG13">IF(EG$5&lt;=$CX13,INDEX($AS13:$BD13,1,_xlfn.XMATCH(EG$5,$BS13:$CD13)),"na")</f>
        <v>na</v>
      </c>
      <c r="EH13" s="91" t="str" cm="1">
        <f t="array" ref="EH13">IF(EH$5&lt;=$CY13,INDEX($BF13:$BQ13,1,_xlfn.XMATCH(EH$5,$CF13:$CQ13)),"na")</f>
        <v>na</v>
      </c>
      <c r="EI13" s="101" t="str">
        <f t="shared" si="86"/>
        <v>Medicare Advantage</v>
      </c>
      <c r="EJ13" s="101" t="str">
        <f t="shared" si="60"/>
        <v>Med Adv HMO A</v>
      </c>
      <c r="EK13" s="101" t="str">
        <f t="shared" si="61"/>
        <v>ASBURY METHODIST VILLAGE</v>
      </c>
      <c r="EL13" s="101" t="str">
        <f t="shared" si="62"/>
        <v>SKILLED NURSING - Household</v>
      </c>
      <c r="EM13" s="101" t="str">
        <f t="shared" si="63"/>
        <v>AMV - WILSON HEALTH CARE CENTER</v>
      </c>
      <c r="EN13" s="93" t="str" cm="1">
        <f t="array" ref="EN13">IF(EN$5&lt;=$CX13,INDEX($AF13:$AQ13,1,_xlfn.XMATCH(EN$5,$BS13:$CD13)),"na")</f>
        <v>na</v>
      </c>
      <c r="EO13" s="90" t="str" cm="1">
        <f t="array" ref="EO13">IF(EO$5&lt;=$CX13,INDEX($AS13:$BD13,1,_xlfn.XMATCH(EO$5,$BS13:$CD13)),"na")</f>
        <v>na</v>
      </c>
      <c r="EP13" s="91" t="str" cm="1">
        <f t="array" ref="EP13">IF(EP$5&lt;=$CY13,INDEX($BF13:$BQ13,1,_xlfn.XMATCH(EP$5,$CF13:$CQ13)),"na")</f>
        <v>na</v>
      </c>
      <c r="EQ13" s="101" t="str">
        <f t="shared" si="87"/>
        <v>Medicare Advantage</v>
      </c>
      <c r="ER13" s="101" t="str">
        <f t="shared" si="64"/>
        <v>Med Adv HMO A</v>
      </c>
      <c r="ES13" s="101" t="str">
        <f t="shared" si="65"/>
        <v>ASBURY METHODIST VILLAGE</v>
      </c>
      <c r="ET13" s="101" t="str">
        <f t="shared" si="66"/>
        <v>SKILLED NURSING - Household</v>
      </c>
      <c r="EU13" s="101" t="str">
        <f t="shared" si="67"/>
        <v>AMV - WILSON HEALTH CARE CENTER</v>
      </c>
      <c r="EV13" s="93" t="str" cm="1">
        <f t="array" ref="EV13">IF(EV$5&lt;=$CX13,INDEX($AF13:$AQ13,1,_xlfn.XMATCH(EV$5,$BS13:$CD13)),"na")</f>
        <v>na</v>
      </c>
    </row>
    <row r="14" spans="1:152" hidden="1" x14ac:dyDescent="0.25">
      <c r="A14" s="60" t="s">
        <v>207</v>
      </c>
      <c r="B14" s="43" t="s">
        <v>202</v>
      </c>
      <c r="C14" s="43" t="s">
        <v>89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Q14" t="s">
        <v>199</v>
      </c>
      <c r="R14" t="s">
        <v>290</v>
      </c>
      <c r="S14" s="64">
        <f>SUMIFS('OC-Res Days'!B$6:B$75,'OC-Res Days'!$A$6:$A$75,$Q14)</f>
        <v>4123</v>
      </c>
      <c r="T14" s="64">
        <f>SUMIFS('OC-Res Days'!C$6:C$75,'OC-Res Days'!$A$6:$A$75,$Q14)</f>
        <v>3724</v>
      </c>
      <c r="U14" s="64">
        <f>SUMIFS('OC-Res Days'!D$6:D$75,'OC-Res Days'!$A$6:$A$75,$Q14)</f>
        <v>4123</v>
      </c>
      <c r="V14" s="64">
        <f>SUMIFS('OC-Res Days'!E$6:E$75,'OC-Res Days'!$A$6:$A$75,$Q14)</f>
        <v>3990</v>
      </c>
      <c r="W14" s="64">
        <f>SUMIFS('OC-Res Days'!F$6:F$75,'OC-Res Days'!$A$6:$A$75,$Q14)</f>
        <v>4123</v>
      </c>
      <c r="X14" s="64">
        <f>SUMIFS('OC-Res Days'!G$6:G$75,'OC-Res Days'!$A$6:$A$75,$Q14)</f>
        <v>3990</v>
      </c>
      <c r="Y14" s="64">
        <f>SUMIFS('OC-Res Days'!H$6:H$75,'OC-Res Days'!$A$6:$A$75,$Q14)</f>
        <v>4123</v>
      </c>
      <c r="Z14" s="64">
        <f>SUMIFS('OC-Res Days'!I$6:I$75,'OC-Res Days'!$A$6:$A$75,$Q14)</f>
        <v>4123</v>
      </c>
      <c r="AA14" s="64">
        <f>SUMIFS('OC-Res Days'!J$6:J$75,'OC-Res Days'!$A$6:$A$75,$Q14)</f>
        <v>3990</v>
      </c>
      <c r="AB14" s="64">
        <f>SUMIFS('OC-Res Days'!K$6:K$75,'OC-Res Days'!$A$6:$A$75,$Q14)</f>
        <v>4123</v>
      </c>
      <c r="AC14" s="64">
        <f>SUMIFS('OC-Res Days'!L$6:L$75,'OC-Res Days'!$A$6:$A$75,$Q14)</f>
        <v>3990</v>
      </c>
      <c r="AD14" s="64">
        <f>SUMIFS('OC-Res Days'!M$6:M$75,'OC-Res Days'!$A$6:$A$75,$Q14)</f>
        <v>4123</v>
      </c>
      <c r="AF14" s="7">
        <f t="shared" si="22"/>
        <v>0</v>
      </c>
      <c r="AG14" s="7">
        <f t="shared" si="23"/>
        <v>0</v>
      </c>
      <c r="AH14" s="7">
        <f t="shared" si="24"/>
        <v>0</v>
      </c>
      <c r="AI14" s="7">
        <f t="shared" si="25"/>
        <v>0</v>
      </c>
      <c r="AJ14" s="7">
        <f t="shared" si="26"/>
        <v>0</v>
      </c>
      <c r="AK14" s="7">
        <f t="shared" si="27"/>
        <v>0</v>
      </c>
      <c r="AL14" s="7">
        <f t="shared" si="28"/>
        <v>0</v>
      </c>
      <c r="AM14" s="7">
        <f t="shared" si="29"/>
        <v>0</v>
      </c>
      <c r="AN14" s="7">
        <f t="shared" si="30"/>
        <v>0</v>
      </c>
      <c r="AO14" s="7">
        <f t="shared" si="31"/>
        <v>0</v>
      </c>
      <c r="AP14" s="7">
        <f t="shared" si="32"/>
        <v>0</v>
      </c>
      <c r="AQ14" s="7">
        <f t="shared" si="33"/>
        <v>0</v>
      </c>
      <c r="AS14" s="86">
        <f>_xlfn.XLOOKUP(AS$5,'OC-Days'!$G:$G,'OC-Days'!$F:$F)</f>
        <v>45658</v>
      </c>
      <c r="AT14" s="87" t="str">
        <f>IF(AG14=AF14,"na",_xlfn.XLOOKUP(AT$5,'OC-Days'!$G:$G,'OC-Days'!$F:$F))</f>
        <v>na</v>
      </c>
      <c r="AU14" s="87" t="str">
        <f>IF(AH14=AG14,"na",_xlfn.XLOOKUP(AU$5,'OC-Days'!$G:$G,'OC-Days'!$F:$F))</f>
        <v>na</v>
      </c>
      <c r="AV14" s="87" t="str">
        <f>IF(AI14=AH14,"na",_xlfn.XLOOKUP(AV$5,'OC-Days'!$G:$G,'OC-Days'!$F:$F))</f>
        <v>na</v>
      </c>
      <c r="AW14" s="87" t="str">
        <f>IF(AJ14=AI14,"na",_xlfn.XLOOKUP(AW$5,'OC-Days'!$G:$G,'OC-Days'!$F:$F))</f>
        <v>na</v>
      </c>
      <c r="AX14" s="87" t="str">
        <f>IF(AK14=AJ14,"na",_xlfn.XLOOKUP(AX$5,'OC-Days'!$G:$G,'OC-Days'!$F:$F))</f>
        <v>na</v>
      </c>
      <c r="AY14" s="87" t="str">
        <f>IF(AL14=AK14,"na",_xlfn.XLOOKUP(AY$5,'OC-Days'!$G:$G,'OC-Days'!$F:$F))</f>
        <v>na</v>
      </c>
      <c r="AZ14" s="87" t="str">
        <f>IF(AM14=AL14,"na",_xlfn.XLOOKUP(AZ$5,'OC-Days'!$G:$G,'OC-Days'!$F:$F))</f>
        <v>na</v>
      </c>
      <c r="BA14" s="87" t="str">
        <f>IF(AN14=AM14,"na",_xlfn.XLOOKUP(BA$5,'OC-Days'!$G:$G,'OC-Days'!$F:$F))</f>
        <v>na</v>
      </c>
      <c r="BB14" s="87" t="str">
        <f>IF(AO14=AN14,"na",_xlfn.XLOOKUP(BB$5,'OC-Days'!$G:$G,'OC-Days'!$F:$F))</f>
        <v>na</v>
      </c>
      <c r="BC14" s="87" t="str">
        <f>IF(AP14=AO14,"na",_xlfn.XLOOKUP(BC$5,'OC-Days'!$G:$G,'OC-Days'!$F:$F))</f>
        <v>na</v>
      </c>
      <c r="BD14" s="87" t="str">
        <f>IF(AQ14=AP14,"na",_xlfn.XLOOKUP(BD$5,'OC-Days'!$G:$G,'OC-Days'!$F:$F))</f>
        <v>na</v>
      </c>
      <c r="BF14" s="88" t="str">
        <f t="shared" si="68"/>
        <v>na</v>
      </c>
      <c r="BG14" s="88" t="str">
        <f t="shared" si="69"/>
        <v>na</v>
      </c>
      <c r="BH14" s="88" t="str">
        <f t="shared" si="70"/>
        <v>na</v>
      </c>
      <c r="BI14" s="88" t="str">
        <f t="shared" si="71"/>
        <v>na</v>
      </c>
      <c r="BJ14" s="88" t="str">
        <f t="shared" si="72"/>
        <v>na</v>
      </c>
      <c r="BK14" s="88" t="str">
        <f t="shared" si="73"/>
        <v>na</v>
      </c>
      <c r="BL14" s="88" t="str">
        <f t="shared" si="74"/>
        <v>na</v>
      </c>
      <c r="BM14" s="88" t="str">
        <f t="shared" si="75"/>
        <v>na</v>
      </c>
      <c r="BN14" s="88" t="str">
        <f t="shared" si="76"/>
        <v>na</v>
      </c>
      <c r="BO14" s="88" t="str">
        <f t="shared" si="77"/>
        <v>na</v>
      </c>
      <c r="BP14" s="88" t="str">
        <f t="shared" si="78"/>
        <v>na</v>
      </c>
      <c r="BQ14" s="89">
        <f t="shared" si="79"/>
        <v>46022</v>
      </c>
      <c r="BS14">
        <f>COUNT($AS14:AS14)</f>
        <v>1</v>
      </c>
      <c r="BT14">
        <f>COUNT($AS14:AT14)</f>
        <v>1</v>
      </c>
      <c r="BU14">
        <f>COUNT($AS14:AU14)</f>
        <v>1</v>
      </c>
      <c r="BV14">
        <f>COUNT($AS14:AV14)</f>
        <v>1</v>
      </c>
      <c r="BW14">
        <f>COUNT($AS14:AW14)</f>
        <v>1</v>
      </c>
      <c r="BX14">
        <f>COUNT($AS14:AX14)</f>
        <v>1</v>
      </c>
      <c r="BY14">
        <f>COUNT($AS14:AY14)</f>
        <v>1</v>
      </c>
      <c r="BZ14">
        <f>COUNT($AS14:AZ14)</f>
        <v>1</v>
      </c>
      <c r="CA14">
        <f>COUNT($AS14:BA14)</f>
        <v>1</v>
      </c>
      <c r="CB14">
        <f>COUNT($AS14:BB14)</f>
        <v>1</v>
      </c>
      <c r="CC14">
        <f>COUNT($AS14:BC14)</f>
        <v>1</v>
      </c>
      <c r="CD14">
        <f>COUNT($AS14:BD14)</f>
        <v>1</v>
      </c>
      <c r="CF14">
        <f>COUNT($BF14:BF14)</f>
        <v>0</v>
      </c>
      <c r="CG14">
        <f>COUNT($BF14:BG14)</f>
        <v>0</v>
      </c>
      <c r="CH14">
        <f>COUNT($BF14:BH14)</f>
        <v>0</v>
      </c>
      <c r="CI14">
        <f>COUNT($BF14:BI14)</f>
        <v>0</v>
      </c>
      <c r="CJ14">
        <f>COUNT($BF14:BJ14)</f>
        <v>0</v>
      </c>
      <c r="CK14">
        <f>COUNT($BF14:BK14)</f>
        <v>0</v>
      </c>
      <c r="CL14">
        <f>COUNT($BF14:BL14)</f>
        <v>0</v>
      </c>
      <c r="CM14">
        <f>COUNT($BF14:BM14)</f>
        <v>0</v>
      </c>
      <c r="CN14">
        <f>COUNT($BF14:BN14)</f>
        <v>0</v>
      </c>
      <c r="CO14">
        <f>COUNT($BF14:BO14)</f>
        <v>0</v>
      </c>
      <c r="CP14">
        <f>COUNT($BF14:BP14)</f>
        <v>0</v>
      </c>
      <c r="CQ14">
        <f>COUNT($BF14:BQ14)</f>
        <v>1</v>
      </c>
      <c r="CS14" s="5">
        <f t="shared" si="45"/>
        <v>0</v>
      </c>
      <c r="CT14" s="100" t="str">
        <f t="shared" si="80"/>
        <v>10062Medicaid</v>
      </c>
      <c r="CU14" s="83">
        <f t="shared" si="46"/>
        <v>100</v>
      </c>
      <c r="CV14" s="83">
        <f t="shared" si="47"/>
        <v>62</v>
      </c>
      <c r="CX14">
        <f t="shared" si="81"/>
        <v>1</v>
      </c>
      <c r="CY14">
        <f t="shared" si="82"/>
        <v>1</v>
      </c>
      <c r="DA14" s="90" cm="1">
        <f t="array" ref="DA14">IF(DA$5&lt;=$CX14,INDEX($AS14:$BD14,1,_xlfn.XMATCH(DA$5,$BS14:$CD14)),"na")</f>
        <v>45658</v>
      </c>
      <c r="DB14" s="91" cm="1">
        <f t="array" ref="DB14">IF(DB$5&lt;=$CY14,INDEX($BF14:$BQ14,1,_xlfn.XMATCH(DB$5,$CF14:$CQ14)),"na")</f>
        <v>46022</v>
      </c>
      <c r="DC14" s="82" t="str">
        <f>_xlfn.XLOOKUP($CU14&amp;"-"&amp;$CV14&amp;$C14,REF!$K$2:$K$90,REF!B$2:B$90)</f>
        <v>MEDICAID</v>
      </c>
      <c r="DD14" s="82" t="str">
        <f>_xlfn.XLOOKUP($CU14&amp;"-"&amp;$CV14&amp;$C14,REF!$K$2:$K$90,REF!C$2:C$90)</f>
        <v>MARYLAND MEDICAID</v>
      </c>
      <c r="DE14" s="82" t="str">
        <f>_xlfn.XLOOKUP($CU14&amp;"-"&amp;$CV14&amp;$C14,REF!$K$2:$K$90,REF!D$2:D$90)</f>
        <v>ASBURY METHODIST VILLAGE</v>
      </c>
      <c r="DF14" s="82" t="str">
        <f>_xlfn.XLOOKUP($CU14&amp;"-"&amp;$CV14&amp;$C14,REF!$K$2:$K$90,REF!E$2:E$90)</f>
        <v>SKILLED NURSING - Household</v>
      </c>
      <c r="DG14" s="82" t="str">
        <f>_xlfn.XLOOKUP($CU14&amp;"-"&amp;$CV14&amp;$C14,REF!$K$2:$K$90,REF!F$2:F$90)</f>
        <v>AMV - WILSON HEALTH CARE CENTER</v>
      </c>
      <c r="DH14" s="93" cm="1">
        <f t="array" ref="DH14">IF(DH$5&lt;=$CX14,INDEX($AF14:$AQ14,1,_xlfn.XMATCH(DH$5,$BS14:$CD14)),"na")</f>
        <v>0</v>
      </c>
      <c r="DI14" s="90" t="str" cm="1">
        <f t="array" ref="DI14">IF(DI$5&lt;=$CX14,INDEX($AS14:$BD14,1,_xlfn.XMATCH(DI$5,$BS14:$CD14)),"na")</f>
        <v>na</v>
      </c>
      <c r="DJ14" s="91" t="str" cm="1">
        <f t="array" ref="DJ14">IF(DJ$5&lt;=$CY14,INDEX($BF14:$BQ14,1,_xlfn.XMATCH(DJ$5,$CF14:$CQ14)),"na")</f>
        <v>na</v>
      </c>
      <c r="DK14" s="101" t="str">
        <f t="shared" si="83"/>
        <v>MEDICAID</v>
      </c>
      <c r="DL14" s="101" t="str">
        <f t="shared" si="48"/>
        <v>MARYLAND MEDICAID</v>
      </c>
      <c r="DM14" s="101" t="str">
        <f t="shared" si="49"/>
        <v>ASBURY METHODIST VILLAGE</v>
      </c>
      <c r="DN14" s="101" t="str">
        <f t="shared" si="50"/>
        <v>SKILLED NURSING - Household</v>
      </c>
      <c r="DO14" s="101" t="str">
        <f t="shared" si="51"/>
        <v>AMV - WILSON HEALTH CARE CENTER</v>
      </c>
      <c r="DP14" s="93" t="str" cm="1">
        <f t="array" ref="DP14">IF(DP$5&lt;=$CX14,INDEX($AF14:$AQ14,1,_xlfn.XMATCH(DP$5,$BS14:$CD14)),"na")</f>
        <v>na</v>
      </c>
      <c r="DQ14" s="90" t="str" cm="1">
        <f t="array" ref="DQ14">IF(DQ$5&lt;=$CX14,INDEX($AS14:$BD14,1,_xlfn.XMATCH(DQ$5,$BS14:$CD14)),"na")</f>
        <v>na</v>
      </c>
      <c r="DR14" s="91" t="str" cm="1">
        <f t="array" ref="DR14">IF(DR$5&lt;=$CY14,INDEX($BF14:$BQ14,1,_xlfn.XMATCH(DR$5,$CF14:$CQ14)),"na")</f>
        <v>na</v>
      </c>
      <c r="DS14" s="101" t="str">
        <f t="shared" si="84"/>
        <v>MEDICAID</v>
      </c>
      <c r="DT14" s="101" t="str">
        <f t="shared" si="52"/>
        <v>MARYLAND MEDICAID</v>
      </c>
      <c r="DU14" s="101" t="str">
        <f t="shared" si="53"/>
        <v>ASBURY METHODIST VILLAGE</v>
      </c>
      <c r="DV14" s="101" t="str">
        <f t="shared" si="54"/>
        <v>SKILLED NURSING - Household</v>
      </c>
      <c r="DW14" s="101" t="str">
        <f t="shared" si="55"/>
        <v>AMV - WILSON HEALTH CARE CENTER</v>
      </c>
      <c r="DX14" s="93" t="str" cm="1">
        <f t="array" ref="DX14">IF(DX$5&lt;=$CX14,INDEX($AF14:$AQ14,1,_xlfn.XMATCH(DX$5,$BS14:$CD14)),"na")</f>
        <v>na</v>
      </c>
      <c r="DY14" s="90" t="str" cm="1">
        <f t="array" ref="DY14">IF(DY$5&lt;=$CX14,INDEX($AS14:$BD14,1,_xlfn.XMATCH(DY$5,$BS14:$CD14)),"na")</f>
        <v>na</v>
      </c>
      <c r="DZ14" s="91" t="str" cm="1">
        <f t="array" ref="DZ14">IF(DZ$5&lt;=$CY14,INDEX($BF14:$BQ14,1,_xlfn.XMATCH(DZ$5,$CF14:$CQ14)),"na")</f>
        <v>na</v>
      </c>
      <c r="EA14" s="101" t="str">
        <f t="shared" si="85"/>
        <v>MEDICAID</v>
      </c>
      <c r="EB14" s="101" t="str">
        <f t="shared" si="56"/>
        <v>MARYLAND MEDICAID</v>
      </c>
      <c r="EC14" s="101" t="str">
        <f t="shared" si="57"/>
        <v>ASBURY METHODIST VILLAGE</v>
      </c>
      <c r="ED14" s="101" t="str">
        <f t="shared" si="58"/>
        <v>SKILLED NURSING - Household</v>
      </c>
      <c r="EE14" s="101" t="str">
        <f t="shared" si="59"/>
        <v>AMV - WILSON HEALTH CARE CENTER</v>
      </c>
      <c r="EF14" s="93" t="str" cm="1">
        <f t="array" ref="EF14">IF(EF$5&lt;=$CX14,INDEX($AF14:$AQ14,1,_xlfn.XMATCH(EF$5,$BS14:$CD14)),"na")</f>
        <v>na</v>
      </c>
      <c r="EG14" s="90" t="str" cm="1">
        <f t="array" ref="EG14">IF(EG$5&lt;=$CX14,INDEX($AS14:$BD14,1,_xlfn.XMATCH(EG$5,$BS14:$CD14)),"na")</f>
        <v>na</v>
      </c>
      <c r="EH14" s="91" t="str" cm="1">
        <f t="array" ref="EH14">IF(EH$5&lt;=$CY14,INDEX($BF14:$BQ14,1,_xlfn.XMATCH(EH$5,$CF14:$CQ14)),"na")</f>
        <v>na</v>
      </c>
      <c r="EI14" s="101" t="str">
        <f t="shared" si="86"/>
        <v>MEDICAID</v>
      </c>
      <c r="EJ14" s="101" t="str">
        <f t="shared" si="60"/>
        <v>MARYLAND MEDICAID</v>
      </c>
      <c r="EK14" s="101" t="str">
        <f t="shared" si="61"/>
        <v>ASBURY METHODIST VILLAGE</v>
      </c>
      <c r="EL14" s="101" t="str">
        <f t="shared" si="62"/>
        <v>SKILLED NURSING - Household</v>
      </c>
      <c r="EM14" s="101" t="str">
        <f t="shared" si="63"/>
        <v>AMV - WILSON HEALTH CARE CENTER</v>
      </c>
      <c r="EN14" s="93" t="str" cm="1">
        <f t="array" ref="EN14">IF(EN$5&lt;=$CX14,INDEX($AF14:$AQ14,1,_xlfn.XMATCH(EN$5,$BS14:$CD14)),"na")</f>
        <v>na</v>
      </c>
      <c r="EO14" s="90" t="str" cm="1">
        <f t="array" ref="EO14">IF(EO$5&lt;=$CX14,INDEX($AS14:$BD14,1,_xlfn.XMATCH(EO$5,$BS14:$CD14)),"na")</f>
        <v>na</v>
      </c>
      <c r="EP14" s="91" t="str" cm="1">
        <f t="array" ref="EP14">IF(EP$5&lt;=$CY14,INDEX($BF14:$BQ14,1,_xlfn.XMATCH(EP$5,$CF14:$CQ14)),"na")</f>
        <v>na</v>
      </c>
      <c r="EQ14" s="101" t="str">
        <f t="shared" si="87"/>
        <v>MEDICAID</v>
      </c>
      <c r="ER14" s="101" t="str">
        <f t="shared" si="64"/>
        <v>MARYLAND MEDICAID</v>
      </c>
      <c r="ES14" s="101" t="str">
        <f t="shared" si="65"/>
        <v>ASBURY METHODIST VILLAGE</v>
      </c>
      <c r="ET14" s="101" t="str">
        <f t="shared" si="66"/>
        <v>SKILLED NURSING - Household</v>
      </c>
      <c r="EU14" s="101" t="str">
        <f t="shared" si="67"/>
        <v>AMV - WILSON HEALTH CARE CENTER</v>
      </c>
      <c r="EV14" s="93" t="str" cm="1">
        <f t="array" ref="EV14">IF(EV$5&lt;=$CX14,INDEX($AF14:$AQ14,1,_xlfn.XMATCH(EV$5,$BS14:$CD14)),"na")</f>
        <v>na</v>
      </c>
    </row>
    <row r="15" spans="1:152" x14ac:dyDescent="0.25">
      <c r="A15" s="60" t="s">
        <v>207</v>
      </c>
      <c r="B15" s="43" t="s">
        <v>203</v>
      </c>
      <c r="C15" s="43" t="s">
        <v>129</v>
      </c>
      <c r="D15" s="4">
        <v>61.938000000000002</v>
      </c>
      <c r="E15" s="4">
        <v>55.944000000000003</v>
      </c>
      <c r="F15" s="4">
        <v>61.938000000000002</v>
      </c>
      <c r="G15" s="4">
        <v>59.94</v>
      </c>
      <c r="H15" s="4">
        <v>61.938000000000002</v>
      </c>
      <c r="I15" s="4">
        <v>59.94</v>
      </c>
      <c r="J15" s="4">
        <v>61.938000000000002</v>
      </c>
      <c r="K15" s="4">
        <v>61.938000000000002</v>
      </c>
      <c r="L15" s="4">
        <v>59.94</v>
      </c>
      <c r="M15" s="4">
        <v>61.938000000000002</v>
      </c>
      <c r="N15" s="4">
        <v>59.94</v>
      </c>
      <c r="O15" s="4">
        <v>61.938000000000002</v>
      </c>
      <c r="Q15" t="s">
        <v>207</v>
      </c>
      <c r="R15" t="s">
        <v>290</v>
      </c>
      <c r="S15" s="64">
        <f>SUMIFS('OC-Res Days'!B$6:B$75,'OC-Res Days'!$A$6:$A$75,$Q15)</f>
        <v>1395</v>
      </c>
      <c r="T15" s="64">
        <f>SUMIFS('OC-Res Days'!C$6:C$75,'OC-Res Days'!$A$6:$A$75,$Q15)</f>
        <v>1260</v>
      </c>
      <c r="U15" s="64">
        <f>SUMIFS('OC-Res Days'!D$6:D$75,'OC-Res Days'!$A$6:$A$75,$Q15)</f>
        <v>1395</v>
      </c>
      <c r="V15" s="64">
        <f>SUMIFS('OC-Res Days'!E$6:E$75,'OC-Res Days'!$A$6:$A$75,$Q15)</f>
        <v>1350</v>
      </c>
      <c r="W15" s="64">
        <f>SUMIFS('OC-Res Days'!F$6:F$75,'OC-Res Days'!$A$6:$A$75,$Q15)</f>
        <v>1395</v>
      </c>
      <c r="X15" s="64">
        <f>SUMIFS('OC-Res Days'!G$6:G$75,'OC-Res Days'!$A$6:$A$75,$Q15)</f>
        <v>1350</v>
      </c>
      <c r="Y15" s="64">
        <f>SUMIFS('OC-Res Days'!H$6:H$75,'OC-Res Days'!$A$6:$A$75,$Q15)</f>
        <v>1395</v>
      </c>
      <c r="Z15" s="64">
        <f>SUMIFS('OC-Res Days'!I$6:I$75,'OC-Res Days'!$A$6:$A$75,$Q15)</f>
        <v>1395</v>
      </c>
      <c r="AA15" s="64">
        <f>SUMIFS('OC-Res Days'!J$6:J$75,'OC-Res Days'!$A$6:$A$75,$Q15)</f>
        <v>1350</v>
      </c>
      <c r="AB15" s="64">
        <f>SUMIFS('OC-Res Days'!K$6:K$75,'OC-Res Days'!$A$6:$A$75,$Q15)</f>
        <v>1395</v>
      </c>
      <c r="AC15" s="64">
        <f>SUMIFS('OC-Res Days'!L$6:L$75,'OC-Res Days'!$A$6:$A$75,$Q15)</f>
        <v>1350</v>
      </c>
      <c r="AD15" s="64">
        <f>SUMIFS('OC-Res Days'!M$6:M$75,'OC-Res Days'!$A$6:$A$75,$Q15)</f>
        <v>1395</v>
      </c>
      <c r="AF15" s="7">
        <f t="shared" si="22"/>
        <v>1.998</v>
      </c>
      <c r="AG15" s="7">
        <f t="shared" si="23"/>
        <v>1.998</v>
      </c>
      <c r="AH15" s="7">
        <f t="shared" si="24"/>
        <v>1.998</v>
      </c>
      <c r="AI15" s="7">
        <f t="shared" si="25"/>
        <v>1.998</v>
      </c>
      <c r="AJ15" s="7">
        <f t="shared" si="26"/>
        <v>1.998</v>
      </c>
      <c r="AK15" s="7">
        <f t="shared" si="27"/>
        <v>1.998</v>
      </c>
      <c r="AL15" s="7">
        <f t="shared" si="28"/>
        <v>1.998</v>
      </c>
      <c r="AM15" s="7">
        <f t="shared" si="29"/>
        <v>1.998</v>
      </c>
      <c r="AN15" s="7">
        <f t="shared" si="30"/>
        <v>1.998</v>
      </c>
      <c r="AO15" s="7">
        <f t="shared" si="31"/>
        <v>1.998</v>
      </c>
      <c r="AP15" s="7">
        <f t="shared" si="32"/>
        <v>1.998</v>
      </c>
      <c r="AQ15" s="7">
        <f t="shared" si="33"/>
        <v>1.998</v>
      </c>
      <c r="AS15" s="86">
        <f>_xlfn.XLOOKUP(AS$5,'OC-Days'!$G:$G,'OC-Days'!$F:$F)</f>
        <v>45658</v>
      </c>
      <c r="AT15" s="87" t="str">
        <f>IF(AG15=AF15,"na",_xlfn.XLOOKUP(AT$5,'OC-Days'!$G:$G,'OC-Days'!$F:$F))</f>
        <v>na</v>
      </c>
      <c r="AU15" s="87" t="str">
        <f>IF(AH15=AG15,"na",_xlfn.XLOOKUP(AU$5,'OC-Days'!$G:$G,'OC-Days'!$F:$F))</f>
        <v>na</v>
      </c>
      <c r="AV15" s="87" t="str">
        <f>IF(AI15=AH15,"na",_xlfn.XLOOKUP(AV$5,'OC-Days'!$G:$G,'OC-Days'!$F:$F))</f>
        <v>na</v>
      </c>
      <c r="AW15" s="87" t="str">
        <f>IF(AJ15=AI15,"na",_xlfn.XLOOKUP(AW$5,'OC-Days'!$G:$G,'OC-Days'!$F:$F))</f>
        <v>na</v>
      </c>
      <c r="AX15" s="87" t="str">
        <f>IF(AK15=AJ15,"na",_xlfn.XLOOKUP(AX$5,'OC-Days'!$G:$G,'OC-Days'!$F:$F))</f>
        <v>na</v>
      </c>
      <c r="AY15" s="87" t="str">
        <f>IF(AL15=AK15,"na",_xlfn.XLOOKUP(AY$5,'OC-Days'!$G:$G,'OC-Days'!$F:$F))</f>
        <v>na</v>
      </c>
      <c r="AZ15" s="87" t="str">
        <f>IF(AM15=AL15,"na",_xlfn.XLOOKUP(AZ$5,'OC-Days'!$G:$G,'OC-Days'!$F:$F))</f>
        <v>na</v>
      </c>
      <c r="BA15" s="87" t="str">
        <f>IF(AN15=AM15,"na",_xlfn.XLOOKUP(BA$5,'OC-Days'!$G:$G,'OC-Days'!$F:$F))</f>
        <v>na</v>
      </c>
      <c r="BB15" s="87" t="str">
        <f>IF(AO15=AN15,"na",_xlfn.XLOOKUP(BB$5,'OC-Days'!$G:$G,'OC-Days'!$F:$F))</f>
        <v>na</v>
      </c>
      <c r="BC15" s="87" t="str">
        <f>IF(AP15=AO15,"na",_xlfn.XLOOKUP(BC$5,'OC-Days'!$G:$G,'OC-Days'!$F:$F))</f>
        <v>na</v>
      </c>
      <c r="BD15" s="87" t="str">
        <f>IF(AQ15=AP15,"na",_xlfn.XLOOKUP(BD$5,'OC-Days'!$G:$G,'OC-Days'!$F:$F))</f>
        <v>na</v>
      </c>
      <c r="BF15" s="88" t="str">
        <f t="shared" si="68"/>
        <v>na</v>
      </c>
      <c r="BG15" s="88" t="str">
        <f t="shared" si="69"/>
        <v>na</v>
      </c>
      <c r="BH15" s="88" t="str">
        <f t="shared" si="70"/>
        <v>na</v>
      </c>
      <c r="BI15" s="88" t="str">
        <f t="shared" si="71"/>
        <v>na</v>
      </c>
      <c r="BJ15" s="88" t="str">
        <f t="shared" si="72"/>
        <v>na</v>
      </c>
      <c r="BK15" s="88" t="str">
        <f t="shared" si="73"/>
        <v>na</v>
      </c>
      <c r="BL15" s="88" t="str">
        <f t="shared" si="74"/>
        <v>na</v>
      </c>
      <c r="BM15" s="88" t="str">
        <f t="shared" si="75"/>
        <v>na</v>
      </c>
      <c r="BN15" s="88" t="str">
        <f t="shared" si="76"/>
        <v>na</v>
      </c>
      <c r="BO15" s="88" t="str">
        <f t="shared" si="77"/>
        <v>na</v>
      </c>
      <c r="BP15" s="88" t="str">
        <f t="shared" si="78"/>
        <v>na</v>
      </c>
      <c r="BQ15" s="89">
        <f t="shared" si="79"/>
        <v>46022</v>
      </c>
      <c r="BS15">
        <f>COUNT($AS15:AS15)</f>
        <v>1</v>
      </c>
      <c r="BT15">
        <f>COUNT($AS15:AT15)</f>
        <v>1</v>
      </c>
      <c r="BU15">
        <f>COUNT($AS15:AU15)</f>
        <v>1</v>
      </c>
      <c r="BV15">
        <f>COUNT($AS15:AV15)</f>
        <v>1</v>
      </c>
      <c r="BW15">
        <f>COUNT($AS15:AW15)</f>
        <v>1</v>
      </c>
      <c r="BX15">
        <f>COUNT($AS15:AX15)</f>
        <v>1</v>
      </c>
      <c r="BY15">
        <f>COUNT($AS15:AY15)</f>
        <v>1</v>
      </c>
      <c r="BZ15">
        <f>COUNT($AS15:AZ15)</f>
        <v>1</v>
      </c>
      <c r="CA15">
        <f>COUNT($AS15:BA15)</f>
        <v>1</v>
      </c>
      <c r="CB15">
        <f>COUNT($AS15:BB15)</f>
        <v>1</v>
      </c>
      <c r="CC15">
        <f>COUNT($AS15:BC15)</f>
        <v>1</v>
      </c>
      <c r="CD15">
        <f>COUNT($AS15:BD15)</f>
        <v>1</v>
      </c>
      <c r="CF15">
        <f>COUNT($BF15:BF15)</f>
        <v>0</v>
      </c>
      <c r="CG15">
        <f>COUNT($BF15:BG15)</f>
        <v>0</v>
      </c>
      <c r="CH15">
        <f>COUNT($BF15:BH15)</f>
        <v>0</v>
      </c>
      <c r="CI15">
        <f>COUNT($BF15:BI15)</f>
        <v>0</v>
      </c>
      <c r="CJ15">
        <f>COUNT($BF15:BJ15)</f>
        <v>0</v>
      </c>
      <c r="CK15">
        <f>COUNT($BF15:BK15)</f>
        <v>0</v>
      </c>
      <c r="CL15">
        <f>COUNT($BF15:BL15)</f>
        <v>0</v>
      </c>
      <c r="CM15">
        <f>COUNT($BF15:BM15)</f>
        <v>0</v>
      </c>
      <c r="CN15">
        <f>COUNT($BF15:BN15)</f>
        <v>0</v>
      </c>
      <c r="CO15">
        <f>COUNT($BF15:BO15)</f>
        <v>0</v>
      </c>
      <c r="CP15">
        <f>COUNT($BF15:BP15)</f>
        <v>0</v>
      </c>
      <c r="CQ15">
        <f>COUNT($BF15:BQ15)</f>
        <v>1</v>
      </c>
      <c r="CS15" s="5">
        <f t="shared" si="45"/>
        <v>1</v>
      </c>
      <c r="CT15" s="100" t="str">
        <f t="shared" si="80"/>
        <v>10062Insurance</v>
      </c>
      <c r="CU15" s="83">
        <f t="shared" si="46"/>
        <v>100</v>
      </c>
      <c r="CV15" s="83">
        <f t="shared" si="47"/>
        <v>62</v>
      </c>
      <c r="CX15">
        <f t="shared" si="81"/>
        <v>1</v>
      </c>
      <c r="CY15">
        <f t="shared" si="82"/>
        <v>1</v>
      </c>
      <c r="DA15" s="90" cm="1">
        <f t="array" ref="DA15">IF(DA$5&lt;=$CX15,INDEX($AS15:$BD15,1,_xlfn.XMATCH(DA$5,$BS15:$CD15)),"na")</f>
        <v>45658</v>
      </c>
      <c r="DB15" s="91" cm="1">
        <f t="array" ref="DB15">IF(DB$5&lt;=$CY15,INDEX($BF15:$BQ15,1,_xlfn.XMATCH(DB$5,$CF15:$CQ15)),"na")</f>
        <v>46022</v>
      </c>
      <c r="DC15" s="82" t="str">
        <f>_xlfn.XLOOKUP($CU15&amp;"-"&amp;$CV15&amp;$C15,REF!$K$2:$K$90,REF!B$2:B$90)</f>
        <v>MANAGED CARE</v>
      </c>
      <c r="DD15" s="82" t="str">
        <f>_xlfn.XLOOKUP($CU15&amp;"-"&amp;$CV15&amp;$C15,REF!$K$2:$K$90,REF!C$2:C$90)</f>
        <v>MGCARE LEVEL OF CARE</v>
      </c>
      <c r="DE15" s="82" t="str">
        <f>_xlfn.XLOOKUP($CU15&amp;"-"&amp;$CV15&amp;$C15,REF!$K$2:$K$90,REF!D$2:D$90)</f>
        <v>ASBURY METHODIST VILLAGE</v>
      </c>
      <c r="DF15" s="82" t="str">
        <f>_xlfn.XLOOKUP($CU15&amp;"-"&amp;$CV15&amp;$C15,REF!$K$2:$K$90,REF!E$2:E$90)</f>
        <v>SKILLED NURSING - Household</v>
      </c>
      <c r="DG15" s="82" t="str">
        <f>_xlfn.XLOOKUP($CU15&amp;"-"&amp;$CV15&amp;$C15,REF!$K$2:$K$90,REF!F$2:F$90)</f>
        <v>AMV - WILSON HEALTH CARE CENTER</v>
      </c>
      <c r="DH15" s="93" cm="1">
        <f t="array" ref="DH15">IF(DH$5&lt;=$CX15,INDEX($AF15:$AQ15,1,_xlfn.XMATCH(DH$5,$BS15:$CD15)),"na")</f>
        <v>1.998</v>
      </c>
      <c r="DI15" s="90" t="str" cm="1">
        <f t="array" ref="DI15">IF(DI$5&lt;=$CX15,INDEX($AS15:$BD15,1,_xlfn.XMATCH(DI$5,$BS15:$CD15)),"na")</f>
        <v>na</v>
      </c>
      <c r="DJ15" s="91" t="str" cm="1">
        <f t="array" ref="DJ15">IF(DJ$5&lt;=$CY15,INDEX($BF15:$BQ15,1,_xlfn.XMATCH(DJ$5,$CF15:$CQ15)),"na")</f>
        <v>na</v>
      </c>
      <c r="DK15" s="101" t="str">
        <f t="shared" si="83"/>
        <v>MANAGED CARE</v>
      </c>
      <c r="DL15" s="101" t="str">
        <f t="shared" si="48"/>
        <v>MGCARE LEVEL OF CARE</v>
      </c>
      <c r="DM15" s="101" t="str">
        <f t="shared" si="49"/>
        <v>ASBURY METHODIST VILLAGE</v>
      </c>
      <c r="DN15" s="101" t="str">
        <f t="shared" si="50"/>
        <v>SKILLED NURSING - Household</v>
      </c>
      <c r="DO15" s="101" t="str">
        <f t="shared" si="51"/>
        <v>AMV - WILSON HEALTH CARE CENTER</v>
      </c>
      <c r="DP15" s="93" t="str" cm="1">
        <f t="array" ref="DP15">IF(DP$5&lt;=$CX15,INDEX($AF15:$AQ15,1,_xlfn.XMATCH(DP$5,$BS15:$CD15)),"na")</f>
        <v>na</v>
      </c>
      <c r="DQ15" s="90" t="str" cm="1">
        <f t="array" ref="DQ15">IF(DQ$5&lt;=$CX15,INDEX($AS15:$BD15,1,_xlfn.XMATCH(DQ$5,$BS15:$CD15)),"na")</f>
        <v>na</v>
      </c>
      <c r="DR15" s="91" t="str" cm="1">
        <f t="array" ref="DR15">IF(DR$5&lt;=$CY15,INDEX($BF15:$BQ15,1,_xlfn.XMATCH(DR$5,$CF15:$CQ15)),"na")</f>
        <v>na</v>
      </c>
      <c r="DS15" s="101" t="str">
        <f t="shared" si="84"/>
        <v>MANAGED CARE</v>
      </c>
      <c r="DT15" s="101" t="str">
        <f t="shared" si="52"/>
        <v>MGCARE LEVEL OF CARE</v>
      </c>
      <c r="DU15" s="101" t="str">
        <f t="shared" si="53"/>
        <v>ASBURY METHODIST VILLAGE</v>
      </c>
      <c r="DV15" s="101" t="str">
        <f t="shared" si="54"/>
        <v>SKILLED NURSING - Household</v>
      </c>
      <c r="DW15" s="101" t="str">
        <f t="shared" si="55"/>
        <v>AMV - WILSON HEALTH CARE CENTER</v>
      </c>
      <c r="DX15" s="93" t="str" cm="1">
        <f t="array" ref="DX15">IF(DX$5&lt;=$CX15,INDEX($AF15:$AQ15,1,_xlfn.XMATCH(DX$5,$BS15:$CD15)),"na")</f>
        <v>na</v>
      </c>
      <c r="DY15" s="90" t="str" cm="1">
        <f t="array" ref="DY15">IF(DY$5&lt;=$CX15,INDEX($AS15:$BD15,1,_xlfn.XMATCH(DY$5,$BS15:$CD15)),"na")</f>
        <v>na</v>
      </c>
      <c r="DZ15" s="91" t="str" cm="1">
        <f t="array" ref="DZ15">IF(DZ$5&lt;=$CY15,INDEX($BF15:$BQ15,1,_xlfn.XMATCH(DZ$5,$CF15:$CQ15)),"na")</f>
        <v>na</v>
      </c>
      <c r="EA15" s="101" t="str">
        <f t="shared" si="85"/>
        <v>MANAGED CARE</v>
      </c>
      <c r="EB15" s="101" t="str">
        <f t="shared" si="56"/>
        <v>MGCARE LEVEL OF CARE</v>
      </c>
      <c r="EC15" s="101" t="str">
        <f t="shared" si="57"/>
        <v>ASBURY METHODIST VILLAGE</v>
      </c>
      <c r="ED15" s="101" t="str">
        <f t="shared" si="58"/>
        <v>SKILLED NURSING - Household</v>
      </c>
      <c r="EE15" s="101" t="str">
        <f t="shared" si="59"/>
        <v>AMV - WILSON HEALTH CARE CENTER</v>
      </c>
      <c r="EF15" s="93" t="str" cm="1">
        <f t="array" ref="EF15">IF(EF$5&lt;=$CX15,INDEX($AF15:$AQ15,1,_xlfn.XMATCH(EF$5,$BS15:$CD15)),"na")</f>
        <v>na</v>
      </c>
      <c r="EG15" s="90" t="str" cm="1">
        <f t="array" ref="EG15">IF(EG$5&lt;=$CX15,INDEX($AS15:$BD15,1,_xlfn.XMATCH(EG$5,$BS15:$CD15)),"na")</f>
        <v>na</v>
      </c>
      <c r="EH15" s="91" t="str" cm="1">
        <f t="array" ref="EH15">IF(EH$5&lt;=$CY15,INDEX($BF15:$BQ15,1,_xlfn.XMATCH(EH$5,$CF15:$CQ15)),"na")</f>
        <v>na</v>
      </c>
      <c r="EI15" s="101" t="str">
        <f t="shared" si="86"/>
        <v>MANAGED CARE</v>
      </c>
      <c r="EJ15" s="101" t="str">
        <f t="shared" si="60"/>
        <v>MGCARE LEVEL OF CARE</v>
      </c>
      <c r="EK15" s="101" t="str">
        <f t="shared" si="61"/>
        <v>ASBURY METHODIST VILLAGE</v>
      </c>
      <c r="EL15" s="101" t="str">
        <f t="shared" si="62"/>
        <v>SKILLED NURSING - Household</v>
      </c>
      <c r="EM15" s="101" t="str">
        <f t="shared" si="63"/>
        <v>AMV - WILSON HEALTH CARE CENTER</v>
      </c>
      <c r="EN15" s="93" t="str" cm="1">
        <f t="array" ref="EN15">IF(EN$5&lt;=$CX15,INDEX($AF15:$AQ15,1,_xlfn.XMATCH(EN$5,$BS15:$CD15)),"na")</f>
        <v>na</v>
      </c>
      <c r="EO15" s="90" t="str" cm="1">
        <f t="array" ref="EO15">IF(EO$5&lt;=$CX15,INDEX($AS15:$BD15,1,_xlfn.XMATCH(EO$5,$BS15:$CD15)),"na")</f>
        <v>na</v>
      </c>
      <c r="EP15" s="91" t="str" cm="1">
        <f t="array" ref="EP15">IF(EP$5&lt;=$CY15,INDEX($BF15:$BQ15,1,_xlfn.XMATCH(EP$5,$CF15:$CQ15)),"na")</f>
        <v>na</v>
      </c>
      <c r="EQ15" s="101" t="str">
        <f t="shared" si="87"/>
        <v>MANAGED CARE</v>
      </c>
      <c r="ER15" s="101" t="str">
        <f t="shared" si="64"/>
        <v>MGCARE LEVEL OF CARE</v>
      </c>
      <c r="ES15" s="101" t="str">
        <f t="shared" si="65"/>
        <v>ASBURY METHODIST VILLAGE</v>
      </c>
      <c r="ET15" s="101" t="str">
        <f t="shared" si="66"/>
        <v>SKILLED NURSING - Household</v>
      </c>
      <c r="EU15" s="101" t="str">
        <f t="shared" si="67"/>
        <v>AMV - WILSON HEALTH CARE CENTER</v>
      </c>
      <c r="EV15" s="93" t="str" cm="1">
        <f t="array" ref="EV15">IF(EV$5&lt;=$CX15,INDEX($AF15:$AQ15,1,_xlfn.XMATCH(EV$5,$BS15:$CD15)),"na")</f>
        <v>na</v>
      </c>
    </row>
    <row r="16" spans="1:152" hidden="1" x14ac:dyDescent="0.25">
      <c r="A16" s="60" t="s">
        <v>207</v>
      </c>
      <c r="B16" s="43" t="s">
        <v>204</v>
      </c>
      <c r="C16" s="43" t="s">
        <v>91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Q16" t="s">
        <v>208</v>
      </c>
      <c r="R16" t="s">
        <v>290</v>
      </c>
      <c r="S16" s="64">
        <f>SUMIFS('OC-Res Days'!B$6:B$75,'OC-Res Days'!$A$6:$A$75,$Q16)</f>
        <v>1162.5</v>
      </c>
      <c r="T16" s="64">
        <f>SUMIFS('OC-Res Days'!C$6:C$75,'OC-Res Days'!$A$6:$A$75,$Q16)</f>
        <v>1050</v>
      </c>
      <c r="U16" s="64">
        <f>SUMIFS('OC-Res Days'!D$6:D$75,'OC-Res Days'!$A$6:$A$75,$Q16)</f>
        <v>1162.5</v>
      </c>
      <c r="V16" s="64">
        <f>SUMIFS('OC-Res Days'!E$6:E$75,'OC-Res Days'!$A$6:$A$75,$Q16)</f>
        <v>1125</v>
      </c>
      <c r="W16" s="64">
        <f>SUMIFS('OC-Res Days'!F$6:F$75,'OC-Res Days'!$A$6:$A$75,$Q16)</f>
        <v>1162.5</v>
      </c>
      <c r="X16" s="64">
        <f>SUMIFS('OC-Res Days'!G$6:G$75,'OC-Res Days'!$A$6:$A$75,$Q16)</f>
        <v>1125</v>
      </c>
      <c r="Y16" s="64">
        <f>SUMIFS('OC-Res Days'!H$6:H$75,'OC-Res Days'!$A$6:$A$75,$Q16)</f>
        <v>1162.5</v>
      </c>
      <c r="Z16" s="64">
        <f>SUMIFS('OC-Res Days'!I$6:I$75,'OC-Res Days'!$A$6:$A$75,$Q16)</f>
        <v>1162.5</v>
      </c>
      <c r="AA16" s="64">
        <f>SUMIFS('OC-Res Days'!J$6:J$75,'OC-Res Days'!$A$6:$A$75,$Q16)</f>
        <v>1125</v>
      </c>
      <c r="AB16" s="64">
        <f>SUMIFS('OC-Res Days'!K$6:K$75,'OC-Res Days'!$A$6:$A$75,$Q16)</f>
        <v>1162.5</v>
      </c>
      <c r="AC16" s="64">
        <f>SUMIFS('OC-Res Days'!L$6:L$75,'OC-Res Days'!$A$6:$A$75,$Q16)</f>
        <v>1125</v>
      </c>
      <c r="AD16" s="64">
        <f>SUMIFS('OC-Res Days'!M$6:M$75,'OC-Res Days'!$A$6:$A$75,$Q16)</f>
        <v>1162.5</v>
      </c>
      <c r="AF16" s="7">
        <f t="shared" si="22"/>
        <v>0</v>
      </c>
      <c r="AG16" s="7">
        <f t="shared" si="23"/>
        <v>0</v>
      </c>
      <c r="AH16" s="7">
        <f t="shared" si="24"/>
        <v>0</v>
      </c>
      <c r="AI16" s="7">
        <f t="shared" si="25"/>
        <v>0</v>
      </c>
      <c r="AJ16" s="7">
        <f t="shared" si="26"/>
        <v>0</v>
      </c>
      <c r="AK16" s="7">
        <f t="shared" si="27"/>
        <v>0</v>
      </c>
      <c r="AL16" s="7">
        <f t="shared" si="28"/>
        <v>0</v>
      </c>
      <c r="AM16" s="7">
        <f t="shared" si="29"/>
        <v>0</v>
      </c>
      <c r="AN16" s="7">
        <f t="shared" si="30"/>
        <v>0</v>
      </c>
      <c r="AO16" s="7">
        <f t="shared" si="31"/>
        <v>0</v>
      </c>
      <c r="AP16" s="7">
        <f t="shared" si="32"/>
        <v>0</v>
      </c>
      <c r="AQ16" s="7">
        <f t="shared" si="33"/>
        <v>0</v>
      </c>
      <c r="AS16" s="86">
        <f>_xlfn.XLOOKUP(AS$5,'OC-Days'!$G:$G,'OC-Days'!$F:$F)</f>
        <v>45658</v>
      </c>
      <c r="AT16" s="87" t="str">
        <f>IF(AG16=AF16,"na",_xlfn.XLOOKUP(AT$5,'OC-Days'!$G:$G,'OC-Days'!$F:$F))</f>
        <v>na</v>
      </c>
      <c r="AU16" s="87" t="str">
        <f>IF(AH16=AG16,"na",_xlfn.XLOOKUP(AU$5,'OC-Days'!$G:$G,'OC-Days'!$F:$F))</f>
        <v>na</v>
      </c>
      <c r="AV16" s="87" t="str">
        <f>IF(AI16=AH16,"na",_xlfn.XLOOKUP(AV$5,'OC-Days'!$G:$G,'OC-Days'!$F:$F))</f>
        <v>na</v>
      </c>
      <c r="AW16" s="87" t="str">
        <f>IF(AJ16=AI16,"na",_xlfn.XLOOKUP(AW$5,'OC-Days'!$G:$G,'OC-Days'!$F:$F))</f>
        <v>na</v>
      </c>
      <c r="AX16" s="87" t="str">
        <f>IF(AK16=AJ16,"na",_xlfn.XLOOKUP(AX$5,'OC-Days'!$G:$G,'OC-Days'!$F:$F))</f>
        <v>na</v>
      </c>
      <c r="AY16" s="87" t="str">
        <f>IF(AL16=AK16,"na",_xlfn.XLOOKUP(AY$5,'OC-Days'!$G:$G,'OC-Days'!$F:$F))</f>
        <v>na</v>
      </c>
      <c r="AZ16" s="87" t="str">
        <f>IF(AM16=AL16,"na",_xlfn.XLOOKUP(AZ$5,'OC-Days'!$G:$G,'OC-Days'!$F:$F))</f>
        <v>na</v>
      </c>
      <c r="BA16" s="87" t="str">
        <f>IF(AN16=AM16,"na",_xlfn.XLOOKUP(BA$5,'OC-Days'!$G:$G,'OC-Days'!$F:$F))</f>
        <v>na</v>
      </c>
      <c r="BB16" s="87" t="str">
        <f>IF(AO16=AN16,"na",_xlfn.XLOOKUP(BB$5,'OC-Days'!$G:$G,'OC-Days'!$F:$F))</f>
        <v>na</v>
      </c>
      <c r="BC16" s="87" t="str">
        <f>IF(AP16=AO16,"na",_xlfn.XLOOKUP(BC$5,'OC-Days'!$G:$G,'OC-Days'!$F:$F))</f>
        <v>na</v>
      </c>
      <c r="BD16" s="87" t="str">
        <f>IF(AQ16=AP16,"na",_xlfn.XLOOKUP(BD$5,'OC-Days'!$G:$G,'OC-Days'!$F:$F))</f>
        <v>na</v>
      </c>
      <c r="BF16" s="88" t="str">
        <f t="shared" si="68"/>
        <v>na</v>
      </c>
      <c r="BG16" s="88" t="str">
        <f t="shared" si="69"/>
        <v>na</v>
      </c>
      <c r="BH16" s="88" t="str">
        <f t="shared" si="70"/>
        <v>na</v>
      </c>
      <c r="BI16" s="88" t="str">
        <f t="shared" si="71"/>
        <v>na</v>
      </c>
      <c r="BJ16" s="88" t="str">
        <f t="shared" si="72"/>
        <v>na</v>
      </c>
      <c r="BK16" s="88" t="str">
        <f t="shared" si="73"/>
        <v>na</v>
      </c>
      <c r="BL16" s="88" t="str">
        <f t="shared" si="74"/>
        <v>na</v>
      </c>
      <c r="BM16" s="88" t="str">
        <f t="shared" si="75"/>
        <v>na</v>
      </c>
      <c r="BN16" s="88" t="str">
        <f t="shared" si="76"/>
        <v>na</v>
      </c>
      <c r="BO16" s="88" t="str">
        <f t="shared" si="77"/>
        <v>na</v>
      </c>
      <c r="BP16" s="88" t="str">
        <f t="shared" si="78"/>
        <v>na</v>
      </c>
      <c r="BQ16" s="89">
        <f t="shared" si="79"/>
        <v>46022</v>
      </c>
      <c r="BS16">
        <f>COUNT($AS16:AS16)</f>
        <v>1</v>
      </c>
      <c r="BT16">
        <f>COUNT($AS16:AT16)</f>
        <v>1</v>
      </c>
      <c r="BU16">
        <f>COUNT($AS16:AU16)</f>
        <v>1</v>
      </c>
      <c r="BV16">
        <f>COUNT($AS16:AV16)</f>
        <v>1</v>
      </c>
      <c r="BW16">
        <f>COUNT($AS16:AW16)</f>
        <v>1</v>
      </c>
      <c r="BX16">
        <f>COUNT($AS16:AX16)</f>
        <v>1</v>
      </c>
      <c r="BY16">
        <f>COUNT($AS16:AY16)</f>
        <v>1</v>
      </c>
      <c r="BZ16">
        <f>COUNT($AS16:AZ16)</f>
        <v>1</v>
      </c>
      <c r="CA16">
        <f>COUNT($AS16:BA16)</f>
        <v>1</v>
      </c>
      <c r="CB16">
        <f>COUNT($AS16:BB16)</f>
        <v>1</v>
      </c>
      <c r="CC16">
        <f>COUNT($AS16:BC16)</f>
        <v>1</v>
      </c>
      <c r="CD16">
        <f>COUNT($AS16:BD16)</f>
        <v>1</v>
      </c>
      <c r="CF16">
        <f>COUNT($BF16:BF16)</f>
        <v>0</v>
      </c>
      <c r="CG16">
        <f>COUNT($BF16:BG16)</f>
        <v>0</v>
      </c>
      <c r="CH16">
        <f>COUNT($BF16:BH16)</f>
        <v>0</v>
      </c>
      <c r="CI16">
        <f>COUNT($BF16:BI16)</f>
        <v>0</v>
      </c>
      <c r="CJ16">
        <f>COUNT($BF16:BJ16)</f>
        <v>0</v>
      </c>
      <c r="CK16">
        <f>COUNT($BF16:BK16)</f>
        <v>0</v>
      </c>
      <c r="CL16">
        <f>COUNT($BF16:BL16)</f>
        <v>0</v>
      </c>
      <c r="CM16">
        <f>COUNT($BF16:BM16)</f>
        <v>0</v>
      </c>
      <c r="CN16">
        <f>COUNT($BF16:BN16)</f>
        <v>0</v>
      </c>
      <c r="CO16">
        <f>COUNT($BF16:BO16)</f>
        <v>0</v>
      </c>
      <c r="CP16">
        <f>COUNT($BF16:BP16)</f>
        <v>0</v>
      </c>
      <c r="CQ16">
        <f>COUNT($BF16:BQ16)</f>
        <v>1</v>
      </c>
      <c r="CS16" s="5">
        <f t="shared" si="45"/>
        <v>0</v>
      </c>
      <c r="CT16" s="100" t="str">
        <f t="shared" si="80"/>
        <v>10062Private Pay</v>
      </c>
      <c r="CU16" s="83">
        <f t="shared" si="46"/>
        <v>100</v>
      </c>
      <c r="CV16" s="83">
        <f t="shared" si="47"/>
        <v>62</v>
      </c>
      <c r="CX16">
        <f t="shared" si="81"/>
        <v>1</v>
      </c>
      <c r="CY16">
        <f t="shared" si="82"/>
        <v>1</v>
      </c>
      <c r="DA16" s="90" cm="1">
        <f t="array" ref="DA16">IF(DA$5&lt;=$CX16,INDEX($AS16:$BD16,1,_xlfn.XMATCH(DA$5,$BS16:$CD16)),"na")</f>
        <v>45658</v>
      </c>
      <c r="DB16" s="91" cm="1">
        <f t="array" ref="DB16">IF(DB$5&lt;=$CY16,INDEX($BF16:$BQ16,1,_xlfn.XMATCH(DB$5,$CF16:$CQ16)),"na")</f>
        <v>46022</v>
      </c>
      <c r="DC16" s="82" t="str">
        <f>_xlfn.XLOOKUP($CU16&amp;"-"&amp;$CV16&amp;$C16,REF!$K$2:$K$90,REF!B$2:B$90)</f>
        <v>PRIVATE PAY</v>
      </c>
      <c r="DD16" s="82" t="str">
        <f>_xlfn.XLOOKUP($CU16&amp;"-"&amp;$CV16&amp;$C16,REF!$K$2:$K$90,REF!C$2:C$90)</f>
        <v>PRIVATE PAY</v>
      </c>
      <c r="DE16" s="82" t="str">
        <f>_xlfn.XLOOKUP($CU16&amp;"-"&amp;$CV16&amp;$C16,REF!$K$2:$K$90,REF!D$2:D$90)</f>
        <v>ASBURY METHODIST VILLAGE</v>
      </c>
      <c r="DF16" s="82" t="str">
        <f>_xlfn.XLOOKUP($CU16&amp;"-"&amp;$CV16&amp;$C16,REF!$K$2:$K$90,REF!E$2:E$90)</f>
        <v>SKILLED NURSING - Household</v>
      </c>
      <c r="DG16" s="82" t="str">
        <f>_xlfn.XLOOKUP($CU16&amp;"-"&amp;$CV16&amp;$C16,REF!$K$2:$K$90,REF!F$2:F$90)</f>
        <v>AMV - WILSON HEALTH CARE CENTER</v>
      </c>
      <c r="DH16" s="93" cm="1">
        <f t="array" ref="DH16">IF(DH$5&lt;=$CX16,INDEX($AF16:$AQ16,1,_xlfn.XMATCH(DH$5,$BS16:$CD16)),"na")</f>
        <v>0</v>
      </c>
      <c r="DI16" s="90" t="str" cm="1">
        <f t="array" ref="DI16">IF(DI$5&lt;=$CX16,INDEX($AS16:$BD16,1,_xlfn.XMATCH(DI$5,$BS16:$CD16)),"na")</f>
        <v>na</v>
      </c>
      <c r="DJ16" s="91" t="str" cm="1">
        <f t="array" ref="DJ16">IF(DJ$5&lt;=$CY16,INDEX($BF16:$BQ16,1,_xlfn.XMATCH(DJ$5,$CF16:$CQ16)),"na")</f>
        <v>na</v>
      </c>
      <c r="DK16" s="101" t="str">
        <f t="shared" si="83"/>
        <v>PRIVATE PAY</v>
      </c>
      <c r="DL16" s="101" t="str">
        <f t="shared" si="48"/>
        <v>PRIVATE PAY</v>
      </c>
      <c r="DM16" s="101" t="str">
        <f t="shared" si="49"/>
        <v>ASBURY METHODIST VILLAGE</v>
      </c>
      <c r="DN16" s="101" t="str">
        <f t="shared" si="50"/>
        <v>SKILLED NURSING - Household</v>
      </c>
      <c r="DO16" s="101" t="str">
        <f t="shared" si="51"/>
        <v>AMV - WILSON HEALTH CARE CENTER</v>
      </c>
      <c r="DP16" s="93" t="str" cm="1">
        <f t="array" ref="DP16">IF(DP$5&lt;=$CX16,INDEX($AF16:$AQ16,1,_xlfn.XMATCH(DP$5,$BS16:$CD16)),"na")</f>
        <v>na</v>
      </c>
      <c r="DQ16" s="90" t="str" cm="1">
        <f t="array" ref="DQ16">IF(DQ$5&lt;=$CX16,INDEX($AS16:$BD16,1,_xlfn.XMATCH(DQ$5,$BS16:$CD16)),"na")</f>
        <v>na</v>
      </c>
      <c r="DR16" s="91" t="str" cm="1">
        <f t="array" ref="DR16">IF(DR$5&lt;=$CY16,INDEX($BF16:$BQ16,1,_xlfn.XMATCH(DR$5,$CF16:$CQ16)),"na")</f>
        <v>na</v>
      </c>
      <c r="DS16" s="101" t="str">
        <f t="shared" si="84"/>
        <v>PRIVATE PAY</v>
      </c>
      <c r="DT16" s="101" t="str">
        <f t="shared" si="52"/>
        <v>PRIVATE PAY</v>
      </c>
      <c r="DU16" s="101" t="str">
        <f t="shared" si="53"/>
        <v>ASBURY METHODIST VILLAGE</v>
      </c>
      <c r="DV16" s="101" t="str">
        <f t="shared" si="54"/>
        <v>SKILLED NURSING - Household</v>
      </c>
      <c r="DW16" s="101" t="str">
        <f t="shared" si="55"/>
        <v>AMV - WILSON HEALTH CARE CENTER</v>
      </c>
      <c r="DX16" s="93" t="str" cm="1">
        <f t="array" ref="DX16">IF(DX$5&lt;=$CX16,INDEX($AF16:$AQ16,1,_xlfn.XMATCH(DX$5,$BS16:$CD16)),"na")</f>
        <v>na</v>
      </c>
      <c r="DY16" s="90" t="str" cm="1">
        <f t="array" ref="DY16">IF(DY$5&lt;=$CX16,INDEX($AS16:$BD16,1,_xlfn.XMATCH(DY$5,$BS16:$CD16)),"na")</f>
        <v>na</v>
      </c>
      <c r="DZ16" s="91" t="str" cm="1">
        <f t="array" ref="DZ16">IF(DZ$5&lt;=$CY16,INDEX($BF16:$BQ16,1,_xlfn.XMATCH(DZ$5,$CF16:$CQ16)),"na")</f>
        <v>na</v>
      </c>
      <c r="EA16" s="101" t="str">
        <f t="shared" si="85"/>
        <v>PRIVATE PAY</v>
      </c>
      <c r="EB16" s="101" t="str">
        <f t="shared" si="56"/>
        <v>PRIVATE PAY</v>
      </c>
      <c r="EC16" s="101" t="str">
        <f t="shared" si="57"/>
        <v>ASBURY METHODIST VILLAGE</v>
      </c>
      <c r="ED16" s="101" t="str">
        <f t="shared" si="58"/>
        <v>SKILLED NURSING - Household</v>
      </c>
      <c r="EE16" s="101" t="str">
        <f t="shared" si="59"/>
        <v>AMV - WILSON HEALTH CARE CENTER</v>
      </c>
      <c r="EF16" s="93" t="str" cm="1">
        <f t="array" ref="EF16">IF(EF$5&lt;=$CX16,INDEX($AF16:$AQ16,1,_xlfn.XMATCH(EF$5,$BS16:$CD16)),"na")</f>
        <v>na</v>
      </c>
      <c r="EG16" s="90" t="str" cm="1">
        <f t="array" ref="EG16">IF(EG$5&lt;=$CX16,INDEX($AS16:$BD16,1,_xlfn.XMATCH(EG$5,$BS16:$CD16)),"na")</f>
        <v>na</v>
      </c>
      <c r="EH16" s="91" t="str" cm="1">
        <f t="array" ref="EH16">IF(EH$5&lt;=$CY16,INDEX($BF16:$BQ16,1,_xlfn.XMATCH(EH$5,$CF16:$CQ16)),"na")</f>
        <v>na</v>
      </c>
      <c r="EI16" s="101" t="str">
        <f t="shared" si="86"/>
        <v>PRIVATE PAY</v>
      </c>
      <c r="EJ16" s="101" t="str">
        <f t="shared" si="60"/>
        <v>PRIVATE PAY</v>
      </c>
      <c r="EK16" s="101" t="str">
        <f t="shared" si="61"/>
        <v>ASBURY METHODIST VILLAGE</v>
      </c>
      <c r="EL16" s="101" t="str">
        <f t="shared" si="62"/>
        <v>SKILLED NURSING - Household</v>
      </c>
      <c r="EM16" s="101" t="str">
        <f t="shared" si="63"/>
        <v>AMV - WILSON HEALTH CARE CENTER</v>
      </c>
      <c r="EN16" s="93" t="str" cm="1">
        <f t="array" ref="EN16">IF(EN$5&lt;=$CX16,INDEX($AF16:$AQ16,1,_xlfn.XMATCH(EN$5,$BS16:$CD16)),"na")</f>
        <v>na</v>
      </c>
      <c r="EO16" s="90" t="str" cm="1">
        <f t="array" ref="EO16">IF(EO$5&lt;=$CX16,INDEX($AS16:$BD16,1,_xlfn.XMATCH(EO$5,$BS16:$CD16)),"na")</f>
        <v>na</v>
      </c>
      <c r="EP16" s="91" t="str" cm="1">
        <f t="array" ref="EP16">IF(EP$5&lt;=$CY16,INDEX($BF16:$BQ16,1,_xlfn.XMATCH(EP$5,$CF16:$CQ16)),"na")</f>
        <v>na</v>
      </c>
      <c r="EQ16" s="101" t="str">
        <f t="shared" si="87"/>
        <v>PRIVATE PAY</v>
      </c>
      <c r="ER16" s="101" t="str">
        <f t="shared" si="64"/>
        <v>PRIVATE PAY</v>
      </c>
      <c r="ES16" s="101" t="str">
        <f t="shared" si="65"/>
        <v>ASBURY METHODIST VILLAGE</v>
      </c>
      <c r="ET16" s="101" t="str">
        <f t="shared" si="66"/>
        <v>SKILLED NURSING - Household</v>
      </c>
      <c r="EU16" s="101" t="str">
        <f t="shared" si="67"/>
        <v>AMV - WILSON HEALTH CARE CENTER</v>
      </c>
      <c r="EV16" s="93" t="str" cm="1">
        <f t="array" ref="EV16">IF(EV$5&lt;=$CX16,INDEX($AF16:$AQ16,1,_xlfn.XMATCH(EV$5,$BS16:$CD16)),"na")</f>
        <v>na</v>
      </c>
    </row>
    <row r="17" spans="1:152" hidden="1" x14ac:dyDescent="0.25">
      <c r="A17" s="60" t="s">
        <v>207</v>
      </c>
      <c r="B17" s="43" t="s">
        <v>205</v>
      </c>
      <c r="C17" s="43" t="s">
        <v>23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Q17" t="s">
        <v>209</v>
      </c>
      <c r="R17" t="s">
        <v>290</v>
      </c>
      <c r="S17" s="64">
        <f>SUMIFS('OC-Res Days'!B$6:B$75,'OC-Res Days'!$A$6:$A$75,$Q17)</f>
        <v>2263</v>
      </c>
      <c r="T17" s="64">
        <f>SUMIFS('OC-Res Days'!C$6:C$75,'OC-Res Days'!$A$6:$A$75,$Q17)</f>
        <v>2044</v>
      </c>
      <c r="U17" s="64">
        <f>SUMIFS('OC-Res Days'!D$6:D$75,'OC-Res Days'!$A$6:$A$75,$Q17)</f>
        <v>2263</v>
      </c>
      <c r="V17" s="64">
        <f>SUMIFS('OC-Res Days'!E$6:E$75,'OC-Res Days'!$A$6:$A$75,$Q17)</f>
        <v>2190</v>
      </c>
      <c r="W17" s="64">
        <f>SUMIFS('OC-Res Days'!F$6:F$75,'OC-Res Days'!$A$6:$A$75,$Q17)</f>
        <v>2263</v>
      </c>
      <c r="X17" s="64">
        <f>SUMIFS('OC-Res Days'!G$6:G$75,'OC-Res Days'!$A$6:$A$75,$Q17)</f>
        <v>2190</v>
      </c>
      <c r="Y17" s="64">
        <f>SUMIFS('OC-Res Days'!H$6:H$75,'OC-Res Days'!$A$6:$A$75,$Q17)</f>
        <v>2263</v>
      </c>
      <c r="Z17" s="64">
        <f>SUMIFS('OC-Res Days'!I$6:I$75,'OC-Res Days'!$A$6:$A$75,$Q17)</f>
        <v>2263</v>
      </c>
      <c r="AA17" s="64">
        <f>SUMIFS('OC-Res Days'!J$6:J$75,'OC-Res Days'!$A$6:$A$75,$Q17)</f>
        <v>2190</v>
      </c>
      <c r="AB17" s="64">
        <f>SUMIFS('OC-Res Days'!K$6:K$75,'OC-Res Days'!$A$6:$A$75,$Q17)</f>
        <v>2263</v>
      </c>
      <c r="AC17" s="64">
        <f>SUMIFS('OC-Res Days'!L$6:L$75,'OC-Res Days'!$A$6:$A$75,$Q17)</f>
        <v>2190</v>
      </c>
      <c r="AD17" s="64">
        <f>SUMIFS('OC-Res Days'!M$6:M$75,'OC-Res Days'!$A$6:$A$75,$Q17)</f>
        <v>2263</v>
      </c>
      <c r="AF17" s="7">
        <f t="shared" si="22"/>
        <v>0</v>
      </c>
      <c r="AG17" s="7">
        <f t="shared" si="23"/>
        <v>0</v>
      </c>
      <c r="AH17" s="7">
        <f t="shared" si="24"/>
        <v>0</v>
      </c>
      <c r="AI17" s="7">
        <f t="shared" si="25"/>
        <v>0</v>
      </c>
      <c r="AJ17" s="7">
        <f t="shared" si="26"/>
        <v>0</v>
      </c>
      <c r="AK17" s="7">
        <f t="shared" si="27"/>
        <v>0</v>
      </c>
      <c r="AL17" s="7">
        <f t="shared" si="28"/>
        <v>0</v>
      </c>
      <c r="AM17" s="7">
        <f t="shared" si="29"/>
        <v>0</v>
      </c>
      <c r="AN17" s="7">
        <f t="shared" si="30"/>
        <v>0</v>
      </c>
      <c r="AO17" s="7">
        <f t="shared" si="31"/>
        <v>0</v>
      </c>
      <c r="AP17" s="7">
        <f t="shared" si="32"/>
        <v>0</v>
      </c>
      <c r="AQ17" s="7">
        <f t="shared" si="33"/>
        <v>0</v>
      </c>
      <c r="AS17" s="86">
        <f>_xlfn.XLOOKUP(AS$5,'OC-Days'!$G:$G,'OC-Days'!$F:$F)</f>
        <v>45658</v>
      </c>
      <c r="AT17" s="87" t="str">
        <f>IF(AG17=AF17,"na",_xlfn.XLOOKUP(AT$5,'OC-Days'!$G:$G,'OC-Days'!$F:$F))</f>
        <v>na</v>
      </c>
      <c r="AU17" s="87" t="str">
        <f>IF(AH17=AG17,"na",_xlfn.XLOOKUP(AU$5,'OC-Days'!$G:$G,'OC-Days'!$F:$F))</f>
        <v>na</v>
      </c>
      <c r="AV17" s="87" t="str">
        <f>IF(AI17=AH17,"na",_xlfn.XLOOKUP(AV$5,'OC-Days'!$G:$G,'OC-Days'!$F:$F))</f>
        <v>na</v>
      </c>
      <c r="AW17" s="87" t="str">
        <f>IF(AJ17=AI17,"na",_xlfn.XLOOKUP(AW$5,'OC-Days'!$G:$G,'OC-Days'!$F:$F))</f>
        <v>na</v>
      </c>
      <c r="AX17" s="87" t="str">
        <f>IF(AK17=AJ17,"na",_xlfn.XLOOKUP(AX$5,'OC-Days'!$G:$G,'OC-Days'!$F:$F))</f>
        <v>na</v>
      </c>
      <c r="AY17" s="87" t="str">
        <f>IF(AL17=AK17,"na",_xlfn.XLOOKUP(AY$5,'OC-Days'!$G:$G,'OC-Days'!$F:$F))</f>
        <v>na</v>
      </c>
      <c r="AZ17" s="87" t="str">
        <f>IF(AM17=AL17,"na",_xlfn.XLOOKUP(AZ$5,'OC-Days'!$G:$G,'OC-Days'!$F:$F))</f>
        <v>na</v>
      </c>
      <c r="BA17" s="87" t="str">
        <f>IF(AN17=AM17,"na",_xlfn.XLOOKUP(BA$5,'OC-Days'!$G:$G,'OC-Days'!$F:$F))</f>
        <v>na</v>
      </c>
      <c r="BB17" s="87" t="str">
        <f>IF(AO17=AN17,"na",_xlfn.XLOOKUP(BB$5,'OC-Days'!$G:$G,'OC-Days'!$F:$F))</f>
        <v>na</v>
      </c>
      <c r="BC17" s="87" t="str">
        <f>IF(AP17=AO17,"na",_xlfn.XLOOKUP(BC$5,'OC-Days'!$G:$G,'OC-Days'!$F:$F))</f>
        <v>na</v>
      </c>
      <c r="BD17" s="87" t="str">
        <f>IF(AQ17=AP17,"na",_xlfn.XLOOKUP(BD$5,'OC-Days'!$G:$G,'OC-Days'!$F:$F))</f>
        <v>na</v>
      </c>
      <c r="BF17" s="88" t="str">
        <f t="shared" si="68"/>
        <v>na</v>
      </c>
      <c r="BG17" s="88" t="str">
        <f t="shared" si="69"/>
        <v>na</v>
      </c>
      <c r="BH17" s="88" t="str">
        <f t="shared" si="70"/>
        <v>na</v>
      </c>
      <c r="BI17" s="88" t="str">
        <f t="shared" si="71"/>
        <v>na</v>
      </c>
      <c r="BJ17" s="88" t="str">
        <f t="shared" si="72"/>
        <v>na</v>
      </c>
      <c r="BK17" s="88" t="str">
        <f t="shared" si="73"/>
        <v>na</v>
      </c>
      <c r="BL17" s="88" t="str">
        <f t="shared" si="74"/>
        <v>na</v>
      </c>
      <c r="BM17" s="88" t="str">
        <f t="shared" si="75"/>
        <v>na</v>
      </c>
      <c r="BN17" s="88" t="str">
        <f t="shared" si="76"/>
        <v>na</v>
      </c>
      <c r="BO17" s="88" t="str">
        <f t="shared" si="77"/>
        <v>na</v>
      </c>
      <c r="BP17" s="88" t="str">
        <f t="shared" si="78"/>
        <v>na</v>
      </c>
      <c r="BQ17" s="89">
        <f t="shared" si="79"/>
        <v>46022</v>
      </c>
      <c r="BS17">
        <f>COUNT($AS17:AS17)</f>
        <v>1</v>
      </c>
      <c r="BT17">
        <f>COUNT($AS17:AT17)</f>
        <v>1</v>
      </c>
      <c r="BU17">
        <f>COUNT($AS17:AU17)</f>
        <v>1</v>
      </c>
      <c r="BV17">
        <f>COUNT($AS17:AV17)</f>
        <v>1</v>
      </c>
      <c r="BW17">
        <f>COUNT($AS17:AW17)</f>
        <v>1</v>
      </c>
      <c r="BX17">
        <f>COUNT($AS17:AX17)</f>
        <v>1</v>
      </c>
      <c r="BY17">
        <f>COUNT($AS17:AY17)</f>
        <v>1</v>
      </c>
      <c r="BZ17">
        <f>COUNT($AS17:AZ17)</f>
        <v>1</v>
      </c>
      <c r="CA17">
        <f>COUNT($AS17:BA17)</f>
        <v>1</v>
      </c>
      <c r="CB17">
        <f>COUNT($AS17:BB17)</f>
        <v>1</v>
      </c>
      <c r="CC17">
        <f>COUNT($AS17:BC17)</f>
        <v>1</v>
      </c>
      <c r="CD17">
        <f>COUNT($AS17:BD17)</f>
        <v>1</v>
      </c>
      <c r="CF17">
        <f>COUNT($BF17:BF17)</f>
        <v>0</v>
      </c>
      <c r="CG17">
        <f>COUNT($BF17:BG17)</f>
        <v>0</v>
      </c>
      <c r="CH17">
        <f>COUNT($BF17:BH17)</f>
        <v>0</v>
      </c>
      <c r="CI17">
        <f>COUNT($BF17:BI17)</f>
        <v>0</v>
      </c>
      <c r="CJ17">
        <f>COUNT($BF17:BJ17)</f>
        <v>0</v>
      </c>
      <c r="CK17">
        <f>COUNT($BF17:BK17)</f>
        <v>0</v>
      </c>
      <c r="CL17">
        <f>COUNT($BF17:BL17)</f>
        <v>0</v>
      </c>
      <c r="CM17">
        <f>COUNT($BF17:BM17)</f>
        <v>0</v>
      </c>
      <c r="CN17">
        <f>COUNT($BF17:BN17)</f>
        <v>0</v>
      </c>
      <c r="CO17">
        <f>COUNT($BF17:BO17)</f>
        <v>0</v>
      </c>
      <c r="CP17">
        <f>COUNT($BF17:BP17)</f>
        <v>0</v>
      </c>
      <c r="CQ17">
        <f>COUNT($BF17:BQ17)</f>
        <v>1</v>
      </c>
      <c r="CS17" s="5">
        <f t="shared" si="45"/>
        <v>0</v>
      </c>
      <c r="CT17" s="100" t="str">
        <f t="shared" si="80"/>
        <v>10062Hospice</v>
      </c>
      <c r="CU17" s="83">
        <f t="shared" si="46"/>
        <v>100</v>
      </c>
      <c r="CV17" s="83">
        <f t="shared" si="47"/>
        <v>62</v>
      </c>
      <c r="CX17">
        <f t="shared" si="81"/>
        <v>1</v>
      </c>
      <c r="CY17">
        <f t="shared" si="82"/>
        <v>1</v>
      </c>
      <c r="DA17" s="90" cm="1">
        <f t="array" ref="DA17">IF(DA$5&lt;=$CX17,INDEX($AS17:$BD17,1,_xlfn.XMATCH(DA$5,$BS17:$CD17)),"na")</f>
        <v>45658</v>
      </c>
      <c r="DB17" s="91" cm="1">
        <f t="array" ref="DB17">IF(DB$5&lt;=$CY17,INDEX($BF17:$BQ17,1,_xlfn.XMATCH(DB$5,$CF17:$CQ17)),"na")</f>
        <v>46022</v>
      </c>
      <c r="DC17" s="82" t="str">
        <f>_xlfn.XLOOKUP($CU17&amp;"-"&amp;$CV17&amp;$C17,REF!$K$2:$K$90,REF!B$2:B$90)</f>
        <v>Hospice</v>
      </c>
      <c r="DD17" s="82" t="str">
        <f>_xlfn.XLOOKUP($CU17&amp;"-"&amp;$CV17&amp;$C17,REF!$K$2:$K$90,REF!C$2:C$90)</f>
        <v>Hospice - Private Pay</v>
      </c>
      <c r="DE17" s="82" t="str">
        <f>_xlfn.XLOOKUP($CU17&amp;"-"&amp;$CV17&amp;$C17,REF!$K$2:$K$90,REF!D$2:D$90)</f>
        <v>ASBURY METHODIST VILLAGE</v>
      </c>
      <c r="DF17" s="82" t="str">
        <f>_xlfn.XLOOKUP($CU17&amp;"-"&amp;$CV17&amp;$C17,REF!$K$2:$K$90,REF!E$2:E$90)</f>
        <v>SKILLED NURSING - Household</v>
      </c>
      <c r="DG17" s="82" t="str">
        <f>_xlfn.XLOOKUP($CU17&amp;"-"&amp;$CV17&amp;$C17,REF!$K$2:$K$90,REF!F$2:F$90)</f>
        <v>AMV - WILSON HEALTH CARE CENTER</v>
      </c>
      <c r="DH17" s="93" cm="1">
        <f t="array" ref="DH17">IF(DH$5&lt;=$CX17,INDEX($AF17:$AQ17,1,_xlfn.XMATCH(DH$5,$BS17:$CD17)),"na")</f>
        <v>0</v>
      </c>
      <c r="DI17" s="90" t="str" cm="1">
        <f t="array" ref="DI17">IF(DI$5&lt;=$CX17,INDEX($AS17:$BD17,1,_xlfn.XMATCH(DI$5,$BS17:$CD17)),"na")</f>
        <v>na</v>
      </c>
      <c r="DJ17" s="91" t="str" cm="1">
        <f t="array" ref="DJ17">IF(DJ$5&lt;=$CY17,INDEX($BF17:$BQ17,1,_xlfn.XMATCH(DJ$5,$CF17:$CQ17)),"na")</f>
        <v>na</v>
      </c>
      <c r="DK17" s="101" t="str">
        <f t="shared" si="83"/>
        <v>Hospice</v>
      </c>
      <c r="DL17" s="101" t="str">
        <f t="shared" si="48"/>
        <v>Hospice - Private Pay</v>
      </c>
      <c r="DM17" s="101" t="str">
        <f t="shared" si="49"/>
        <v>ASBURY METHODIST VILLAGE</v>
      </c>
      <c r="DN17" s="101" t="str">
        <f t="shared" si="50"/>
        <v>SKILLED NURSING - Household</v>
      </c>
      <c r="DO17" s="101" t="str">
        <f t="shared" si="51"/>
        <v>AMV - WILSON HEALTH CARE CENTER</v>
      </c>
      <c r="DP17" s="93" t="str" cm="1">
        <f t="array" ref="DP17">IF(DP$5&lt;=$CX17,INDEX($AF17:$AQ17,1,_xlfn.XMATCH(DP$5,$BS17:$CD17)),"na")</f>
        <v>na</v>
      </c>
      <c r="DQ17" s="90" t="str" cm="1">
        <f t="array" ref="DQ17">IF(DQ$5&lt;=$CX17,INDEX($AS17:$BD17,1,_xlfn.XMATCH(DQ$5,$BS17:$CD17)),"na")</f>
        <v>na</v>
      </c>
      <c r="DR17" s="91" t="str" cm="1">
        <f t="array" ref="DR17">IF(DR$5&lt;=$CY17,INDEX($BF17:$BQ17,1,_xlfn.XMATCH(DR$5,$CF17:$CQ17)),"na")</f>
        <v>na</v>
      </c>
      <c r="DS17" s="101" t="str">
        <f t="shared" si="84"/>
        <v>Hospice</v>
      </c>
      <c r="DT17" s="101" t="str">
        <f t="shared" si="52"/>
        <v>Hospice - Private Pay</v>
      </c>
      <c r="DU17" s="101" t="str">
        <f t="shared" si="53"/>
        <v>ASBURY METHODIST VILLAGE</v>
      </c>
      <c r="DV17" s="101" t="str">
        <f t="shared" si="54"/>
        <v>SKILLED NURSING - Household</v>
      </c>
      <c r="DW17" s="101" t="str">
        <f t="shared" si="55"/>
        <v>AMV - WILSON HEALTH CARE CENTER</v>
      </c>
      <c r="DX17" s="93" t="str" cm="1">
        <f t="array" ref="DX17">IF(DX$5&lt;=$CX17,INDEX($AF17:$AQ17,1,_xlfn.XMATCH(DX$5,$BS17:$CD17)),"na")</f>
        <v>na</v>
      </c>
      <c r="DY17" s="90" t="str" cm="1">
        <f t="array" ref="DY17">IF(DY$5&lt;=$CX17,INDEX($AS17:$BD17,1,_xlfn.XMATCH(DY$5,$BS17:$CD17)),"na")</f>
        <v>na</v>
      </c>
      <c r="DZ17" s="91" t="str" cm="1">
        <f t="array" ref="DZ17">IF(DZ$5&lt;=$CY17,INDEX($BF17:$BQ17,1,_xlfn.XMATCH(DZ$5,$CF17:$CQ17)),"na")</f>
        <v>na</v>
      </c>
      <c r="EA17" s="101" t="str">
        <f t="shared" si="85"/>
        <v>Hospice</v>
      </c>
      <c r="EB17" s="101" t="str">
        <f t="shared" si="56"/>
        <v>Hospice - Private Pay</v>
      </c>
      <c r="EC17" s="101" t="str">
        <f t="shared" si="57"/>
        <v>ASBURY METHODIST VILLAGE</v>
      </c>
      <c r="ED17" s="101" t="str">
        <f t="shared" si="58"/>
        <v>SKILLED NURSING - Household</v>
      </c>
      <c r="EE17" s="101" t="str">
        <f t="shared" si="59"/>
        <v>AMV - WILSON HEALTH CARE CENTER</v>
      </c>
      <c r="EF17" s="93" t="str" cm="1">
        <f t="array" ref="EF17">IF(EF$5&lt;=$CX17,INDEX($AF17:$AQ17,1,_xlfn.XMATCH(EF$5,$BS17:$CD17)),"na")</f>
        <v>na</v>
      </c>
      <c r="EG17" s="90" t="str" cm="1">
        <f t="array" ref="EG17">IF(EG$5&lt;=$CX17,INDEX($AS17:$BD17,1,_xlfn.XMATCH(EG$5,$BS17:$CD17)),"na")</f>
        <v>na</v>
      </c>
      <c r="EH17" s="91" t="str" cm="1">
        <f t="array" ref="EH17">IF(EH$5&lt;=$CY17,INDEX($BF17:$BQ17,1,_xlfn.XMATCH(EH$5,$CF17:$CQ17)),"na")</f>
        <v>na</v>
      </c>
      <c r="EI17" s="101" t="str">
        <f t="shared" si="86"/>
        <v>Hospice</v>
      </c>
      <c r="EJ17" s="101" t="str">
        <f t="shared" si="60"/>
        <v>Hospice - Private Pay</v>
      </c>
      <c r="EK17" s="101" t="str">
        <f t="shared" si="61"/>
        <v>ASBURY METHODIST VILLAGE</v>
      </c>
      <c r="EL17" s="101" t="str">
        <f t="shared" si="62"/>
        <v>SKILLED NURSING - Household</v>
      </c>
      <c r="EM17" s="101" t="str">
        <f t="shared" si="63"/>
        <v>AMV - WILSON HEALTH CARE CENTER</v>
      </c>
      <c r="EN17" s="93" t="str" cm="1">
        <f t="array" ref="EN17">IF(EN$5&lt;=$CX17,INDEX($AF17:$AQ17,1,_xlfn.XMATCH(EN$5,$BS17:$CD17)),"na")</f>
        <v>na</v>
      </c>
      <c r="EO17" s="90" t="str" cm="1">
        <f t="array" ref="EO17">IF(EO$5&lt;=$CX17,INDEX($AS17:$BD17,1,_xlfn.XMATCH(EO$5,$BS17:$CD17)),"na")</f>
        <v>na</v>
      </c>
      <c r="EP17" s="91" t="str" cm="1">
        <f t="array" ref="EP17">IF(EP$5&lt;=$CY17,INDEX($BF17:$BQ17,1,_xlfn.XMATCH(EP$5,$CF17:$CQ17)),"na")</f>
        <v>na</v>
      </c>
      <c r="EQ17" s="101" t="str">
        <f t="shared" si="87"/>
        <v>Hospice</v>
      </c>
      <c r="ER17" s="101" t="str">
        <f t="shared" si="64"/>
        <v>Hospice - Private Pay</v>
      </c>
      <c r="ES17" s="101" t="str">
        <f t="shared" si="65"/>
        <v>ASBURY METHODIST VILLAGE</v>
      </c>
      <c r="ET17" s="101" t="str">
        <f t="shared" si="66"/>
        <v>SKILLED NURSING - Household</v>
      </c>
      <c r="EU17" s="101" t="str">
        <f t="shared" si="67"/>
        <v>AMV - WILSON HEALTH CARE CENTER</v>
      </c>
      <c r="EV17" s="93" t="str" cm="1">
        <f t="array" ref="EV17">IF(EV$5&lt;=$CX17,INDEX($AF17:$AQ17,1,_xlfn.XMATCH(EV$5,$BS17:$CD17)),"na")</f>
        <v>na</v>
      </c>
    </row>
    <row r="18" spans="1:152" x14ac:dyDescent="0.25">
      <c r="A18" s="59" t="s">
        <v>208</v>
      </c>
      <c r="B18" s="43" t="s">
        <v>200</v>
      </c>
      <c r="C18" s="43" t="s">
        <v>133</v>
      </c>
      <c r="D18" s="4">
        <v>166.62461249999998</v>
      </c>
      <c r="E18" s="4">
        <v>150.49964999999997</v>
      </c>
      <c r="F18" s="4">
        <v>166.62461249999998</v>
      </c>
      <c r="G18" s="4">
        <v>161.24962499999998</v>
      </c>
      <c r="H18" s="4">
        <v>166.62461249999998</v>
      </c>
      <c r="I18" s="4">
        <v>161.24962499999998</v>
      </c>
      <c r="J18" s="4">
        <v>166.62461249999998</v>
      </c>
      <c r="K18" s="4">
        <v>166.62461249999998</v>
      </c>
      <c r="L18" s="4">
        <v>161.24962499999998</v>
      </c>
      <c r="M18" s="4">
        <v>166.62461249999998</v>
      </c>
      <c r="N18" s="4">
        <v>161.24962499999998</v>
      </c>
      <c r="O18" s="4">
        <v>166.62461249999998</v>
      </c>
      <c r="Q18" t="s">
        <v>210</v>
      </c>
      <c r="R18" t="s">
        <v>290</v>
      </c>
      <c r="S18" s="64">
        <f>SUMIFS('OC-Res Days'!B$6:B$75,'OC-Res Days'!$A$6:$A$75,$Q18)</f>
        <v>2046</v>
      </c>
      <c r="T18" s="64">
        <f>SUMIFS('OC-Res Days'!C$6:C$75,'OC-Res Days'!$A$6:$A$75,$Q18)</f>
        <v>1848</v>
      </c>
      <c r="U18" s="64">
        <f>SUMIFS('OC-Res Days'!D$6:D$75,'OC-Res Days'!$A$6:$A$75,$Q18)</f>
        <v>2046</v>
      </c>
      <c r="V18" s="64">
        <f>SUMIFS('OC-Res Days'!E$6:E$75,'OC-Res Days'!$A$6:$A$75,$Q18)</f>
        <v>1980</v>
      </c>
      <c r="W18" s="64">
        <f>SUMIFS('OC-Res Days'!F$6:F$75,'OC-Res Days'!$A$6:$A$75,$Q18)</f>
        <v>2046</v>
      </c>
      <c r="X18" s="64">
        <f>SUMIFS('OC-Res Days'!G$6:G$75,'OC-Res Days'!$A$6:$A$75,$Q18)</f>
        <v>1980</v>
      </c>
      <c r="Y18" s="64">
        <f>SUMIFS('OC-Res Days'!H$6:H$75,'OC-Res Days'!$A$6:$A$75,$Q18)</f>
        <v>2046</v>
      </c>
      <c r="Z18" s="64">
        <f>SUMIFS('OC-Res Days'!I$6:I$75,'OC-Res Days'!$A$6:$A$75,$Q18)</f>
        <v>2046</v>
      </c>
      <c r="AA18" s="64">
        <f>SUMIFS('OC-Res Days'!J$6:J$75,'OC-Res Days'!$A$6:$A$75,$Q18)</f>
        <v>1980</v>
      </c>
      <c r="AB18" s="64">
        <f>SUMIFS('OC-Res Days'!K$6:K$75,'OC-Res Days'!$A$6:$A$75,$Q18)</f>
        <v>2046</v>
      </c>
      <c r="AC18" s="64">
        <f>SUMIFS('OC-Res Days'!L$6:L$75,'OC-Res Days'!$A$6:$A$75,$Q18)</f>
        <v>1980</v>
      </c>
      <c r="AD18" s="64">
        <f>SUMIFS('OC-Res Days'!M$6:M$75,'OC-Res Days'!$A$6:$A$75,$Q18)</f>
        <v>2046</v>
      </c>
      <c r="AF18" s="7">
        <f t="shared" si="22"/>
        <v>5.3749874999999996</v>
      </c>
      <c r="AG18" s="7">
        <f t="shared" si="23"/>
        <v>5.3749874999999987</v>
      </c>
      <c r="AH18" s="7">
        <f t="shared" si="24"/>
        <v>5.3749874999999996</v>
      </c>
      <c r="AI18" s="7">
        <f t="shared" si="25"/>
        <v>5.3749874999999996</v>
      </c>
      <c r="AJ18" s="7">
        <f t="shared" si="26"/>
        <v>5.3749874999999996</v>
      </c>
      <c r="AK18" s="7">
        <f t="shared" si="27"/>
        <v>5.3749874999999996</v>
      </c>
      <c r="AL18" s="7">
        <f t="shared" si="28"/>
        <v>5.3749874999999996</v>
      </c>
      <c r="AM18" s="7">
        <f t="shared" si="29"/>
        <v>5.3749874999999996</v>
      </c>
      <c r="AN18" s="7">
        <f t="shared" si="30"/>
        <v>5.3749874999999996</v>
      </c>
      <c r="AO18" s="7">
        <f t="shared" si="31"/>
        <v>5.3749874999999996</v>
      </c>
      <c r="AP18" s="7">
        <f t="shared" si="32"/>
        <v>5.3749874999999996</v>
      </c>
      <c r="AQ18" s="7">
        <f t="shared" si="33"/>
        <v>5.3749874999999996</v>
      </c>
      <c r="AS18" s="86">
        <f>_xlfn.XLOOKUP(AS$5,'OC-Days'!$G:$G,'OC-Days'!$F:$F)</f>
        <v>45658</v>
      </c>
      <c r="AT18" s="87" t="str">
        <f>IF(AG18=AF18,"na",_xlfn.XLOOKUP(AT$5,'OC-Days'!$G:$G,'OC-Days'!$F:$F))</f>
        <v>na</v>
      </c>
      <c r="AU18" s="87" t="str">
        <f>IF(AH18=AG18,"na",_xlfn.XLOOKUP(AU$5,'OC-Days'!$G:$G,'OC-Days'!$F:$F))</f>
        <v>na</v>
      </c>
      <c r="AV18" s="87" t="str">
        <f>IF(AI18=AH18,"na",_xlfn.XLOOKUP(AV$5,'OC-Days'!$G:$G,'OC-Days'!$F:$F))</f>
        <v>na</v>
      </c>
      <c r="AW18" s="87" t="str">
        <f>IF(AJ18=AI18,"na",_xlfn.XLOOKUP(AW$5,'OC-Days'!$G:$G,'OC-Days'!$F:$F))</f>
        <v>na</v>
      </c>
      <c r="AX18" s="87" t="str">
        <f>IF(AK18=AJ18,"na",_xlfn.XLOOKUP(AX$5,'OC-Days'!$G:$G,'OC-Days'!$F:$F))</f>
        <v>na</v>
      </c>
      <c r="AY18" s="87" t="str">
        <f>IF(AL18=AK18,"na",_xlfn.XLOOKUP(AY$5,'OC-Days'!$G:$G,'OC-Days'!$F:$F))</f>
        <v>na</v>
      </c>
      <c r="AZ18" s="87" t="str">
        <f>IF(AM18=AL18,"na",_xlfn.XLOOKUP(AZ$5,'OC-Days'!$G:$G,'OC-Days'!$F:$F))</f>
        <v>na</v>
      </c>
      <c r="BA18" s="87" t="str">
        <f>IF(AN18=AM18,"na",_xlfn.XLOOKUP(BA$5,'OC-Days'!$G:$G,'OC-Days'!$F:$F))</f>
        <v>na</v>
      </c>
      <c r="BB18" s="87" t="str">
        <f>IF(AO18=AN18,"na",_xlfn.XLOOKUP(BB$5,'OC-Days'!$G:$G,'OC-Days'!$F:$F))</f>
        <v>na</v>
      </c>
      <c r="BC18" s="87" t="str">
        <f>IF(AP18=AO18,"na",_xlfn.XLOOKUP(BC$5,'OC-Days'!$G:$G,'OC-Days'!$F:$F))</f>
        <v>na</v>
      </c>
      <c r="BD18" s="87" t="str">
        <f>IF(AQ18=AP18,"na",_xlfn.XLOOKUP(BD$5,'OC-Days'!$G:$G,'OC-Days'!$F:$F))</f>
        <v>na</v>
      </c>
      <c r="BF18" s="88" t="str">
        <f t="shared" si="68"/>
        <v>na</v>
      </c>
      <c r="BG18" s="88" t="str">
        <f t="shared" si="69"/>
        <v>na</v>
      </c>
      <c r="BH18" s="88" t="str">
        <f t="shared" si="70"/>
        <v>na</v>
      </c>
      <c r="BI18" s="88" t="str">
        <f t="shared" si="71"/>
        <v>na</v>
      </c>
      <c r="BJ18" s="88" t="str">
        <f t="shared" si="72"/>
        <v>na</v>
      </c>
      <c r="BK18" s="88" t="str">
        <f t="shared" si="73"/>
        <v>na</v>
      </c>
      <c r="BL18" s="88" t="str">
        <f t="shared" si="74"/>
        <v>na</v>
      </c>
      <c r="BM18" s="88" t="str">
        <f t="shared" si="75"/>
        <v>na</v>
      </c>
      <c r="BN18" s="88" t="str">
        <f t="shared" si="76"/>
        <v>na</v>
      </c>
      <c r="BO18" s="88" t="str">
        <f t="shared" si="77"/>
        <v>na</v>
      </c>
      <c r="BP18" s="88" t="str">
        <f t="shared" si="78"/>
        <v>na</v>
      </c>
      <c r="BQ18" s="89">
        <f t="shared" si="79"/>
        <v>46022</v>
      </c>
      <c r="BS18">
        <f>COUNT($AS18:AS18)</f>
        <v>1</v>
      </c>
      <c r="BT18">
        <f>COUNT($AS18:AT18)</f>
        <v>1</v>
      </c>
      <c r="BU18">
        <f>COUNT($AS18:AU18)</f>
        <v>1</v>
      </c>
      <c r="BV18">
        <f>COUNT($AS18:AV18)</f>
        <v>1</v>
      </c>
      <c r="BW18">
        <f>COUNT($AS18:AW18)</f>
        <v>1</v>
      </c>
      <c r="BX18">
        <f>COUNT($AS18:AX18)</f>
        <v>1</v>
      </c>
      <c r="BY18">
        <f>COUNT($AS18:AY18)</f>
        <v>1</v>
      </c>
      <c r="BZ18">
        <f>COUNT($AS18:AZ18)</f>
        <v>1</v>
      </c>
      <c r="CA18">
        <f>COUNT($AS18:BA18)</f>
        <v>1</v>
      </c>
      <c r="CB18">
        <f>COUNT($AS18:BB18)</f>
        <v>1</v>
      </c>
      <c r="CC18">
        <f>COUNT($AS18:BC18)</f>
        <v>1</v>
      </c>
      <c r="CD18">
        <f>COUNT($AS18:BD18)</f>
        <v>1</v>
      </c>
      <c r="CF18">
        <f>COUNT($BF18:BF18)</f>
        <v>0</v>
      </c>
      <c r="CG18">
        <f>COUNT($BF18:BG18)</f>
        <v>0</v>
      </c>
      <c r="CH18">
        <f>COUNT($BF18:BH18)</f>
        <v>0</v>
      </c>
      <c r="CI18">
        <f>COUNT($BF18:BI18)</f>
        <v>0</v>
      </c>
      <c r="CJ18">
        <f>COUNT($BF18:BJ18)</f>
        <v>0</v>
      </c>
      <c r="CK18">
        <f>COUNT($BF18:BK18)</f>
        <v>0</v>
      </c>
      <c r="CL18">
        <f>COUNT($BF18:BL18)</f>
        <v>0</v>
      </c>
      <c r="CM18">
        <f>COUNT($BF18:BM18)</f>
        <v>0</v>
      </c>
      <c r="CN18">
        <f>COUNT($BF18:BN18)</f>
        <v>0</v>
      </c>
      <c r="CO18">
        <f>COUNT($BF18:BO18)</f>
        <v>0</v>
      </c>
      <c r="CP18">
        <f>COUNT($BF18:BP18)</f>
        <v>0</v>
      </c>
      <c r="CQ18">
        <f>COUNT($BF18:BQ18)</f>
        <v>1</v>
      </c>
      <c r="CS18" s="5">
        <f t="shared" si="45"/>
        <v>1</v>
      </c>
      <c r="CT18" s="100" t="str">
        <f t="shared" si="80"/>
        <v>20061Medicare A</v>
      </c>
      <c r="CU18" s="83">
        <f t="shared" si="46"/>
        <v>200</v>
      </c>
      <c r="CV18" s="83">
        <f t="shared" si="47"/>
        <v>61</v>
      </c>
      <c r="CX18">
        <f t="shared" si="81"/>
        <v>1</v>
      </c>
      <c r="CY18">
        <f t="shared" si="82"/>
        <v>1</v>
      </c>
      <c r="DA18" s="90" cm="1">
        <f t="array" ref="DA18">IF(DA$5&lt;=$CX18,INDEX($AS18:$BD18,1,_xlfn.XMATCH(DA$5,$BS18:$CD18)),"na")</f>
        <v>45658</v>
      </c>
      <c r="DB18" s="91" cm="1">
        <f t="array" ref="DB18">IF(DB$5&lt;=$CY18,INDEX($BF18:$BQ18,1,_xlfn.XMATCH(DB$5,$CF18:$CQ18)),"na")</f>
        <v>46022</v>
      </c>
      <c r="DC18" s="82" t="str">
        <f>_xlfn.XLOOKUP($CU18&amp;"-"&amp;$CV18&amp;$C18,REF!$K$2:$K$90,REF!B$2:B$90)</f>
        <v>MEDICAREA/MC HMO</v>
      </c>
      <c r="DD18" s="82" t="str">
        <f>_xlfn.XLOOKUP($CU18&amp;"-"&amp;$CV18&amp;$C18,REF!$K$2:$K$90,REF!C$2:C$90)</f>
        <v>MEDICARE A HIGHMARK</v>
      </c>
      <c r="DE18" s="82" t="str">
        <f>_xlfn.XLOOKUP($CU18&amp;"-"&amp;$CV18&amp;$C18,REF!$K$2:$K$90,REF!D$2:D$90)</f>
        <v>ASBURY SOLOMONS</v>
      </c>
      <c r="DF18" s="82" t="str">
        <f>_xlfn.XLOOKUP($CU18&amp;"-"&amp;$CV18&amp;$C18,REF!$K$2:$K$90,REF!E$2:E$90)</f>
        <v>SKILLED NURSING</v>
      </c>
      <c r="DG18" s="82" t="str">
        <f>_xlfn.XLOOKUP($CU18&amp;"-"&amp;$CV18&amp;$C18,REF!$K$2:$K$90,REF!F$2:F$90)</f>
        <v>ASBURY SOLOMONS SKILLED NURSING</v>
      </c>
      <c r="DH18" s="93" cm="1">
        <f t="array" ref="DH18">IF(DH$5&lt;=$CX18,INDEX($AF18:$AQ18,1,_xlfn.XMATCH(DH$5,$BS18:$CD18)),"na")</f>
        <v>5.3749874999999996</v>
      </c>
      <c r="DI18" s="90" t="str" cm="1">
        <f t="array" ref="DI18">IF(DI$5&lt;=$CX18,INDEX($AS18:$BD18,1,_xlfn.XMATCH(DI$5,$BS18:$CD18)),"na")</f>
        <v>na</v>
      </c>
      <c r="DJ18" s="91" t="str" cm="1">
        <f t="array" ref="DJ18">IF(DJ$5&lt;=$CY18,INDEX($BF18:$BQ18,1,_xlfn.XMATCH(DJ$5,$CF18:$CQ18)),"na")</f>
        <v>na</v>
      </c>
      <c r="DK18" s="101" t="str">
        <f t="shared" si="83"/>
        <v>MEDICAREA/MC HMO</v>
      </c>
      <c r="DL18" s="101" t="str">
        <f t="shared" si="48"/>
        <v>MEDICARE A HIGHMARK</v>
      </c>
      <c r="DM18" s="101" t="str">
        <f t="shared" si="49"/>
        <v>ASBURY SOLOMONS</v>
      </c>
      <c r="DN18" s="101" t="str">
        <f t="shared" si="50"/>
        <v>SKILLED NURSING</v>
      </c>
      <c r="DO18" s="101" t="str">
        <f t="shared" si="51"/>
        <v>ASBURY SOLOMONS SKILLED NURSING</v>
      </c>
      <c r="DP18" s="93" t="str" cm="1">
        <f t="array" ref="DP18">IF(DP$5&lt;=$CX18,INDEX($AF18:$AQ18,1,_xlfn.XMATCH(DP$5,$BS18:$CD18)),"na")</f>
        <v>na</v>
      </c>
      <c r="DQ18" s="90" t="str" cm="1">
        <f t="array" ref="DQ18">IF(DQ$5&lt;=$CX18,INDEX($AS18:$BD18,1,_xlfn.XMATCH(DQ$5,$BS18:$CD18)),"na")</f>
        <v>na</v>
      </c>
      <c r="DR18" s="91" t="str" cm="1">
        <f t="array" ref="DR18">IF(DR$5&lt;=$CY18,INDEX($BF18:$BQ18,1,_xlfn.XMATCH(DR$5,$CF18:$CQ18)),"na")</f>
        <v>na</v>
      </c>
      <c r="DS18" s="101" t="str">
        <f t="shared" si="84"/>
        <v>MEDICAREA/MC HMO</v>
      </c>
      <c r="DT18" s="101" t="str">
        <f t="shared" si="52"/>
        <v>MEDICARE A HIGHMARK</v>
      </c>
      <c r="DU18" s="101" t="str">
        <f t="shared" si="53"/>
        <v>ASBURY SOLOMONS</v>
      </c>
      <c r="DV18" s="101" t="str">
        <f t="shared" si="54"/>
        <v>SKILLED NURSING</v>
      </c>
      <c r="DW18" s="101" t="str">
        <f t="shared" si="55"/>
        <v>ASBURY SOLOMONS SKILLED NURSING</v>
      </c>
      <c r="DX18" s="93" t="str" cm="1">
        <f t="array" ref="DX18">IF(DX$5&lt;=$CX18,INDEX($AF18:$AQ18,1,_xlfn.XMATCH(DX$5,$BS18:$CD18)),"na")</f>
        <v>na</v>
      </c>
      <c r="DY18" s="90" t="str" cm="1">
        <f t="array" ref="DY18">IF(DY$5&lt;=$CX18,INDEX($AS18:$BD18,1,_xlfn.XMATCH(DY$5,$BS18:$CD18)),"na")</f>
        <v>na</v>
      </c>
      <c r="DZ18" s="91" t="str" cm="1">
        <f t="array" ref="DZ18">IF(DZ$5&lt;=$CY18,INDEX($BF18:$BQ18,1,_xlfn.XMATCH(DZ$5,$CF18:$CQ18)),"na")</f>
        <v>na</v>
      </c>
      <c r="EA18" s="101" t="str">
        <f t="shared" si="85"/>
        <v>MEDICAREA/MC HMO</v>
      </c>
      <c r="EB18" s="101" t="str">
        <f t="shared" si="56"/>
        <v>MEDICARE A HIGHMARK</v>
      </c>
      <c r="EC18" s="101" t="str">
        <f t="shared" si="57"/>
        <v>ASBURY SOLOMONS</v>
      </c>
      <c r="ED18" s="101" t="str">
        <f t="shared" si="58"/>
        <v>SKILLED NURSING</v>
      </c>
      <c r="EE18" s="101" t="str">
        <f t="shared" si="59"/>
        <v>ASBURY SOLOMONS SKILLED NURSING</v>
      </c>
      <c r="EF18" s="93" t="str" cm="1">
        <f t="array" ref="EF18">IF(EF$5&lt;=$CX18,INDEX($AF18:$AQ18,1,_xlfn.XMATCH(EF$5,$BS18:$CD18)),"na")</f>
        <v>na</v>
      </c>
      <c r="EG18" s="90" t="str" cm="1">
        <f t="array" ref="EG18">IF(EG$5&lt;=$CX18,INDEX($AS18:$BD18,1,_xlfn.XMATCH(EG$5,$BS18:$CD18)),"na")</f>
        <v>na</v>
      </c>
      <c r="EH18" s="91" t="str" cm="1">
        <f t="array" ref="EH18">IF(EH$5&lt;=$CY18,INDEX($BF18:$BQ18,1,_xlfn.XMATCH(EH$5,$CF18:$CQ18)),"na")</f>
        <v>na</v>
      </c>
      <c r="EI18" s="101" t="str">
        <f t="shared" si="86"/>
        <v>MEDICAREA/MC HMO</v>
      </c>
      <c r="EJ18" s="101" t="str">
        <f t="shared" si="60"/>
        <v>MEDICARE A HIGHMARK</v>
      </c>
      <c r="EK18" s="101" t="str">
        <f t="shared" si="61"/>
        <v>ASBURY SOLOMONS</v>
      </c>
      <c r="EL18" s="101" t="str">
        <f t="shared" si="62"/>
        <v>SKILLED NURSING</v>
      </c>
      <c r="EM18" s="101" t="str">
        <f t="shared" si="63"/>
        <v>ASBURY SOLOMONS SKILLED NURSING</v>
      </c>
      <c r="EN18" s="93" t="str" cm="1">
        <f t="array" ref="EN18">IF(EN$5&lt;=$CX18,INDEX($AF18:$AQ18,1,_xlfn.XMATCH(EN$5,$BS18:$CD18)),"na")</f>
        <v>na</v>
      </c>
      <c r="EO18" s="90" t="str" cm="1">
        <f t="array" ref="EO18">IF(EO$5&lt;=$CX18,INDEX($AS18:$BD18,1,_xlfn.XMATCH(EO$5,$BS18:$CD18)),"na")</f>
        <v>na</v>
      </c>
      <c r="EP18" s="91" t="str" cm="1">
        <f t="array" ref="EP18">IF(EP$5&lt;=$CY18,INDEX($BF18:$BQ18,1,_xlfn.XMATCH(EP$5,$CF18:$CQ18)),"na")</f>
        <v>na</v>
      </c>
      <c r="EQ18" s="101" t="str">
        <f t="shared" si="87"/>
        <v>MEDICAREA/MC HMO</v>
      </c>
      <c r="ER18" s="101" t="str">
        <f t="shared" si="64"/>
        <v>MEDICARE A HIGHMARK</v>
      </c>
      <c r="ES18" s="101" t="str">
        <f t="shared" si="65"/>
        <v>ASBURY SOLOMONS</v>
      </c>
      <c r="ET18" s="101" t="str">
        <f t="shared" si="66"/>
        <v>SKILLED NURSING</v>
      </c>
      <c r="EU18" s="101" t="str">
        <f t="shared" si="67"/>
        <v>ASBURY SOLOMONS SKILLED NURSING</v>
      </c>
      <c r="EV18" s="93" t="str" cm="1">
        <f t="array" ref="EV18">IF(EV$5&lt;=$CX18,INDEX($AF18:$AQ18,1,_xlfn.XMATCH(EV$5,$BS18:$CD18)),"na")</f>
        <v>na</v>
      </c>
    </row>
    <row r="19" spans="1:152" x14ac:dyDescent="0.25">
      <c r="A19" s="59" t="s">
        <v>208</v>
      </c>
      <c r="B19" s="43" t="s">
        <v>201</v>
      </c>
      <c r="C19" s="43" t="s">
        <v>45</v>
      </c>
      <c r="D19" s="4">
        <v>16.275000000000002</v>
      </c>
      <c r="E19" s="4">
        <v>14.7</v>
      </c>
      <c r="F19" s="4">
        <v>16.275000000000002</v>
      </c>
      <c r="G19" s="4">
        <v>15.75</v>
      </c>
      <c r="H19" s="4">
        <v>16.275000000000002</v>
      </c>
      <c r="I19" s="4">
        <v>15.75</v>
      </c>
      <c r="J19" s="4">
        <v>16.275000000000002</v>
      </c>
      <c r="K19" s="4">
        <v>16.275000000000002</v>
      </c>
      <c r="L19" s="4">
        <v>15.75</v>
      </c>
      <c r="M19" s="4">
        <v>16.275000000000002</v>
      </c>
      <c r="N19" s="4">
        <v>15.75</v>
      </c>
      <c r="O19" s="4">
        <v>16.275000000000002</v>
      </c>
      <c r="Q19" t="s">
        <v>212</v>
      </c>
      <c r="R19" t="s">
        <v>290</v>
      </c>
      <c r="S19" s="64">
        <f>SUMIFS('OC-Res Days'!B$6:B$75,'OC-Res Days'!$A$6:$A$75,$Q19)</f>
        <v>1891</v>
      </c>
      <c r="T19" s="64">
        <f>SUMIFS('OC-Res Days'!C$6:C$75,'OC-Res Days'!$A$6:$A$75,$Q19)</f>
        <v>1708</v>
      </c>
      <c r="U19" s="64">
        <f>SUMIFS('OC-Res Days'!D$6:D$75,'OC-Res Days'!$A$6:$A$75,$Q19)</f>
        <v>1891</v>
      </c>
      <c r="V19" s="64">
        <f>SUMIFS('OC-Res Days'!E$6:E$75,'OC-Res Days'!$A$6:$A$75,$Q19)</f>
        <v>1830</v>
      </c>
      <c r="W19" s="64">
        <f>SUMIFS('OC-Res Days'!F$6:F$75,'OC-Res Days'!$A$6:$A$75,$Q19)</f>
        <v>1891</v>
      </c>
      <c r="X19" s="64">
        <f>SUMIFS('OC-Res Days'!G$6:G$75,'OC-Res Days'!$A$6:$A$75,$Q19)</f>
        <v>1830</v>
      </c>
      <c r="Y19" s="64">
        <f>SUMIFS('OC-Res Days'!H$6:H$75,'OC-Res Days'!$A$6:$A$75,$Q19)</f>
        <v>1891</v>
      </c>
      <c r="Z19" s="64">
        <f>SUMIFS('OC-Res Days'!I$6:I$75,'OC-Res Days'!$A$6:$A$75,$Q19)</f>
        <v>1891</v>
      </c>
      <c r="AA19" s="64">
        <f>SUMIFS('OC-Res Days'!J$6:J$75,'OC-Res Days'!$A$6:$A$75,$Q19)</f>
        <v>1830</v>
      </c>
      <c r="AB19" s="64">
        <f>SUMIFS('OC-Res Days'!K$6:K$75,'OC-Res Days'!$A$6:$A$75,$Q19)</f>
        <v>1891</v>
      </c>
      <c r="AC19" s="64">
        <f>SUMIFS('OC-Res Days'!L$6:L$75,'OC-Res Days'!$A$6:$A$75,$Q19)</f>
        <v>1830</v>
      </c>
      <c r="AD19" s="64">
        <f>SUMIFS('OC-Res Days'!M$6:M$75,'OC-Res Days'!$A$6:$A$75,$Q19)</f>
        <v>1891</v>
      </c>
      <c r="AF19" s="7">
        <f t="shared" si="22"/>
        <v>0.52500000000000002</v>
      </c>
      <c r="AG19" s="7">
        <f t="shared" si="23"/>
        <v>0.52500000000000002</v>
      </c>
      <c r="AH19" s="7">
        <f t="shared" si="24"/>
        <v>0.52500000000000002</v>
      </c>
      <c r="AI19" s="7">
        <f t="shared" si="25"/>
        <v>0.52500000000000002</v>
      </c>
      <c r="AJ19" s="7">
        <f t="shared" si="26"/>
        <v>0.52500000000000002</v>
      </c>
      <c r="AK19" s="7">
        <f t="shared" si="27"/>
        <v>0.52500000000000002</v>
      </c>
      <c r="AL19" s="7">
        <f t="shared" si="28"/>
        <v>0.52500000000000002</v>
      </c>
      <c r="AM19" s="7">
        <f t="shared" si="29"/>
        <v>0.52500000000000002</v>
      </c>
      <c r="AN19" s="7">
        <f t="shared" si="30"/>
        <v>0.52500000000000002</v>
      </c>
      <c r="AO19" s="7">
        <f t="shared" si="31"/>
        <v>0.52500000000000002</v>
      </c>
      <c r="AP19" s="7">
        <f t="shared" si="32"/>
        <v>0.52500000000000002</v>
      </c>
      <c r="AQ19" s="7">
        <f t="shared" si="33"/>
        <v>0.52500000000000002</v>
      </c>
      <c r="AS19" s="86">
        <f>_xlfn.XLOOKUP(AS$5,'OC-Days'!$G:$G,'OC-Days'!$F:$F)</f>
        <v>45658</v>
      </c>
      <c r="AT19" s="87" t="str">
        <f>IF(AG19=AF19,"na",_xlfn.XLOOKUP(AT$5,'OC-Days'!$G:$G,'OC-Days'!$F:$F))</f>
        <v>na</v>
      </c>
      <c r="AU19" s="87" t="str">
        <f>IF(AH19=AG19,"na",_xlfn.XLOOKUP(AU$5,'OC-Days'!$G:$G,'OC-Days'!$F:$F))</f>
        <v>na</v>
      </c>
      <c r="AV19" s="87" t="str">
        <f>IF(AI19=AH19,"na",_xlfn.XLOOKUP(AV$5,'OC-Days'!$G:$G,'OC-Days'!$F:$F))</f>
        <v>na</v>
      </c>
      <c r="AW19" s="87" t="str">
        <f>IF(AJ19=AI19,"na",_xlfn.XLOOKUP(AW$5,'OC-Days'!$G:$G,'OC-Days'!$F:$F))</f>
        <v>na</v>
      </c>
      <c r="AX19" s="87" t="str">
        <f>IF(AK19=AJ19,"na",_xlfn.XLOOKUP(AX$5,'OC-Days'!$G:$G,'OC-Days'!$F:$F))</f>
        <v>na</v>
      </c>
      <c r="AY19" s="87" t="str">
        <f>IF(AL19=AK19,"na",_xlfn.XLOOKUP(AY$5,'OC-Days'!$G:$G,'OC-Days'!$F:$F))</f>
        <v>na</v>
      </c>
      <c r="AZ19" s="87" t="str">
        <f>IF(AM19=AL19,"na",_xlfn.XLOOKUP(AZ$5,'OC-Days'!$G:$G,'OC-Days'!$F:$F))</f>
        <v>na</v>
      </c>
      <c r="BA19" s="87" t="str">
        <f>IF(AN19=AM19,"na",_xlfn.XLOOKUP(BA$5,'OC-Days'!$G:$G,'OC-Days'!$F:$F))</f>
        <v>na</v>
      </c>
      <c r="BB19" s="87" t="str">
        <f>IF(AO19=AN19,"na",_xlfn.XLOOKUP(BB$5,'OC-Days'!$G:$G,'OC-Days'!$F:$F))</f>
        <v>na</v>
      </c>
      <c r="BC19" s="87" t="str">
        <f>IF(AP19=AO19,"na",_xlfn.XLOOKUP(BC$5,'OC-Days'!$G:$G,'OC-Days'!$F:$F))</f>
        <v>na</v>
      </c>
      <c r="BD19" s="87" t="str">
        <f>IF(AQ19=AP19,"na",_xlfn.XLOOKUP(BD$5,'OC-Days'!$G:$G,'OC-Days'!$F:$F))</f>
        <v>na</v>
      </c>
      <c r="BF19" s="88" t="str">
        <f t="shared" si="68"/>
        <v>na</v>
      </c>
      <c r="BG19" s="88" t="str">
        <f t="shared" si="69"/>
        <v>na</v>
      </c>
      <c r="BH19" s="88" t="str">
        <f t="shared" si="70"/>
        <v>na</v>
      </c>
      <c r="BI19" s="88" t="str">
        <f t="shared" si="71"/>
        <v>na</v>
      </c>
      <c r="BJ19" s="88" t="str">
        <f t="shared" si="72"/>
        <v>na</v>
      </c>
      <c r="BK19" s="88" t="str">
        <f t="shared" si="73"/>
        <v>na</v>
      </c>
      <c r="BL19" s="88" t="str">
        <f t="shared" si="74"/>
        <v>na</v>
      </c>
      <c r="BM19" s="88" t="str">
        <f t="shared" si="75"/>
        <v>na</v>
      </c>
      <c r="BN19" s="88" t="str">
        <f t="shared" si="76"/>
        <v>na</v>
      </c>
      <c r="BO19" s="88" t="str">
        <f t="shared" si="77"/>
        <v>na</v>
      </c>
      <c r="BP19" s="88" t="str">
        <f t="shared" si="78"/>
        <v>na</v>
      </c>
      <c r="BQ19" s="89">
        <f t="shared" si="79"/>
        <v>46022</v>
      </c>
      <c r="BS19">
        <f>COUNT($AS19:AS19)</f>
        <v>1</v>
      </c>
      <c r="BT19">
        <f>COUNT($AS19:AT19)</f>
        <v>1</v>
      </c>
      <c r="BU19">
        <f>COUNT($AS19:AU19)</f>
        <v>1</v>
      </c>
      <c r="BV19">
        <f>COUNT($AS19:AV19)</f>
        <v>1</v>
      </c>
      <c r="BW19">
        <f>COUNT($AS19:AW19)</f>
        <v>1</v>
      </c>
      <c r="BX19">
        <f>COUNT($AS19:AX19)</f>
        <v>1</v>
      </c>
      <c r="BY19">
        <f>COUNT($AS19:AY19)</f>
        <v>1</v>
      </c>
      <c r="BZ19">
        <f>COUNT($AS19:AZ19)</f>
        <v>1</v>
      </c>
      <c r="CA19">
        <f>COUNT($AS19:BA19)</f>
        <v>1</v>
      </c>
      <c r="CB19">
        <f>COUNT($AS19:BB19)</f>
        <v>1</v>
      </c>
      <c r="CC19">
        <f>COUNT($AS19:BC19)</f>
        <v>1</v>
      </c>
      <c r="CD19">
        <f>COUNT($AS19:BD19)</f>
        <v>1</v>
      </c>
      <c r="CF19">
        <f>COUNT($BF19:BF19)</f>
        <v>0</v>
      </c>
      <c r="CG19">
        <f>COUNT($BF19:BG19)</f>
        <v>0</v>
      </c>
      <c r="CH19">
        <f>COUNT($BF19:BH19)</f>
        <v>0</v>
      </c>
      <c r="CI19">
        <f>COUNT($BF19:BI19)</f>
        <v>0</v>
      </c>
      <c r="CJ19">
        <f>COUNT($BF19:BJ19)</f>
        <v>0</v>
      </c>
      <c r="CK19">
        <f>COUNT($BF19:BK19)</f>
        <v>0</v>
      </c>
      <c r="CL19">
        <f>COUNT($BF19:BL19)</f>
        <v>0</v>
      </c>
      <c r="CM19">
        <f>COUNT($BF19:BM19)</f>
        <v>0</v>
      </c>
      <c r="CN19">
        <f>COUNT($BF19:BN19)</f>
        <v>0</v>
      </c>
      <c r="CO19">
        <f>COUNT($BF19:BO19)</f>
        <v>0</v>
      </c>
      <c r="CP19">
        <f>COUNT($BF19:BP19)</f>
        <v>0</v>
      </c>
      <c r="CQ19">
        <f>COUNT($BF19:BQ19)</f>
        <v>1</v>
      </c>
      <c r="CS19" s="5">
        <f t="shared" si="45"/>
        <v>1</v>
      </c>
      <c r="CT19" s="100" t="str">
        <f t="shared" si="80"/>
        <v>20061Medicare Advantage</v>
      </c>
      <c r="CU19" s="83">
        <f t="shared" si="46"/>
        <v>200</v>
      </c>
      <c r="CV19" s="83">
        <f t="shared" si="47"/>
        <v>61</v>
      </c>
      <c r="CX19">
        <f t="shared" si="81"/>
        <v>1</v>
      </c>
      <c r="CY19">
        <f t="shared" si="82"/>
        <v>1</v>
      </c>
      <c r="DA19" s="90" cm="1">
        <f t="array" ref="DA19">IF(DA$5&lt;=$CX19,INDEX($AS19:$BD19,1,_xlfn.XMATCH(DA$5,$BS19:$CD19)),"na")</f>
        <v>45658</v>
      </c>
      <c r="DB19" s="91" cm="1">
        <f t="array" ref="DB19">IF(DB$5&lt;=$CY19,INDEX($BF19:$BQ19,1,_xlfn.XMATCH(DB$5,$CF19:$CQ19)),"na")</f>
        <v>46022</v>
      </c>
      <c r="DC19" s="82" t="str">
        <f>_xlfn.XLOOKUP($CU19&amp;"-"&amp;$CV19&amp;$C19,REF!$K$2:$K$90,REF!B$2:B$90)</f>
        <v>Medicare Advantage</v>
      </c>
      <c r="DD19" s="82" t="str">
        <f>_xlfn.XLOOKUP($CU19&amp;"-"&amp;$CV19&amp;$C19,REF!$K$2:$K$90,REF!C$2:C$90)</f>
        <v>Med Adv HMO A</v>
      </c>
      <c r="DE19" s="82" t="str">
        <f>_xlfn.XLOOKUP($CU19&amp;"-"&amp;$CV19&amp;$C19,REF!$K$2:$K$90,REF!D$2:D$90)</f>
        <v>ASBURY SOLOMONS</v>
      </c>
      <c r="DF19" s="82" t="str">
        <f>_xlfn.XLOOKUP($CU19&amp;"-"&amp;$CV19&amp;$C19,REF!$K$2:$K$90,REF!E$2:E$90)</f>
        <v>SKILLED NURSING</v>
      </c>
      <c r="DG19" s="82" t="str">
        <f>_xlfn.XLOOKUP($CU19&amp;"-"&amp;$CV19&amp;$C19,REF!$K$2:$K$90,REF!F$2:F$90)</f>
        <v>ASBURY SOLOMONS SKILLED NURSING</v>
      </c>
      <c r="DH19" s="93" cm="1">
        <f t="array" ref="DH19">IF(DH$5&lt;=$CX19,INDEX($AF19:$AQ19,1,_xlfn.XMATCH(DH$5,$BS19:$CD19)),"na")</f>
        <v>0.52500000000000002</v>
      </c>
      <c r="DI19" s="90" t="str" cm="1">
        <f t="array" ref="DI19">IF(DI$5&lt;=$CX19,INDEX($AS19:$BD19,1,_xlfn.XMATCH(DI$5,$BS19:$CD19)),"na")</f>
        <v>na</v>
      </c>
      <c r="DJ19" s="91" t="str" cm="1">
        <f t="array" ref="DJ19">IF(DJ$5&lt;=$CY19,INDEX($BF19:$BQ19,1,_xlfn.XMATCH(DJ$5,$CF19:$CQ19)),"na")</f>
        <v>na</v>
      </c>
      <c r="DK19" s="101" t="str">
        <f t="shared" si="83"/>
        <v>Medicare Advantage</v>
      </c>
      <c r="DL19" s="101" t="str">
        <f t="shared" si="48"/>
        <v>Med Adv HMO A</v>
      </c>
      <c r="DM19" s="101" t="str">
        <f t="shared" si="49"/>
        <v>ASBURY SOLOMONS</v>
      </c>
      <c r="DN19" s="101" t="str">
        <f t="shared" si="50"/>
        <v>SKILLED NURSING</v>
      </c>
      <c r="DO19" s="101" t="str">
        <f t="shared" si="51"/>
        <v>ASBURY SOLOMONS SKILLED NURSING</v>
      </c>
      <c r="DP19" s="93" t="str" cm="1">
        <f t="array" ref="DP19">IF(DP$5&lt;=$CX19,INDEX($AF19:$AQ19,1,_xlfn.XMATCH(DP$5,$BS19:$CD19)),"na")</f>
        <v>na</v>
      </c>
      <c r="DQ19" s="90" t="str" cm="1">
        <f t="array" ref="DQ19">IF(DQ$5&lt;=$CX19,INDEX($AS19:$BD19,1,_xlfn.XMATCH(DQ$5,$BS19:$CD19)),"na")</f>
        <v>na</v>
      </c>
      <c r="DR19" s="91" t="str" cm="1">
        <f t="array" ref="DR19">IF(DR$5&lt;=$CY19,INDEX($BF19:$BQ19,1,_xlfn.XMATCH(DR$5,$CF19:$CQ19)),"na")</f>
        <v>na</v>
      </c>
      <c r="DS19" s="101" t="str">
        <f t="shared" si="84"/>
        <v>Medicare Advantage</v>
      </c>
      <c r="DT19" s="101" t="str">
        <f t="shared" si="52"/>
        <v>Med Adv HMO A</v>
      </c>
      <c r="DU19" s="101" t="str">
        <f t="shared" si="53"/>
        <v>ASBURY SOLOMONS</v>
      </c>
      <c r="DV19" s="101" t="str">
        <f t="shared" si="54"/>
        <v>SKILLED NURSING</v>
      </c>
      <c r="DW19" s="101" t="str">
        <f t="shared" si="55"/>
        <v>ASBURY SOLOMONS SKILLED NURSING</v>
      </c>
      <c r="DX19" s="93" t="str" cm="1">
        <f t="array" ref="DX19">IF(DX$5&lt;=$CX19,INDEX($AF19:$AQ19,1,_xlfn.XMATCH(DX$5,$BS19:$CD19)),"na")</f>
        <v>na</v>
      </c>
      <c r="DY19" s="90" t="str" cm="1">
        <f t="array" ref="DY19">IF(DY$5&lt;=$CX19,INDEX($AS19:$BD19,1,_xlfn.XMATCH(DY$5,$BS19:$CD19)),"na")</f>
        <v>na</v>
      </c>
      <c r="DZ19" s="91" t="str" cm="1">
        <f t="array" ref="DZ19">IF(DZ$5&lt;=$CY19,INDEX($BF19:$BQ19,1,_xlfn.XMATCH(DZ$5,$CF19:$CQ19)),"na")</f>
        <v>na</v>
      </c>
      <c r="EA19" s="101" t="str">
        <f t="shared" si="85"/>
        <v>Medicare Advantage</v>
      </c>
      <c r="EB19" s="101" t="str">
        <f t="shared" si="56"/>
        <v>Med Adv HMO A</v>
      </c>
      <c r="EC19" s="101" t="str">
        <f t="shared" si="57"/>
        <v>ASBURY SOLOMONS</v>
      </c>
      <c r="ED19" s="101" t="str">
        <f t="shared" si="58"/>
        <v>SKILLED NURSING</v>
      </c>
      <c r="EE19" s="101" t="str">
        <f t="shared" si="59"/>
        <v>ASBURY SOLOMONS SKILLED NURSING</v>
      </c>
      <c r="EF19" s="93" t="str" cm="1">
        <f t="array" ref="EF19">IF(EF$5&lt;=$CX19,INDEX($AF19:$AQ19,1,_xlfn.XMATCH(EF$5,$BS19:$CD19)),"na")</f>
        <v>na</v>
      </c>
      <c r="EG19" s="90" t="str" cm="1">
        <f t="array" ref="EG19">IF(EG$5&lt;=$CX19,INDEX($AS19:$BD19,1,_xlfn.XMATCH(EG$5,$BS19:$CD19)),"na")</f>
        <v>na</v>
      </c>
      <c r="EH19" s="91" t="str" cm="1">
        <f t="array" ref="EH19">IF(EH$5&lt;=$CY19,INDEX($BF19:$BQ19,1,_xlfn.XMATCH(EH$5,$CF19:$CQ19)),"na")</f>
        <v>na</v>
      </c>
      <c r="EI19" s="101" t="str">
        <f t="shared" si="86"/>
        <v>Medicare Advantage</v>
      </c>
      <c r="EJ19" s="101" t="str">
        <f t="shared" si="60"/>
        <v>Med Adv HMO A</v>
      </c>
      <c r="EK19" s="101" t="str">
        <f t="shared" si="61"/>
        <v>ASBURY SOLOMONS</v>
      </c>
      <c r="EL19" s="101" t="str">
        <f t="shared" si="62"/>
        <v>SKILLED NURSING</v>
      </c>
      <c r="EM19" s="101" t="str">
        <f t="shared" si="63"/>
        <v>ASBURY SOLOMONS SKILLED NURSING</v>
      </c>
      <c r="EN19" s="93" t="str" cm="1">
        <f t="array" ref="EN19">IF(EN$5&lt;=$CX19,INDEX($AF19:$AQ19,1,_xlfn.XMATCH(EN$5,$BS19:$CD19)),"na")</f>
        <v>na</v>
      </c>
      <c r="EO19" s="90" t="str" cm="1">
        <f t="array" ref="EO19">IF(EO$5&lt;=$CX19,INDEX($AS19:$BD19,1,_xlfn.XMATCH(EO$5,$BS19:$CD19)),"na")</f>
        <v>na</v>
      </c>
      <c r="EP19" s="91" t="str" cm="1">
        <f t="array" ref="EP19">IF(EP$5&lt;=$CY19,INDEX($BF19:$BQ19,1,_xlfn.XMATCH(EP$5,$CF19:$CQ19)),"na")</f>
        <v>na</v>
      </c>
      <c r="EQ19" s="101" t="str">
        <f t="shared" si="87"/>
        <v>Medicare Advantage</v>
      </c>
      <c r="ER19" s="101" t="str">
        <f t="shared" si="64"/>
        <v>Med Adv HMO A</v>
      </c>
      <c r="ES19" s="101" t="str">
        <f t="shared" si="65"/>
        <v>ASBURY SOLOMONS</v>
      </c>
      <c r="ET19" s="101" t="str">
        <f t="shared" si="66"/>
        <v>SKILLED NURSING</v>
      </c>
      <c r="EU19" s="101" t="str">
        <f t="shared" si="67"/>
        <v>ASBURY SOLOMONS SKILLED NURSING</v>
      </c>
      <c r="EV19" s="93" t="str" cm="1">
        <f t="array" ref="EV19">IF(EV$5&lt;=$CX19,INDEX($AF19:$AQ19,1,_xlfn.XMATCH(EV$5,$BS19:$CD19)),"na")</f>
        <v>na</v>
      </c>
    </row>
    <row r="20" spans="1:152" x14ac:dyDescent="0.25">
      <c r="A20" s="59" t="s">
        <v>208</v>
      </c>
      <c r="B20" s="43" t="s">
        <v>202</v>
      </c>
      <c r="C20" s="43" t="s">
        <v>89</v>
      </c>
      <c r="D20" s="4">
        <v>421.60038750000001</v>
      </c>
      <c r="E20" s="4">
        <v>380.80034999999998</v>
      </c>
      <c r="F20" s="4">
        <v>421.60038750000001</v>
      </c>
      <c r="G20" s="4">
        <v>408.00037500000002</v>
      </c>
      <c r="H20" s="4">
        <v>421.60038750000001</v>
      </c>
      <c r="I20" s="4">
        <v>408.00037500000002</v>
      </c>
      <c r="J20" s="4">
        <v>421.60038750000001</v>
      </c>
      <c r="K20" s="4">
        <v>421.60038750000001</v>
      </c>
      <c r="L20" s="4">
        <v>408.00037500000002</v>
      </c>
      <c r="M20" s="4">
        <v>421.60038750000001</v>
      </c>
      <c r="N20" s="4">
        <v>408.00037500000002</v>
      </c>
      <c r="O20" s="4">
        <v>421.60038750000001</v>
      </c>
      <c r="AF20" s="7">
        <f t="shared" si="22"/>
        <v>13.6000125</v>
      </c>
      <c r="AG20" s="7">
        <f t="shared" si="23"/>
        <v>13.6000125</v>
      </c>
      <c r="AH20" s="7">
        <f t="shared" si="24"/>
        <v>13.6000125</v>
      </c>
      <c r="AI20" s="7">
        <f t="shared" si="25"/>
        <v>13.6000125</v>
      </c>
      <c r="AJ20" s="7">
        <f t="shared" si="26"/>
        <v>13.6000125</v>
      </c>
      <c r="AK20" s="7">
        <f t="shared" si="27"/>
        <v>13.6000125</v>
      </c>
      <c r="AL20" s="7">
        <f t="shared" si="28"/>
        <v>13.6000125</v>
      </c>
      <c r="AM20" s="7">
        <f t="shared" si="29"/>
        <v>13.6000125</v>
      </c>
      <c r="AN20" s="7">
        <f t="shared" si="30"/>
        <v>13.6000125</v>
      </c>
      <c r="AO20" s="7">
        <f t="shared" si="31"/>
        <v>13.6000125</v>
      </c>
      <c r="AP20" s="7">
        <f t="shared" si="32"/>
        <v>13.6000125</v>
      </c>
      <c r="AQ20" s="7">
        <f t="shared" si="33"/>
        <v>13.6000125</v>
      </c>
      <c r="AS20" s="86">
        <f>_xlfn.XLOOKUP(AS$5,'OC-Days'!$G:$G,'OC-Days'!$F:$F)</f>
        <v>45658</v>
      </c>
      <c r="AT20" s="87" t="str">
        <f>IF(AG20=AF20,"na",_xlfn.XLOOKUP(AT$5,'OC-Days'!$G:$G,'OC-Days'!$F:$F))</f>
        <v>na</v>
      </c>
      <c r="AU20" s="87" t="str">
        <f>IF(AH20=AG20,"na",_xlfn.XLOOKUP(AU$5,'OC-Days'!$G:$G,'OC-Days'!$F:$F))</f>
        <v>na</v>
      </c>
      <c r="AV20" s="87" t="str">
        <f>IF(AI20=AH20,"na",_xlfn.XLOOKUP(AV$5,'OC-Days'!$G:$G,'OC-Days'!$F:$F))</f>
        <v>na</v>
      </c>
      <c r="AW20" s="87" t="str">
        <f>IF(AJ20=AI20,"na",_xlfn.XLOOKUP(AW$5,'OC-Days'!$G:$G,'OC-Days'!$F:$F))</f>
        <v>na</v>
      </c>
      <c r="AX20" s="87" t="str">
        <f>IF(AK20=AJ20,"na",_xlfn.XLOOKUP(AX$5,'OC-Days'!$G:$G,'OC-Days'!$F:$F))</f>
        <v>na</v>
      </c>
      <c r="AY20" s="87" t="str">
        <f>IF(AL20=AK20,"na",_xlfn.XLOOKUP(AY$5,'OC-Days'!$G:$G,'OC-Days'!$F:$F))</f>
        <v>na</v>
      </c>
      <c r="AZ20" s="87" t="str">
        <f>IF(AM20=AL20,"na",_xlfn.XLOOKUP(AZ$5,'OC-Days'!$G:$G,'OC-Days'!$F:$F))</f>
        <v>na</v>
      </c>
      <c r="BA20" s="87" t="str">
        <f>IF(AN20=AM20,"na",_xlfn.XLOOKUP(BA$5,'OC-Days'!$G:$G,'OC-Days'!$F:$F))</f>
        <v>na</v>
      </c>
      <c r="BB20" s="87" t="str">
        <f>IF(AO20=AN20,"na",_xlfn.XLOOKUP(BB$5,'OC-Days'!$G:$G,'OC-Days'!$F:$F))</f>
        <v>na</v>
      </c>
      <c r="BC20" s="87" t="str">
        <f>IF(AP20=AO20,"na",_xlfn.XLOOKUP(BC$5,'OC-Days'!$G:$G,'OC-Days'!$F:$F))</f>
        <v>na</v>
      </c>
      <c r="BD20" s="87" t="str">
        <f>IF(AQ20=AP20,"na",_xlfn.XLOOKUP(BD$5,'OC-Days'!$G:$G,'OC-Days'!$F:$F))</f>
        <v>na</v>
      </c>
      <c r="BF20" s="88" t="str">
        <f t="shared" si="68"/>
        <v>na</v>
      </c>
      <c r="BG20" s="88" t="str">
        <f t="shared" si="69"/>
        <v>na</v>
      </c>
      <c r="BH20" s="88" t="str">
        <f t="shared" si="70"/>
        <v>na</v>
      </c>
      <c r="BI20" s="88" t="str">
        <f t="shared" si="71"/>
        <v>na</v>
      </c>
      <c r="BJ20" s="88" t="str">
        <f t="shared" si="72"/>
        <v>na</v>
      </c>
      <c r="BK20" s="88" t="str">
        <f t="shared" si="73"/>
        <v>na</v>
      </c>
      <c r="BL20" s="88" t="str">
        <f t="shared" si="74"/>
        <v>na</v>
      </c>
      <c r="BM20" s="88" t="str">
        <f t="shared" si="75"/>
        <v>na</v>
      </c>
      <c r="BN20" s="88" t="str">
        <f t="shared" si="76"/>
        <v>na</v>
      </c>
      <c r="BO20" s="88" t="str">
        <f t="shared" si="77"/>
        <v>na</v>
      </c>
      <c r="BP20" s="88" t="str">
        <f t="shared" si="78"/>
        <v>na</v>
      </c>
      <c r="BQ20" s="89">
        <f t="shared" si="79"/>
        <v>46022</v>
      </c>
      <c r="BS20">
        <f>COUNT($AS20:AS20)</f>
        <v>1</v>
      </c>
      <c r="BT20">
        <f>COUNT($AS20:AT20)</f>
        <v>1</v>
      </c>
      <c r="BU20">
        <f>COUNT($AS20:AU20)</f>
        <v>1</v>
      </c>
      <c r="BV20">
        <f>COUNT($AS20:AV20)</f>
        <v>1</v>
      </c>
      <c r="BW20">
        <f>COUNT($AS20:AW20)</f>
        <v>1</v>
      </c>
      <c r="BX20">
        <f>COUNT($AS20:AX20)</f>
        <v>1</v>
      </c>
      <c r="BY20">
        <f>COUNT($AS20:AY20)</f>
        <v>1</v>
      </c>
      <c r="BZ20">
        <f>COUNT($AS20:AZ20)</f>
        <v>1</v>
      </c>
      <c r="CA20">
        <f>COUNT($AS20:BA20)</f>
        <v>1</v>
      </c>
      <c r="CB20">
        <f>COUNT($AS20:BB20)</f>
        <v>1</v>
      </c>
      <c r="CC20">
        <f>COUNT($AS20:BC20)</f>
        <v>1</v>
      </c>
      <c r="CD20">
        <f>COUNT($AS20:BD20)</f>
        <v>1</v>
      </c>
      <c r="CF20">
        <f>COUNT($BF20:BF20)</f>
        <v>0</v>
      </c>
      <c r="CG20">
        <f>COUNT($BF20:BG20)</f>
        <v>0</v>
      </c>
      <c r="CH20">
        <f>COUNT($BF20:BH20)</f>
        <v>0</v>
      </c>
      <c r="CI20">
        <f>COUNT($BF20:BI20)</f>
        <v>0</v>
      </c>
      <c r="CJ20">
        <f>COUNT($BF20:BJ20)</f>
        <v>0</v>
      </c>
      <c r="CK20">
        <f>COUNT($BF20:BK20)</f>
        <v>0</v>
      </c>
      <c r="CL20">
        <f>COUNT($BF20:BL20)</f>
        <v>0</v>
      </c>
      <c r="CM20">
        <f>COUNT($BF20:BM20)</f>
        <v>0</v>
      </c>
      <c r="CN20">
        <f>COUNT($BF20:BN20)</f>
        <v>0</v>
      </c>
      <c r="CO20">
        <f>COUNT($BF20:BO20)</f>
        <v>0</v>
      </c>
      <c r="CP20">
        <f>COUNT($BF20:BP20)</f>
        <v>0</v>
      </c>
      <c r="CQ20">
        <f>COUNT($BF20:BQ20)</f>
        <v>1</v>
      </c>
      <c r="CS20" s="5">
        <f t="shared" si="45"/>
        <v>1</v>
      </c>
      <c r="CT20" s="100" t="str">
        <f t="shared" si="80"/>
        <v>20061Medicaid</v>
      </c>
      <c r="CU20" s="83">
        <f t="shared" si="46"/>
        <v>200</v>
      </c>
      <c r="CV20" s="83">
        <f t="shared" si="47"/>
        <v>61</v>
      </c>
      <c r="CX20">
        <f t="shared" si="81"/>
        <v>1</v>
      </c>
      <c r="CY20">
        <f t="shared" si="82"/>
        <v>1</v>
      </c>
      <c r="DA20" s="90" cm="1">
        <f t="array" ref="DA20">IF(DA$5&lt;=$CX20,INDEX($AS20:$BD20,1,_xlfn.XMATCH(DA$5,$BS20:$CD20)),"na")</f>
        <v>45658</v>
      </c>
      <c r="DB20" s="91" cm="1">
        <f t="array" ref="DB20">IF(DB$5&lt;=$CY20,INDEX($BF20:$BQ20,1,_xlfn.XMATCH(DB$5,$CF20:$CQ20)),"na")</f>
        <v>46022</v>
      </c>
      <c r="DC20" s="82" t="str">
        <f>_xlfn.XLOOKUP($CU20&amp;"-"&amp;$CV20&amp;$C20,REF!$K$2:$K$90,REF!B$2:B$90)</f>
        <v>MEDICAID</v>
      </c>
      <c r="DD20" s="82" t="str">
        <f>_xlfn.XLOOKUP($CU20&amp;"-"&amp;$CV20&amp;$C20,REF!$K$2:$K$90,REF!C$2:C$90)</f>
        <v>MARYLAND MEDICAID</v>
      </c>
      <c r="DE20" s="82" t="str">
        <f>_xlfn.XLOOKUP($CU20&amp;"-"&amp;$CV20&amp;$C20,REF!$K$2:$K$90,REF!D$2:D$90)</f>
        <v>ASBURY SOLOMONS</v>
      </c>
      <c r="DF20" s="82" t="str">
        <f>_xlfn.XLOOKUP($CU20&amp;"-"&amp;$CV20&amp;$C20,REF!$K$2:$K$90,REF!E$2:E$90)</f>
        <v>SKILLED NURSING</v>
      </c>
      <c r="DG20" s="82" t="str">
        <f>_xlfn.XLOOKUP($CU20&amp;"-"&amp;$CV20&amp;$C20,REF!$K$2:$K$90,REF!F$2:F$90)</f>
        <v>ASBURY SOLOMONS SKILLED NURSING</v>
      </c>
      <c r="DH20" s="93" cm="1">
        <f t="array" ref="DH20">IF(DH$5&lt;=$CX20,INDEX($AF20:$AQ20,1,_xlfn.XMATCH(DH$5,$BS20:$CD20)),"na")</f>
        <v>13.6000125</v>
      </c>
      <c r="DI20" s="90" t="str" cm="1">
        <f t="array" ref="DI20">IF(DI$5&lt;=$CX20,INDEX($AS20:$BD20,1,_xlfn.XMATCH(DI$5,$BS20:$CD20)),"na")</f>
        <v>na</v>
      </c>
      <c r="DJ20" s="91" t="str" cm="1">
        <f t="array" ref="DJ20">IF(DJ$5&lt;=$CY20,INDEX($BF20:$BQ20,1,_xlfn.XMATCH(DJ$5,$CF20:$CQ20)),"na")</f>
        <v>na</v>
      </c>
      <c r="DK20" s="101" t="str">
        <f t="shared" si="83"/>
        <v>MEDICAID</v>
      </c>
      <c r="DL20" s="101" t="str">
        <f t="shared" si="48"/>
        <v>MARYLAND MEDICAID</v>
      </c>
      <c r="DM20" s="101" t="str">
        <f t="shared" si="49"/>
        <v>ASBURY SOLOMONS</v>
      </c>
      <c r="DN20" s="101" t="str">
        <f t="shared" si="50"/>
        <v>SKILLED NURSING</v>
      </c>
      <c r="DO20" s="101" t="str">
        <f t="shared" si="51"/>
        <v>ASBURY SOLOMONS SKILLED NURSING</v>
      </c>
      <c r="DP20" s="93" t="str" cm="1">
        <f t="array" ref="DP20">IF(DP$5&lt;=$CX20,INDEX($AF20:$AQ20,1,_xlfn.XMATCH(DP$5,$BS20:$CD20)),"na")</f>
        <v>na</v>
      </c>
      <c r="DQ20" s="90" t="str" cm="1">
        <f t="array" ref="DQ20">IF(DQ$5&lt;=$CX20,INDEX($AS20:$BD20,1,_xlfn.XMATCH(DQ$5,$BS20:$CD20)),"na")</f>
        <v>na</v>
      </c>
      <c r="DR20" s="91" t="str" cm="1">
        <f t="array" ref="DR20">IF(DR$5&lt;=$CY20,INDEX($BF20:$BQ20,1,_xlfn.XMATCH(DR$5,$CF20:$CQ20)),"na")</f>
        <v>na</v>
      </c>
      <c r="DS20" s="101" t="str">
        <f t="shared" si="84"/>
        <v>MEDICAID</v>
      </c>
      <c r="DT20" s="101" t="str">
        <f t="shared" si="52"/>
        <v>MARYLAND MEDICAID</v>
      </c>
      <c r="DU20" s="101" t="str">
        <f t="shared" si="53"/>
        <v>ASBURY SOLOMONS</v>
      </c>
      <c r="DV20" s="101" t="str">
        <f t="shared" si="54"/>
        <v>SKILLED NURSING</v>
      </c>
      <c r="DW20" s="101" t="str">
        <f t="shared" si="55"/>
        <v>ASBURY SOLOMONS SKILLED NURSING</v>
      </c>
      <c r="DX20" s="93" t="str" cm="1">
        <f t="array" ref="DX20">IF(DX$5&lt;=$CX20,INDEX($AF20:$AQ20,1,_xlfn.XMATCH(DX$5,$BS20:$CD20)),"na")</f>
        <v>na</v>
      </c>
      <c r="DY20" s="90" t="str" cm="1">
        <f t="array" ref="DY20">IF(DY$5&lt;=$CX20,INDEX($AS20:$BD20,1,_xlfn.XMATCH(DY$5,$BS20:$CD20)),"na")</f>
        <v>na</v>
      </c>
      <c r="DZ20" s="91" t="str" cm="1">
        <f t="array" ref="DZ20">IF(DZ$5&lt;=$CY20,INDEX($BF20:$BQ20,1,_xlfn.XMATCH(DZ$5,$CF20:$CQ20)),"na")</f>
        <v>na</v>
      </c>
      <c r="EA20" s="101" t="str">
        <f t="shared" si="85"/>
        <v>MEDICAID</v>
      </c>
      <c r="EB20" s="101" t="str">
        <f t="shared" si="56"/>
        <v>MARYLAND MEDICAID</v>
      </c>
      <c r="EC20" s="101" t="str">
        <f t="shared" si="57"/>
        <v>ASBURY SOLOMONS</v>
      </c>
      <c r="ED20" s="101" t="str">
        <f t="shared" si="58"/>
        <v>SKILLED NURSING</v>
      </c>
      <c r="EE20" s="101" t="str">
        <f t="shared" si="59"/>
        <v>ASBURY SOLOMONS SKILLED NURSING</v>
      </c>
      <c r="EF20" s="93" t="str" cm="1">
        <f t="array" ref="EF20">IF(EF$5&lt;=$CX20,INDEX($AF20:$AQ20,1,_xlfn.XMATCH(EF$5,$BS20:$CD20)),"na")</f>
        <v>na</v>
      </c>
      <c r="EG20" s="90" t="str" cm="1">
        <f t="array" ref="EG20">IF(EG$5&lt;=$CX20,INDEX($AS20:$BD20,1,_xlfn.XMATCH(EG$5,$BS20:$CD20)),"na")</f>
        <v>na</v>
      </c>
      <c r="EH20" s="91" t="str" cm="1">
        <f t="array" ref="EH20">IF(EH$5&lt;=$CY20,INDEX($BF20:$BQ20,1,_xlfn.XMATCH(EH$5,$CF20:$CQ20)),"na")</f>
        <v>na</v>
      </c>
      <c r="EI20" s="101" t="str">
        <f t="shared" si="86"/>
        <v>MEDICAID</v>
      </c>
      <c r="EJ20" s="101" t="str">
        <f t="shared" si="60"/>
        <v>MARYLAND MEDICAID</v>
      </c>
      <c r="EK20" s="101" t="str">
        <f t="shared" si="61"/>
        <v>ASBURY SOLOMONS</v>
      </c>
      <c r="EL20" s="101" t="str">
        <f t="shared" si="62"/>
        <v>SKILLED NURSING</v>
      </c>
      <c r="EM20" s="101" t="str">
        <f t="shared" si="63"/>
        <v>ASBURY SOLOMONS SKILLED NURSING</v>
      </c>
      <c r="EN20" s="93" t="str" cm="1">
        <f t="array" ref="EN20">IF(EN$5&lt;=$CX20,INDEX($AF20:$AQ20,1,_xlfn.XMATCH(EN$5,$BS20:$CD20)),"na")</f>
        <v>na</v>
      </c>
      <c r="EO20" s="90" t="str" cm="1">
        <f t="array" ref="EO20">IF(EO$5&lt;=$CX20,INDEX($AS20:$BD20,1,_xlfn.XMATCH(EO$5,$BS20:$CD20)),"na")</f>
        <v>na</v>
      </c>
      <c r="EP20" s="91" t="str" cm="1">
        <f t="array" ref="EP20">IF(EP$5&lt;=$CY20,INDEX($BF20:$BQ20,1,_xlfn.XMATCH(EP$5,$CF20:$CQ20)),"na")</f>
        <v>na</v>
      </c>
      <c r="EQ20" s="101" t="str">
        <f t="shared" si="87"/>
        <v>MEDICAID</v>
      </c>
      <c r="ER20" s="101" t="str">
        <f t="shared" si="64"/>
        <v>MARYLAND MEDICAID</v>
      </c>
      <c r="ES20" s="101" t="str">
        <f t="shared" si="65"/>
        <v>ASBURY SOLOMONS</v>
      </c>
      <c r="ET20" s="101" t="str">
        <f t="shared" si="66"/>
        <v>SKILLED NURSING</v>
      </c>
      <c r="EU20" s="101" t="str">
        <f t="shared" si="67"/>
        <v>ASBURY SOLOMONS SKILLED NURSING</v>
      </c>
      <c r="EV20" s="93" t="str" cm="1">
        <f t="array" ref="EV20">IF(EV$5&lt;=$CX20,INDEX($AF20:$AQ20,1,_xlfn.XMATCH(EV$5,$BS20:$CD20)),"na")</f>
        <v>na</v>
      </c>
    </row>
    <row r="21" spans="1:152" hidden="1" x14ac:dyDescent="0.25">
      <c r="A21" s="59" t="s">
        <v>208</v>
      </c>
      <c r="B21" s="43" t="s">
        <v>203</v>
      </c>
      <c r="C21" s="43" t="s">
        <v>129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AF21" s="7">
        <f t="shared" si="22"/>
        <v>0</v>
      </c>
      <c r="AG21" s="7">
        <f t="shared" si="23"/>
        <v>0</v>
      </c>
      <c r="AH21" s="7">
        <f t="shared" si="24"/>
        <v>0</v>
      </c>
      <c r="AI21" s="7">
        <f t="shared" si="25"/>
        <v>0</v>
      </c>
      <c r="AJ21" s="7">
        <f t="shared" si="26"/>
        <v>0</v>
      </c>
      <c r="AK21" s="7">
        <f t="shared" si="27"/>
        <v>0</v>
      </c>
      <c r="AL21" s="7">
        <f t="shared" si="28"/>
        <v>0</v>
      </c>
      <c r="AM21" s="7">
        <f t="shared" si="29"/>
        <v>0</v>
      </c>
      <c r="AN21" s="7">
        <f t="shared" si="30"/>
        <v>0</v>
      </c>
      <c r="AO21" s="7">
        <f t="shared" si="31"/>
        <v>0</v>
      </c>
      <c r="AP21" s="7">
        <f t="shared" si="32"/>
        <v>0</v>
      </c>
      <c r="AQ21" s="7">
        <f t="shared" si="33"/>
        <v>0</v>
      </c>
      <c r="AS21" s="86">
        <f>_xlfn.XLOOKUP(AS$5,'OC-Days'!$G:$G,'OC-Days'!$F:$F)</f>
        <v>45658</v>
      </c>
      <c r="AT21" s="87" t="str">
        <f>IF(AG21=AF21,"na",_xlfn.XLOOKUP(AT$5,'OC-Days'!$G:$G,'OC-Days'!$F:$F))</f>
        <v>na</v>
      </c>
      <c r="AU21" s="87" t="str">
        <f>IF(AH21=AG21,"na",_xlfn.XLOOKUP(AU$5,'OC-Days'!$G:$G,'OC-Days'!$F:$F))</f>
        <v>na</v>
      </c>
      <c r="AV21" s="87" t="str">
        <f>IF(AI21=AH21,"na",_xlfn.XLOOKUP(AV$5,'OC-Days'!$G:$G,'OC-Days'!$F:$F))</f>
        <v>na</v>
      </c>
      <c r="AW21" s="87" t="str">
        <f>IF(AJ21=AI21,"na",_xlfn.XLOOKUP(AW$5,'OC-Days'!$G:$G,'OC-Days'!$F:$F))</f>
        <v>na</v>
      </c>
      <c r="AX21" s="87" t="str">
        <f>IF(AK21=AJ21,"na",_xlfn.XLOOKUP(AX$5,'OC-Days'!$G:$G,'OC-Days'!$F:$F))</f>
        <v>na</v>
      </c>
      <c r="AY21" s="87" t="str">
        <f>IF(AL21=AK21,"na",_xlfn.XLOOKUP(AY$5,'OC-Days'!$G:$G,'OC-Days'!$F:$F))</f>
        <v>na</v>
      </c>
      <c r="AZ21" s="87" t="str">
        <f>IF(AM21=AL21,"na",_xlfn.XLOOKUP(AZ$5,'OC-Days'!$G:$G,'OC-Days'!$F:$F))</f>
        <v>na</v>
      </c>
      <c r="BA21" s="87" t="str">
        <f>IF(AN21=AM21,"na",_xlfn.XLOOKUP(BA$5,'OC-Days'!$G:$G,'OC-Days'!$F:$F))</f>
        <v>na</v>
      </c>
      <c r="BB21" s="87" t="str">
        <f>IF(AO21=AN21,"na",_xlfn.XLOOKUP(BB$5,'OC-Days'!$G:$G,'OC-Days'!$F:$F))</f>
        <v>na</v>
      </c>
      <c r="BC21" s="87" t="str">
        <f>IF(AP21=AO21,"na",_xlfn.XLOOKUP(BC$5,'OC-Days'!$G:$G,'OC-Days'!$F:$F))</f>
        <v>na</v>
      </c>
      <c r="BD21" s="87" t="str">
        <f>IF(AQ21=AP21,"na",_xlfn.XLOOKUP(BD$5,'OC-Days'!$G:$G,'OC-Days'!$F:$F))</f>
        <v>na</v>
      </c>
      <c r="BF21" s="88" t="str">
        <f t="shared" si="68"/>
        <v>na</v>
      </c>
      <c r="BG21" s="88" t="str">
        <f t="shared" si="69"/>
        <v>na</v>
      </c>
      <c r="BH21" s="88" t="str">
        <f t="shared" si="70"/>
        <v>na</v>
      </c>
      <c r="BI21" s="88" t="str">
        <f t="shared" si="71"/>
        <v>na</v>
      </c>
      <c r="BJ21" s="88" t="str">
        <f t="shared" si="72"/>
        <v>na</v>
      </c>
      <c r="BK21" s="88" t="str">
        <f t="shared" si="73"/>
        <v>na</v>
      </c>
      <c r="BL21" s="88" t="str">
        <f t="shared" si="74"/>
        <v>na</v>
      </c>
      <c r="BM21" s="88" t="str">
        <f t="shared" si="75"/>
        <v>na</v>
      </c>
      <c r="BN21" s="88" t="str">
        <f t="shared" si="76"/>
        <v>na</v>
      </c>
      <c r="BO21" s="88" t="str">
        <f t="shared" si="77"/>
        <v>na</v>
      </c>
      <c r="BP21" s="88" t="str">
        <f t="shared" si="78"/>
        <v>na</v>
      </c>
      <c r="BQ21" s="89">
        <f t="shared" si="79"/>
        <v>46022</v>
      </c>
      <c r="BS21">
        <f>COUNT($AS21:AS21)</f>
        <v>1</v>
      </c>
      <c r="BT21">
        <f>COUNT($AS21:AT21)</f>
        <v>1</v>
      </c>
      <c r="BU21">
        <f>COUNT($AS21:AU21)</f>
        <v>1</v>
      </c>
      <c r="BV21">
        <f>COUNT($AS21:AV21)</f>
        <v>1</v>
      </c>
      <c r="BW21">
        <f>COUNT($AS21:AW21)</f>
        <v>1</v>
      </c>
      <c r="BX21">
        <f>COUNT($AS21:AX21)</f>
        <v>1</v>
      </c>
      <c r="BY21">
        <f>COUNT($AS21:AY21)</f>
        <v>1</v>
      </c>
      <c r="BZ21">
        <f>COUNT($AS21:AZ21)</f>
        <v>1</v>
      </c>
      <c r="CA21">
        <f>COUNT($AS21:BA21)</f>
        <v>1</v>
      </c>
      <c r="CB21">
        <f>COUNT($AS21:BB21)</f>
        <v>1</v>
      </c>
      <c r="CC21">
        <f>COUNT($AS21:BC21)</f>
        <v>1</v>
      </c>
      <c r="CD21">
        <f>COUNT($AS21:BD21)</f>
        <v>1</v>
      </c>
      <c r="CF21">
        <f>COUNT($BF21:BF21)</f>
        <v>0</v>
      </c>
      <c r="CG21">
        <f>COUNT($BF21:BG21)</f>
        <v>0</v>
      </c>
      <c r="CH21">
        <f>COUNT($BF21:BH21)</f>
        <v>0</v>
      </c>
      <c r="CI21">
        <f>COUNT($BF21:BI21)</f>
        <v>0</v>
      </c>
      <c r="CJ21">
        <f>COUNT($BF21:BJ21)</f>
        <v>0</v>
      </c>
      <c r="CK21">
        <f>COUNT($BF21:BK21)</f>
        <v>0</v>
      </c>
      <c r="CL21">
        <f>COUNT($BF21:BL21)</f>
        <v>0</v>
      </c>
      <c r="CM21">
        <f>COUNT($BF21:BM21)</f>
        <v>0</v>
      </c>
      <c r="CN21">
        <f>COUNT($BF21:BN21)</f>
        <v>0</v>
      </c>
      <c r="CO21">
        <f>COUNT($BF21:BO21)</f>
        <v>0</v>
      </c>
      <c r="CP21">
        <f>COUNT($BF21:BP21)</f>
        <v>0</v>
      </c>
      <c r="CQ21">
        <f>COUNT($BF21:BQ21)</f>
        <v>1</v>
      </c>
      <c r="CS21" s="5">
        <f t="shared" si="45"/>
        <v>0</v>
      </c>
      <c r="CT21" s="100" t="str">
        <f t="shared" si="80"/>
        <v>20061Insurance</v>
      </c>
      <c r="CU21" s="83">
        <f t="shared" si="46"/>
        <v>200</v>
      </c>
      <c r="CV21" s="83">
        <f t="shared" si="47"/>
        <v>61</v>
      </c>
      <c r="CX21">
        <f t="shared" si="81"/>
        <v>1</v>
      </c>
      <c r="CY21">
        <f t="shared" si="82"/>
        <v>1</v>
      </c>
      <c r="DA21" s="90" cm="1">
        <f t="array" ref="DA21">IF(DA$5&lt;=$CX21,INDEX($AS21:$BD21,1,_xlfn.XMATCH(DA$5,$BS21:$CD21)),"na")</f>
        <v>45658</v>
      </c>
      <c r="DB21" s="91" cm="1">
        <f t="array" ref="DB21">IF(DB$5&lt;=$CY21,INDEX($BF21:$BQ21,1,_xlfn.XMATCH(DB$5,$CF21:$CQ21)),"na")</f>
        <v>46022</v>
      </c>
      <c r="DC21" s="82" t="str">
        <f>_xlfn.XLOOKUP($CU21&amp;"-"&amp;$CV21&amp;$C21,REF!$K$2:$K$90,REF!B$2:B$90)</f>
        <v>MANAGED CARE</v>
      </c>
      <c r="DD21" s="82" t="str">
        <f>_xlfn.XLOOKUP($CU21&amp;"-"&amp;$CV21&amp;$C21,REF!$K$2:$K$90,REF!C$2:C$90)</f>
        <v>MGCARE LEVEL OF CARE</v>
      </c>
      <c r="DE21" s="82" t="str">
        <f>_xlfn.XLOOKUP($CU21&amp;"-"&amp;$CV21&amp;$C21,REF!$K$2:$K$90,REF!D$2:D$90)</f>
        <v>ASBURY SOLOMONS</v>
      </c>
      <c r="DF21" s="82" t="str">
        <f>_xlfn.XLOOKUP($CU21&amp;"-"&amp;$CV21&amp;$C21,REF!$K$2:$K$90,REF!E$2:E$90)</f>
        <v>SKILLED NURSING</v>
      </c>
      <c r="DG21" s="82" t="str">
        <f>_xlfn.XLOOKUP($CU21&amp;"-"&amp;$CV21&amp;$C21,REF!$K$2:$K$90,REF!F$2:F$90)</f>
        <v>ASBURY SOLOMONS SKILLED NURSING</v>
      </c>
      <c r="DH21" s="93" cm="1">
        <f t="array" ref="DH21">IF(DH$5&lt;=$CX21,INDEX($AF21:$AQ21,1,_xlfn.XMATCH(DH$5,$BS21:$CD21)),"na")</f>
        <v>0</v>
      </c>
      <c r="DI21" s="90" t="str" cm="1">
        <f t="array" ref="DI21">IF(DI$5&lt;=$CX21,INDEX($AS21:$BD21,1,_xlfn.XMATCH(DI$5,$BS21:$CD21)),"na")</f>
        <v>na</v>
      </c>
      <c r="DJ21" s="91" t="str" cm="1">
        <f t="array" ref="DJ21">IF(DJ$5&lt;=$CY21,INDEX($BF21:$BQ21,1,_xlfn.XMATCH(DJ$5,$CF21:$CQ21)),"na")</f>
        <v>na</v>
      </c>
      <c r="DK21" s="101" t="str">
        <f t="shared" si="83"/>
        <v>MANAGED CARE</v>
      </c>
      <c r="DL21" s="101" t="str">
        <f t="shared" si="48"/>
        <v>MGCARE LEVEL OF CARE</v>
      </c>
      <c r="DM21" s="101" t="str">
        <f t="shared" si="49"/>
        <v>ASBURY SOLOMONS</v>
      </c>
      <c r="DN21" s="101" t="str">
        <f t="shared" si="50"/>
        <v>SKILLED NURSING</v>
      </c>
      <c r="DO21" s="101" t="str">
        <f t="shared" si="51"/>
        <v>ASBURY SOLOMONS SKILLED NURSING</v>
      </c>
      <c r="DP21" s="93" t="str" cm="1">
        <f t="array" ref="DP21">IF(DP$5&lt;=$CX21,INDEX($AF21:$AQ21,1,_xlfn.XMATCH(DP$5,$BS21:$CD21)),"na")</f>
        <v>na</v>
      </c>
      <c r="DQ21" s="90" t="str" cm="1">
        <f t="array" ref="DQ21">IF(DQ$5&lt;=$CX21,INDEX($AS21:$BD21,1,_xlfn.XMATCH(DQ$5,$BS21:$CD21)),"na")</f>
        <v>na</v>
      </c>
      <c r="DR21" s="91" t="str" cm="1">
        <f t="array" ref="DR21">IF(DR$5&lt;=$CY21,INDEX($BF21:$BQ21,1,_xlfn.XMATCH(DR$5,$CF21:$CQ21)),"na")</f>
        <v>na</v>
      </c>
      <c r="DS21" s="101" t="str">
        <f t="shared" si="84"/>
        <v>MANAGED CARE</v>
      </c>
      <c r="DT21" s="101" t="str">
        <f t="shared" si="52"/>
        <v>MGCARE LEVEL OF CARE</v>
      </c>
      <c r="DU21" s="101" t="str">
        <f t="shared" si="53"/>
        <v>ASBURY SOLOMONS</v>
      </c>
      <c r="DV21" s="101" t="str">
        <f t="shared" si="54"/>
        <v>SKILLED NURSING</v>
      </c>
      <c r="DW21" s="101" t="str">
        <f t="shared" si="55"/>
        <v>ASBURY SOLOMONS SKILLED NURSING</v>
      </c>
      <c r="DX21" s="93" t="str" cm="1">
        <f t="array" ref="DX21">IF(DX$5&lt;=$CX21,INDEX($AF21:$AQ21,1,_xlfn.XMATCH(DX$5,$BS21:$CD21)),"na")</f>
        <v>na</v>
      </c>
      <c r="DY21" s="90" t="str" cm="1">
        <f t="array" ref="DY21">IF(DY$5&lt;=$CX21,INDEX($AS21:$BD21,1,_xlfn.XMATCH(DY$5,$BS21:$CD21)),"na")</f>
        <v>na</v>
      </c>
      <c r="DZ21" s="91" t="str" cm="1">
        <f t="array" ref="DZ21">IF(DZ$5&lt;=$CY21,INDEX($BF21:$BQ21,1,_xlfn.XMATCH(DZ$5,$CF21:$CQ21)),"na")</f>
        <v>na</v>
      </c>
      <c r="EA21" s="101" t="str">
        <f t="shared" si="85"/>
        <v>MANAGED CARE</v>
      </c>
      <c r="EB21" s="101" t="str">
        <f t="shared" si="56"/>
        <v>MGCARE LEVEL OF CARE</v>
      </c>
      <c r="EC21" s="101" t="str">
        <f t="shared" si="57"/>
        <v>ASBURY SOLOMONS</v>
      </c>
      <c r="ED21" s="101" t="str">
        <f t="shared" si="58"/>
        <v>SKILLED NURSING</v>
      </c>
      <c r="EE21" s="101" t="str">
        <f t="shared" si="59"/>
        <v>ASBURY SOLOMONS SKILLED NURSING</v>
      </c>
      <c r="EF21" s="93" t="str" cm="1">
        <f t="array" ref="EF21">IF(EF$5&lt;=$CX21,INDEX($AF21:$AQ21,1,_xlfn.XMATCH(EF$5,$BS21:$CD21)),"na")</f>
        <v>na</v>
      </c>
      <c r="EG21" s="90" t="str" cm="1">
        <f t="array" ref="EG21">IF(EG$5&lt;=$CX21,INDEX($AS21:$BD21,1,_xlfn.XMATCH(EG$5,$BS21:$CD21)),"na")</f>
        <v>na</v>
      </c>
      <c r="EH21" s="91" t="str" cm="1">
        <f t="array" ref="EH21">IF(EH$5&lt;=$CY21,INDEX($BF21:$BQ21,1,_xlfn.XMATCH(EH$5,$CF21:$CQ21)),"na")</f>
        <v>na</v>
      </c>
      <c r="EI21" s="101" t="str">
        <f t="shared" si="86"/>
        <v>MANAGED CARE</v>
      </c>
      <c r="EJ21" s="101" t="str">
        <f t="shared" si="60"/>
        <v>MGCARE LEVEL OF CARE</v>
      </c>
      <c r="EK21" s="101" t="str">
        <f t="shared" si="61"/>
        <v>ASBURY SOLOMONS</v>
      </c>
      <c r="EL21" s="101" t="str">
        <f t="shared" si="62"/>
        <v>SKILLED NURSING</v>
      </c>
      <c r="EM21" s="101" t="str">
        <f t="shared" si="63"/>
        <v>ASBURY SOLOMONS SKILLED NURSING</v>
      </c>
      <c r="EN21" s="93" t="str" cm="1">
        <f t="array" ref="EN21">IF(EN$5&lt;=$CX21,INDEX($AF21:$AQ21,1,_xlfn.XMATCH(EN$5,$BS21:$CD21)),"na")</f>
        <v>na</v>
      </c>
      <c r="EO21" s="90" t="str" cm="1">
        <f t="array" ref="EO21">IF(EO$5&lt;=$CX21,INDEX($AS21:$BD21,1,_xlfn.XMATCH(EO$5,$BS21:$CD21)),"na")</f>
        <v>na</v>
      </c>
      <c r="EP21" s="91" t="str" cm="1">
        <f t="array" ref="EP21">IF(EP$5&lt;=$CY21,INDEX($BF21:$BQ21,1,_xlfn.XMATCH(EP$5,$CF21:$CQ21)),"na")</f>
        <v>na</v>
      </c>
      <c r="EQ21" s="101" t="str">
        <f t="shared" si="87"/>
        <v>MANAGED CARE</v>
      </c>
      <c r="ER21" s="101" t="str">
        <f t="shared" si="64"/>
        <v>MGCARE LEVEL OF CARE</v>
      </c>
      <c r="ES21" s="101" t="str">
        <f t="shared" si="65"/>
        <v>ASBURY SOLOMONS</v>
      </c>
      <c r="ET21" s="101" t="str">
        <f t="shared" si="66"/>
        <v>SKILLED NURSING</v>
      </c>
      <c r="EU21" s="101" t="str">
        <f t="shared" si="67"/>
        <v>ASBURY SOLOMONS SKILLED NURSING</v>
      </c>
      <c r="EV21" s="93" t="str" cm="1">
        <f t="array" ref="EV21">IF(EV$5&lt;=$CX21,INDEX($AF21:$AQ21,1,_xlfn.XMATCH(EV$5,$BS21:$CD21)),"na")</f>
        <v>na</v>
      </c>
    </row>
    <row r="22" spans="1:152" x14ac:dyDescent="0.25">
      <c r="A22" s="59" t="s">
        <v>208</v>
      </c>
      <c r="B22" s="43" t="s">
        <v>204</v>
      </c>
      <c r="C22" s="43" t="s">
        <v>91</v>
      </c>
      <c r="D22" s="4">
        <v>558</v>
      </c>
      <c r="E22" s="4">
        <v>504</v>
      </c>
      <c r="F22" s="4">
        <v>558</v>
      </c>
      <c r="G22" s="4">
        <v>540</v>
      </c>
      <c r="H22" s="4">
        <v>558</v>
      </c>
      <c r="I22" s="4">
        <v>540</v>
      </c>
      <c r="J22" s="4">
        <v>558</v>
      </c>
      <c r="K22" s="4">
        <v>558</v>
      </c>
      <c r="L22" s="4">
        <v>540</v>
      </c>
      <c r="M22" s="4">
        <v>558</v>
      </c>
      <c r="N22" s="4">
        <v>540</v>
      </c>
      <c r="O22" s="4">
        <v>558</v>
      </c>
      <c r="Q22" t="s">
        <v>199</v>
      </c>
      <c r="R22" t="s">
        <v>291</v>
      </c>
      <c r="S22" s="7">
        <f>S6-S14</f>
        <v>0</v>
      </c>
      <c r="T22" s="7">
        <f t="shared" ref="T22:AD22" si="88">T6-T14</f>
        <v>0</v>
      </c>
      <c r="U22" s="7">
        <f t="shared" si="88"/>
        <v>0</v>
      </c>
      <c r="V22" s="7">
        <f t="shared" si="88"/>
        <v>0</v>
      </c>
      <c r="W22" s="7">
        <f t="shared" si="88"/>
        <v>0</v>
      </c>
      <c r="X22" s="7">
        <f t="shared" si="88"/>
        <v>0</v>
      </c>
      <c r="Y22" s="7">
        <f t="shared" si="88"/>
        <v>0</v>
      </c>
      <c r="Z22" s="7">
        <f t="shared" si="88"/>
        <v>0</v>
      </c>
      <c r="AA22" s="7">
        <f t="shared" si="88"/>
        <v>0</v>
      </c>
      <c r="AB22" s="7">
        <f t="shared" si="88"/>
        <v>0</v>
      </c>
      <c r="AC22" s="7">
        <f t="shared" si="88"/>
        <v>0</v>
      </c>
      <c r="AD22" s="7">
        <f t="shared" si="88"/>
        <v>0</v>
      </c>
      <c r="AF22" s="7">
        <f t="shared" si="22"/>
        <v>18</v>
      </c>
      <c r="AG22" s="7">
        <f t="shared" si="23"/>
        <v>18</v>
      </c>
      <c r="AH22" s="7">
        <f t="shared" si="24"/>
        <v>18</v>
      </c>
      <c r="AI22" s="7">
        <f t="shared" si="25"/>
        <v>18</v>
      </c>
      <c r="AJ22" s="7">
        <f t="shared" si="26"/>
        <v>18</v>
      </c>
      <c r="AK22" s="7">
        <f t="shared" si="27"/>
        <v>18</v>
      </c>
      <c r="AL22" s="7">
        <f t="shared" si="28"/>
        <v>18</v>
      </c>
      <c r="AM22" s="7">
        <f t="shared" si="29"/>
        <v>18</v>
      </c>
      <c r="AN22" s="7">
        <f t="shared" si="30"/>
        <v>18</v>
      </c>
      <c r="AO22" s="7">
        <f t="shared" si="31"/>
        <v>18</v>
      </c>
      <c r="AP22" s="7">
        <f t="shared" si="32"/>
        <v>18</v>
      </c>
      <c r="AQ22" s="7">
        <f t="shared" si="33"/>
        <v>18</v>
      </c>
      <c r="AS22" s="86">
        <f>_xlfn.XLOOKUP(AS$5,'OC-Days'!$G:$G,'OC-Days'!$F:$F)</f>
        <v>45658</v>
      </c>
      <c r="AT22" s="87" t="str">
        <f>IF(AG22=AF22,"na",_xlfn.XLOOKUP(AT$5,'OC-Days'!$G:$G,'OC-Days'!$F:$F))</f>
        <v>na</v>
      </c>
      <c r="AU22" s="87" t="str">
        <f>IF(AH22=AG22,"na",_xlfn.XLOOKUP(AU$5,'OC-Days'!$G:$G,'OC-Days'!$F:$F))</f>
        <v>na</v>
      </c>
      <c r="AV22" s="87" t="str">
        <f>IF(AI22=AH22,"na",_xlfn.XLOOKUP(AV$5,'OC-Days'!$G:$G,'OC-Days'!$F:$F))</f>
        <v>na</v>
      </c>
      <c r="AW22" s="87" t="str">
        <f>IF(AJ22=AI22,"na",_xlfn.XLOOKUP(AW$5,'OC-Days'!$G:$G,'OC-Days'!$F:$F))</f>
        <v>na</v>
      </c>
      <c r="AX22" s="87" t="str">
        <f>IF(AK22=AJ22,"na",_xlfn.XLOOKUP(AX$5,'OC-Days'!$G:$G,'OC-Days'!$F:$F))</f>
        <v>na</v>
      </c>
      <c r="AY22" s="87" t="str">
        <f>IF(AL22=AK22,"na",_xlfn.XLOOKUP(AY$5,'OC-Days'!$G:$G,'OC-Days'!$F:$F))</f>
        <v>na</v>
      </c>
      <c r="AZ22" s="87" t="str">
        <f>IF(AM22=AL22,"na",_xlfn.XLOOKUP(AZ$5,'OC-Days'!$G:$G,'OC-Days'!$F:$F))</f>
        <v>na</v>
      </c>
      <c r="BA22" s="87" t="str">
        <f>IF(AN22=AM22,"na",_xlfn.XLOOKUP(BA$5,'OC-Days'!$G:$G,'OC-Days'!$F:$F))</f>
        <v>na</v>
      </c>
      <c r="BB22" s="87" t="str">
        <f>IF(AO22=AN22,"na",_xlfn.XLOOKUP(BB$5,'OC-Days'!$G:$G,'OC-Days'!$F:$F))</f>
        <v>na</v>
      </c>
      <c r="BC22" s="87" t="str">
        <f>IF(AP22=AO22,"na",_xlfn.XLOOKUP(BC$5,'OC-Days'!$G:$G,'OC-Days'!$F:$F))</f>
        <v>na</v>
      </c>
      <c r="BD22" s="87" t="str">
        <f>IF(AQ22=AP22,"na",_xlfn.XLOOKUP(BD$5,'OC-Days'!$G:$G,'OC-Days'!$F:$F))</f>
        <v>na</v>
      </c>
      <c r="BF22" s="88" t="str">
        <f t="shared" si="68"/>
        <v>na</v>
      </c>
      <c r="BG22" s="88" t="str">
        <f t="shared" si="69"/>
        <v>na</v>
      </c>
      <c r="BH22" s="88" t="str">
        <f t="shared" si="70"/>
        <v>na</v>
      </c>
      <c r="BI22" s="88" t="str">
        <f t="shared" si="71"/>
        <v>na</v>
      </c>
      <c r="BJ22" s="88" t="str">
        <f t="shared" si="72"/>
        <v>na</v>
      </c>
      <c r="BK22" s="88" t="str">
        <f t="shared" si="73"/>
        <v>na</v>
      </c>
      <c r="BL22" s="88" t="str">
        <f t="shared" si="74"/>
        <v>na</v>
      </c>
      <c r="BM22" s="88" t="str">
        <f t="shared" si="75"/>
        <v>na</v>
      </c>
      <c r="BN22" s="88" t="str">
        <f t="shared" si="76"/>
        <v>na</v>
      </c>
      <c r="BO22" s="88" t="str">
        <f t="shared" si="77"/>
        <v>na</v>
      </c>
      <c r="BP22" s="88" t="str">
        <f t="shared" si="78"/>
        <v>na</v>
      </c>
      <c r="BQ22" s="89">
        <f t="shared" si="79"/>
        <v>46022</v>
      </c>
      <c r="BS22">
        <f>COUNT($AS22:AS22)</f>
        <v>1</v>
      </c>
      <c r="BT22">
        <f>COUNT($AS22:AT22)</f>
        <v>1</v>
      </c>
      <c r="BU22">
        <f>COUNT($AS22:AU22)</f>
        <v>1</v>
      </c>
      <c r="BV22">
        <f>COUNT($AS22:AV22)</f>
        <v>1</v>
      </c>
      <c r="BW22">
        <f>COUNT($AS22:AW22)</f>
        <v>1</v>
      </c>
      <c r="BX22">
        <f>COUNT($AS22:AX22)</f>
        <v>1</v>
      </c>
      <c r="BY22">
        <f>COUNT($AS22:AY22)</f>
        <v>1</v>
      </c>
      <c r="BZ22">
        <f>COUNT($AS22:AZ22)</f>
        <v>1</v>
      </c>
      <c r="CA22">
        <f>COUNT($AS22:BA22)</f>
        <v>1</v>
      </c>
      <c r="CB22">
        <f>COUNT($AS22:BB22)</f>
        <v>1</v>
      </c>
      <c r="CC22">
        <f>COUNT($AS22:BC22)</f>
        <v>1</v>
      </c>
      <c r="CD22">
        <f>COUNT($AS22:BD22)</f>
        <v>1</v>
      </c>
      <c r="CF22">
        <f>COUNT($BF22:BF22)</f>
        <v>0</v>
      </c>
      <c r="CG22">
        <f>COUNT($BF22:BG22)</f>
        <v>0</v>
      </c>
      <c r="CH22">
        <f>COUNT($BF22:BH22)</f>
        <v>0</v>
      </c>
      <c r="CI22">
        <f>COUNT($BF22:BI22)</f>
        <v>0</v>
      </c>
      <c r="CJ22">
        <f>COUNT($BF22:BJ22)</f>
        <v>0</v>
      </c>
      <c r="CK22">
        <f>COUNT($BF22:BK22)</f>
        <v>0</v>
      </c>
      <c r="CL22">
        <f>COUNT($BF22:BL22)</f>
        <v>0</v>
      </c>
      <c r="CM22">
        <f>COUNT($BF22:BM22)</f>
        <v>0</v>
      </c>
      <c r="CN22">
        <f>COUNT($BF22:BN22)</f>
        <v>0</v>
      </c>
      <c r="CO22">
        <f>COUNT($BF22:BO22)</f>
        <v>0</v>
      </c>
      <c r="CP22">
        <f>COUNT($BF22:BP22)</f>
        <v>0</v>
      </c>
      <c r="CQ22">
        <f>COUNT($BF22:BQ22)</f>
        <v>1</v>
      </c>
      <c r="CS22" s="5">
        <f t="shared" si="45"/>
        <v>1</v>
      </c>
      <c r="CT22" s="100" t="str">
        <f t="shared" si="80"/>
        <v>20061Private Pay</v>
      </c>
      <c r="CU22" s="83">
        <f t="shared" si="46"/>
        <v>200</v>
      </c>
      <c r="CV22" s="83">
        <f t="shared" si="47"/>
        <v>61</v>
      </c>
      <c r="CX22">
        <f t="shared" si="81"/>
        <v>1</v>
      </c>
      <c r="CY22">
        <f t="shared" si="82"/>
        <v>1</v>
      </c>
      <c r="DA22" s="90" cm="1">
        <f t="array" ref="DA22">IF(DA$5&lt;=$CX22,INDEX($AS22:$BD22,1,_xlfn.XMATCH(DA$5,$BS22:$CD22)),"na")</f>
        <v>45658</v>
      </c>
      <c r="DB22" s="91" cm="1">
        <f t="array" ref="DB22">IF(DB$5&lt;=$CY22,INDEX($BF22:$BQ22,1,_xlfn.XMATCH(DB$5,$CF22:$CQ22)),"na")</f>
        <v>46022</v>
      </c>
      <c r="DC22" s="82" t="str">
        <f>_xlfn.XLOOKUP($CU22&amp;"-"&amp;$CV22&amp;$C22,REF!$K$2:$K$90,REF!B$2:B$90)</f>
        <v>PRIVATE PAY</v>
      </c>
      <c r="DD22" s="82" t="str">
        <f>_xlfn.XLOOKUP($CU22&amp;"-"&amp;$CV22&amp;$C22,REF!$K$2:$K$90,REF!C$2:C$90)</f>
        <v>PRIVATE PAY</v>
      </c>
      <c r="DE22" s="82" t="str">
        <f>_xlfn.XLOOKUP($CU22&amp;"-"&amp;$CV22&amp;$C22,REF!$K$2:$K$90,REF!D$2:D$90)</f>
        <v>ASBURY SOLOMONS</v>
      </c>
      <c r="DF22" s="82" t="str">
        <f>_xlfn.XLOOKUP($CU22&amp;"-"&amp;$CV22&amp;$C22,REF!$K$2:$K$90,REF!E$2:E$90)</f>
        <v>SKILLED NURSING</v>
      </c>
      <c r="DG22" s="82" t="str">
        <f>_xlfn.XLOOKUP($CU22&amp;"-"&amp;$CV22&amp;$C22,REF!$K$2:$K$90,REF!F$2:F$90)</f>
        <v>ASBURY SOLOMONS SKILLED NURSING</v>
      </c>
      <c r="DH22" s="93" cm="1">
        <f t="array" ref="DH22">IF(DH$5&lt;=$CX22,INDEX($AF22:$AQ22,1,_xlfn.XMATCH(DH$5,$BS22:$CD22)),"na")</f>
        <v>18</v>
      </c>
      <c r="DI22" s="90" t="str" cm="1">
        <f t="array" ref="DI22">IF(DI$5&lt;=$CX22,INDEX($AS22:$BD22,1,_xlfn.XMATCH(DI$5,$BS22:$CD22)),"na")</f>
        <v>na</v>
      </c>
      <c r="DJ22" s="91" t="str" cm="1">
        <f t="array" ref="DJ22">IF(DJ$5&lt;=$CY22,INDEX($BF22:$BQ22,1,_xlfn.XMATCH(DJ$5,$CF22:$CQ22)),"na")</f>
        <v>na</v>
      </c>
      <c r="DK22" s="101" t="str">
        <f t="shared" si="83"/>
        <v>PRIVATE PAY</v>
      </c>
      <c r="DL22" s="101" t="str">
        <f t="shared" si="48"/>
        <v>PRIVATE PAY</v>
      </c>
      <c r="DM22" s="101" t="str">
        <f t="shared" si="49"/>
        <v>ASBURY SOLOMONS</v>
      </c>
      <c r="DN22" s="101" t="str">
        <f t="shared" si="50"/>
        <v>SKILLED NURSING</v>
      </c>
      <c r="DO22" s="101" t="str">
        <f t="shared" si="51"/>
        <v>ASBURY SOLOMONS SKILLED NURSING</v>
      </c>
      <c r="DP22" s="93" t="str" cm="1">
        <f t="array" ref="DP22">IF(DP$5&lt;=$CX22,INDEX($AF22:$AQ22,1,_xlfn.XMATCH(DP$5,$BS22:$CD22)),"na")</f>
        <v>na</v>
      </c>
      <c r="DQ22" s="90" t="str" cm="1">
        <f t="array" ref="DQ22">IF(DQ$5&lt;=$CX22,INDEX($AS22:$BD22,1,_xlfn.XMATCH(DQ$5,$BS22:$CD22)),"na")</f>
        <v>na</v>
      </c>
      <c r="DR22" s="91" t="str" cm="1">
        <f t="array" ref="DR22">IF(DR$5&lt;=$CY22,INDEX($BF22:$BQ22,1,_xlfn.XMATCH(DR$5,$CF22:$CQ22)),"na")</f>
        <v>na</v>
      </c>
      <c r="DS22" s="101" t="str">
        <f t="shared" si="84"/>
        <v>PRIVATE PAY</v>
      </c>
      <c r="DT22" s="101" t="str">
        <f t="shared" si="52"/>
        <v>PRIVATE PAY</v>
      </c>
      <c r="DU22" s="101" t="str">
        <f t="shared" si="53"/>
        <v>ASBURY SOLOMONS</v>
      </c>
      <c r="DV22" s="101" t="str">
        <f t="shared" si="54"/>
        <v>SKILLED NURSING</v>
      </c>
      <c r="DW22" s="101" t="str">
        <f t="shared" si="55"/>
        <v>ASBURY SOLOMONS SKILLED NURSING</v>
      </c>
      <c r="DX22" s="93" t="str" cm="1">
        <f t="array" ref="DX22">IF(DX$5&lt;=$CX22,INDEX($AF22:$AQ22,1,_xlfn.XMATCH(DX$5,$BS22:$CD22)),"na")</f>
        <v>na</v>
      </c>
      <c r="DY22" s="90" t="str" cm="1">
        <f t="array" ref="DY22">IF(DY$5&lt;=$CX22,INDEX($AS22:$BD22,1,_xlfn.XMATCH(DY$5,$BS22:$CD22)),"na")</f>
        <v>na</v>
      </c>
      <c r="DZ22" s="91" t="str" cm="1">
        <f t="array" ref="DZ22">IF(DZ$5&lt;=$CY22,INDEX($BF22:$BQ22,1,_xlfn.XMATCH(DZ$5,$CF22:$CQ22)),"na")</f>
        <v>na</v>
      </c>
      <c r="EA22" s="101" t="str">
        <f t="shared" si="85"/>
        <v>PRIVATE PAY</v>
      </c>
      <c r="EB22" s="101" t="str">
        <f t="shared" si="56"/>
        <v>PRIVATE PAY</v>
      </c>
      <c r="EC22" s="101" t="str">
        <f t="shared" si="57"/>
        <v>ASBURY SOLOMONS</v>
      </c>
      <c r="ED22" s="101" t="str">
        <f t="shared" si="58"/>
        <v>SKILLED NURSING</v>
      </c>
      <c r="EE22" s="101" t="str">
        <f t="shared" si="59"/>
        <v>ASBURY SOLOMONS SKILLED NURSING</v>
      </c>
      <c r="EF22" s="93" t="str" cm="1">
        <f t="array" ref="EF22">IF(EF$5&lt;=$CX22,INDEX($AF22:$AQ22,1,_xlfn.XMATCH(EF$5,$BS22:$CD22)),"na")</f>
        <v>na</v>
      </c>
      <c r="EG22" s="90" t="str" cm="1">
        <f t="array" ref="EG22">IF(EG$5&lt;=$CX22,INDEX($AS22:$BD22,1,_xlfn.XMATCH(EG$5,$BS22:$CD22)),"na")</f>
        <v>na</v>
      </c>
      <c r="EH22" s="91" t="str" cm="1">
        <f t="array" ref="EH22">IF(EH$5&lt;=$CY22,INDEX($BF22:$BQ22,1,_xlfn.XMATCH(EH$5,$CF22:$CQ22)),"na")</f>
        <v>na</v>
      </c>
      <c r="EI22" s="101" t="str">
        <f t="shared" si="86"/>
        <v>PRIVATE PAY</v>
      </c>
      <c r="EJ22" s="101" t="str">
        <f t="shared" si="60"/>
        <v>PRIVATE PAY</v>
      </c>
      <c r="EK22" s="101" t="str">
        <f t="shared" si="61"/>
        <v>ASBURY SOLOMONS</v>
      </c>
      <c r="EL22" s="101" t="str">
        <f t="shared" si="62"/>
        <v>SKILLED NURSING</v>
      </c>
      <c r="EM22" s="101" t="str">
        <f t="shared" si="63"/>
        <v>ASBURY SOLOMONS SKILLED NURSING</v>
      </c>
      <c r="EN22" s="93" t="str" cm="1">
        <f t="array" ref="EN22">IF(EN$5&lt;=$CX22,INDEX($AF22:$AQ22,1,_xlfn.XMATCH(EN$5,$BS22:$CD22)),"na")</f>
        <v>na</v>
      </c>
      <c r="EO22" s="90" t="str" cm="1">
        <f t="array" ref="EO22">IF(EO$5&lt;=$CX22,INDEX($AS22:$BD22,1,_xlfn.XMATCH(EO$5,$BS22:$CD22)),"na")</f>
        <v>na</v>
      </c>
      <c r="EP22" s="91" t="str" cm="1">
        <f t="array" ref="EP22">IF(EP$5&lt;=$CY22,INDEX($BF22:$BQ22,1,_xlfn.XMATCH(EP$5,$CF22:$CQ22)),"na")</f>
        <v>na</v>
      </c>
      <c r="EQ22" s="101" t="str">
        <f t="shared" si="87"/>
        <v>PRIVATE PAY</v>
      </c>
      <c r="ER22" s="101" t="str">
        <f t="shared" si="64"/>
        <v>PRIVATE PAY</v>
      </c>
      <c r="ES22" s="101" t="str">
        <f t="shared" si="65"/>
        <v>ASBURY SOLOMONS</v>
      </c>
      <c r="ET22" s="101" t="str">
        <f t="shared" si="66"/>
        <v>SKILLED NURSING</v>
      </c>
      <c r="EU22" s="101" t="str">
        <f t="shared" si="67"/>
        <v>ASBURY SOLOMONS SKILLED NURSING</v>
      </c>
      <c r="EV22" s="93" t="str" cm="1">
        <f t="array" ref="EV22">IF(EV$5&lt;=$CX22,INDEX($AF22:$AQ22,1,_xlfn.XMATCH(EV$5,$BS22:$CD22)),"na")</f>
        <v>na</v>
      </c>
    </row>
    <row r="23" spans="1:152" hidden="1" x14ac:dyDescent="0.25">
      <c r="A23" s="59" t="s">
        <v>208</v>
      </c>
      <c r="B23" s="43" t="s">
        <v>205</v>
      </c>
      <c r="C23" s="43" t="s">
        <v>23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Q23" t="s">
        <v>207</v>
      </c>
      <c r="R23" t="s">
        <v>291</v>
      </c>
      <c r="S23" s="7">
        <f t="shared" ref="S23:AD23" si="89">S7-S15</f>
        <v>0</v>
      </c>
      <c r="T23" s="7">
        <f t="shared" si="89"/>
        <v>0</v>
      </c>
      <c r="U23" s="7">
        <f t="shared" si="89"/>
        <v>0</v>
      </c>
      <c r="V23" s="7">
        <f t="shared" si="89"/>
        <v>0</v>
      </c>
      <c r="W23" s="7">
        <f t="shared" si="89"/>
        <v>0</v>
      </c>
      <c r="X23" s="7">
        <f t="shared" si="89"/>
        <v>0</v>
      </c>
      <c r="Y23" s="7">
        <f t="shared" si="89"/>
        <v>0</v>
      </c>
      <c r="Z23" s="7">
        <f t="shared" si="89"/>
        <v>0</v>
      </c>
      <c r="AA23" s="7">
        <f t="shared" si="89"/>
        <v>0</v>
      </c>
      <c r="AB23" s="7">
        <f t="shared" si="89"/>
        <v>0</v>
      </c>
      <c r="AC23" s="7">
        <f t="shared" si="89"/>
        <v>0</v>
      </c>
      <c r="AD23" s="7">
        <f t="shared" si="89"/>
        <v>0</v>
      </c>
      <c r="AF23" s="7">
        <f t="shared" si="22"/>
        <v>0</v>
      </c>
      <c r="AG23" s="7">
        <f t="shared" si="23"/>
        <v>0</v>
      </c>
      <c r="AH23" s="7">
        <f t="shared" si="24"/>
        <v>0</v>
      </c>
      <c r="AI23" s="7">
        <f t="shared" si="25"/>
        <v>0</v>
      </c>
      <c r="AJ23" s="7">
        <f t="shared" si="26"/>
        <v>0</v>
      </c>
      <c r="AK23" s="7">
        <f t="shared" si="27"/>
        <v>0</v>
      </c>
      <c r="AL23" s="7">
        <f t="shared" si="28"/>
        <v>0</v>
      </c>
      <c r="AM23" s="7">
        <f t="shared" si="29"/>
        <v>0</v>
      </c>
      <c r="AN23" s="7">
        <f t="shared" si="30"/>
        <v>0</v>
      </c>
      <c r="AO23" s="7">
        <f t="shared" si="31"/>
        <v>0</v>
      </c>
      <c r="AP23" s="7">
        <f t="shared" si="32"/>
        <v>0</v>
      </c>
      <c r="AQ23" s="7">
        <f t="shared" si="33"/>
        <v>0</v>
      </c>
      <c r="AS23" s="86">
        <f>_xlfn.XLOOKUP(AS$5,'OC-Days'!$G:$G,'OC-Days'!$F:$F)</f>
        <v>45658</v>
      </c>
      <c r="AT23" s="87" t="str">
        <f>IF(AG23=AF23,"na",_xlfn.XLOOKUP(AT$5,'OC-Days'!$G:$G,'OC-Days'!$F:$F))</f>
        <v>na</v>
      </c>
      <c r="AU23" s="87" t="str">
        <f>IF(AH23=AG23,"na",_xlfn.XLOOKUP(AU$5,'OC-Days'!$G:$G,'OC-Days'!$F:$F))</f>
        <v>na</v>
      </c>
      <c r="AV23" s="87" t="str">
        <f>IF(AI23=AH23,"na",_xlfn.XLOOKUP(AV$5,'OC-Days'!$G:$G,'OC-Days'!$F:$F))</f>
        <v>na</v>
      </c>
      <c r="AW23" s="87" t="str">
        <f>IF(AJ23=AI23,"na",_xlfn.XLOOKUP(AW$5,'OC-Days'!$G:$G,'OC-Days'!$F:$F))</f>
        <v>na</v>
      </c>
      <c r="AX23" s="87" t="str">
        <f>IF(AK23=AJ23,"na",_xlfn.XLOOKUP(AX$5,'OC-Days'!$G:$G,'OC-Days'!$F:$F))</f>
        <v>na</v>
      </c>
      <c r="AY23" s="87" t="str">
        <f>IF(AL23=AK23,"na",_xlfn.XLOOKUP(AY$5,'OC-Days'!$G:$G,'OC-Days'!$F:$F))</f>
        <v>na</v>
      </c>
      <c r="AZ23" s="87" t="str">
        <f>IF(AM23=AL23,"na",_xlfn.XLOOKUP(AZ$5,'OC-Days'!$G:$G,'OC-Days'!$F:$F))</f>
        <v>na</v>
      </c>
      <c r="BA23" s="87" t="str">
        <f>IF(AN23=AM23,"na",_xlfn.XLOOKUP(BA$5,'OC-Days'!$G:$G,'OC-Days'!$F:$F))</f>
        <v>na</v>
      </c>
      <c r="BB23" s="87" t="str">
        <f>IF(AO23=AN23,"na",_xlfn.XLOOKUP(BB$5,'OC-Days'!$G:$G,'OC-Days'!$F:$F))</f>
        <v>na</v>
      </c>
      <c r="BC23" s="87" t="str">
        <f>IF(AP23=AO23,"na",_xlfn.XLOOKUP(BC$5,'OC-Days'!$G:$G,'OC-Days'!$F:$F))</f>
        <v>na</v>
      </c>
      <c r="BD23" s="87" t="str">
        <f>IF(AQ23=AP23,"na",_xlfn.XLOOKUP(BD$5,'OC-Days'!$G:$G,'OC-Days'!$F:$F))</f>
        <v>na</v>
      </c>
      <c r="BF23" s="88" t="str">
        <f t="shared" si="68"/>
        <v>na</v>
      </c>
      <c r="BG23" s="88" t="str">
        <f t="shared" si="69"/>
        <v>na</v>
      </c>
      <c r="BH23" s="88" t="str">
        <f t="shared" si="70"/>
        <v>na</v>
      </c>
      <c r="BI23" s="88" t="str">
        <f t="shared" si="71"/>
        <v>na</v>
      </c>
      <c r="BJ23" s="88" t="str">
        <f t="shared" si="72"/>
        <v>na</v>
      </c>
      <c r="BK23" s="88" t="str">
        <f t="shared" si="73"/>
        <v>na</v>
      </c>
      <c r="BL23" s="88" t="str">
        <f t="shared" si="74"/>
        <v>na</v>
      </c>
      <c r="BM23" s="88" t="str">
        <f t="shared" si="75"/>
        <v>na</v>
      </c>
      <c r="BN23" s="88" t="str">
        <f t="shared" si="76"/>
        <v>na</v>
      </c>
      <c r="BO23" s="88" t="str">
        <f t="shared" si="77"/>
        <v>na</v>
      </c>
      <c r="BP23" s="88" t="str">
        <f t="shared" si="78"/>
        <v>na</v>
      </c>
      <c r="BQ23" s="89">
        <f t="shared" si="79"/>
        <v>46022</v>
      </c>
      <c r="BS23">
        <f>COUNT($AS23:AS23)</f>
        <v>1</v>
      </c>
      <c r="BT23">
        <f>COUNT($AS23:AT23)</f>
        <v>1</v>
      </c>
      <c r="BU23">
        <f>COUNT($AS23:AU23)</f>
        <v>1</v>
      </c>
      <c r="BV23">
        <f>COUNT($AS23:AV23)</f>
        <v>1</v>
      </c>
      <c r="BW23">
        <f>COUNT($AS23:AW23)</f>
        <v>1</v>
      </c>
      <c r="BX23">
        <f>COUNT($AS23:AX23)</f>
        <v>1</v>
      </c>
      <c r="BY23">
        <f>COUNT($AS23:AY23)</f>
        <v>1</v>
      </c>
      <c r="BZ23">
        <f>COUNT($AS23:AZ23)</f>
        <v>1</v>
      </c>
      <c r="CA23">
        <f>COUNT($AS23:BA23)</f>
        <v>1</v>
      </c>
      <c r="CB23">
        <f>COUNT($AS23:BB23)</f>
        <v>1</v>
      </c>
      <c r="CC23">
        <f>COUNT($AS23:BC23)</f>
        <v>1</v>
      </c>
      <c r="CD23">
        <f>COUNT($AS23:BD23)</f>
        <v>1</v>
      </c>
      <c r="CF23">
        <f>COUNT($BF23:BF23)</f>
        <v>0</v>
      </c>
      <c r="CG23">
        <f>COUNT($BF23:BG23)</f>
        <v>0</v>
      </c>
      <c r="CH23">
        <f>COUNT($BF23:BH23)</f>
        <v>0</v>
      </c>
      <c r="CI23">
        <f>COUNT($BF23:BI23)</f>
        <v>0</v>
      </c>
      <c r="CJ23">
        <f>COUNT($BF23:BJ23)</f>
        <v>0</v>
      </c>
      <c r="CK23">
        <f>COUNT($BF23:BK23)</f>
        <v>0</v>
      </c>
      <c r="CL23">
        <f>COUNT($BF23:BL23)</f>
        <v>0</v>
      </c>
      <c r="CM23">
        <f>COUNT($BF23:BM23)</f>
        <v>0</v>
      </c>
      <c r="CN23">
        <f>COUNT($BF23:BN23)</f>
        <v>0</v>
      </c>
      <c r="CO23">
        <f>COUNT($BF23:BO23)</f>
        <v>0</v>
      </c>
      <c r="CP23">
        <f>COUNT($BF23:BP23)</f>
        <v>0</v>
      </c>
      <c r="CQ23">
        <f>COUNT($BF23:BQ23)</f>
        <v>1</v>
      </c>
      <c r="CS23" s="5">
        <f t="shared" si="45"/>
        <v>0</v>
      </c>
      <c r="CT23" s="100" t="str">
        <f t="shared" si="80"/>
        <v>20061Hospice</v>
      </c>
      <c r="CU23" s="83">
        <f t="shared" si="46"/>
        <v>200</v>
      </c>
      <c r="CV23" s="83">
        <f t="shared" si="47"/>
        <v>61</v>
      </c>
      <c r="CX23">
        <f t="shared" si="81"/>
        <v>1</v>
      </c>
      <c r="CY23">
        <f t="shared" si="82"/>
        <v>1</v>
      </c>
      <c r="DA23" s="90" cm="1">
        <f t="array" ref="DA23">IF(DA$5&lt;=$CX23,INDEX($AS23:$BD23,1,_xlfn.XMATCH(DA$5,$BS23:$CD23)),"na")</f>
        <v>45658</v>
      </c>
      <c r="DB23" s="91" cm="1">
        <f t="array" ref="DB23">IF(DB$5&lt;=$CY23,INDEX($BF23:$BQ23,1,_xlfn.XMATCH(DB$5,$CF23:$CQ23)),"na")</f>
        <v>46022</v>
      </c>
      <c r="DC23" s="82" t="str">
        <f>_xlfn.XLOOKUP($CU23&amp;"-"&amp;$CV23&amp;$C23,REF!$K$2:$K$90,REF!B$2:B$90)</f>
        <v>Hospice</v>
      </c>
      <c r="DD23" s="82" t="str">
        <f>_xlfn.XLOOKUP($CU23&amp;"-"&amp;$CV23&amp;$C23,REF!$K$2:$K$90,REF!C$2:C$90)</f>
        <v>Hospice - Private Pay</v>
      </c>
      <c r="DE23" s="82" t="str">
        <f>_xlfn.XLOOKUP($CU23&amp;"-"&amp;$CV23&amp;$C23,REF!$K$2:$K$90,REF!D$2:D$90)</f>
        <v>ASBURY SOLOMONS</v>
      </c>
      <c r="DF23" s="82" t="str">
        <f>_xlfn.XLOOKUP($CU23&amp;"-"&amp;$CV23&amp;$C23,REF!$K$2:$K$90,REF!E$2:E$90)</f>
        <v>SKILLED NURSING</v>
      </c>
      <c r="DG23" s="82" t="str">
        <f>_xlfn.XLOOKUP($CU23&amp;"-"&amp;$CV23&amp;$C23,REF!$K$2:$K$90,REF!F$2:F$90)</f>
        <v>ASBURY SOLOMONS SKILLED NURSING</v>
      </c>
      <c r="DH23" s="93" cm="1">
        <f t="array" ref="DH23">IF(DH$5&lt;=$CX23,INDEX($AF23:$AQ23,1,_xlfn.XMATCH(DH$5,$BS23:$CD23)),"na")</f>
        <v>0</v>
      </c>
      <c r="DI23" s="90" t="str" cm="1">
        <f t="array" ref="DI23">IF(DI$5&lt;=$CX23,INDEX($AS23:$BD23,1,_xlfn.XMATCH(DI$5,$BS23:$CD23)),"na")</f>
        <v>na</v>
      </c>
      <c r="DJ23" s="91" t="str" cm="1">
        <f t="array" ref="DJ23">IF(DJ$5&lt;=$CY23,INDEX($BF23:$BQ23,1,_xlfn.XMATCH(DJ$5,$CF23:$CQ23)),"na")</f>
        <v>na</v>
      </c>
      <c r="DK23" s="101" t="str">
        <f t="shared" si="83"/>
        <v>Hospice</v>
      </c>
      <c r="DL23" s="101" t="str">
        <f t="shared" si="48"/>
        <v>Hospice - Private Pay</v>
      </c>
      <c r="DM23" s="101" t="str">
        <f t="shared" si="49"/>
        <v>ASBURY SOLOMONS</v>
      </c>
      <c r="DN23" s="101" t="str">
        <f t="shared" si="50"/>
        <v>SKILLED NURSING</v>
      </c>
      <c r="DO23" s="101" t="str">
        <f t="shared" si="51"/>
        <v>ASBURY SOLOMONS SKILLED NURSING</v>
      </c>
      <c r="DP23" s="93" t="str" cm="1">
        <f t="array" ref="DP23">IF(DP$5&lt;=$CX23,INDEX($AF23:$AQ23,1,_xlfn.XMATCH(DP$5,$BS23:$CD23)),"na")</f>
        <v>na</v>
      </c>
      <c r="DQ23" s="90" t="str" cm="1">
        <f t="array" ref="DQ23">IF(DQ$5&lt;=$CX23,INDEX($AS23:$BD23,1,_xlfn.XMATCH(DQ$5,$BS23:$CD23)),"na")</f>
        <v>na</v>
      </c>
      <c r="DR23" s="91" t="str" cm="1">
        <f t="array" ref="DR23">IF(DR$5&lt;=$CY23,INDEX($BF23:$BQ23,1,_xlfn.XMATCH(DR$5,$CF23:$CQ23)),"na")</f>
        <v>na</v>
      </c>
      <c r="DS23" s="101" t="str">
        <f t="shared" si="84"/>
        <v>Hospice</v>
      </c>
      <c r="DT23" s="101" t="str">
        <f t="shared" si="52"/>
        <v>Hospice - Private Pay</v>
      </c>
      <c r="DU23" s="101" t="str">
        <f t="shared" si="53"/>
        <v>ASBURY SOLOMONS</v>
      </c>
      <c r="DV23" s="101" t="str">
        <f t="shared" si="54"/>
        <v>SKILLED NURSING</v>
      </c>
      <c r="DW23" s="101" t="str">
        <f t="shared" si="55"/>
        <v>ASBURY SOLOMONS SKILLED NURSING</v>
      </c>
      <c r="DX23" s="93" t="str" cm="1">
        <f t="array" ref="DX23">IF(DX$5&lt;=$CX23,INDEX($AF23:$AQ23,1,_xlfn.XMATCH(DX$5,$BS23:$CD23)),"na")</f>
        <v>na</v>
      </c>
      <c r="DY23" s="90" t="str" cm="1">
        <f t="array" ref="DY23">IF(DY$5&lt;=$CX23,INDEX($AS23:$BD23,1,_xlfn.XMATCH(DY$5,$BS23:$CD23)),"na")</f>
        <v>na</v>
      </c>
      <c r="DZ23" s="91" t="str" cm="1">
        <f t="array" ref="DZ23">IF(DZ$5&lt;=$CY23,INDEX($BF23:$BQ23,1,_xlfn.XMATCH(DZ$5,$CF23:$CQ23)),"na")</f>
        <v>na</v>
      </c>
      <c r="EA23" s="101" t="str">
        <f t="shared" si="85"/>
        <v>Hospice</v>
      </c>
      <c r="EB23" s="101" t="str">
        <f t="shared" si="56"/>
        <v>Hospice - Private Pay</v>
      </c>
      <c r="EC23" s="101" t="str">
        <f t="shared" si="57"/>
        <v>ASBURY SOLOMONS</v>
      </c>
      <c r="ED23" s="101" t="str">
        <f t="shared" si="58"/>
        <v>SKILLED NURSING</v>
      </c>
      <c r="EE23" s="101" t="str">
        <f t="shared" si="59"/>
        <v>ASBURY SOLOMONS SKILLED NURSING</v>
      </c>
      <c r="EF23" s="93" t="str" cm="1">
        <f t="array" ref="EF23">IF(EF$5&lt;=$CX23,INDEX($AF23:$AQ23,1,_xlfn.XMATCH(EF$5,$BS23:$CD23)),"na")</f>
        <v>na</v>
      </c>
      <c r="EG23" s="90" t="str" cm="1">
        <f t="array" ref="EG23">IF(EG$5&lt;=$CX23,INDEX($AS23:$BD23,1,_xlfn.XMATCH(EG$5,$BS23:$CD23)),"na")</f>
        <v>na</v>
      </c>
      <c r="EH23" s="91" t="str" cm="1">
        <f t="array" ref="EH23">IF(EH$5&lt;=$CY23,INDEX($BF23:$BQ23,1,_xlfn.XMATCH(EH$5,$CF23:$CQ23)),"na")</f>
        <v>na</v>
      </c>
      <c r="EI23" s="101" t="str">
        <f t="shared" si="86"/>
        <v>Hospice</v>
      </c>
      <c r="EJ23" s="101" t="str">
        <f t="shared" si="60"/>
        <v>Hospice - Private Pay</v>
      </c>
      <c r="EK23" s="101" t="str">
        <f t="shared" si="61"/>
        <v>ASBURY SOLOMONS</v>
      </c>
      <c r="EL23" s="101" t="str">
        <f t="shared" si="62"/>
        <v>SKILLED NURSING</v>
      </c>
      <c r="EM23" s="101" t="str">
        <f t="shared" si="63"/>
        <v>ASBURY SOLOMONS SKILLED NURSING</v>
      </c>
      <c r="EN23" s="93" t="str" cm="1">
        <f t="array" ref="EN23">IF(EN$5&lt;=$CX23,INDEX($AF23:$AQ23,1,_xlfn.XMATCH(EN$5,$BS23:$CD23)),"na")</f>
        <v>na</v>
      </c>
      <c r="EO23" s="90" t="str" cm="1">
        <f t="array" ref="EO23">IF(EO$5&lt;=$CX23,INDEX($AS23:$BD23,1,_xlfn.XMATCH(EO$5,$BS23:$CD23)),"na")</f>
        <v>na</v>
      </c>
      <c r="EP23" s="91" t="str" cm="1">
        <f t="array" ref="EP23">IF(EP$5&lt;=$CY23,INDEX($BF23:$BQ23,1,_xlfn.XMATCH(EP$5,$CF23:$CQ23)),"na")</f>
        <v>na</v>
      </c>
      <c r="EQ23" s="101" t="str">
        <f t="shared" si="87"/>
        <v>Hospice</v>
      </c>
      <c r="ER23" s="101" t="str">
        <f t="shared" si="64"/>
        <v>Hospice - Private Pay</v>
      </c>
      <c r="ES23" s="101" t="str">
        <f t="shared" si="65"/>
        <v>ASBURY SOLOMONS</v>
      </c>
      <c r="ET23" s="101" t="str">
        <f t="shared" si="66"/>
        <v>SKILLED NURSING</v>
      </c>
      <c r="EU23" s="101" t="str">
        <f t="shared" si="67"/>
        <v>ASBURY SOLOMONS SKILLED NURSING</v>
      </c>
      <c r="EV23" s="93" t="str" cm="1">
        <f t="array" ref="EV23">IF(EV$5&lt;=$CX23,INDEX($AF23:$AQ23,1,_xlfn.XMATCH(EV$5,$BS23:$CD23)),"na")</f>
        <v>na</v>
      </c>
    </row>
    <row r="24" spans="1:152" x14ac:dyDescent="0.25">
      <c r="A24" s="60" t="s">
        <v>209</v>
      </c>
      <c r="B24" s="43" t="s">
        <v>200</v>
      </c>
      <c r="C24" s="43" t="s">
        <v>133</v>
      </c>
      <c r="D24" s="4">
        <v>61.999411000000002</v>
      </c>
      <c r="E24" s="4">
        <v>55.999468</v>
      </c>
      <c r="F24" s="4">
        <v>61.999411000000002</v>
      </c>
      <c r="G24" s="4">
        <v>59.999429999999997</v>
      </c>
      <c r="H24" s="4">
        <v>61.999411000000002</v>
      </c>
      <c r="I24" s="4">
        <v>59.999429999999997</v>
      </c>
      <c r="J24" s="4">
        <v>61.999411000000002</v>
      </c>
      <c r="K24" s="4">
        <v>61.999411000000002</v>
      </c>
      <c r="L24" s="4">
        <v>59.999429999999997</v>
      </c>
      <c r="M24" s="4">
        <v>61.999411000000002</v>
      </c>
      <c r="N24" s="4">
        <v>59.999429999999997</v>
      </c>
      <c r="O24" s="4">
        <v>61.999411000000002</v>
      </c>
      <c r="Q24" t="s">
        <v>208</v>
      </c>
      <c r="R24" t="s">
        <v>291</v>
      </c>
      <c r="S24" s="7">
        <f t="shared" ref="S24:AD24" si="90">S8-S16</f>
        <v>0</v>
      </c>
      <c r="T24" s="7">
        <f t="shared" si="90"/>
        <v>0</v>
      </c>
      <c r="U24" s="7">
        <f t="shared" si="90"/>
        <v>0</v>
      </c>
      <c r="V24" s="7">
        <f t="shared" si="90"/>
        <v>0</v>
      </c>
      <c r="W24" s="7">
        <f t="shared" si="90"/>
        <v>0</v>
      </c>
      <c r="X24" s="7">
        <f t="shared" si="90"/>
        <v>0</v>
      </c>
      <c r="Y24" s="7">
        <f t="shared" si="90"/>
        <v>0</v>
      </c>
      <c r="Z24" s="7">
        <f t="shared" si="90"/>
        <v>0</v>
      </c>
      <c r="AA24" s="7">
        <f t="shared" si="90"/>
        <v>0</v>
      </c>
      <c r="AB24" s="7">
        <f t="shared" si="90"/>
        <v>0</v>
      </c>
      <c r="AC24" s="7">
        <f t="shared" si="90"/>
        <v>0</v>
      </c>
      <c r="AD24" s="7">
        <f t="shared" si="90"/>
        <v>0</v>
      </c>
      <c r="AF24" s="7">
        <f t="shared" si="22"/>
        <v>1.999981</v>
      </c>
      <c r="AG24" s="7">
        <f t="shared" si="23"/>
        <v>1.999981</v>
      </c>
      <c r="AH24" s="7">
        <f t="shared" si="24"/>
        <v>1.999981</v>
      </c>
      <c r="AI24" s="7">
        <f t="shared" si="25"/>
        <v>1.9999809999999998</v>
      </c>
      <c r="AJ24" s="7">
        <f t="shared" si="26"/>
        <v>1.999981</v>
      </c>
      <c r="AK24" s="7">
        <f t="shared" si="27"/>
        <v>1.9999809999999998</v>
      </c>
      <c r="AL24" s="7">
        <f t="shared" si="28"/>
        <v>1.999981</v>
      </c>
      <c r="AM24" s="7">
        <f t="shared" si="29"/>
        <v>1.999981</v>
      </c>
      <c r="AN24" s="7">
        <f t="shared" si="30"/>
        <v>1.9999809999999998</v>
      </c>
      <c r="AO24" s="7">
        <f t="shared" si="31"/>
        <v>1.999981</v>
      </c>
      <c r="AP24" s="7">
        <f t="shared" si="32"/>
        <v>1.9999809999999998</v>
      </c>
      <c r="AQ24" s="7">
        <f t="shared" si="33"/>
        <v>1.999981</v>
      </c>
      <c r="AS24" s="86">
        <f>_xlfn.XLOOKUP(AS$5,'OC-Days'!$G:$G,'OC-Days'!$F:$F)</f>
        <v>45658</v>
      </c>
      <c r="AT24" s="87" t="str">
        <f>IF(AG24=AF24,"na",_xlfn.XLOOKUP(AT$5,'OC-Days'!$G:$G,'OC-Days'!$F:$F))</f>
        <v>na</v>
      </c>
      <c r="AU24" s="87" t="str">
        <f>IF(AH24=AG24,"na",_xlfn.XLOOKUP(AU$5,'OC-Days'!$G:$G,'OC-Days'!$F:$F))</f>
        <v>na</v>
      </c>
      <c r="AV24" s="87" t="str">
        <f>IF(AI24=AH24,"na",_xlfn.XLOOKUP(AV$5,'OC-Days'!$G:$G,'OC-Days'!$F:$F))</f>
        <v>na</v>
      </c>
      <c r="AW24" s="87" t="str">
        <f>IF(AJ24=AI24,"na",_xlfn.XLOOKUP(AW$5,'OC-Days'!$G:$G,'OC-Days'!$F:$F))</f>
        <v>na</v>
      </c>
      <c r="AX24" s="87" t="str">
        <f>IF(AK24=AJ24,"na",_xlfn.XLOOKUP(AX$5,'OC-Days'!$G:$G,'OC-Days'!$F:$F))</f>
        <v>na</v>
      </c>
      <c r="AY24" s="87" t="str">
        <f>IF(AL24=AK24,"na",_xlfn.XLOOKUP(AY$5,'OC-Days'!$G:$G,'OC-Days'!$F:$F))</f>
        <v>na</v>
      </c>
      <c r="AZ24" s="87" t="str">
        <f>IF(AM24=AL24,"na",_xlfn.XLOOKUP(AZ$5,'OC-Days'!$G:$G,'OC-Days'!$F:$F))</f>
        <v>na</v>
      </c>
      <c r="BA24" s="87" t="str">
        <f>IF(AN24=AM24,"na",_xlfn.XLOOKUP(BA$5,'OC-Days'!$G:$G,'OC-Days'!$F:$F))</f>
        <v>na</v>
      </c>
      <c r="BB24" s="87" t="str">
        <f>IF(AO24=AN24,"na",_xlfn.XLOOKUP(BB$5,'OC-Days'!$G:$G,'OC-Days'!$F:$F))</f>
        <v>na</v>
      </c>
      <c r="BC24" s="87" t="str">
        <f>IF(AP24=AO24,"na",_xlfn.XLOOKUP(BC$5,'OC-Days'!$G:$G,'OC-Days'!$F:$F))</f>
        <v>na</v>
      </c>
      <c r="BD24" s="87" t="str">
        <f>IF(AQ24=AP24,"na",_xlfn.XLOOKUP(BD$5,'OC-Days'!$G:$G,'OC-Days'!$F:$F))</f>
        <v>na</v>
      </c>
      <c r="BF24" s="88" t="str">
        <f t="shared" si="68"/>
        <v>na</v>
      </c>
      <c r="BG24" s="88" t="str">
        <f t="shared" si="69"/>
        <v>na</v>
      </c>
      <c r="BH24" s="88" t="str">
        <f t="shared" si="70"/>
        <v>na</v>
      </c>
      <c r="BI24" s="88" t="str">
        <f t="shared" si="71"/>
        <v>na</v>
      </c>
      <c r="BJ24" s="88" t="str">
        <f t="shared" si="72"/>
        <v>na</v>
      </c>
      <c r="BK24" s="88" t="str">
        <f t="shared" si="73"/>
        <v>na</v>
      </c>
      <c r="BL24" s="88" t="str">
        <f t="shared" si="74"/>
        <v>na</v>
      </c>
      <c r="BM24" s="88" t="str">
        <f t="shared" si="75"/>
        <v>na</v>
      </c>
      <c r="BN24" s="88" t="str">
        <f t="shared" si="76"/>
        <v>na</v>
      </c>
      <c r="BO24" s="88" t="str">
        <f t="shared" si="77"/>
        <v>na</v>
      </c>
      <c r="BP24" s="88" t="str">
        <f t="shared" si="78"/>
        <v>na</v>
      </c>
      <c r="BQ24" s="89">
        <f t="shared" si="79"/>
        <v>46022</v>
      </c>
      <c r="BS24">
        <f>COUNT($AS24:AS24)</f>
        <v>1</v>
      </c>
      <c r="BT24">
        <f>COUNT($AS24:AT24)</f>
        <v>1</v>
      </c>
      <c r="BU24">
        <f>COUNT($AS24:AU24)</f>
        <v>1</v>
      </c>
      <c r="BV24">
        <f>COUNT($AS24:AV24)</f>
        <v>1</v>
      </c>
      <c r="BW24">
        <f>COUNT($AS24:AW24)</f>
        <v>1</v>
      </c>
      <c r="BX24">
        <f>COUNT($AS24:AX24)</f>
        <v>1</v>
      </c>
      <c r="BY24">
        <f>COUNT($AS24:AY24)</f>
        <v>1</v>
      </c>
      <c r="BZ24">
        <f>COUNT($AS24:AZ24)</f>
        <v>1</v>
      </c>
      <c r="CA24">
        <f>COUNT($AS24:BA24)</f>
        <v>1</v>
      </c>
      <c r="CB24">
        <f>COUNT($AS24:BB24)</f>
        <v>1</v>
      </c>
      <c r="CC24">
        <f>COUNT($AS24:BC24)</f>
        <v>1</v>
      </c>
      <c r="CD24">
        <f>COUNT($AS24:BD24)</f>
        <v>1</v>
      </c>
      <c r="CF24">
        <f>COUNT($BF24:BF24)</f>
        <v>0</v>
      </c>
      <c r="CG24">
        <f>COUNT($BF24:BG24)</f>
        <v>0</v>
      </c>
      <c r="CH24">
        <f>COUNT($BF24:BH24)</f>
        <v>0</v>
      </c>
      <c r="CI24">
        <f>COUNT($BF24:BI24)</f>
        <v>0</v>
      </c>
      <c r="CJ24">
        <f>COUNT($BF24:BJ24)</f>
        <v>0</v>
      </c>
      <c r="CK24">
        <f>COUNT($BF24:BK24)</f>
        <v>0</v>
      </c>
      <c r="CL24">
        <f>COUNT($BF24:BL24)</f>
        <v>0</v>
      </c>
      <c r="CM24">
        <f>COUNT($BF24:BM24)</f>
        <v>0</v>
      </c>
      <c r="CN24">
        <f>COUNT($BF24:BN24)</f>
        <v>0</v>
      </c>
      <c r="CO24">
        <f>COUNT($BF24:BO24)</f>
        <v>0</v>
      </c>
      <c r="CP24">
        <f>COUNT($BF24:BP24)</f>
        <v>0</v>
      </c>
      <c r="CQ24">
        <f>COUNT($BF24:BQ24)</f>
        <v>1</v>
      </c>
      <c r="CS24" s="5">
        <f t="shared" si="45"/>
        <v>1</v>
      </c>
      <c r="CT24" s="100" t="str">
        <f t="shared" si="80"/>
        <v>32461Medicare A</v>
      </c>
      <c r="CU24" s="83">
        <f t="shared" si="46"/>
        <v>324</v>
      </c>
      <c r="CV24" s="83">
        <f t="shared" si="47"/>
        <v>61</v>
      </c>
      <c r="CX24">
        <f t="shared" si="81"/>
        <v>1</v>
      </c>
      <c r="CY24">
        <f t="shared" si="82"/>
        <v>1</v>
      </c>
      <c r="DA24" s="90" cm="1">
        <f t="array" ref="DA24">IF(DA$5&lt;=$CX24,INDEX($AS24:$BD24,1,_xlfn.XMATCH(DA$5,$BS24:$CD24)),"na")</f>
        <v>45658</v>
      </c>
      <c r="DB24" s="91" cm="1">
        <f t="array" ref="DB24">IF(DB$5&lt;=$CY24,INDEX($BF24:$BQ24,1,_xlfn.XMATCH(DB$5,$CF24:$CQ24)),"na")</f>
        <v>46022</v>
      </c>
      <c r="DC24" s="82" t="str">
        <f>_xlfn.XLOOKUP($CU24&amp;"-"&amp;$CV24&amp;$C24,REF!$K$2:$K$90,REF!B$2:B$90)</f>
        <v>MEDICAREA/MC HMO</v>
      </c>
      <c r="DD24" s="82" t="str">
        <f>_xlfn.XLOOKUP($CU24&amp;"-"&amp;$CV24&amp;$C24,REF!$K$2:$K$90,REF!C$2:C$90)</f>
        <v>MEDICARE A HIGHMARK</v>
      </c>
      <c r="DE24" s="82" t="str">
        <f>_xlfn.XLOOKUP($CU24&amp;"-"&amp;$CV24&amp;$C24,REF!$K$2:$K$90,REF!D$2:D$90)</f>
        <v>SPRINGHILL</v>
      </c>
      <c r="DF24" s="82" t="str">
        <f>_xlfn.XLOOKUP($CU24&amp;"-"&amp;$CV24&amp;$C24,REF!$K$2:$K$90,REF!E$2:E$90)</f>
        <v>SKILLED NURSING</v>
      </c>
      <c r="DG24" s="82" t="str">
        <f>_xlfn.XLOOKUP($CU24&amp;"-"&amp;$CV24&amp;$C24,REF!$K$2:$K$90,REF!F$2:F$90)</f>
        <v>Forest View</v>
      </c>
      <c r="DH24" s="93" cm="1">
        <f t="array" ref="DH24">IF(DH$5&lt;=$CX24,INDEX($AF24:$AQ24,1,_xlfn.XMATCH(DH$5,$BS24:$CD24)),"na")</f>
        <v>1.999981</v>
      </c>
      <c r="DI24" s="90" t="str" cm="1">
        <f t="array" ref="DI24">IF(DI$5&lt;=$CX24,INDEX($AS24:$BD24,1,_xlfn.XMATCH(DI$5,$BS24:$CD24)),"na")</f>
        <v>na</v>
      </c>
      <c r="DJ24" s="91" t="str" cm="1">
        <f t="array" ref="DJ24">IF(DJ$5&lt;=$CY24,INDEX($BF24:$BQ24,1,_xlfn.XMATCH(DJ$5,$CF24:$CQ24)),"na")</f>
        <v>na</v>
      </c>
      <c r="DK24" s="101" t="str">
        <f t="shared" si="83"/>
        <v>MEDICAREA/MC HMO</v>
      </c>
      <c r="DL24" s="101" t="str">
        <f t="shared" si="48"/>
        <v>MEDICARE A HIGHMARK</v>
      </c>
      <c r="DM24" s="101" t="str">
        <f t="shared" si="49"/>
        <v>SPRINGHILL</v>
      </c>
      <c r="DN24" s="101" t="str">
        <f t="shared" si="50"/>
        <v>SKILLED NURSING</v>
      </c>
      <c r="DO24" s="101" t="str">
        <f t="shared" si="51"/>
        <v>Forest View</v>
      </c>
      <c r="DP24" s="93" t="str" cm="1">
        <f t="array" ref="DP24">IF(DP$5&lt;=$CX24,INDEX($AF24:$AQ24,1,_xlfn.XMATCH(DP$5,$BS24:$CD24)),"na")</f>
        <v>na</v>
      </c>
      <c r="DQ24" s="90" t="str" cm="1">
        <f t="array" ref="DQ24">IF(DQ$5&lt;=$CX24,INDEX($AS24:$BD24,1,_xlfn.XMATCH(DQ$5,$BS24:$CD24)),"na")</f>
        <v>na</v>
      </c>
      <c r="DR24" s="91" t="str" cm="1">
        <f t="array" ref="DR24">IF(DR$5&lt;=$CY24,INDEX($BF24:$BQ24,1,_xlfn.XMATCH(DR$5,$CF24:$CQ24)),"na")</f>
        <v>na</v>
      </c>
      <c r="DS24" s="101" t="str">
        <f t="shared" si="84"/>
        <v>MEDICAREA/MC HMO</v>
      </c>
      <c r="DT24" s="101" t="str">
        <f t="shared" si="52"/>
        <v>MEDICARE A HIGHMARK</v>
      </c>
      <c r="DU24" s="101" t="str">
        <f t="shared" si="53"/>
        <v>SPRINGHILL</v>
      </c>
      <c r="DV24" s="101" t="str">
        <f t="shared" si="54"/>
        <v>SKILLED NURSING</v>
      </c>
      <c r="DW24" s="101" t="str">
        <f t="shared" si="55"/>
        <v>Forest View</v>
      </c>
      <c r="DX24" s="93" t="str" cm="1">
        <f t="array" ref="DX24">IF(DX$5&lt;=$CX24,INDEX($AF24:$AQ24,1,_xlfn.XMATCH(DX$5,$BS24:$CD24)),"na")</f>
        <v>na</v>
      </c>
      <c r="DY24" s="90" t="str" cm="1">
        <f t="array" ref="DY24">IF(DY$5&lt;=$CX24,INDEX($AS24:$BD24,1,_xlfn.XMATCH(DY$5,$BS24:$CD24)),"na")</f>
        <v>na</v>
      </c>
      <c r="DZ24" s="91" t="str" cm="1">
        <f t="array" ref="DZ24">IF(DZ$5&lt;=$CY24,INDEX($BF24:$BQ24,1,_xlfn.XMATCH(DZ$5,$CF24:$CQ24)),"na")</f>
        <v>na</v>
      </c>
      <c r="EA24" s="101" t="str">
        <f t="shared" si="85"/>
        <v>MEDICAREA/MC HMO</v>
      </c>
      <c r="EB24" s="101" t="str">
        <f t="shared" si="56"/>
        <v>MEDICARE A HIGHMARK</v>
      </c>
      <c r="EC24" s="101" t="str">
        <f t="shared" si="57"/>
        <v>SPRINGHILL</v>
      </c>
      <c r="ED24" s="101" t="str">
        <f t="shared" si="58"/>
        <v>SKILLED NURSING</v>
      </c>
      <c r="EE24" s="101" t="str">
        <f t="shared" si="59"/>
        <v>Forest View</v>
      </c>
      <c r="EF24" s="93" t="str" cm="1">
        <f t="array" ref="EF24">IF(EF$5&lt;=$CX24,INDEX($AF24:$AQ24,1,_xlfn.XMATCH(EF$5,$BS24:$CD24)),"na")</f>
        <v>na</v>
      </c>
      <c r="EG24" s="90" t="str" cm="1">
        <f t="array" ref="EG24">IF(EG$5&lt;=$CX24,INDEX($AS24:$BD24,1,_xlfn.XMATCH(EG$5,$BS24:$CD24)),"na")</f>
        <v>na</v>
      </c>
      <c r="EH24" s="91" t="str" cm="1">
        <f t="array" ref="EH24">IF(EH$5&lt;=$CY24,INDEX($BF24:$BQ24,1,_xlfn.XMATCH(EH$5,$CF24:$CQ24)),"na")</f>
        <v>na</v>
      </c>
      <c r="EI24" s="101" t="str">
        <f t="shared" si="86"/>
        <v>MEDICAREA/MC HMO</v>
      </c>
      <c r="EJ24" s="101" t="str">
        <f t="shared" si="60"/>
        <v>MEDICARE A HIGHMARK</v>
      </c>
      <c r="EK24" s="101" t="str">
        <f t="shared" si="61"/>
        <v>SPRINGHILL</v>
      </c>
      <c r="EL24" s="101" t="str">
        <f t="shared" si="62"/>
        <v>SKILLED NURSING</v>
      </c>
      <c r="EM24" s="101" t="str">
        <f t="shared" si="63"/>
        <v>Forest View</v>
      </c>
      <c r="EN24" s="93" t="str" cm="1">
        <f t="array" ref="EN24">IF(EN$5&lt;=$CX24,INDEX($AF24:$AQ24,1,_xlfn.XMATCH(EN$5,$BS24:$CD24)),"na")</f>
        <v>na</v>
      </c>
      <c r="EO24" s="90" t="str" cm="1">
        <f t="array" ref="EO24">IF(EO$5&lt;=$CX24,INDEX($AS24:$BD24,1,_xlfn.XMATCH(EO$5,$BS24:$CD24)),"na")</f>
        <v>na</v>
      </c>
      <c r="EP24" s="91" t="str" cm="1">
        <f t="array" ref="EP24">IF(EP$5&lt;=$CY24,INDEX($BF24:$BQ24,1,_xlfn.XMATCH(EP$5,$CF24:$CQ24)),"na")</f>
        <v>na</v>
      </c>
      <c r="EQ24" s="101" t="str">
        <f t="shared" si="87"/>
        <v>MEDICAREA/MC HMO</v>
      </c>
      <c r="ER24" s="101" t="str">
        <f t="shared" si="64"/>
        <v>MEDICARE A HIGHMARK</v>
      </c>
      <c r="ES24" s="101" t="str">
        <f t="shared" si="65"/>
        <v>SPRINGHILL</v>
      </c>
      <c r="ET24" s="101" t="str">
        <f t="shared" si="66"/>
        <v>SKILLED NURSING</v>
      </c>
      <c r="EU24" s="101" t="str">
        <f t="shared" si="67"/>
        <v>Forest View</v>
      </c>
      <c r="EV24" s="93" t="str" cm="1">
        <f t="array" ref="EV24">IF(EV$5&lt;=$CX24,INDEX($AF24:$AQ24,1,_xlfn.XMATCH(EV$5,$BS24:$CD24)),"na")</f>
        <v>na</v>
      </c>
    </row>
    <row r="25" spans="1:152" x14ac:dyDescent="0.25">
      <c r="A25" s="60" t="s">
        <v>209</v>
      </c>
      <c r="B25" s="43" t="s">
        <v>201</v>
      </c>
      <c r="C25" s="43" t="s">
        <v>45</v>
      </c>
      <c r="D25" s="4">
        <v>31.000837000000001</v>
      </c>
      <c r="E25" s="4">
        <v>28.000755999999999</v>
      </c>
      <c r="F25" s="4">
        <v>31.000837000000001</v>
      </c>
      <c r="G25" s="4">
        <v>30.000810000000001</v>
      </c>
      <c r="H25" s="4">
        <v>31.000837000000001</v>
      </c>
      <c r="I25" s="4">
        <v>30.000810000000001</v>
      </c>
      <c r="J25" s="4">
        <v>31.000837000000001</v>
      </c>
      <c r="K25" s="4">
        <v>31.000837000000001</v>
      </c>
      <c r="L25" s="4">
        <v>30.000810000000001</v>
      </c>
      <c r="M25" s="4">
        <v>31.000837000000001</v>
      </c>
      <c r="N25" s="4">
        <v>30.000810000000001</v>
      </c>
      <c r="O25" s="4">
        <v>31.000837000000001</v>
      </c>
      <c r="Q25" t="s">
        <v>209</v>
      </c>
      <c r="R25" t="s">
        <v>291</v>
      </c>
      <c r="S25" s="7">
        <f t="shared" ref="S25:AD25" si="91">S9-S17</f>
        <v>0</v>
      </c>
      <c r="T25" s="7">
        <f t="shared" si="91"/>
        <v>0</v>
      </c>
      <c r="U25" s="7">
        <f t="shared" si="91"/>
        <v>0</v>
      </c>
      <c r="V25" s="7">
        <f t="shared" si="91"/>
        <v>0</v>
      </c>
      <c r="W25" s="7">
        <f t="shared" si="91"/>
        <v>0</v>
      </c>
      <c r="X25" s="7">
        <f t="shared" si="91"/>
        <v>0</v>
      </c>
      <c r="Y25" s="7">
        <f t="shared" si="91"/>
        <v>0</v>
      </c>
      <c r="Z25" s="7">
        <f t="shared" si="91"/>
        <v>0</v>
      </c>
      <c r="AA25" s="7">
        <f t="shared" si="91"/>
        <v>0</v>
      </c>
      <c r="AB25" s="7">
        <f t="shared" si="91"/>
        <v>0</v>
      </c>
      <c r="AC25" s="7">
        <f t="shared" si="91"/>
        <v>0</v>
      </c>
      <c r="AD25" s="7">
        <f t="shared" si="91"/>
        <v>0</v>
      </c>
      <c r="AF25" s="7">
        <f t="shared" si="22"/>
        <v>1.000027</v>
      </c>
      <c r="AG25" s="7">
        <f t="shared" si="23"/>
        <v>1.000027</v>
      </c>
      <c r="AH25" s="7">
        <f t="shared" si="24"/>
        <v>1.000027</v>
      </c>
      <c r="AI25" s="7">
        <f t="shared" si="25"/>
        <v>1.000027</v>
      </c>
      <c r="AJ25" s="7">
        <f t="shared" si="26"/>
        <v>1.000027</v>
      </c>
      <c r="AK25" s="7">
        <f t="shared" si="27"/>
        <v>1.000027</v>
      </c>
      <c r="AL25" s="7">
        <f t="shared" si="28"/>
        <v>1.000027</v>
      </c>
      <c r="AM25" s="7">
        <f t="shared" si="29"/>
        <v>1.000027</v>
      </c>
      <c r="AN25" s="7">
        <f t="shared" si="30"/>
        <v>1.000027</v>
      </c>
      <c r="AO25" s="7">
        <f t="shared" si="31"/>
        <v>1.000027</v>
      </c>
      <c r="AP25" s="7">
        <f t="shared" si="32"/>
        <v>1.000027</v>
      </c>
      <c r="AQ25" s="7">
        <f t="shared" si="33"/>
        <v>1.000027</v>
      </c>
      <c r="AS25" s="86">
        <f>_xlfn.XLOOKUP(AS$5,'OC-Days'!$G:$G,'OC-Days'!$F:$F)</f>
        <v>45658</v>
      </c>
      <c r="AT25" s="87" t="str">
        <f>IF(AG25=AF25,"na",_xlfn.XLOOKUP(AT$5,'OC-Days'!$G:$G,'OC-Days'!$F:$F))</f>
        <v>na</v>
      </c>
      <c r="AU25" s="87" t="str">
        <f>IF(AH25=AG25,"na",_xlfn.XLOOKUP(AU$5,'OC-Days'!$G:$G,'OC-Days'!$F:$F))</f>
        <v>na</v>
      </c>
      <c r="AV25" s="87" t="str">
        <f>IF(AI25=AH25,"na",_xlfn.XLOOKUP(AV$5,'OC-Days'!$G:$G,'OC-Days'!$F:$F))</f>
        <v>na</v>
      </c>
      <c r="AW25" s="87" t="str">
        <f>IF(AJ25=AI25,"na",_xlfn.XLOOKUP(AW$5,'OC-Days'!$G:$G,'OC-Days'!$F:$F))</f>
        <v>na</v>
      </c>
      <c r="AX25" s="87" t="str">
        <f>IF(AK25=AJ25,"na",_xlfn.XLOOKUP(AX$5,'OC-Days'!$G:$G,'OC-Days'!$F:$F))</f>
        <v>na</v>
      </c>
      <c r="AY25" s="87" t="str">
        <f>IF(AL25=AK25,"na",_xlfn.XLOOKUP(AY$5,'OC-Days'!$G:$G,'OC-Days'!$F:$F))</f>
        <v>na</v>
      </c>
      <c r="AZ25" s="87" t="str">
        <f>IF(AM25=AL25,"na",_xlfn.XLOOKUP(AZ$5,'OC-Days'!$G:$G,'OC-Days'!$F:$F))</f>
        <v>na</v>
      </c>
      <c r="BA25" s="87" t="str">
        <f>IF(AN25=AM25,"na",_xlfn.XLOOKUP(BA$5,'OC-Days'!$G:$G,'OC-Days'!$F:$F))</f>
        <v>na</v>
      </c>
      <c r="BB25" s="87" t="str">
        <f>IF(AO25=AN25,"na",_xlfn.XLOOKUP(BB$5,'OC-Days'!$G:$G,'OC-Days'!$F:$F))</f>
        <v>na</v>
      </c>
      <c r="BC25" s="87" t="str">
        <f>IF(AP25=AO25,"na",_xlfn.XLOOKUP(BC$5,'OC-Days'!$G:$G,'OC-Days'!$F:$F))</f>
        <v>na</v>
      </c>
      <c r="BD25" s="87" t="str">
        <f>IF(AQ25=AP25,"na",_xlfn.XLOOKUP(BD$5,'OC-Days'!$G:$G,'OC-Days'!$F:$F))</f>
        <v>na</v>
      </c>
      <c r="BF25" s="88" t="str">
        <f t="shared" si="68"/>
        <v>na</v>
      </c>
      <c r="BG25" s="88" t="str">
        <f t="shared" si="69"/>
        <v>na</v>
      </c>
      <c r="BH25" s="88" t="str">
        <f t="shared" si="70"/>
        <v>na</v>
      </c>
      <c r="BI25" s="88" t="str">
        <f t="shared" si="71"/>
        <v>na</v>
      </c>
      <c r="BJ25" s="88" t="str">
        <f t="shared" si="72"/>
        <v>na</v>
      </c>
      <c r="BK25" s="88" t="str">
        <f t="shared" si="73"/>
        <v>na</v>
      </c>
      <c r="BL25" s="88" t="str">
        <f t="shared" si="74"/>
        <v>na</v>
      </c>
      <c r="BM25" s="88" t="str">
        <f t="shared" si="75"/>
        <v>na</v>
      </c>
      <c r="BN25" s="88" t="str">
        <f t="shared" si="76"/>
        <v>na</v>
      </c>
      <c r="BO25" s="88" t="str">
        <f t="shared" si="77"/>
        <v>na</v>
      </c>
      <c r="BP25" s="88" t="str">
        <f t="shared" si="78"/>
        <v>na</v>
      </c>
      <c r="BQ25" s="89">
        <f t="shared" si="79"/>
        <v>46022</v>
      </c>
      <c r="BS25">
        <f>COUNT($AS25:AS25)</f>
        <v>1</v>
      </c>
      <c r="BT25">
        <f>COUNT($AS25:AT25)</f>
        <v>1</v>
      </c>
      <c r="BU25">
        <f>COUNT($AS25:AU25)</f>
        <v>1</v>
      </c>
      <c r="BV25">
        <f>COUNT($AS25:AV25)</f>
        <v>1</v>
      </c>
      <c r="BW25">
        <f>COUNT($AS25:AW25)</f>
        <v>1</v>
      </c>
      <c r="BX25">
        <f>COUNT($AS25:AX25)</f>
        <v>1</v>
      </c>
      <c r="BY25">
        <f>COUNT($AS25:AY25)</f>
        <v>1</v>
      </c>
      <c r="BZ25">
        <f>COUNT($AS25:AZ25)</f>
        <v>1</v>
      </c>
      <c r="CA25">
        <f>COUNT($AS25:BA25)</f>
        <v>1</v>
      </c>
      <c r="CB25">
        <f>COUNT($AS25:BB25)</f>
        <v>1</v>
      </c>
      <c r="CC25">
        <f>COUNT($AS25:BC25)</f>
        <v>1</v>
      </c>
      <c r="CD25">
        <f>COUNT($AS25:BD25)</f>
        <v>1</v>
      </c>
      <c r="CF25">
        <f>COUNT($BF25:BF25)</f>
        <v>0</v>
      </c>
      <c r="CG25">
        <f>COUNT($BF25:BG25)</f>
        <v>0</v>
      </c>
      <c r="CH25">
        <f>COUNT($BF25:BH25)</f>
        <v>0</v>
      </c>
      <c r="CI25">
        <f>COUNT($BF25:BI25)</f>
        <v>0</v>
      </c>
      <c r="CJ25">
        <f>COUNT($BF25:BJ25)</f>
        <v>0</v>
      </c>
      <c r="CK25">
        <f>COUNT($BF25:BK25)</f>
        <v>0</v>
      </c>
      <c r="CL25">
        <f>COUNT($BF25:BL25)</f>
        <v>0</v>
      </c>
      <c r="CM25">
        <f>COUNT($BF25:BM25)</f>
        <v>0</v>
      </c>
      <c r="CN25">
        <f>COUNT($BF25:BN25)</f>
        <v>0</v>
      </c>
      <c r="CO25">
        <f>COUNT($BF25:BO25)</f>
        <v>0</v>
      </c>
      <c r="CP25">
        <f>COUNT($BF25:BP25)</f>
        <v>0</v>
      </c>
      <c r="CQ25">
        <f>COUNT($BF25:BQ25)</f>
        <v>1</v>
      </c>
      <c r="CS25" s="5">
        <f t="shared" si="45"/>
        <v>1</v>
      </c>
      <c r="CT25" s="100" t="str">
        <f t="shared" si="80"/>
        <v>32461Medicare Advantage</v>
      </c>
      <c r="CU25" s="83">
        <f t="shared" si="46"/>
        <v>324</v>
      </c>
      <c r="CV25" s="83">
        <f t="shared" si="47"/>
        <v>61</v>
      </c>
      <c r="CX25">
        <f t="shared" si="81"/>
        <v>1</v>
      </c>
      <c r="CY25">
        <f t="shared" si="82"/>
        <v>1</v>
      </c>
      <c r="DA25" s="90" cm="1">
        <f t="array" ref="DA25">IF(DA$5&lt;=$CX25,INDEX($AS25:$BD25,1,_xlfn.XMATCH(DA$5,$BS25:$CD25)),"na")</f>
        <v>45658</v>
      </c>
      <c r="DB25" s="91" cm="1">
        <f t="array" ref="DB25">IF(DB$5&lt;=$CY25,INDEX($BF25:$BQ25,1,_xlfn.XMATCH(DB$5,$CF25:$CQ25)),"na")</f>
        <v>46022</v>
      </c>
      <c r="DC25" s="82" t="str">
        <f>_xlfn.XLOOKUP($CU25&amp;"-"&amp;$CV25&amp;$C25,REF!$K$2:$K$90,REF!B$2:B$90)</f>
        <v>Medicare Advantage</v>
      </c>
      <c r="DD25" s="82" t="str">
        <f>_xlfn.XLOOKUP($CU25&amp;"-"&amp;$CV25&amp;$C25,REF!$K$2:$K$90,REF!C$2:C$90)</f>
        <v>Med Adv HMO A</v>
      </c>
      <c r="DE25" s="82" t="str">
        <f>_xlfn.XLOOKUP($CU25&amp;"-"&amp;$CV25&amp;$C25,REF!$K$2:$K$90,REF!D$2:D$90)</f>
        <v>SPRINGHILL</v>
      </c>
      <c r="DF25" s="82" t="str">
        <f>_xlfn.XLOOKUP($CU25&amp;"-"&amp;$CV25&amp;$C25,REF!$K$2:$K$90,REF!E$2:E$90)</f>
        <v>SKILLED NURSING</v>
      </c>
      <c r="DG25" s="82" t="str">
        <f>_xlfn.XLOOKUP($CU25&amp;"-"&amp;$CV25&amp;$C25,REF!$K$2:$K$90,REF!F$2:F$90)</f>
        <v>Forest View</v>
      </c>
      <c r="DH25" s="93" cm="1">
        <f t="array" ref="DH25">IF(DH$5&lt;=$CX25,INDEX($AF25:$AQ25,1,_xlfn.XMATCH(DH$5,$BS25:$CD25)),"na")</f>
        <v>1.000027</v>
      </c>
      <c r="DI25" s="90" t="str" cm="1">
        <f t="array" ref="DI25">IF(DI$5&lt;=$CX25,INDEX($AS25:$BD25,1,_xlfn.XMATCH(DI$5,$BS25:$CD25)),"na")</f>
        <v>na</v>
      </c>
      <c r="DJ25" s="91" t="str" cm="1">
        <f t="array" ref="DJ25">IF(DJ$5&lt;=$CY25,INDEX($BF25:$BQ25,1,_xlfn.XMATCH(DJ$5,$CF25:$CQ25)),"na")</f>
        <v>na</v>
      </c>
      <c r="DK25" s="101" t="str">
        <f t="shared" si="83"/>
        <v>Medicare Advantage</v>
      </c>
      <c r="DL25" s="101" t="str">
        <f t="shared" si="48"/>
        <v>Med Adv HMO A</v>
      </c>
      <c r="DM25" s="101" t="str">
        <f t="shared" si="49"/>
        <v>SPRINGHILL</v>
      </c>
      <c r="DN25" s="101" t="str">
        <f t="shared" si="50"/>
        <v>SKILLED NURSING</v>
      </c>
      <c r="DO25" s="101" t="str">
        <f t="shared" si="51"/>
        <v>Forest View</v>
      </c>
      <c r="DP25" s="93" t="str" cm="1">
        <f t="array" ref="DP25">IF(DP$5&lt;=$CX25,INDEX($AF25:$AQ25,1,_xlfn.XMATCH(DP$5,$BS25:$CD25)),"na")</f>
        <v>na</v>
      </c>
      <c r="DQ25" s="90" t="str" cm="1">
        <f t="array" ref="DQ25">IF(DQ$5&lt;=$CX25,INDEX($AS25:$BD25,1,_xlfn.XMATCH(DQ$5,$BS25:$CD25)),"na")</f>
        <v>na</v>
      </c>
      <c r="DR25" s="91" t="str" cm="1">
        <f t="array" ref="DR25">IF(DR$5&lt;=$CY25,INDEX($BF25:$BQ25,1,_xlfn.XMATCH(DR$5,$CF25:$CQ25)),"na")</f>
        <v>na</v>
      </c>
      <c r="DS25" s="101" t="str">
        <f t="shared" si="84"/>
        <v>Medicare Advantage</v>
      </c>
      <c r="DT25" s="101" t="str">
        <f t="shared" si="52"/>
        <v>Med Adv HMO A</v>
      </c>
      <c r="DU25" s="101" t="str">
        <f t="shared" si="53"/>
        <v>SPRINGHILL</v>
      </c>
      <c r="DV25" s="101" t="str">
        <f t="shared" si="54"/>
        <v>SKILLED NURSING</v>
      </c>
      <c r="DW25" s="101" t="str">
        <f t="shared" si="55"/>
        <v>Forest View</v>
      </c>
      <c r="DX25" s="93" t="str" cm="1">
        <f t="array" ref="DX25">IF(DX$5&lt;=$CX25,INDEX($AF25:$AQ25,1,_xlfn.XMATCH(DX$5,$BS25:$CD25)),"na")</f>
        <v>na</v>
      </c>
      <c r="DY25" s="90" t="str" cm="1">
        <f t="array" ref="DY25">IF(DY$5&lt;=$CX25,INDEX($AS25:$BD25,1,_xlfn.XMATCH(DY$5,$BS25:$CD25)),"na")</f>
        <v>na</v>
      </c>
      <c r="DZ25" s="91" t="str" cm="1">
        <f t="array" ref="DZ25">IF(DZ$5&lt;=$CY25,INDEX($BF25:$BQ25,1,_xlfn.XMATCH(DZ$5,$CF25:$CQ25)),"na")</f>
        <v>na</v>
      </c>
      <c r="EA25" s="101" t="str">
        <f t="shared" si="85"/>
        <v>Medicare Advantage</v>
      </c>
      <c r="EB25" s="101" t="str">
        <f t="shared" si="56"/>
        <v>Med Adv HMO A</v>
      </c>
      <c r="EC25" s="101" t="str">
        <f t="shared" si="57"/>
        <v>SPRINGHILL</v>
      </c>
      <c r="ED25" s="101" t="str">
        <f t="shared" si="58"/>
        <v>SKILLED NURSING</v>
      </c>
      <c r="EE25" s="101" t="str">
        <f t="shared" si="59"/>
        <v>Forest View</v>
      </c>
      <c r="EF25" s="93" t="str" cm="1">
        <f t="array" ref="EF25">IF(EF$5&lt;=$CX25,INDEX($AF25:$AQ25,1,_xlfn.XMATCH(EF$5,$BS25:$CD25)),"na")</f>
        <v>na</v>
      </c>
      <c r="EG25" s="90" t="str" cm="1">
        <f t="array" ref="EG25">IF(EG$5&lt;=$CX25,INDEX($AS25:$BD25,1,_xlfn.XMATCH(EG$5,$BS25:$CD25)),"na")</f>
        <v>na</v>
      </c>
      <c r="EH25" s="91" t="str" cm="1">
        <f t="array" ref="EH25">IF(EH$5&lt;=$CY25,INDEX($BF25:$BQ25,1,_xlfn.XMATCH(EH$5,$CF25:$CQ25)),"na")</f>
        <v>na</v>
      </c>
      <c r="EI25" s="101" t="str">
        <f t="shared" si="86"/>
        <v>Medicare Advantage</v>
      </c>
      <c r="EJ25" s="101" t="str">
        <f t="shared" si="60"/>
        <v>Med Adv HMO A</v>
      </c>
      <c r="EK25" s="101" t="str">
        <f t="shared" si="61"/>
        <v>SPRINGHILL</v>
      </c>
      <c r="EL25" s="101" t="str">
        <f t="shared" si="62"/>
        <v>SKILLED NURSING</v>
      </c>
      <c r="EM25" s="101" t="str">
        <f t="shared" si="63"/>
        <v>Forest View</v>
      </c>
      <c r="EN25" s="93" t="str" cm="1">
        <f t="array" ref="EN25">IF(EN$5&lt;=$CX25,INDEX($AF25:$AQ25,1,_xlfn.XMATCH(EN$5,$BS25:$CD25)),"na")</f>
        <v>na</v>
      </c>
      <c r="EO25" s="90" t="str" cm="1">
        <f t="array" ref="EO25">IF(EO$5&lt;=$CX25,INDEX($AS25:$BD25,1,_xlfn.XMATCH(EO$5,$BS25:$CD25)),"na")</f>
        <v>na</v>
      </c>
      <c r="EP25" s="91" t="str" cm="1">
        <f t="array" ref="EP25">IF(EP$5&lt;=$CY25,INDEX($BF25:$BQ25,1,_xlfn.XMATCH(EP$5,$CF25:$CQ25)),"na")</f>
        <v>na</v>
      </c>
      <c r="EQ25" s="101" t="str">
        <f t="shared" si="87"/>
        <v>Medicare Advantage</v>
      </c>
      <c r="ER25" s="101" t="str">
        <f t="shared" si="64"/>
        <v>Med Adv HMO A</v>
      </c>
      <c r="ES25" s="101" t="str">
        <f t="shared" si="65"/>
        <v>SPRINGHILL</v>
      </c>
      <c r="ET25" s="101" t="str">
        <f t="shared" si="66"/>
        <v>SKILLED NURSING</v>
      </c>
      <c r="EU25" s="101" t="str">
        <f t="shared" si="67"/>
        <v>Forest View</v>
      </c>
      <c r="EV25" s="93" t="str" cm="1">
        <f t="array" ref="EV25">IF(EV$5&lt;=$CX25,INDEX($AF25:$AQ25,1,_xlfn.XMATCH(EV$5,$BS25:$CD25)),"na")</f>
        <v>na</v>
      </c>
    </row>
    <row r="26" spans="1:152" x14ac:dyDescent="0.25">
      <c r="A26" s="60" t="s">
        <v>209</v>
      </c>
      <c r="B26" s="43" t="s">
        <v>202</v>
      </c>
      <c r="C26" s="43" t="s">
        <v>89</v>
      </c>
      <c r="D26" s="4">
        <v>976.50034100000005</v>
      </c>
      <c r="E26" s="4">
        <v>882.0003079999999</v>
      </c>
      <c r="F26" s="4">
        <v>976.50034100000005</v>
      </c>
      <c r="G26" s="4">
        <v>945.00032999999996</v>
      </c>
      <c r="H26" s="4">
        <v>976.50034100000005</v>
      </c>
      <c r="I26" s="4">
        <v>945.00032999999996</v>
      </c>
      <c r="J26" s="4">
        <v>976.50034100000005</v>
      </c>
      <c r="K26" s="4">
        <v>976.50034100000005</v>
      </c>
      <c r="L26" s="4">
        <v>945.00032999999996</v>
      </c>
      <c r="M26" s="4">
        <v>976.50034100000005</v>
      </c>
      <c r="N26" s="4">
        <v>945.00032999999996</v>
      </c>
      <c r="O26" s="4">
        <v>976.50034100000005</v>
      </c>
      <c r="Q26" t="s">
        <v>210</v>
      </c>
      <c r="R26" t="s">
        <v>291</v>
      </c>
      <c r="S26" s="7">
        <f t="shared" ref="S26:AD26" si="92">S10-S18</f>
        <v>0</v>
      </c>
      <c r="T26" s="7">
        <f t="shared" si="92"/>
        <v>0</v>
      </c>
      <c r="U26" s="7">
        <f t="shared" si="92"/>
        <v>0</v>
      </c>
      <c r="V26" s="7">
        <f t="shared" si="92"/>
        <v>0</v>
      </c>
      <c r="W26" s="7">
        <f t="shared" si="92"/>
        <v>0</v>
      </c>
      <c r="X26" s="7">
        <f t="shared" si="92"/>
        <v>0</v>
      </c>
      <c r="Y26" s="7">
        <f t="shared" si="92"/>
        <v>0</v>
      </c>
      <c r="Z26" s="7">
        <f t="shared" si="92"/>
        <v>0</v>
      </c>
      <c r="AA26" s="7">
        <f t="shared" si="92"/>
        <v>0</v>
      </c>
      <c r="AB26" s="7">
        <f t="shared" si="92"/>
        <v>0</v>
      </c>
      <c r="AC26" s="7">
        <f t="shared" si="92"/>
        <v>0</v>
      </c>
      <c r="AD26" s="7">
        <f t="shared" si="92"/>
        <v>0</v>
      </c>
      <c r="AF26" s="7">
        <f t="shared" si="22"/>
        <v>31.500011000000001</v>
      </c>
      <c r="AG26" s="7">
        <f t="shared" si="23"/>
        <v>31.500010999999997</v>
      </c>
      <c r="AH26" s="7">
        <f t="shared" si="24"/>
        <v>31.500011000000001</v>
      </c>
      <c r="AI26" s="7">
        <f t="shared" si="25"/>
        <v>31.500010999999997</v>
      </c>
      <c r="AJ26" s="7">
        <f t="shared" si="26"/>
        <v>31.500011000000001</v>
      </c>
      <c r="AK26" s="7">
        <f t="shared" si="27"/>
        <v>31.500010999999997</v>
      </c>
      <c r="AL26" s="7">
        <f t="shared" si="28"/>
        <v>31.500011000000001</v>
      </c>
      <c r="AM26" s="7">
        <f t="shared" si="29"/>
        <v>31.500011000000001</v>
      </c>
      <c r="AN26" s="7">
        <f t="shared" si="30"/>
        <v>31.500010999999997</v>
      </c>
      <c r="AO26" s="7">
        <f t="shared" si="31"/>
        <v>31.500011000000001</v>
      </c>
      <c r="AP26" s="7">
        <f t="shared" si="32"/>
        <v>31.500010999999997</v>
      </c>
      <c r="AQ26" s="7">
        <f t="shared" si="33"/>
        <v>31.500011000000001</v>
      </c>
      <c r="AS26" s="86">
        <f>_xlfn.XLOOKUP(AS$5,'OC-Days'!$G:$G,'OC-Days'!$F:$F)</f>
        <v>45658</v>
      </c>
      <c r="AT26" s="87" t="str">
        <f>IF(AG26=AF26,"na",_xlfn.XLOOKUP(AT$5,'OC-Days'!$G:$G,'OC-Days'!$F:$F))</f>
        <v>na</v>
      </c>
      <c r="AU26" s="87" t="str">
        <f>IF(AH26=AG26,"na",_xlfn.XLOOKUP(AU$5,'OC-Days'!$G:$G,'OC-Days'!$F:$F))</f>
        <v>na</v>
      </c>
      <c r="AV26" s="87" t="str">
        <f>IF(AI26=AH26,"na",_xlfn.XLOOKUP(AV$5,'OC-Days'!$G:$G,'OC-Days'!$F:$F))</f>
        <v>na</v>
      </c>
      <c r="AW26" s="87" t="str">
        <f>IF(AJ26=AI26,"na",_xlfn.XLOOKUP(AW$5,'OC-Days'!$G:$G,'OC-Days'!$F:$F))</f>
        <v>na</v>
      </c>
      <c r="AX26" s="87" t="str">
        <f>IF(AK26=AJ26,"na",_xlfn.XLOOKUP(AX$5,'OC-Days'!$G:$G,'OC-Days'!$F:$F))</f>
        <v>na</v>
      </c>
      <c r="AY26" s="87" t="str">
        <f>IF(AL26=AK26,"na",_xlfn.XLOOKUP(AY$5,'OC-Days'!$G:$G,'OC-Days'!$F:$F))</f>
        <v>na</v>
      </c>
      <c r="AZ26" s="87" t="str">
        <f>IF(AM26=AL26,"na",_xlfn.XLOOKUP(AZ$5,'OC-Days'!$G:$G,'OC-Days'!$F:$F))</f>
        <v>na</v>
      </c>
      <c r="BA26" s="87" t="str">
        <f>IF(AN26=AM26,"na",_xlfn.XLOOKUP(BA$5,'OC-Days'!$G:$G,'OC-Days'!$F:$F))</f>
        <v>na</v>
      </c>
      <c r="BB26" s="87" t="str">
        <f>IF(AO26=AN26,"na",_xlfn.XLOOKUP(BB$5,'OC-Days'!$G:$G,'OC-Days'!$F:$F))</f>
        <v>na</v>
      </c>
      <c r="BC26" s="87" t="str">
        <f>IF(AP26=AO26,"na",_xlfn.XLOOKUP(BC$5,'OC-Days'!$G:$G,'OC-Days'!$F:$F))</f>
        <v>na</v>
      </c>
      <c r="BD26" s="87" t="str">
        <f>IF(AQ26=AP26,"na",_xlfn.XLOOKUP(BD$5,'OC-Days'!$G:$G,'OC-Days'!$F:$F))</f>
        <v>na</v>
      </c>
      <c r="BF26" s="88" t="str">
        <f t="shared" si="68"/>
        <v>na</v>
      </c>
      <c r="BG26" s="88" t="str">
        <f t="shared" si="69"/>
        <v>na</v>
      </c>
      <c r="BH26" s="88" t="str">
        <f t="shared" si="70"/>
        <v>na</v>
      </c>
      <c r="BI26" s="88" t="str">
        <f t="shared" si="71"/>
        <v>na</v>
      </c>
      <c r="BJ26" s="88" t="str">
        <f t="shared" si="72"/>
        <v>na</v>
      </c>
      <c r="BK26" s="88" t="str">
        <f t="shared" si="73"/>
        <v>na</v>
      </c>
      <c r="BL26" s="88" t="str">
        <f t="shared" si="74"/>
        <v>na</v>
      </c>
      <c r="BM26" s="88" t="str">
        <f t="shared" si="75"/>
        <v>na</v>
      </c>
      <c r="BN26" s="88" t="str">
        <f t="shared" si="76"/>
        <v>na</v>
      </c>
      <c r="BO26" s="88" t="str">
        <f t="shared" si="77"/>
        <v>na</v>
      </c>
      <c r="BP26" s="88" t="str">
        <f t="shared" si="78"/>
        <v>na</v>
      </c>
      <c r="BQ26" s="89">
        <f t="shared" si="79"/>
        <v>46022</v>
      </c>
      <c r="BS26">
        <f>COUNT($AS26:AS26)</f>
        <v>1</v>
      </c>
      <c r="BT26">
        <f>COUNT($AS26:AT26)</f>
        <v>1</v>
      </c>
      <c r="BU26">
        <f>COUNT($AS26:AU26)</f>
        <v>1</v>
      </c>
      <c r="BV26">
        <f>COUNT($AS26:AV26)</f>
        <v>1</v>
      </c>
      <c r="BW26">
        <f>COUNT($AS26:AW26)</f>
        <v>1</v>
      </c>
      <c r="BX26">
        <f>COUNT($AS26:AX26)</f>
        <v>1</v>
      </c>
      <c r="BY26">
        <f>COUNT($AS26:AY26)</f>
        <v>1</v>
      </c>
      <c r="BZ26">
        <f>COUNT($AS26:AZ26)</f>
        <v>1</v>
      </c>
      <c r="CA26">
        <f>COUNT($AS26:BA26)</f>
        <v>1</v>
      </c>
      <c r="CB26">
        <f>COUNT($AS26:BB26)</f>
        <v>1</v>
      </c>
      <c r="CC26">
        <f>COUNT($AS26:BC26)</f>
        <v>1</v>
      </c>
      <c r="CD26">
        <f>COUNT($AS26:BD26)</f>
        <v>1</v>
      </c>
      <c r="CF26">
        <f>COUNT($BF26:BF26)</f>
        <v>0</v>
      </c>
      <c r="CG26">
        <f>COUNT($BF26:BG26)</f>
        <v>0</v>
      </c>
      <c r="CH26">
        <f>COUNT($BF26:BH26)</f>
        <v>0</v>
      </c>
      <c r="CI26">
        <f>COUNT($BF26:BI26)</f>
        <v>0</v>
      </c>
      <c r="CJ26">
        <f>COUNT($BF26:BJ26)</f>
        <v>0</v>
      </c>
      <c r="CK26">
        <f>COUNT($BF26:BK26)</f>
        <v>0</v>
      </c>
      <c r="CL26">
        <f>COUNT($BF26:BL26)</f>
        <v>0</v>
      </c>
      <c r="CM26">
        <f>COUNT($BF26:BM26)</f>
        <v>0</v>
      </c>
      <c r="CN26">
        <f>COUNT($BF26:BN26)</f>
        <v>0</v>
      </c>
      <c r="CO26">
        <f>COUNT($BF26:BO26)</f>
        <v>0</v>
      </c>
      <c r="CP26">
        <f>COUNT($BF26:BP26)</f>
        <v>0</v>
      </c>
      <c r="CQ26">
        <f>COUNT($BF26:BQ26)</f>
        <v>1</v>
      </c>
      <c r="CS26" s="5">
        <f t="shared" si="45"/>
        <v>1</v>
      </c>
      <c r="CT26" s="100" t="str">
        <f t="shared" si="80"/>
        <v>32461Medicaid</v>
      </c>
      <c r="CU26" s="83">
        <f t="shared" si="46"/>
        <v>324</v>
      </c>
      <c r="CV26" s="83">
        <f t="shared" si="47"/>
        <v>61</v>
      </c>
      <c r="CX26">
        <f t="shared" si="81"/>
        <v>1</v>
      </c>
      <c r="CY26">
        <f t="shared" si="82"/>
        <v>1</v>
      </c>
      <c r="DA26" s="90" cm="1">
        <f t="array" ref="DA26">IF(DA$5&lt;=$CX26,INDEX($AS26:$BD26,1,_xlfn.XMATCH(DA$5,$BS26:$CD26)),"na")</f>
        <v>45658</v>
      </c>
      <c r="DB26" s="91" cm="1">
        <f t="array" ref="DB26">IF(DB$5&lt;=$CY26,INDEX($BF26:$BQ26,1,_xlfn.XMATCH(DB$5,$CF26:$CQ26)),"na")</f>
        <v>46022</v>
      </c>
      <c r="DC26" s="82" t="str">
        <f>_xlfn.XLOOKUP($CU26&amp;"-"&amp;$CV26&amp;$C26,REF!$K$2:$K$90,REF!B$2:B$90)</f>
        <v>MEDICAID</v>
      </c>
      <c r="DD26" s="82" t="str">
        <f>_xlfn.XLOOKUP($CU26&amp;"-"&amp;$CV26&amp;$C26,REF!$K$2:$K$90,REF!C$2:C$90)</f>
        <v>PA MEDICAID</v>
      </c>
      <c r="DE26" s="82" t="str">
        <f>_xlfn.XLOOKUP($CU26&amp;"-"&amp;$CV26&amp;$C26,REF!$K$2:$K$90,REF!D$2:D$90)</f>
        <v>SPRINGHILL</v>
      </c>
      <c r="DF26" s="82" t="str">
        <f>_xlfn.XLOOKUP($CU26&amp;"-"&amp;$CV26&amp;$C26,REF!$K$2:$K$90,REF!E$2:E$90)</f>
        <v>SKILLED NURSING</v>
      </c>
      <c r="DG26" s="82" t="str">
        <f>_xlfn.XLOOKUP($CU26&amp;"-"&amp;$CV26&amp;$C26,REF!$K$2:$K$90,REF!F$2:F$90)</f>
        <v>Forest View</v>
      </c>
      <c r="DH26" s="93" cm="1">
        <f t="array" ref="DH26">IF(DH$5&lt;=$CX26,INDEX($AF26:$AQ26,1,_xlfn.XMATCH(DH$5,$BS26:$CD26)),"na")</f>
        <v>31.500011000000001</v>
      </c>
      <c r="DI26" s="90" t="str" cm="1">
        <f t="array" ref="DI26">IF(DI$5&lt;=$CX26,INDEX($AS26:$BD26,1,_xlfn.XMATCH(DI$5,$BS26:$CD26)),"na")</f>
        <v>na</v>
      </c>
      <c r="DJ26" s="91" t="str" cm="1">
        <f t="array" ref="DJ26">IF(DJ$5&lt;=$CY26,INDEX($BF26:$BQ26,1,_xlfn.XMATCH(DJ$5,$CF26:$CQ26)),"na")</f>
        <v>na</v>
      </c>
      <c r="DK26" s="101" t="str">
        <f t="shared" si="83"/>
        <v>MEDICAID</v>
      </c>
      <c r="DL26" s="101" t="str">
        <f t="shared" si="48"/>
        <v>PA MEDICAID</v>
      </c>
      <c r="DM26" s="101" t="str">
        <f t="shared" si="49"/>
        <v>SPRINGHILL</v>
      </c>
      <c r="DN26" s="101" t="str">
        <f t="shared" si="50"/>
        <v>SKILLED NURSING</v>
      </c>
      <c r="DO26" s="101" t="str">
        <f t="shared" si="51"/>
        <v>Forest View</v>
      </c>
      <c r="DP26" s="93" t="str" cm="1">
        <f t="array" ref="DP26">IF(DP$5&lt;=$CX26,INDEX($AF26:$AQ26,1,_xlfn.XMATCH(DP$5,$BS26:$CD26)),"na")</f>
        <v>na</v>
      </c>
      <c r="DQ26" s="90" t="str" cm="1">
        <f t="array" ref="DQ26">IF(DQ$5&lt;=$CX26,INDEX($AS26:$BD26,1,_xlfn.XMATCH(DQ$5,$BS26:$CD26)),"na")</f>
        <v>na</v>
      </c>
      <c r="DR26" s="91" t="str" cm="1">
        <f t="array" ref="DR26">IF(DR$5&lt;=$CY26,INDEX($BF26:$BQ26,1,_xlfn.XMATCH(DR$5,$CF26:$CQ26)),"na")</f>
        <v>na</v>
      </c>
      <c r="DS26" s="101" t="str">
        <f t="shared" si="84"/>
        <v>MEDICAID</v>
      </c>
      <c r="DT26" s="101" t="str">
        <f t="shared" si="52"/>
        <v>PA MEDICAID</v>
      </c>
      <c r="DU26" s="101" t="str">
        <f t="shared" si="53"/>
        <v>SPRINGHILL</v>
      </c>
      <c r="DV26" s="101" t="str">
        <f t="shared" si="54"/>
        <v>SKILLED NURSING</v>
      </c>
      <c r="DW26" s="101" t="str">
        <f t="shared" si="55"/>
        <v>Forest View</v>
      </c>
      <c r="DX26" s="93" t="str" cm="1">
        <f t="array" ref="DX26">IF(DX$5&lt;=$CX26,INDEX($AF26:$AQ26,1,_xlfn.XMATCH(DX$5,$BS26:$CD26)),"na")</f>
        <v>na</v>
      </c>
      <c r="DY26" s="90" t="str" cm="1">
        <f t="array" ref="DY26">IF(DY$5&lt;=$CX26,INDEX($AS26:$BD26,1,_xlfn.XMATCH(DY$5,$BS26:$CD26)),"na")</f>
        <v>na</v>
      </c>
      <c r="DZ26" s="91" t="str" cm="1">
        <f t="array" ref="DZ26">IF(DZ$5&lt;=$CY26,INDEX($BF26:$BQ26,1,_xlfn.XMATCH(DZ$5,$CF26:$CQ26)),"na")</f>
        <v>na</v>
      </c>
      <c r="EA26" s="101" t="str">
        <f t="shared" si="85"/>
        <v>MEDICAID</v>
      </c>
      <c r="EB26" s="101" t="str">
        <f t="shared" si="56"/>
        <v>PA MEDICAID</v>
      </c>
      <c r="EC26" s="101" t="str">
        <f t="shared" si="57"/>
        <v>SPRINGHILL</v>
      </c>
      <c r="ED26" s="101" t="str">
        <f t="shared" si="58"/>
        <v>SKILLED NURSING</v>
      </c>
      <c r="EE26" s="101" t="str">
        <f t="shared" si="59"/>
        <v>Forest View</v>
      </c>
      <c r="EF26" s="93" t="str" cm="1">
        <f t="array" ref="EF26">IF(EF$5&lt;=$CX26,INDEX($AF26:$AQ26,1,_xlfn.XMATCH(EF$5,$BS26:$CD26)),"na")</f>
        <v>na</v>
      </c>
      <c r="EG26" s="90" t="str" cm="1">
        <f t="array" ref="EG26">IF(EG$5&lt;=$CX26,INDEX($AS26:$BD26,1,_xlfn.XMATCH(EG$5,$BS26:$CD26)),"na")</f>
        <v>na</v>
      </c>
      <c r="EH26" s="91" t="str" cm="1">
        <f t="array" ref="EH26">IF(EH$5&lt;=$CY26,INDEX($BF26:$BQ26,1,_xlfn.XMATCH(EH$5,$CF26:$CQ26)),"na")</f>
        <v>na</v>
      </c>
      <c r="EI26" s="101" t="str">
        <f t="shared" si="86"/>
        <v>MEDICAID</v>
      </c>
      <c r="EJ26" s="101" t="str">
        <f t="shared" si="60"/>
        <v>PA MEDICAID</v>
      </c>
      <c r="EK26" s="101" t="str">
        <f t="shared" si="61"/>
        <v>SPRINGHILL</v>
      </c>
      <c r="EL26" s="101" t="str">
        <f t="shared" si="62"/>
        <v>SKILLED NURSING</v>
      </c>
      <c r="EM26" s="101" t="str">
        <f t="shared" si="63"/>
        <v>Forest View</v>
      </c>
      <c r="EN26" s="93" t="str" cm="1">
        <f t="array" ref="EN26">IF(EN$5&lt;=$CX26,INDEX($AF26:$AQ26,1,_xlfn.XMATCH(EN$5,$BS26:$CD26)),"na")</f>
        <v>na</v>
      </c>
      <c r="EO26" s="90" t="str" cm="1">
        <f t="array" ref="EO26">IF(EO$5&lt;=$CX26,INDEX($AS26:$BD26,1,_xlfn.XMATCH(EO$5,$BS26:$CD26)),"na")</f>
        <v>na</v>
      </c>
      <c r="EP26" s="91" t="str" cm="1">
        <f t="array" ref="EP26">IF(EP$5&lt;=$CY26,INDEX($BF26:$BQ26,1,_xlfn.XMATCH(EP$5,$CF26:$CQ26)),"na")</f>
        <v>na</v>
      </c>
      <c r="EQ26" s="101" t="str">
        <f t="shared" si="87"/>
        <v>MEDICAID</v>
      </c>
      <c r="ER26" s="101" t="str">
        <f t="shared" si="64"/>
        <v>PA MEDICAID</v>
      </c>
      <c r="ES26" s="101" t="str">
        <f t="shared" si="65"/>
        <v>SPRINGHILL</v>
      </c>
      <c r="ET26" s="101" t="str">
        <f t="shared" si="66"/>
        <v>SKILLED NURSING</v>
      </c>
      <c r="EU26" s="101" t="str">
        <f t="shared" si="67"/>
        <v>Forest View</v>
      </c>
      <c r="EV26" s="93" t="str" cm="1">
        <f t="array" ref="EV26">IF(EV$5&lt;=$CX26,INDEX($AF26:$AQ26,1,_xlfn.XMATCH(EV$5,$BS26:$CD26)),"na")</f>
        <v>na</v>
      </c>
    </row>
    <row r="27" spans="1:152" hidden="1" x14ac:dyDescent="0.25">
      <c r="A27" s="60" t="s">
        <v>209</v>
      </c>
      <c r="B27" s="43" t="s">
        <v>203</v>
      </c>
      <c r="C27" s="43" t="s">
        <v>129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Q27" t="s">
        <v>212</v>
      </c>
      <c r="R27" t="s">
        <v>291</v>
      </c>
      <c r="S27" s="7">
        <f t="shared" ref="S27:AD27" si="93">S11-S19</f>
        <v>0</v>
      </c>
      <c r="T27" s="7">
        <f t="shared" si="93"/>
        <v>0</v>
      </c>
      <c r="U27" s="7">
        <f t="shared" si="93"/>
        <v>0</v>
      </c>
      <c r="V27" s="7">
        <f t="shared" si="93"/>
        <v>0</v>
      </c>
      <c r="W27" s="7">
        <f t="shared" si="93"/>
        <v>0</v>
      </c>
      <c r="X27" s="7">
        <f t="shared" si="93"/>
        <v>0</v>
      </c>
      <c r="Y27" s="7">
        <f t="shared" si="93"/>
        <v>0</v>
      </c>
      <c r="Z27" s="7">
        <f t="shared" si="93"/>
        <v>0</v>
      </c>
      <c r="AA27" s="7">
        <f t="shared" si="93"/>
        <v>0</v>
      </c>
      <c r="AB27" s="7">
        <f t="shared" si="93"/>
        <v>0</v>
      </c>
      <c r="AC27" s="7">
        <f t="shared" si="93"/>
        <v>0</v>
      </c>
      <c r="AD27" s="7">
        <f t="shared" si="93"/>
        <v>0</v>
      </c>
      <c r="AF27" s="7">
        <f t="shared" si="22"/>
        <v>0</v>
      </c>
      <c r="AG27" s="7">
        <f t="shared" si="23"/>
        <v>0</v>
      </c>
      <c r="AH27" s="7">
        <f t="shared" si="24"/>
        <v>0</v>
      </c>
      <c r="AI27" s="7">
        <f t="shared" si="25"/>
        <v>0</v>
      </c>
      <c r="AJ27" s="7">
        <f t="shared" si="26"/>
        <v>0</v>
      </c>
      <c r="AK27" s="7">
        <f t="shared" si="27"/>
        <v>0</v>
      </c>
      <c r="AL27" s="7">
        <f t="shared" si="28"/>
        <v>0</v>
      </c>
      <c r="AM27" s="7">
        <f t="shared" si="29"/>
        <v>0</v>
      </c>
      <c r="AN27" s="7">
        <f t="shared" si="30"/>
        <v>0</v>
      </c>
      <c r="AO27" s="7">
        <f t="shared" si="31"/>
        <v>0</v>
      </c>
      <c r="AP27" s="7">
        <f t="shared" si="32"/>
        <v>0</v>
      </c>
      <c r="AQ27" s="7">
        <f t="shared" si="33"/>
        <v>0</v>
      </c>
      <c r="AS27" s="86">
        <f>_xlfn.XLOOKUP(AS$5,'OC-Days'!$G:$G,'OC-Days'!$F:$F)</f>
        <v>45658</v>
      </c>
      <c r="AT27" s="87" t="str">
        <f>IF(AG27=AF27,"na",_xlfn.XLOOKUP(AT$5,'OC-Days'!$G:$G,'OC-Days'!$F:$F))</f>
        <v>na</v>
      </c>
      <c r="AU27" s="87" t="str">
        <f>IF(AH27=AG27,"na",_xlfn.XLOOKUP(AU$5,'OC-Days'!$G:$G,'OC-Days'!$F:$F))</f>
        <v>na</v>
      </c>
      <c r="AV27" s="87" t="str">
        <f>IF(AI27=AH27,"na",_xlfn.XLOOKUP(AV$5,'OC-Days'!$G:$G,'OC-Days'!$F:$F))</f>
        <v>na</v>
      </c>
      <c r="AW27" s="87" t="str">
        <f>IF(AJ27=AI27,"na",_xlfn.XLOOKUP(AW$5,'OC-Days'!$G:$G,'OC-Days'!$F:$F))</f>
        <v>na</v>
      </c>
      <c r="AX27" s="87" t="str">
        <f>IF(AK27=AJ27,"na",_xlfn.XLOOKUP(AX$5,'OC-Days'!$G:$G,'OC-Days'!$F:$F))</f>
        <v>na</v>
      </c>
      <c r="AY27" s="87" t="str">
        <f>IF(AL27=AK27,"na",_xlfn.XLOOKUP(AY$5,'OC-Days'!$G:$G,'OC-Days'!$F:$F))</f>
        <v>na</v>
      </c>
      <c r="AZ27" s="87" t="str">
        <f>IF(AM27=AL27,"na",_xlfn.XLOOKUP(AZ$5,'OC-Days'!$G:$G,'OC-Days'!$F:$F))</f>
        <v>na</v>
      </c>
      <c r="BA27" s="87" t="str">
        <f>IF(AN27=AM27,"na",_xlfn.XLOOKUP(BA$5,'OC-Days'!$G:$G,'OC-Days'!$F:$F))</f>
        <v>na</v>
      </c>
      <c r="BB27" s="87" t="str">
        <f>IF(AO27=AN27,"na",_xlfn.XLOOKUP(BB$5,'OC-Days'!$G:$G,'OC-Days'!$F:$F))</f>
        <v>na</v>
      </c>
      <c r="BC27" s="87" t="str">
        <f>IF(AP27=AO27,"na",_xlfn.XLOOKUP(BC$5,'OC-Days'!$G:$G,'OC-Days'!$F:$F))</f>
        <v>na</v>
      </c>
      <c r="BD27" s="87" t="str">
        <f>IF(AQ27=AP27,"na",_xlfn.XLOOKUP(BD$5,'OC-Days'!$G:$G,'OC-Days'!$F:$F))</f>
        <v>na</v>
      </c>
      <c r="BF27" s="88" t="str">
        <f t="shared" si="68"/>
        <v>na</v>
      </c>
      <c r="BG27" s="88" t="str">
        <f t="shared" si="69"/>
        <v>na</v>
      </c>
      <c r="BH27" s="88" t="str">
        <f t="shared" si="70"/>
        <v>na</v>
      </c>
      <c r="BI27" s="88" t="str">
        <f t="shared" si="71"/>
        <v>na</v>
      </c>
      <c r="BJ27" s="88" t="str">
        <f t="shared" si="72"/>
        <v>na</v>
      </c>
      <c r="BK27" s="88" t="str">
        <f t="shared" si="73"/>
        <v>na</v>
      </c>
      <c r="BL27" s="88" t="str">
        <f t="shared" si="74"/>
        <v>na</v>
      </c>
      <c r="BM27" s="88" t="str">
        <f t="shared" si="75"/>
        <v>na</v>
      </c>
      <c r="BN27" s="88" t="str">
        <f t="shared" si="76"/>
        <v>na</v>
      </c>
      <c r="BO27" s="88" t="str">
        <f t="shared" si="77"/>
        <v>na</v>
      </c>
      <c r="BP27" s="88" t="str">
        <f t="shared" si="78"/>
        <v>na</v>
      </c>
      <c r="BQ27" s="89">
        <f t="shared" si="79"/>
        <v>46022</v>
      </c>
      <c r="BS27">
        <f>COUNT($AS27:AS27)</f>
        <v>1</v>
      </c>
      <c r="BT27">
        <f>COUNT($AS27:AT27)</f>
        <v>1</v>
      </c>
      <c r="BU27">
        <f>COUNT($AS27:AU27)</f>
        <v>1</v>
      </c>
      <c r="BV27">
        <f>COUNT($AS27:AV27)</f>
        <v>1</v>
      </c>
      <c r="BW27">
        <f>COUNT($AS27:AW27)</f>
        <v>1</v>
      </c>
      <c r="BX27">
        <f>COUNT($AS27:AX27)</f>
        <v>1</v>
      </c>
      <c r="BY27">
        <f>COUNT($AS27:AY27)</f>
        <v>1</v>
      </c>
      <c r="BZ27">
        <f>COUNT($AS27:AZ27)</f>
        <v>1</v>
      </c>
      <c r="CA27">
        <f>COUNT($AS27:BA27)</f>
        <v>1</v>
      </c>
      <c r="CB27">
        <f>COUNT($AS27:BB27)</f>
        <v>1</v>
      </c>
      <c r="CC27">
        <f>COUNT($AS27:BC27)</f>
        <v>1</v>
      </c>
      <c r="CD27">
        <f>COUNT($AS27:BD27)</f>
        <v>1</v>
      </c>
      <c r="CF27">
        <f>COUNT($BF27:BF27)</f>
        <v>0</v>
      </c>
      <c r="CG27">
        <f>COUNT($BF27:BG27)</f>
        <v>0</v>
      </c>
      <c r="CH27">
        <f>COUNT($BF27:BH27)</f>
        <v>0</v>
      </c>
      <c r="CI27">
        <f>COUNT($BF27:BI27)</f>
        <v>0</v>
      </c>
      <c r="CJ27">
        <f>COUNT($BF27:BJ27)</f>
        <v>0</v>
      </c>
      <c r="CK27">
        <f>COUNT($BF27:BK27)</f>
        <v>0</v>
      </c>
      <c r="CL27">
        <f>COUNT($BF27:BL27)</f>
        <v>0</v>
      </c>
      <c r="CM27">
        <f>COUNT($BF27:BM27)</f>
        <v>0</v>
      </c>
      <c r="CN27">
        <f>COUNT($BF27:BN27)</f>
        <v>0</v>
      </c>
      <c r="CO27">
        <f>COUNT($BF27:BO27)</f>
        <v>0</v>
      </c>
      <c r="CP27">
        <f>COUNT($BF27:BP27)</f>
        <v>0</v>
      </c>
      <c r="CQ27">
        <f>COUNT($BF27:BQ27)</f>
        <v>1</v>
      </c>
      <c r="CS27" s="5">
        <f t="shared" si="45"/>
        <v>0</v>
      </c>
      <c r="CT27" s="100" t="str">
        <f t="shared" si="80"/>
        <v>32461Insurance</v>
      </c>
      <c r="CU27" s="83">
        <f t="shared" si="46"/>
        <v>324</v>
      </c>
      <c r="CV27" s="83">
        <f t="shared" si="47"/>
        <v>61</v>
      </c>
      <c r="CX27">
        <f t="shared" si="81"/>
        <v>1</v>
      </c>
      <c r="CY27">
        <f t="shared" si="82"/>
        <v>1</v>
      </c>
      <c r="DA27" s="90" cm="1">
        <f t="array" ref="DA27">IF(DA$5&lt;=$CX27,INDEX($AS27:$BD27,1,_xlfn.XMATCH(DA$5,$BS27:$CD27)),"na")</f>
        <v>45658</v>
      </c>
      <c r="DB27" s="91" cm="1">
        <f t="array" ref="DB27">IF(DB$5&lt;=$CY27,INDEX($BF27:$BQ27,1,_xlfn.XMATCH(DB$5,$CF27:$CQ27)),"na")</f>
        <v>46022</v>
      </c>
      <c r="DC27" s="82" t="str">
        <f>_xlfn.XLOOKUP($CU27&amp;"-"&amp;$CV27&amp;$C27,REF!$K$2:$K$90,REF!B$2:B$90)</f>
        <v>MANAGED CARE</v>
      </c>
      <c r="DD27" s="82" t="str">
        <f>_xlfn.XLOOKUP($CU27&amp;"-"&amp;$CV27&amp;$C27,REF!$K$2:$K$90,REF!C$2:C$90)</f>
        <v>MGCARE LEVEL OF CARE</v>
      </c>
      <c r="DE27" s="82" t="str">
        <f>_xlfn.XLOOKUP($CU27&amp;"-"&amp;$CV27&amp;$C27,REF!$K$2:$K$90,REF!D$2:D$90)</f>
        <v>SPRINGHILL</v>
      </c>
      <c r="DF27" s="82" t="str">
        <f>_xlfn.XLOOKUP($CU27&amp;"-"&amp;$CV27&amp;$C27,REF!$K$2:$K$90,REF!E$2:E$90)</f>
        <v>SKILLED NURSING</v>
      </c>
      <c r="DG27" s="82" t="str">
        <f>_xlfn.XLOOKUP($CU27&amp;"-"&amp;$CV27&amp;$C27,REF!$K$2:$K$90,REF!F$2:F$90)</f>
        <v>Forest View</v>
      </c>
      <c r="DH27" s="93" cm="1">
        <f t="array" ref="DH27">IF(DH$5&lt;=$CX27,INDEX($AF27:$AQ27,1,_xlfn.XMATCH(DH$5,$BS27:$CD27)),"na")</f>
        <v>0</v>
      </c>
      <c r="DI27" s="90" t="str" cm="1">
        <f t="array" ref="DI27">IF(DI$5&lt;=$CX27,INDEX($AS27:$BD27,1,_xlfn.XMATCH(DI$5,$BS27:$CD27)),"na")</f>
        <v>na</v>
      </c>
      <c r="DJ27" s="91" t="str" cm="1">
        <f t="array" ref="DJ27">IF(DJ$5&lt;=$CY27,INDEX($BF27:$BQ27,1,_xlfn.XMATCH(DJ$5,$CF27:$CQ27)),"na")</f>
        <v>na</v>
      </c>
      <c r="DK27" s="101" t="str">
        <f t="shared" si="83"/>
        <v>MANAGED CARE</v>
      </c>
      <c r="DL27" s="101" t="str">
        <f t="shared" si="48"/>
        <v>MGCARE LEVEL OF CARE</v>
      </c>
      <c r="DM27" s="101" t="str">
        <f t="shared" si="49"/>
        <v>SPRINGHILL</v>
      </c>
      <c r="DN27" s="101" t="str">
        <f t="shared" si="50"/>
        <v>SKILLED NURSING</v>
      </c>
      <c r="DO27" s="101" t="str">
        <f t="shared" si="51"/>
        <v>Forest View</v>
      </c>
      <c r="DP27" s="93" t="str" cm="1">
        <f t="array" ref="DP27">IF(DP$5&lt;=$CX27,INDEX($AF27:$AQ27,1,_xlfn.XMATCH(DP$5,$BS27:$CD27)),"na")</f>
        <v>na</v>
      </c>
      <c r="DQ27" s="90" t="str" cm="1">
        <f t="array" ref="DQ27">IF(DQ$5&lt;=$CX27,INDEX($AS27:$BD27,1,_xlfn.XMATCH(DQ$5,$BS27:$CD27)),"na")</f>
        <v>na</v>
      </c>
      <c r="DR27" s="91" t="str" cm="1">
        <f t="array" ref="DR27">IF(DR$5&lt;=$CY27,INDEX($BF27:$BQ27,1,_xlfn.XMATCH(DR$5,$CF27:$CQ27)),"na")</f>
        <v>na</v>
      </c>
      <c r="DS27" s="101" t="str">
        <f t="shared" si="84"/>
        <v>MANAGED CARE</v>
      </c>
      <c r="DT27" s="101" t="str">
        <f t="shared" si="52"/>
        <v>MGCARE LEVEL OF CARE</v>
      </c>
      <c r="DU27" s="101" t="str">
        <f t="shared" si="53"/>
        <v>SPRINGHILL</v>
      </c>
      <c r="DV27" s="101" t="str">
        <f t="shared" si="54"/>
        <v>SKILLED NURSING</v>
      </c>
      <c r="DW27" s="101" t="str">
        <f t="shared" si="55"/>
        <v>Forest View</v>
      </c>
      <c r="DX27" s="93" t="str" cm="1">
        <f t="array" ref="DX27">IF(DX$5&lt;=$CX27,INDEX($AF27:$AQ27,1,_xlfn.XMATCH(DX$5,$BS27:$CD27)),"na")</f>
        <v>na</v>
      </c>
      <c r="DY27" s="90" t="str" cm="1">
        <f t="array" ref="DY27">IF(DY$5&lt;=$CX27,INDEX($AS27:$BD27,1,_xlfn.XMATCH(DY$5,$BS27:$CD27)),"na")</f>
        <v>na</v>
      </c>
      <c r="DZ27" s="91" t="str" cm="1">
        <f t="array" ref="DZ27">IF(DZ$5&lt;=$CY27,INDEX($BF27:$BQ27,1,_xlfn.XMATCH(DZ$5,$CF27:$CQ27)),"na")</f>
        <v>na</v>
      </c>
      <c r="EA27" s="101" t="str">
        <f t="shared" si="85"/>
        <v>MANAGED CARE</v>
      </c>
      <c r="EB27" s="101" t="str">
        <f t="shared" si="56"/>
        <v>MGCARE LEVEL OF CARE</v>
      </c>
      <c r="EC27" s="101" t="str">
        <f t="shared" si="57"/>
        <v>SPRINGHILL</v>
      </c>
      <c r="ED27" s="101" t="str">
        <f t="shared" si="58"/>
        <v>SKILLED NURSING</v>
      </c>
      <c r="EE27" s="101" t="str">
        <f t="shared" si="59"/>
        <v>Forest View</v>
      </c>
      <c r="EF27" s="93" t="str" cm="1">
        <f t="array" ref="EF27">IF(EF$5&lt;=$CX27,INDEX($AF27:$AQ27,1,_xlfn.XMATCH(EF$5,$BS27:$CD27)),"na")</f>
        <v>na</v>
      </c>
      <c r="EG27" s="90" t="str" cm="1">
        <f t="array" ref="EG27">IF(EG$5&lt;=$CX27,INDEX($AS27:$BD27,1,_xlfn.XMATCH(EG$5,$BS27:$CD27)),"na")</f>
        <v>na</v>
      </c>
      <c r="EH27" s="91" t="str" cm="1">
        <f t="array" ref="EH27">IF(EH$5&lt;=$CY27,INDEX($BF27:$BQ27,1,_xlfn.XMATCH(EH$5,$CF27:$CQ27)),"na")</f>
        <v>na</v>
      </c>
      <c r="EI27" s="101" t="str">
        <f t="shared" si="86"/>
        <v>MANAGED CARE</v>
      </c>
      <c r="EJ27" s="101" t="str">
        <f t="shared" si="60"/>
        <v>MGCARE LEVEL OF CARE</v>
      </c>
      <c r="EK27" s="101" t="str">
        <f t="shared" si="61"/>
        <v>SPRINGHILL</v>
      </c>
      <c r="EL27" s="101" t="str">
        <f t="shared" si="62"/>
        <v>SKILLED NURSING</v>
      </c>
      <c r="EM27" s="101" t="str">
        <f t="shared" si="63"/>
        <v>Forest View</v>
      </c>
      <c r="EN27" s="93" t="str" cm="1">
        <f t="array" ref="EN27">IF(EN$5&lt;=$CX27,INDEX($AF27:$AQ27,1,_xlfn.XMATCH(EN$5,$BS27:$CD27)),"na")</f>
        <v>na</v>
      </c>
      <c r="EO27" s="90" t="str" cm="1">
        <f t="array" ref="EO27">IF(EO$5&lt;=$CX27,INDEX($AS27:$BD27,1,_xlfn.XMATCH(EO$5,$BS27:$CD27)),"na")</f>
        <v>na</v>
      </c>
      <c r="EP27" s="91" t="str" cm="1">
        <f t="array" ref="EP27">IF(EP$5&lt;=$CY27,INDEX($BF27:$BQ27,1,_xlfn.XMATCH(EP$5,$CF27:$CQ27)),"na")</f>
        <v>na</v>
      </c>
      <c r="EQ27" s="101" t="str">
        <f t="shared" si="87"/>
        <v>MANAGED CARE</v>
      </c>
      <c r="ER27" s="101" t="str">
        <f t="shared" si="64"/>
        <v>MGCARE LEVEL OF CARE</v>
      </c>
      <c r="ES27" s="101" t="str">
        <f t="shared" si="65"/>
        <v>SPRINGHILL</v>
      </c>
      <c r="ET27" s="101" t="str">
        <f t="shared" si="66"/>
        <v>SKILLED NURSING</v>
      </c>
      <c r="EU27" s="101" t="str">
        <f t="shared" si="67"/>
        <v>Forest View</v>
      </c>
      <c r="EV27" s="93" t="str" cm="1">
        <f t="array" ref="EV27">IF(EV$5&lt;=$CX27,INDEX($AF27:$AQ27,1,_xlfn.XMATCH(EV$5,$BS27:$CD27)),"na")</f>
        <v>na</v>
      </c>
    </row>
    <row r="28" spans="1:152" x14ac:dyDescent="0.25">
      <c r="A28" s="60" t="s">
        <v>209</v>
      </c>
      <c r="B28" s="43" t="s">
        <v>204</v>
      </c>
      <c r="C28" s="43" t="s">
        <v>91</v>
      </c>
      <c r="D28" s="4">
        <v>1193.499411</v>
      </c>
      <c r="E28" s="4">
        <v>1077.999468</v>
      </c>
      <c r="F28" s="4">
        <v>1193.499411</v>
      </c>
      <c r="G28" s="4">
        <v>1154.9994299999998</v>
      </c>
      <c r="H28" s="4">
        <v>1193.499411</v>
      </c>
      <c r="I28" s="4">
        <v>1154.9994299999998</v>
      </c>
      <c r="J28" s="4">
        <v>1193.499411</v>
      </c>
      <c r="K28" s="4">
        <v>1193.499411</v>
      </c>
      <c r="L28" s="4">
        <v>1154.9994299999998</v>
      </c>
      <c r="M28" s="4">
        <v>1193.499411</v>
      </c>
      <c r="N28" s="4">
        <v>1154.9994299999998</v>
      </c>
      <c r="O28" s="4">
        <v>1193.499411</v>
      </c>
      <c r="AF28" s="7">
        <f t="shared" si="22"/>
        <v>38.499980999999998</v>
      </c>
      <c r="AG28" s="7">
        <f t="shared" si="23"/>
        <v>38.499980999999998</v>
      </c>
      <c r="AH28" s="7">
        <f t="shared" si="24"/>
        <v>38.499980999999998</v>
      </c>
      <c r="AI28" s="7">
        <f t="shared" si="25"/>
        <v>38.499980999999998</v>
      </c>
      <c r="AJ28" s="7">
        <f t="shared" si="26"/>
        <v>38.499980999999998</v>
      </c>
      <c r="AK28" s="7">
        <f t="shared" si="27"/>
        <v>38.499980999999998</v>
      </c>
      <c r="AL28" s="7">
        <f t="shared" si="28"/>
        <v>38.499980999999998</v>
      </c>
      <c r="AM28" s="7">
        <f t="shared" si="29"/>
        <v>38.499980999999998</v>
      </c>
      <c r="AN28" s="7">
        <f t="shared" si="30"/>
        <v>38.499980999999998</v>
      </c>
      <c r="AO28" s="7">
        <f t="shared" si="31"/>
        <v>38.499980999999998</v>
      </c>
      <c r="AP28" s="7">
        <f t="shared" si="32"/>
        <v>38.499980999999998</v>
      </c>
      <c r="AQ28" s="7">
        <f t="shared" si="33"/>
        <v>38.499980999999998</v>
      </c>
      <c r="AS28" s="86">
        <f>_xlfn.XLOOKUP(AS$5,'OC-Days'!$G:$G,'OC-Days'!$F:$F)</f>
        <v>45658</v>
      </c>
      <c r="AT28" s="87" t="str">
        <f>IF(AG28=AF28,"na",_xlfn.XLOOKUP(AT$5,'OC-Days'!$G:$G,'OC-Days'!$F:$F))</f>
        <v>na</v>
      </c>
      <c r="AU28" s="87" t="str">
        <f>IF(AH28=AG28,"na",_xlfn.XLOOKUP(AU$5,'OC-Days'!$G:$G,'OC-Days'!$F:$F))</f>
        <v>na</v>
      </c>
      <c r="AV28" s="87" t="str">
        <f>IF(AI28=AH28,"na",_xlfn.XLOOKUP(AV$5,'OC-Days'!$G:$G,'OC-Days'!$F:$F))</f>
        <v>na</v>
      </c>
      <c r="AW28" s="87" t="str">
        <f>IF(AJ28=AI28,"na",_xlfn.XLOOKUP(AW$5,'OC-Days'!$G:$G,'OC-Days'!$F:$F))</f>
        <v>na</v>
      </c>
      <c r="AX28" s="87" t="str">
        <f>IF(AK28=AJ28,"na",_xlfn.XLOOKUP(AX$5,'OC-Days'!$G:$G,'OC-Days'!$F:$F))</f>
        <v>na</v>
      </c>
      <c r="AY28" s="87" t="str">
        <f>IF(AL28=AK28,"na",_xlfn.XLOOKUP(AY$5,'OC-Days'!$G:$G,'OC-Days'!$F:$F))</f>
        <v>na</v>
      </c>
      <c r="AZ28" s="87" t="str">
        <f>IF(AM28=AL28,"na",_xlfn.XLOOKUP(AZ$5,'OC-Days'!$G:$G,'OC-Days'!$F:$F))</f>
        <v>na</v>
      </c>
      <c r="BA28" s="87" t="str">
        <f>IF(AN28=AM28,"na",_xlfn.XLOOKUP(BA$5,'OC-Days'!$G:$G,'OC-Days'!$F:$F))</f>
        <v>na</v>
      </c>
      <c r="BB28" s="87" t="str">
        <f>IF(AO28=AN28,"na",_xlfn.XLOOKUP(BB$5,'OC-Days'!$G:$G,'OC-Days'!$F:$F))</f>
        <v>na</v>
      </c>
      <c r="BC28" s="87" t="str">
        <f>IF(AP28=AO28,"na",_xlfn.XLOOKUP(BC$5,'OC-Days'!$G:$G,'OC-Days'!$F:$F))</f>
        <v>na</v>
      </c>
      <c r="BD28" s="87" t="str">
        <f>IF(AQ28=AP28,"na",_xlfn.XLOOKUP(BD$5,'OC-Days'!$G:$G,'OC-Days'!$F:$F))</f>
        <v>na</v>
      </c>
      <c r="BF28" s="88" t="str">
        <f t="shared" si="68"/>
        <v>na</v>
      </c>
      <c r="BG28" s="88" t="str">
        <f t="shared" si="69"/>
        <v>na</v>
      </c>
      <c r="BH28" s="88" t="str">
        <f t="shared" si="70"/>
        <v>na</v>
      </c>
      <c r="BI28" s="88" t="str">
        <f t="shared" si="71"/>
        <v>na</v>
      </c>
      <c r="BJ28" s="88" t="str">
        <f t="shared" si="72"/>
        <v>na</v>
      </c>
      <c r="BK28" s="88" t="str">
        <f t="shared" si="73"/>
        <v>na</v>
      </c>
      <c r="BL28" s="88" t="str">
        <f t="shared" si="74"/>
        <v>na</v>
      </c>
      <c r="BM28" s="88" t="str">
        <f t="shared" si="75"/>
        <v>na</v>
      </c>
      <c r="BN28" s="88" t="str">
        <f t="shared" si="76"/>
        <v>na</v>
      </c>
      <c r="BO28" s="88" t="str">
        <f t="shared" si="77"/>
        <v>na</v>
      </c>
      <c r="BP28" s="88" t="str">
        <f t="shared" si="78"/>
        <v>na</v>
      </c>
      <c r="BQ28" s="89">
        <f t="shared" si="79"/>
        <v>46022</v>
      </c>
      <c r="BS28">
        <f>COUNT($AS28:AS28)</f>
        <v>1</v>
      </c>
      <c r="BT28">
        <f>COUNT($AS28:AT28)</f>
        <v>1</v>
      </c>
      <c r="BU28">
        <f>COUNT($AS28:AU28)</f>
        <v>1</v>
      </c>
      <c r="BV28">
        <f>COUNT($AS28:AV28)</f>
        <v>1</v>
      </c>
      <c r="BW28">
        <f>COUNT($AS28:AW28)</f>
        <v>1</v>
      </c>
      <c r="BX28">
        <f>COUNT($AS28:AX28)</f>
        <v>1</v>
      </c>
      <c r="BY28">
        <f>COUNT($AS28:AY28)</f>
        <v>1</v>
      </c>
      <c r="BZ28">
        <f>COUNT($AS28:AZ28)</f>
        <v>1</v>
      </c>
      <c r="CA28">
        <f>COUNT($AS28:BA28)</f>
        <v>1</v>
      </c>
      <c r="CB28">
        <f>COUNT($AS28:BB28)</f>
        <v>1</v>
      </c>
      <c r="CC28">
        <f>COUNT($AS28:BC28)</f>
        <v>1</v>
      </c>
      <c r="CD28">
        <f>COUNT($AS28:BD28)</f>
        <v>1</v>
      </c>
      <c r="CF28">
        <f>COUNT($BF28:BF28)</f>
        <v>0</v>
      </c>
      <c r="CG28">
        <f>COUNT($BF28:BG28)</f>
        <v>0</v>
      </c>
      <c r="CH28">
        <f>COUNT($BF28:BH28)</f>
        <v>0</v>
      </c>
      <c r="CI28">
        <f>COUNT($BF28:BI28)</f>
        <v>0</v>
      </c>
      <c r="CJ28">
        <f>COUNT($BF28:BJ28)</f>
        <v>0</v>
      </c>
      <c r="CK28">
        <f>COUNT($BF28:BK28)</f>
        <v>0</v>
      </c>
      <c r="CL28">
        <f>COUNT($BF28:BL28)</f>
        <v>0</v>
      </c>
      <c r="CM28">
        <f>COUNT($BF28:BM28)</f>
        <v>0</v>
      </c>
      <c r="CN28">
        <f>COUNT($BF28:BN28)</f>
        <v>0</v>
      </c>
      <c r="CO28">
        <f>COUNT($BF28:BO28)</f>
        <v>0</v>
      </c>
      <c r="CP28">
        <f>COUNT($BF28:BP28)</f>
        <v>0</v>
      </c>
      <c r="CQ28">
        <f>COUNT($BF28:BQ28)</f>
        <v>1</v>
      </c>
      <c r="CS28" s="5">
        <f t="shared" si="45"/>
        <v>1</v>
      </c>
      <c r="CT28" s="100" t="str">
        <f t="shared" si="80"/>
        <v>32461Private Pay</v>
      </c>
      <c r="CU28" s="83">
        <f t="shared" si="46"/>
        <v>324</v>
      </c>
      <c r="CV28" s="83">
        <f t="shared" si="47"/>
        <v>61</v>
      </c>
      <c r="CX28">
        <f t="shared" si="81"/>
        <v>1</v>
      </c>
      <c r="CY28">
        <f t="shared" si="82"/>
        <v>1</v>
      </c>
      <c r="DA28" s="90" cm="1">
        <f t="array" ref="DA28">IF(DA$5&lt;=$CX28,INDEX($AS28:$BD28,1,_xlfn.XMATCH(DA$5,$BS28:$CD28)),"na")</f>
        <v>45658</v>
      </c>
      <c r="DB28" s="91" cm="1">
        <f t="array" ref="DB28">IF(DB$5&lt;=$CY28,INDEX($BF28:$BQ28,1,_xlfn.XMATCH(DB$5,$CF28:$CQ28)),"na")</f>
        <v>46022</v>
      </c>
      <c r="DC28" s="82" t="str">
        <f>_xlfn.XLOOKUP($CU28&amp;"-"&amp;$CV28&amp;$C28,REF!$K$2:$K$90,REF!B$2:B$90)</f>
        <v>PRIVATE PAY</v>
      </c>
      <c r="DD28" s="82" t="str">
        <f>_xlfn.XLOOKUP($CU28&amp;"-"&amp;$CV28&amp;$C28,REF!$K$2:$K$90,REF!C$2:C$90)</f>
        <v>PRIVATE PAY</v>
      </c>
      <c r="DE28" s="82" t="str">
        <f>_xlfn.XLOOKUP($CU28&amp;"-"&amp;$CV28&amp;$C28,REF!$K$2:$K$90,REF!D$2:D$90)</f>
        <v>SPRINGHILL</v>
      </c>
      <c r="DF28" s="82" t="str">
        <f>_xlfn.XLOOKUP($CU28&amp;"-"&amp;$CV28&amp;$C28,REF!$K$2:$K$90,REF!E$2:E$90)</f>
        <v>SKILLED NURSING</v>
      </c>
      <c r="DG28" s="82" t="str">
        <f>_xlfn.XLOOKUP($CU28&amp;"-"&amp;$CV28&amp;$C28,REF!$K$2:$K$90,REF!F$2:F$90)</f>
        <v>Forest View</v>
      </c>
      <c r="DH28" s="93" cm="1">
        <f t="array" ref="DH28">IF(DH$5&lt;=$CX28,INDEX($AF28:$AQ28,1,_xlfn.XMATCH(DH$5,$BS28:$CD28)),"na")</f>
        <v>38.499980999999998</v>
      </c>
      <c r="DI28" s="90" t="str" cm="1">
        <f t="array" ref="DI28">IF(DI$5&lt;=$CX28,INDEX($AS28:$BD28,1,_xlfn.XMATCH(DI$5,$BS28:$CD28)),"na")</f>
        <v>na</v>
      </c>
      <c r="DJ28" s="91" t="str" cm="1">
        <f t="array" ref="DJ28">IF(DJ$5&lt;=$CY28,INDEX($BF28:$BQ28,1,_xlfn.XMATCH(DJ$5,$CF28:$CQ28)),"na")</f>
        <v>na</v>
      </c>
      <c r="DK28" s="101" t="str">
        <f t="shared" si="83"/>
        <v>PRIVATE PAY</v>
      </c>
      <c r="DL28" s="101" t="str">
        <f t="shared" si="48"/>
        <v>PRIVATE PAY</v>
      </c>
      <c r="DM28" s="101" t="str">
        <f t="shared" si="49"/>
        <v>SPRINGHILL</v>
      </c>
      <c r="DN28" s="101" t="str">
        <f t="shared" si="50"/>
        <v>SKILLED NURSING</v>
      </c>
      <c r="DO28" s="101" t="str">
        <f t="shared" si="51"/>
        <v>Forest View</v>
      </c>
      <c r="DP28" s="93" t="str" cm="1">
        <f t="array" ref="DP28">IF(DP$5&lt;=$CX28,INDEX($AF28:$AQ28,1,_xlfn.XMATCH(DP$5,$BS28:$CD28)),"na")</f>
        <v>na</v>
      </c>
      <c r="DQ28" s="90" t="str" cm="1">
        <f t="array" ref="DQ28">IF(DQ$5&lt;=$CX28,INDEX($AS28:$BD28,1,_xlfn.XMATCH(DQ$5,$BS28:$CD28)),"na")</f>
        <v>na</v>
      </c>
      <c r="DR28" s="91" t="str" cm="1">
        <f t="array" ref="DR28">IF(DR$5&lt;=$CY28,INDEX($BF28:$BQ28,1,_xlfn.XMATCH(DR$5,$CF28:$CQ28)),"na")</f>
        <v>na</v>
      </c>
      <c r="DS28" s="101" t="str">
        <f t="shared" si="84"/>
        <v>PRIVATE PAY</v>
      </c>
      <c r="DT28" s="101" t="str">
        <f t="shared" si="52"/>
        <v>PRIVATE PAY</v>
      </c>
      <c r="DU28" s="101" t="str">
        <f t="shared" si="53"/>
        <v>SPRINGHILL</v>
      </c>
      <c r="DV28" s="101" t="str">
        <f t="shared" si="54"/>
        <v>SKILLED NURSING</v>
      </c>
      <c r="DW28" s="101" t="str">
        <f t="shared" si="55"/>
        <v>Forest View</v>
      </c>
      <c r="DX28" s="93" t="str" cm="1">
        <f t="array" ref="DX28">IF(DX$5&lt;=$CX28,INDEX($AF28:$AQ28,1,_xlfn.XMATCH(DX$5,$BS28:$CD28)),"na")</f>
        <v>na</v>
      </c>
      <c r="DY28" s="90" t="str" cm="1">
        <f t="array" ref="DY28">IF(DY$5&lt;=$CX28,INDEX($AS28:$BD28,1,_xlfn.XMATCH(DY$5,$BS28:$CD28)),"na")</f>
        <v>na</v>
      </c>
      <c r="DZ28" s="91" t="str" cm="1">
        <f t="array" ref="DZ28">IF(DZ$5&lt;=$CY28,INDEX($BF28:$BQ28,1,_xlfn.XMATCH(DZ$5,$CF28:$CQ28)),"na")</f>
        <v>na</v>
      </c>
      <c r="EA28" s="101" t="str">
        <f t="shared" si="85"/>
        <v>PRIVATE PAY</v>
      </c>
      <c r="EB28" s="101" t="str">
        <f t="shared" si="56"/>
        <v>PRIVATE PAY</v>
      </c>
      <c r="EC28" s="101" t="str">
        <f t="shared" si="57"/>
        <v>SPRINGHILL</v>
      </c>
      <c r="ED28" s="101" t="str">
        <f t="shared" si="58"/>
        <v>SKILLED NURSING</v>
      </c>
      <c r="EE28" s="101" t="str">
        <f t="shared" si="59"/>
        <v>Forest View</v>
      </c>
      <c r="EF28" s="93" t="str" cm="1">
        <f t="array" ref="EF28">IF(EF$5&lt;=$CX28,INDEX($AF28:$AQ28,1,_xlfn.XMATCH(EF$5,$BS28:$CD28)),"na")</f>
        <v>na</v>
      </c>
      <c r="EG28" s="90" t="str" cm="1">
        <f t="array" ref="EG28">IF(EG$5&lt;=$CX28,INDEX($AS28:$BD28,1,_xlfn.XMATCH(EG$5,$BS28:$CD28)),"na")</f>
        <v>na</v>
      </c>
      <c r="EH28" s="91" t="str" cm="1">
        <f t="array" ref="EH28">IF(EH$5&lt;=$CY28,INDEX($BF28:$BQ28,1,_xlfn.XMATCH(EH$5,$CF28:$CQ28)),"na")</f>
        <v>na</v>
      </c>
      <c r="EI28" s="101" t="str">
        <f t="shared" si="86"/>
        <v>PRIVATE PAY</v>
      </c>
      <c r="EJ28" s="101" t="str">
        <f t="shared" si="60"/>
        <v>PRIVATE PAY</v>
      </c>
      <c r="EK28" s="101" t="str">
        <f t="shared" si="61"/>
        <v>SPRINGHILL</v>
      </c>
      <c r="EL28" s="101" t="str">
        <f t="shared" si="62"/>
        <v>SKILLED NURSING</v>
      </c>
      <c r="EM28" s="101" t="str">
        <f t="shared" si="63"/>
        <v>Forest View</v>
      </c>
      <c r="EN28" s="93" t="str" cm="1">
        <f t="array" ref="EN28">IF(EN$5&lt;=$CX28,INDEX($AF28:$AQ28,1,_xlfn.XMATCH(EN$5,$BS28:$CD28)),"na")</f>
        <v>na</v>
      </c>
      <c r="EO28" s="90" t="str" cm="1">
        <f t="array" ref="EO28">IF(EO$5&lt;=$CX28,INDEX($AS28:$BD28,1,_xlfn.XMATCH(EO$5,$BS28:$CD28)),"na")</f>
        <v>na</v>
      </c>
      <c r="EP28" s="91" t="str" cm="1">
        <f t="array" ref="EP28">IF(EP$5&lt;=$CY28,INDEX($BF28:$BQ28,1,_xlfn.XMATCH(EP$5,$CF28:$CQ28)),"na")</f>
        <v>na</v>
      </c>
      <c r="EQ28" s="101" t="str">
        <f t="shared" si="87"/>
        <v>PRIVATE PAY</v>
      </c>
      <c r="ER28" s="101" t="str">
        <f t="shared" si="64"/>
        <v>PRIVATE PAY</v>
      </c>
      <c r="ES28" s="101" t="str">
        <f t="shared" si="65"/>
        <v>SPRINGHILL</v>
      </c>
      <c r="ET28" s="101" t="str">
        <f t="shared" si="66"/>
        <v>SKILLED NURSING</v>
      </c>
      <c r="EU28" s="101" t="str">
        <f t="shared" si="67"/>
        <v>Forest View</v>
      </c>
      <c r="EV28" s="93" t="str" cm="1">
        <f t="array" ref="EV28">IF(EV$5&lt;=$CX28,INDEX($AF28:$AQ28,1,_xlfn.XMATCH(EV$5,$BS28:$CD28)),"na")</f>
        <v>na</v>
      </c>
    </row>
    <row r="29" spans="1:152" hidden="1" x14ac:dyDescent="0.25">
      <c r="A29" s="60" t="s">
        <v>209</v>
      </c>
      <c r="B29" s="43" t="s">
        <v>205</v>
      </c>
      <c r="C29" s="43" t="s">
        <v>23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AF29" s="7">
        <f t="shared" si="22"/>
        <v>0</v>
      </c>
      <c r="AG29" s="7">
        <f t="shared" si="23"/>
        <v>0</v>
      </c>
      <c r="AH29" s="7">
        <f t="shared" si="24"/>
        <v>0</v>
      </c>
      <c r="AI29" s="7">
        <f t="shared" si="25"/>
        <v>0</v>
      </c>
      <c r="AJ29" s="7">
        <f t="shared" si="26"/>
        <v>0</v>
      </c>
      <c r="AK29" s="7">
        <f t="shared" si="27"/>
        <v>0</v>
      </c>
      <c r="AL29" s="7">
        <f t="shared" si="28"/>
        <v>0</v>
      </c>
      <c r="AM29" s="7">
        <f t="shared" si="29"/>
        <v>0</v>
      </c>
      <c r="AN29" s="7">
        <f t="shared" si="30"/>
        <v>0</v>
      </c>
      <c r="AO29" s="7">
        <f t="shared" si="31"/>
        <v>0</v>
      </c>
      <c r="AP29" s="7">
        <f t="shared" si="32"/>
        <v>0</v>
      </c>
      <c r="AQ29" s="7">
        <f t="shared" si="33"/>
        <v>0</v>
      </c>
      <c r="AS29" s="86">
        <f>_xlfn.XLOOKUP(AS$5,'OC-Days'!$G:$G,'OC-Days'!$F:$F)</f>
        <v>45658</v>
      </c>
      <c r="AT29" s="87" t="str">
        <f>IF(AG29=AF29,"na",_xlfn.XLOOKUP(AT$5,'OC-Days'!$G:$G,'OC-Days'!$F:$F))</f>
        <v>na</v>
      </c>
      <c r="AU29" s="87" t="str">
        <f>IF(AH29=AG29,"na",_xlfn.XLOOKUP(AU$5,'OC-Days'!$G:$G,'OC-Days'!$F:$F))</f>
        <v>na</v>
      </c>
      <c r="AV29" s="87" t="str">
        <f>IF(AI29=AH29,"na",_xlfn.XLOOKUP(AV$5,'OC-Days'!$G:$G,'OC-Days'!$F:$F))</f>
        <v>na</v>
      </c>
      <c r="AW29" s="87" t="str">
        <f>IF(AJ29=AI29,"na",_xlfn.XLOOKUP(AW$5,'OC-Days'!$G:$G,'OC-Days'!$F:$F))</f>
        <v>na</v>
      </c>
      <c r="AX29" s="87" t="str">
        <f>IF(AK29=AJ29,"na",_xlfn.XLOOKUP(AX$5,'OC-Days'!$G:$G,'OC-Days'!$F:$F))</f>
        <v>na</v>
      </c>
      <c r="AY29" s="87" t="str">
        <f>IF(AL29=AK29,"na",_xlfn.XLOOKUP(AY$5,'OC-Days'!$G:$G,'OC-Days'!$F:$F))</f>
        <v>na</v>
      </c>
      <c r="AZ29" s="87" t="str">
        <f>IF(AM29=AL29,"na",_xlfn.XLOOKUP(AZ$5,'OC-Days'!$G:$G,'OC-Days'!$F:$F))</f>
        <v>na</v>
      </c>
      <c r="BA29" s="87" t="str">
        <f>IF(AN29=AM29,"na",_xlfn.XLOOKUP(BA$5,'OC-Days'!$G:$G,'OC-Days'!$F:$F))</f>
        <v>na</v>
      </c>
      <c r="BB29" s="87" t="str">
        <f>IF(AO29=AN29,"na",_xlfn.XLOOKUP(BB$5,'OC-Days'!$G:$G,'OC-Days'!$F:$F))</f>
        <v>na</v>
      </c>
      <c r="BC29" s="87" t="str">
        <f>IF(AP29=AO29,"na",_xlfn.XLOOKUP(BC$5,'OC-Days'!$G:$G,'OC-Days'!$F:$F))</f>
        <v>na</v>
      </c>
      <c r="BD29" s="87" t="str">
        <f>IF(AQ29=AP29,"na",_xlfn.XLOOKUP(BD$5,'OC-Days'!$G:$G,'OC-Days'!$F:$F))</f>
        <v>na</v>
      </c>
      <c r="BF29" s="88" t="str">
        <f t="shared" si="68"/>
        <v>na</v>
      </c>
      <c r="BG29" s="88" t="str">
        <f t="shared" si="69"/>
        <v>na</v>
      </c>
      <c r="BH29" s="88" t="str">
        <f t="shared" si="70"/>
        <v>na</v>
      </c>
      <c r="BI29" s="88" t="str">
        <f t="shared" si="71"/>
        <v>na</v>
      </c>
      <c r="BJ29" s="88" t="str">
        <f t="shared" si="72"/>
        <v>na</v>
      </c>
      <c r="BK29" s="88" t="str">
        <f t="shared" si="73"/>
        <v>na</v>
      </c>
      <c r="BL29" s="88" t="str">
        <f t="shared" si="74"/>
        <v>na</v>
      </c>
      <c r="BM29" s="88" t="str">
        <f t="shared" si="75"/>
        <v>na</v>
      </c>
      <c r="BN29" s="88" t="str">
        <f t="shared" si="76"/>
        <v>na</v>
      </c>
      <c r="BO29" s="88" t="str">
        <f t="shared" si="77"/>
        <v>na</v>
      </c>
      <c r="BP29" s="88" t="str">
        <f t="shared" si="78"/>
        <v>na</v>
      </c>
      <c r="BQ29" s="89">
        <f t="shared" si="79"/>
        <v>46022</v>
      </c>
      <c r="BS29">
        <f>COUNT($AS29:AS29)</f>
        <v>1</v>
      </c>
      <c r="BT29">
        <f>COUNT($AS29:AT29)</f>
        <v>1</v>
      </c>
      <c r="BU29">
        <f>COUNT($AS29:AU29)</f>
        <v>1</v>
      </c>
      <c r="BV29">
        <f>COUNT($AS29:AV29)</f>
        <v>1</v>
      </c>
      <c r="BW29">
        <f>COUNT($AS29:AW29)</f>
        <v>1</v>
      </c>
      <c r="BX29">
        <f>COUNT($AS29:AX29)</f>
        <v>1</v>
      </c>
      <c r="BY29">
        <f>COUNT($AS29:AY29)</f>
        <v>1</v>
      </c>
      <c r="BZ29">
        <f>COUNT($AS29:AZ29)</f>
        <v>1</v>
      </c>
      <c r="CA29">
        <f>COUNT($AS29:BA29)</f>
        <v>1</v>
      </c>
      <c r="CB29">
        <f>COUNT($AS29:BB29)</f>
        <v>1</v>
      </c>
      <c r="CC29">
        <f>COUNT($AS29:BC29)</f>
        <v>1</v>
      </c>
      <c r="CD29">
        <f>COUNT($AS29:BD29)</f>
        <v>1</v>
      </c>
      <c r="CF29">
        <f>COUNT($BF29:BF29)</f>
        <v>0</v>
      </c>
      <c r="CG29">
        <f>COUNT($BF29:BG29)</f>
        <v>0</v>
      </c>
      <c r="CH29">
        <f>COUNT($BF29:BH29)</f>
        <v>0</v>
      </c>
      <c r="CI29">
        <f>COUNT($BF29:BI29)</f>
        <v>0</v>
      </c>
      <c r="CJ29">
        <f>COUNT($BF29:BJ29)</f>
        <v>0</v>
      </c>
      <c r="CK29">
        <f>COUNT($BF29:BK29)</f>
        <v>0</v>
      </c>
      <c r="CL29">
        <f>COUNT($BF29:BL29)</f>
        <v>0</v>
      </c>
      <c r="CM29">
        <f>COUNT($BF29:BM29)</f>
        <v>0</v>
      </c>
      <c r="CN29">
        <f>COUNT($BF29:BN29)</f>
        <v>0</v>
      </c>
      <c r="CO29">
        <f>COUNT($BF29:BO29)</f>
        <v>0</v>
      </c>
      <c r="CP29">
        <f>COUNT($BF29:BP29)</f>
        <v>0</v>
      </c>
      <c r="CQ29">
        <f>COUNT($BF29:BQ29)</f>
        <v>1</v>
      </c>
      <c r="CS29" s="5">
        <f t="shared" si="45"/>
        <v>0</v>
      </c>
      <c r="CT29" s="100" t="str">
        <f t="shared" si="80"/>
        <v>32461Hospice</v>
      </c>
      <c r="CU29" s="83">
        <f t="shared" si="46"/>
        <v>324</v>
      </c>
      <c r="CV29" s="83">
        <f t="shared" si="47"/>
        <v>61</v>
      </c>
      <c r="CX29">
        <f t="shared" si="81"/>
        <v>1</v>
      </c>
      <c r="CY29">
        <f t="shared" si="82"/>
        <v>1</v>
      </c>
      <c r="DA29" s="90" cm="1">
        <f t="array" ref="DA29">IF(DA$5&lt;=$CX29,INDEX($AS29:$BD29,1,_xlfn.XMATCH(DA$5,$BS29:$CD29)),"na")</f>
        <v>45658</v>
      </c>
      <c r="DB29" s="91" cm="1">
        <f t="array" ref="DB29">IF(DB$5&lt;=$CY29,INDEX($BF29:$BQ29,1,_xlfn.XMATCH(DB$5,$CF29:$CQ29)),"na")</f>
        <v>46022</v>
      </c>
      <c r="DC29" s="82" t="str">
        <f>_xlfn.XLOOKUP($CU29&amp;"-"&amp;$CV29&amp;$C29,REF!$K$2:$K$90,REF!B$2:B$90)</f>
        <v>Hospice</v>
      </c>
      <c r="DD29" s="82" t="str">
        <f>_xlfn.XLOOKUP($CU29&amp;"-"&amp;$CV29&amp;$C29,REF!$K$2:$K$90,REF!C$2:C$90)</f>
        <v>Hospice - Private Pay</v>
      </c>
      <c r="DE29" s="82" t="str">
        <f>_xlfn.XLOOKUP($CU29&amp;"-"&amp;$CV29&amp;$C29,REF!$K$2:$K$90,REF!D$2:D$90)</f>
        <v>SPRINGHILL</v>
      </c>
      <c r="DF29" s="82" t="str">
        <f>_xlfn.XLOOKUP($CU29&amp;"-"&amp;$CV29&amp;$C29,REF!$K$2:$K$90,REF!E$2:E$90)</f>
        <v>SKILLED NURSING</v>
      </c>
      <c r="DG29" s="82" t="str">
        <f>_xlfn.XLOOKUP($CU29&amp;"-"&amp;$CV29&amp;$C29,REF!$K$2:$K$90,REF!F$2:F$90)</f>
        <v>Forest View</v>
      </c>
      <c r="DH29" s="93" cm="1">
        <f t="array" ref="DH29">IF(DH$5&lt;=$CX29,INDEX($AF29:$AQ29,1,_xlfn.XMATCH(DH$5,$BS29:$CD29)),"na")</f>
        <v>0</v>
      </c>
      <c r="DI29" s="90" t="str" cm="1">
        <f t="array" ref="DI29">IF(DI$5&lt;=$CX29,INDEX($AS29:$BD29,1,_xlfn.XMATCH(DI$5,$BS29:$CD29)),"na")</f>
        <v>na</v>
      </c>
      <c r="DJ29" s="91" t="str" cm="1">
        <f t="array" ref="DJ29">IF(DJ$5&lt;=$CY29,INDEX($BF29:$BQ29,1,_xlfn.XMATCH(DJ$5,$CF29:$CQ29)),"na")</f>
        <v>na</v>
      </c>
      <c r="DK29" s="101" t="str">
        <f t="shared" si="83"/>
        <v>Hospice</v>
      </c>
      <c r="DL29" s="101" t="str">
        <f t="shared" si="48"/>
        <v>Hospice - Private Pay</v>
      </c>
      <c r="DM29" s="101" t="str">
        <f t="shared" si="49"/>
        <v>SPRINGHILL</v>
      </c>
      <c r="DN29" s="101" t="str">
        <f t="shared" si="50"/>
        <v>SKILLED NURSING</v>
      </c>
      <c r="DO29" s="101" t="str">
        <f t="shared" si="51"/>
        <v>Forest View</v>
      </c>
      <c r="DP29" s="93" t="str" cm="1">
        <f t="array" ref="DP29">IF(DP$5&lt;=$CX29,INDEX($AF29:$AQ29,1,_xlfn.XMATCH(DP$5,$BS29:$CD29)),"na")</f>
        <v>na</v>
      </c>
      <c r="DQ29" s="90" t="str" cm="1">
        <f t="array" ref="DQ29">IF(DQ$5&lt;=$CX29,INDEX($AS29:$BD29,1,_xlfn.XMATCH(DQ$5,$BS29:$CD29)),"na")</f>
        <v>na</v>
      </c>
      <c r="DR29" s="91" t="str" cm="1">
        <f t="array" ref="DR29">IF(DR$5&lt;=$CY29,INDEX($BF29:$BQ29,1,_xlfn.XMATCH(DR$5,$CF29:$CQ29)),"na")</f>
        <v>na</v>
      </c>
      <c r="DS29" s="101" t="str">
        <f t="shared" si="84"/>
        <v>Hospice</v>
      </c>
      <c r="DT29" s="101" t="str">
        <f t="shared" si="52"/>
        <v>Hospice - Private Pay</v>
      </c>
      <c r="DU29" s="101" t="str">
        <f t="shared" si="53"/>
        <v>SPRINGHILL</v>
      </c>
      <c r="DV29" s="101" t="str">
        <f t="shared" si="54"/>
        <v>SKILLED NURSING</v>
      </c>
      <c r="DW29" s="101" t="str">
        <f t="shared" si="55"/>
        <v>Forest View</v>
      </c>
      <c r="DX29" s="93" t="str" cm="1">
        <f t="array" ref="DX29">IF(DX$5&lt;=$CX29,INDEX($AF29:$AQ29,1,_xlfn.XMATCH(DX$5,$BS29:$CD29)),"na")</f>
        <v>na</v>
      </c>
      <c r="DY29" s="90" t="str" cm="1">
        <f t="array" ref="DY29">IF(DY$5&lt;=$CX29,INDEX($AS29:$BD29,1,_xlfn.XMATCH(DY$5,$BS29:$CD29)),"na")</f>
        <v>na</v>
      </c>
      <c r="DZ29" s="91" t="str" cm="1">
        <f t="array" ref="DZ29">IF(DZ$5&lt;=$CY29,INDEX($BF29:$BQ29,1,_xlfn.XMATCH(DZ$5,$CF29:$CQ29)),"na")</f>
        <v>na</v>
      </c>
      <c r="EA29" s="101" t="str">
        <f t="shared" si="85"/>
        <v>Hospice</v>
      </c>
      <c r="EB29" s="101" t="str">
        <f t="shared" si="56"/>
        <v>Hospice - Private Pay</v>
      </c>
      <c r="EC29" s="101" t="str">
        <f t="shared" si="57"/>
        <v>SPRINGHILL</v>
      </c>
      <c r="ED29" s="101" t="str">
        <f t="shared" si="58"/>
        <v>SKILLED NURSING</v>
      </c>
      <c r="EE29" s="101" t="str">
        <f t="shared" si="59"/>
        <v>Forest View</v>
      </c>
      <c r="EF29" s="93" t="str" cm="1">
        <f t="array" ref="EF29">IF(EF$5&lt;=$CX29,INDEX($AF29:$AQ29,1,_xlfn.XMATCH(EF$5,$BS29:$CD29)),"na")</f>
        <v>na</v>
      </c>
      <c r="EG29" s="90" t="str" cm="1">
        <f t="array" ref="EG29">IF(EG$5&lt;=$CX29,INDEX($AS29:$BD29,1,_xlfn.XMATCH(EG$5,$BS29:$CD29)),"na")</f>
        <v>na</v>
      </c>
      <c r="EH29" s="91" t="str" cm="1">
        <f t="array" ref="EH29">IF(EH$5&lt;=$CY29,INDEX($BF29:$BQ29,1,_xlfn.XMATCH(EH$5,$CF29:$CQ29)),"na")</f>
        <v>na</v>
      </c>
      <c r="EI29" s="101" t="str">
        <f t="shared" si="86"/>
        <v>Hospice</v>
      </c>
      <c r="EJ29" s="101" t="str">
        <f t="shared" si="60"/>
        <v>Hospice - Private Pay</v>
      </c>
      <c r="EK29" s="101" t="str">
        <f t="shared" si="61"/>
        <v>SPRINGHILL</v>
      </c>
      <c r="EL29" s="101" t="str">
        <f t="shared" si="62"/>
        <v>SKILLED NURSING</v>
      </c>
      <c r="EM29" s="101" t="str">
        <f t="shared" si="63"/>
        <v>Forest View</v>
      </c>
      <c r="EN29" s="93" t="str" cm="1">
        <f t="array" ref="EN29">IF(EN$5&lt;=$CX29,INDEX($AF29:$AQ29,1,_xlfn.XMATCH(EN$5,$BS29:$CD29)),"na")</f>
        <v>na</v>
      </c>
      <c r="EO29" s="90" t="str" cm="1">
        <f t="array" ref="EO29">IF(EO$5&lt;=$CX29,INDEX($AS29:$BD29,1,_xlfn.XMATCH(EO$5,$BS29:$CD29)),"na")</f>
        <v>na</v>
      </c>
      <c r="EP29" s="91" t="str" cm="1">
        <f t="array" ref="EP29">IF(EP$5&lt;=$CY29,INDEX($BF29:$BQ29,1,_xlfn.XMATCH(EP$5,$CF29:$CQ29)),"na")</f>
        <v>na</v>
      </c>
      <c r="EQ29" s="101" t="str">
        <f t="shared" si="87"/>
        <v>Hospice</v>
      </c>
      <c r="ER29" s="101" t="str">
        <f t="shared" si="64"/>
        <v>Hospice - Private Pay</v>
      </c>
      <c r="ES29" s="101" t="str">
        <f t="shared" si="65"/>
        <v>SPRINGHILL</v>
      </c>
      <c r="ET29" s="101" t="str">
        <f t="shared" si="66"/>
        <v>SKILLED NURSING</v>
      </c>
      <c r="EU29" s="101" t="str">
        <f t="shared" si="67"/>
        <v>Forest View</v>
      </c>
      <c r="EV29" s="93" t="str" cm="1">
        <f t="array" ref="EV29">IF(EV$5&lt;=$CX29,INDEX($AF29:$AQ29,1,_xlfn.XMATCH(EV$5,$BS29:$CD29)),"na")</f>
        <v>na</v>
      </c>
    </row>
    <row r="30" spans="1:152" x14ac:dyDescent="0.25">
      <c r="A30" s="59" t="s">
        <v>210</v>
      </c>
      <c r="B30" s="43" t="s">
        <v>200</v>
      </c>
      <c r="C30" s="43" t="s">
        <v>133</v>
      </c>
      <c r="D30" s="4">
        <v>129.71639999999999</v>
      </c>
      <c r="E30" s="4">
        <v>73.92</v>
      </c>
      <c r="F30" s="4">
        <v>92.07</v>
      </c>
      <c r="G30" s="4">
        <v>125.532</v>
      </c>
      <c r="H30" s="4">
        <v>153.45000000000002</v>
      </c>
      <c r="I30" s="4">
        <v>125.532</v>
      </c>
      <c r="J30" s="4">
        <v>129.71639999999999</v>
      </c>
      <c r="K30" s="4">
        <v>129.71639999999999</v>
      </c>
      <c r="L30" s="4">
        <v>125.532</v>
      </c>
      <c r="M30" s="4">
        <v>129.71639999999999</v>
      </c>
      <c r="N30" s="4">
        <v>125.532</v>
      </c>
      <c r="O30" s="4">
        <v>129.71639999999999</v>
      </c>
      <c r="Q30" t="s">
        <v>199</v>
      </c>
      <c r="R30" t="s">
        <v>292</v>
      </c>
      <c r="S30" s="74">
        <f>S22/S14</f>
        <v>0</v>
      </c>
      <c r="T30" s="74">
        <f t="shared" ref="T30:AD30" si="94">T22/T14</f>
        <v>0</v>
      </c>
      <c r="U30" s="74">
        <f t="shared" si="94"/>
        <v>0</v>
      </c>
      <c r="V30" s="74">
        <f t="shared" si="94"/>
        <v>0</v>
      </c>
      <c r="W30" s="74">
        <f t="shared" si="94"/>
        <v>0</v>
      </c>
      <c r="X30" s="74">
        <f t="shared" si="94"/>
        <v>0</v>
      </c>
      <c r="Y30" s="74">
        <f t="shared" si="94"/>
        <v>0</v>
      </c>
      <c r="Z30" s="74">
        <f t="shared" si="94"/>
        <v>0</v>
      </c>
      <c r="AA30" s="74">
        <f t="shared" si="94"/>
        <v>0</v>
      </c>
      <c r="AB30" s="74">
        <f t="shared" si="94"/>
        <v>0</v>
      </c>
      <c r="AC30" s="74">
        <f t="shared" si="94"/>
        <v>0</v>
      </c>
      <c r="AD30" s="74">
        <f t="shared" si="94"/>
        <v>0</v>
      </c>
      <c r="AF30" s="7">
        <f t="shared" si="22"/>
        <v>4.1844000000000001</v>
      </c>
      <c r="AG30" s="7">
        <f t="shared" si="23"/>
        <v>2.64</v>
      </c>
      <c r="AH30" s="7">
        <f t="shared" si="24"/>
        <v>2.9699999999999998</v>
      </c>
      <c r="AI30" s="7">
        <f t="shared" si="25"/>
        <v>4.1844000000000001</v>
      </c>
      <c r="AJ30" s="7">
        <f t="shared" si="26"/>
        <v>4.95</v>
      </c>
      <c r="AK30" s="7">
        <f t="shared" si="27"/>
        <v>4.1844000000000001</v>
      </c>
      <c r="AL30" s="7">
        <f t="shared" si="28"/>
        <v>4.1844000000000001</v>
      </c>
      <c r="AM30" s="7">
        <f t="shared" si="29"/>
        <v>4.1844000000000001</v>
      </c>
      <c r="AN30" s="7">
        <f t="shared" si="30"/>
        <v>4.1844000000000001</v>
      </c>
      <c r="AO30" s="7">
        <f t="shared" si="31"/>
        <v>4.1844000000000001</v>
      </c>
      <c r="AP30" s="7">
        <f t="shared" si="32"/>
        <v>4.1844000000000001</v>
      </c>
      <c r="AQ30" s="7">
        <f t="shared" si="33"/>
        <v>4.1844000000000001</v>
      </c>
      <c r="AS30" s="86">
        <f>_xlfn.XLOOKUP(AS$5,'OC-Days'!$G:$G,'OC-Days'!$F:$F)</f>
        <v>45658</v>
      </c>
      <c r="AT30" s="87">
        <f>IF(AG30=AF30,"na",_xlfn.XLOOKUP(AT$5,'OC-Days'!$G:$G,'OC-Days'!$F:$F))</f>
        <v>45689</v>
      </c>
      <c r="AU30" s="87">
        <f>IF(AH30=AG30,"na",_xlfn.XLOOKUP(AU$5,'OC-Days'!$G:$G,'OC-Days'!$F:$F))</f>
        <v>45717</v>
      </c>
      <c r="AV30" s="87">
        <f>IF(AI30=AH30,"na",_xlfn.XLOOKUP(AV$5,'OC-Days'!$G:$G,'OC-Days'!$F:$F))</f>
        <v>45748</v>
      </c>
      <c r="AW30" s="87">
        <f>IF(AJ30=AI30,"na",_xlfn.XLOOKUP(AW$5,'OC-Days'!$G:$G,'OC-Days'!$F:$F))</f>
        <v>45778</v>
      </c>
      <c r="AX30" s="87">
        <f>IF(AK30=AJ30,"na",_xlfn.XLOOKUP(AX$5,'OC-Days'!$G:$G,'OC-Days'!$F:$F))</f>
        <v>45809</v>
      </c>
      <c r="AY30" s="87" t="str">
        <f>IF(AL30=AK30,"na",_xlfn.XLOOKUP(AY$5,'OC-Days'!$G:$G,'OC-Days'!$F:$F))</f>
        <v>na</v>
      </c>
      <c r="AZ30" s="87" t="str">
        <f>IF(AM30=AL30,"na",_xlfn.XLOOKUP(AZ$5,'OC-Days'!$G:$G,'OC-Days'!$F:$F))</f>
        <v>na</v>
      </c>
      <c r="BA30" s="87" t="str">
        <f>IF(AN30=AM30,"na",_xlfn.XLOOKUP(BA$5,'OC-Days'!$G:$G,'OC-Days'!$F:$F))</f>
        <v>na</v>
      </c>
      <c r="BB30" s="87" t="str">
        <f>IF(AO30=AN30,"na",_xlfn.XLOOKUP(BB$5,'OC-Days'!$G:$G,'OC-Days'!$F:$F))</f>
        <v>na</v>
      </c>
      <c r="BC30" s="87" t="str">
        <f>IF(AP30=AO30,"na",_xlfn.XLOOKUP(BC$5,'OC-Days'!$G:$G,'OC-Days'!$F:$F))</f>
        <v>na</v>
      </c>
      <c r="BD30" s="87" t="str">
        <f>IF(AQ30=AP30,"na",_xlfn.XLOOKUP(BD$5,'OC-Days'!$G:$G,'OC-Days'!$F:$F))</f>
        <v>na</v>
      </c>
      <c r="BF30" s="88">
        <f t="shared" si="68"/>
        <v>45688</v>
      </c>
      <c r="BG30" s="88">
        <f t="shared" si="69"/>
        <v>45716</v>
      </c>
      <c r="BH30" s="88">
        <f t="shared" si="70"/>
        <v>45747</v>
      </c>
      <c r="BI30" s="88">
        <f t="shared" si="71"/>
        <v>45777</v>
      </c>
      <c r="BJ30" s="88">
        <f t="shared" si="72"/>
        <v>45808</v>
      </c>
      <c r="BK30" s="88" t="str">
        <f t="shared" si="73"/>
        <v>na</v>
      </c>
      <c r="BL30" s="88" t="str">
        <f t="shared" si="74"/>
        <v>na</v>
      </c>
      <c r="BM30" s="88" t="str">
        <f t="shared" si="75"/>
        <v>na</v>
      </c>
      <c r="BN30" s="88" t="str">
        <f t="shared" si="76"/>
        <v>na</v>
      </c>
      <c r="BO30" s="88" t="str">
        <f t="shared" si="77"/>
        <v>na</v>
      </c>
      <c r="BP30" s="88" t="str">
        <f t="shared" si="78"/>
        <v>na</v>
      </c>
      <c r="BQ30" s="89">
        <f t="shared" si="79"/>
        <v>46022</v>
      </c>
      <c r="BS30">
        <f>COUNT($AS30:AS30)</f>
        <v>1</v>
      </c>
      <c r="BT30">
        <f>COUNT($AS30:AT30)</f>
        <v>2</v>
      </c>
      <c r="BU30">
        <f>COUNT($AS30:AU30)</f>
        <v>3</v>
      </c>
      <c r="BV30">
        <f>COUNT($AS30:AV30)</f>
        <v>4</v>
      </c>
      <c r="BW30">
        <f>COUNT($AS30:AW30)</f>
        <v>5</v>
      </c>
      <c r="BX30">
        <f>COUNT($AS30:AX30)</f>
        <v>6</v>
      </c>
      <c r="BY30">
        <f>COUNT($AS30:AY30)</f>
        <v>6</v>
      </c>
      <c r="BZ30">
        <f>COUNT($AS30:AZ30)</f>
        <v>6</v>
      </c>
      <c r="CA30">
        <f>COUNT($AS30:BA30)</f>
        <v>6</v>
      </c>
      <c r="CB30">
        <f>COUNT($AS30:BB30)</f>
        <v>6</v>
      </c>
      <c r="CC30">
        <f>COUNT($AS30:BC30)</f>
        <v>6</v>
      </c>
      <c r="CD30">
        <f>COUNT($AS30:BD30)</f>
        <v>6</v>
      </c>
      <c r="CF30">
        <f>COUNT($BF30:BF30)</f>
        <v>1</v>
      </c>
      <c r="CG30">
        <f>COUNT($BF30:BG30)</f>
        <v>2</v>
      </c>
      <c r="CH30">
        <f>COUNT($BF30:BH30)</f>
        <v>3</v>
      </c>
      <c r="CI30">
        <f>COUNT($BF30:BI30)</f>
        <v>4</v>
      </c>
      <c r="CJ30">
        <f>COUNT($BF30:BJ30)</f>
        <v>5</v>
      </c>
      <c r="CK30">
        <f>COUNT($BF30:BK30)</f>
        <v>5</v>
      </c>
      <c r="CL30">
        <f>COUNT($BF30:BL30)</f>
        <v>5</v>
      </c>
      <c r="CM30">
        <f>COUNT($BF30:BM30)</f>
        <v>5</v>
      </c>
      <c r="CN30">
        <f>COUNT($BF30:BN30)</f>
        <v>5</v>
      </c>
      <c r="CO30">
        <f>COUNT($BF30:BO30)</f>
        <v>5</v>
      </c>
      <c r="CP30">
        <f>COUNT($BF30:BP30)</f>
        <v>5</v>
      </c>
      <c r="CQ30">
        <f>COUNT($BF30:BQ30)</f>
        <v>6</v>
      </c>
      <c r="CS30" s="5">
        <f t="shared" si="45"/>
        <v>1</v>
      </c>
      <c r="CT30" s="100" t="str">
        <f t="shared" si="80"/>
        <v>81061Medicare A</v>
      </c>
      <c r="CU30" s="83">
        <f t="shared" si="46"/>
        <v>810</v>
      </c>
      <c r="CV30" s="83">
        <f t="shared" si="47"/>
        <v>61</v>
      </c>
      <c r="CX30">
        <f t="shared" si="81"/>
        <v>6</v>
      </c>
      <c r="CY30">
        <f t="shared" si="82"/>
        <v>6</v>
      </c>
      <c r="DA30" s="90" cm="1">
        <f t="array" ref="DA30">IF(DA$5&lt;=$CX30,INDEX($AS30:$BD30,1,_xlfn.XMATCH(DA$5,$BS30:$CD30)),"na")</f>
        <v>45658</v>
      </c>
      <c r="DB30" s="91" cm="1">
        <f t="array" ref="DB30">IF(DB$5&lt;=$CY30,INDEX($BF30:$BQ30,1,_xlfn.XMATCH(DB$5,$CF30:$CQ30)),"na")</f>
        <v>45688</v>
      </c>
      <c r="DC30" s="82" t="str">
        <f>_xlfn.XLOOKUP($CU30&amp;"-"&amp;$CV30&amp;$C30,REF!$K$2:$K$90,REF!B$2:B$90)</f>
        <v>MEDICAREA/MC HMO</v>
      </c>
      <c r="DD30" s="82" t="str">
        <f>_xlfn.XLOOKUP($CU30&amp;"-"&amp;$CV30&amp;$C30,REF!$K$2:$K$90,REF!C$2:C$90)</f>
        <v>MEDICARE A HIGHMARK</v>
      </c>
      <c r="DE30" s="82" t="str">
        <f>_xlfn.XLOOKUP($CU30&amp;"-"&amp;$CV30&amp;$C30,REF!$K$2:$K$90,REF!D$2:D$90)</f>
        <v>BETHANY VILLAGE</v>
      </c>
      <c r="DF30" s="82" t="str">
        <f>_xlfn.XLOOKUP($CU30&amp;"-"&amp;$CV30&amp;$C30,REF!$K$2:$K$90,REF!E$2:E$90)</f>
        <v>SKILLED NURSING</v>
      </c>
      <c r="DG30" s="82" t="str">
        <f>_xlfn.XLOOKUP($CU30&amp;"-"&amp;$CV30&amp;$C30,REF!$K$2:$K$90,REF!F$2:F$90)</f>
        <v>BETHANY VILLAGE - THE OAKS</v>
      </c>
      <c r="DH30" s="93" cm="1">
        <f t="array" ref="DH30">IF(DH$5&lt;=$CX30,INDEX($AF30:$AQ30,1,_xlfn.XMATCH(DH$5,$BS30:$CD30)),"na")</f>
        <v>4.1844000000000001</v>
      </c>
      <c r="DI30" s="90" cm="1">
        <f t="array" ref="DI30">IF(DI$5&lt;=$CX30,INDEX($AS30:$BD30,1,_xlfn.XMATCH(DI$5,$BS30:$CD30)),"na")</f>
        <v>45689</v>
      </c>
      <c r="DJ30" s="91" cm="1">
        <f t="array" ref="DJ30">IF(DJ$5&lt;=$CY30,INDEX($BF30:$BQ30,1,_xlfn.XMATCH(DJ$5,$CF30:$CQ30)),"na")</f>
        <v>45716</v>
      </c>
      <c r="DK30" s="101" t="str">
        <f t="shared" si="83"/>
        <v>MEDICAREA/MC HMO</v>
      </c>
      <c r="DL30" s="101" t="str">
        <f t="shared" si="48"/>
        <v>MEDICARE A HIGHMARK</v>
      </c>
      <c r="DM30" s="101" t="str">
        <f t="shared" si="49"/>
        <v>BETHANY VILLAGE</v>
      </c>
      <c r="DN30" s="101" t="str">
        <f t="shared" si="50"/>
        <v>SKILLED NURSING</v>
      </c>
      <c r="DO30" s="101" t="str">
        <f t="shared" si="51"/>
        <v>BETHANY VILLAGE - THE OAKS</v>
      </c>
      <c r="DP30" s="93" cm="1">
        <f t="array" ref="DP30">IF(DP$5&lt;=$CX30,INDEX($AF30:$AQ30,1,_xlfn.XMATCH(DP$5,$BS30:$CD30)),"na")</f>
        <v>2.64</v>
      </c>
      <c r="DQ30" s="90" cm="1">
        <f t="array" ref="DQ30">IF(DQ$5&lt;=$CX30,INDEX($AS30:$BD30,1,_xlfn.XMATCH(DQ$5,$BS30:$CD30)),"na")</f>
        <v>45717</v>
      </c>
      <c r="DR30" s="91" cm="1">
        <f t="array" ref="DR30">IF(DR$5&lt;=$CY30,INDEX($BF30:$BQ30,1,_xlfn.XMATCH(DR$5,$CF30:$CQ30)),"na")</f>
        <v>45747</v>
      </c>
      <c r="DS30" s="101" t="str">
        <f t="shared" si="84"/>
        <v>MEDICAREA/MC HMO</v>
      </c>
      <c r="DT30" s="101" t="str">
        <f t="shared" si="52"/>
        <v>MEDICARE A HIGHMARK</v>
      </c>
      <c r="DU30" s="101" t="str">
        <f t="shared" si="53"/>
        <v>BETHANY VILLAGE</v>
      </c>
      <c r="DV30" s="101" t="str">
        <f t="shared" si="54"/>
        <v>SKILLED NURSING</v>
      </c>
      <c r="DW30" s="101" t="str">
        <f t="shared" si="55"/>
        <v>BETHANY VILLAGE - THE OAKS</v>
      </c>
      <c r="DX30" s="93" cm="1">
        <f t="array" ref="DX30">IF(DX$5&lt;=$CX30,INDEX($AF30:$AQ30,1,_xlfn.XMATCH(DX$5,$BS30:$CD30)),"na")</f>
        <v>2.9699999999999998</v>
      </c>
      <c r="DY30" s="90" cm="1">
        <f t="array" ref="DY30">IF(DY$5&lt;=$CX30,INDEX($AS30:$BD30,1,_xlfn.XMATCH(DY$5,$BS30:$CD30)),"na")</f>
        <v>45748</v>
      </c>
      <c r="DZ30" s="91" cm="1">
        <f t="array" ref="DZ30">IF(DZ$5&lt;=$CY30,INDEX($BF30:$BQ30,1,_xlfn.XMATCH(DZ$5,$CF30:$CQ30)),"na")</f>
        <v>45777</v>
      </c>
      <c r="EA30" s="101" t="str">
        <f t="shared" si="85"/>
        <v>MEDICAREA/MC HMO</v>
      </c>
      <c r="EB30" s="101" t="str">
        <f t="shared" si="56"/>
        <v>MEDICARE A HIGHMARK</v>
      </c>
      <c r="EC30" s="101" t="str">
        <f t="shared" si="57"/>
        <v>BETHANY VILLAGE</v>
      </c>
      <c r="ED30" s="101" t="str">
        <f t="shared" si="58"/>
        <v>SKILLED NURSING</v>
      </c>
      <c r="EE30" s="101" t="str">
        <f t="shared" si="59"/>
        <v>BETHANY VILLAGE - THE OAKS</v>
      </c>
      <c r="EF30" s="93" cm="1">
        <f t="array" ref="EF30">IF(EF$5&lt;=$CX30,INDEX($AF30:$AQ30,1,_xlfn.XMATCH(EF$5,$BS30:$CD30)),"na")</f>
        <v>4.1844000000000001</v>
      </c>
      <c r="EG30" s="90" cm="1">
        <f t="array" ref="EG30">IF(EG$5&lt;=$CX30,INDEX($AS30:$BD30,1,_xlfn.XMATCH(EG$5,$BS30:$CD30)),"na")</f>
        <v>45778</v>
      </c>
      <c r="EH30" s="91" cm="1">
        <f t="array" ref="EH30">IF(EH$5&lt;=$CY30,INDEX($BF30:$BQ30,1,_xlfn.XMATCH(EH$5,$CF30:$CQ30)),"na")</f>
        <v>45808</v>
      </c>
      <c r="EI30" s="101" t="str">
        <f t="shared" si="86"/>
        <v>MEDICAREA/MC HMO</v>
      </c>
      <c r="EJ30" s="101" t="str">
        <f t="shared" si="60"/>
        <v>MEDICARE A HIGHMARK</v>
      </c>
      <c r="EK30" s="101" t="str">
        <f t="shared" si="61"/>
        <v>BETHANY VILLAGE</v>
      </c>
      <c r="EL30" s="101" t="str">
        <f t="shared" si="62"/>
        <v>SKILLED NURSING</v>
      </c>
      <c r="EM30" s="101" t="str">
        <f t="shared" si="63"/>
        <v>BETHANY VILLAGE - THE OAKS</v>
      </c>
      <c r="EN30" s="93" cm="1">
        <f t="array" ref="EN30">IF(EN$5&lt;=$CX30,INDEX($AF30:$AQ30,1,_xlfn.XMATCH(EN$5,$BS30:$CD30)),"na")</f>
        <v>4.95</v>
      </c>
      <c r="EO30" s="90" cm="1">
        <f t="array" ref="EO30">IF(EO$5&lt;=$CX30,INDEX($AS30:$BD30,1,_xlfn.XMATCH(EO$5,$BS30:$CD30)),"na")</f>
        <v>45809</v>
      </c>
      <c r="EP30" s="91" cm="1">
        <f t="array" ref="EP30">IF(EP$5&lt;=$CY30,INDEX($BF30:$BQ30,1,_xlfn.XMATCH(EP$5,$CF30:$CQ30)),"na")</f>
        <v>46022</v>
      </c>
      <c r="EQ30" s="101" t="str">
        <f t="shared" si="87"/>
        <v>MEDICAREA/MC HMO</v>
      </c>
      <c r="ER30" s="101" t="str">
        <f t="shared" si="64"/>
        <v>MEDICARE A HIGHMARK</v>
      </c>
      <c r="ES30" s="101" t="str">
        <f t="shared" si="65"/>
        <v>BETHANY VILLAGE</v>
      </c>
      <c r="ET30" s="101" t="str">
        <f t="shared" si="66"/>
        <v>SKILLED NURSING</v>
      </c>
      <c r="EU30" s="101" t="str">
        <f t="shared" si="67"/>
        <v>BETHANY VILLAGE - THE OAKS</v>
      </c>
      <c r="EV30" s="93" cm="1">
        <f t="array" ref="EV30">IF(EV$5&lt;=$CX30,INDEX($AF30:$AQ30,1,_xlfn.XMATCH(EV$5,$BS30:$CD30)),"na")</f>
        <v>4.1844000000000001</v>
      </c>
    </row>
    <row r="31" spans="1:152" x14ac:dyDescent="0.25">
      <c r="A31" s="59" t="s">
        <v>210</v>
      </c>
      <c r="B31" s="43" t="s">
        <v>201</v>
      </c>
      <c r="C31" s="43" t="s">
        <v>45</v>
      </c>
      <c r="D31" s="4">
        <v>74.678999999999988</v>
      </c>
      <c r="E31" s="4">
        <v>46.2</v>
      </c>
      <c r="F31" s="4">
        <v>74.678999999999988</v>
      </c>
      <c r="G31" s="4">
        <v>72.27</v>
      </c>
      <c r="H31" s="4">
        <v>66.495000000000005</v>
      </c>
      <c r="I31" s="4">
        <v>72.27</v>
      </c>
      <c r="J31" s="4">
        <v>74.678999999999988</v>
      </c>
      <c r="K31" s="4">
        <v>74.678999999999988</v>
      </c>
      <c r="L31" s="4">
        <v>72.27</v>
      </c>
      <c r="M31" s="4">
        <v>74.678999999999988</v>
      </c>
      <c r="N31" s="4">
        <v>72.27</v>
      </c>
      <c r="O31" s="4">
        <v>74.678999999999988</v>
      </c>
      <c r="Q31" t="s">
        <v>207</v>
      </c>
      <c r="R31" t="s">
        <v>292</v>
      </c>
      <c r="S31" s="74">
        <f t="shared" ref="S31:AD31" si="95">S23/S15</f>
        <v>0</v>
      </c>
      <c r="T31" s="74">
        <f t="shared" si="95"/>
        <v>0</v>
      </c>
      <c r="U31" s="74">
        <f t="shared" si="95"/>
        <v>0</v>
      </c>
      <c r="V31" s="74">
        <f t="shared" si="95"/>
        <v>0</v>
      </c>
      <c r="W31" s="74">
        <f t="shared" si="95"/>
        <v>0</v>
      </c>
      <c r="X31" s="74">
        <f t="shared" si="95"/>
        <v>0</v>
      </c>
      <c r="Y31" s="74">
        <f t="shared" si="95"/>
        <v>0</v>
      </c>
      <c r="Z31" s="74">
        <f t="shared" si="95"/>
        <v>0</v>
      </c>
      <c r="AA31" s="74">
        <f t="shared" si="95"/>
        <v>0</v>
      </c>
      <c r="AB31" s="74">
        <f t="shared" si="95"/>
        <v>0</v>
      </c>
      <c r="AC31" s="74">
        <f t="shared" si="95"/>
        <v>0</v>
      </c>
      <c r="AD31" s="74">
        <f t="shared" si="95"/>
        <v>0</v>
      </c>
      <c r="AF31" s="7">
        <f t="shared" si="22"/>
        <v>2.4089999999999998</v>
      </c>
      <c r="AG31" s="7">
        <f t="shared" si="23"/>
        <v>1.6500000000000001</v>
      </c>
      <c r="AH31" s="7">
        <f t="shared" si="24"/>
        <v>2.4089999999999998</v>
      </c>
      <c r="AI31" s="7">
        <f t="shared" si="25"/>
        <v>2.4089999999999998</v>
      </c>
      <c r="AJ31" s="7">
        <f t="shared" si="26"/>
        <v>2.145</v>
      </c>
      <c r="AK31" s="7">
        <f t="shared" si="27"/>
        <v>2.4089999999999998</v>
      </c>
      <c r="AL31" s="7">
        <f t="shared" si="28"/>
        <v>2.4089999999999998</v>
      </c>
      <c r="AM31" s="7">
        <f t="shared" si="29"/>
        <v>2.4089999999999998</v>
      </c>
      <c r="AN31" s="7">
        <f t="shared" si="30"/>
        <v>2.4089999999999998</v>
      </c>
      <c r="AO31" s="7">
        <f t="shared" si="31"/>
        <v>2.4089999999999998</v>
      </c>
      <c r="AP31" s="7">
        <f t="shared" si="32"/>
        <v>2.4089999999999998</v>
      </c>
      <c r="AQ31" s="7">
        <f t="shared" si="33"/>
        <v>2.4089999999999998</v>
      </c>
      <c r="AS31" s="86">
        <f>_xlfn.XLOOKUP(AS$5,'OC-Days'!$G:$G,'OC-Days'!$F:$F)</f>
        <v>45658</v>
      </c>
      <c r="AT31" s="87">
        <f>IF(AG31=AF31,"na",_xlfn.XLOOKUP(AT$5,'OC-Days'!$G:$G,'OC-Days'!$F:$F))</f>
        <v>45689</v>
      </c>
      <c r="AU31" s="87">
        <f>IF(AH31=AG31,"na",_xlfn.XLOOKUP(AU$5,'OC-Days'!$G:$G,'OC-Days'!$F:$F))</f>
        <v>45717</v>
      </c>
      <c r="AV31" s="87" t="str">
        <f>IF(AI31=AH31,"na",_xlfn.XLOOKUP(AV$5,'OC-Days'!$G:$G,'OC-Days'!$F:$F))</f>
        <v>na</v>
      </c>
      <c r="AW31" s="87">
        <f>IF(AJ31=AI31,"na",_xlfn.XLOOKUP(AW$5,'OC-Days'!$G:$G,'OC-Days'!$F:$F))</f>
        <v>45778</v>
      </c>
      <c r="AX31" s="87">
        <f>IF(AK31=AJ31,"na",_xlfn.XLOOKUP(AX$5,'OC-Days'!$G:$G,'OC-Days'!$F:$F))</f>
        <v>45809</v>
      </c>
      <c r="AY31" s="87" t="str">
        <f>IF(AL31=AK31,"na",_xlfn.XLOOKUP(AY$5,'OC-Days'!$G:$G,'OC-Days'!$F:$F))</f>
        <v>na</v>
      </c>
      <c r="AZ31" s="87" t="str">
        <f>IF(AM31=AL31,"na",_xlfn.XLOOKUP(AZ$5,'OC-Days'!$G:$G,'OC-Days'!$F:$F))</f>
        <v>na</v>
      </c>
      <c r="BA31" s="87" t="str">
        <f>IF(AN31=AM31,"na",_xlfn.XLOOKUP(BA$5,'OC-Days'!$G:$G,'OC-Days'!$F:$F))</f>
        <v>na</v>
      </c>
      <c r="BB31" s="87" t="str">
        <f>IF(AO31=AN31,"na",_xlfn.XLOOKUP(BB$5,'OC-Days'!$G:$G,'OC-Days'!$F:$F))</f>
        <v>na</v>
      </c>
      <c r="BC31" s="87" t="str">
        <f>IF(AP31=AO31,"na",_xlfn.XLOOKUP(BC$5,'OC-Days'!$G:$G,'OC-Days'!$F:$F))</f>
        <v>na</v>
      </c>
      <c r="BD31" s="87" t="str">
        <f>IF(AQ31=AP31,"na",_xlfn.XLOOKUP(BD$5,'OC-Days'!$G:$G,'OC-Days'!$F:$F))</f>
        <v>na</v>
      </c>
      <c r="BF31" s="88">
        <f t="shared" si="68"/>
        <v>45688</v>
      </c>
      <c r="BG31" s="88">
        <f t="shared" si="69"/>
        <v>45716</v>
      </c>
      <c r="BH31" s="88" t="str">
        <f t="shared" si="70"/>
        <v>na</v>
      </c>
      <c r="BI31" s="88">
        <f t="shared" si="71"/>
        <v>45777</v>
      </c>
      <c r="BJ31" s="88">
        <f t="shared" si="72"/>
        <v>45808</v>
      </c>
      <c r="BK31" s="88" t="str">
        <f t="shared" si="73"/>
        <v>na</v>
      </c>
      <c r="BL31" s="88" t="str">
        <f t="shared" si="74"/>
        <v>na</v>
      </c>
      <c r="BM31" s="88" t="str">
        <f t="shared" si="75"/>
        <v>na</v>
      </c>
      <c r="BN31" s="88" t="str">
        <f t="shared" si="76"/>
        <v>na</v>
      </c>
      <c r="BO31" s="88" t="str">
        <f t="shared" si="77"/>
        <v>na</v>
      </c>
      <c r="BP31" s="88" t="str">
        <f t="shared" si="78"/>
        <v>na</v>
      </c>
      <c r="BQ31" s="89">
        <f t="shared" si="79"/>
        <v>46022</v>
      </c>
      <c r="BS31">
        <f>COUNT($AS31:AS31)</f>
        <v>1</v>
      </c>
      <c r="BT31">
        <f>COUNT($AS31:AT31)</f>
        <v>2</v>
      </c>
      <c r="BU31">
        <f>COUNT($AS31:AU31)</f>
        <v>3</v>
      </c>
      <c r="BV31">
        <f>COUNT($AS31:AV31)</f>
        <v>3</v>
      </c>
      <c r="BW31">
        <f>COUNT($AS31:AW31)</f>
        <v>4</v>
      </c>
      <c r="BX31">
        <f>COUNT($AS31:AX31)</f>
        <v>5</v>
      </c>
      <c r="BY31">
        <f>COUNT($AS31:AY31)</f>
        <v>5</v>
      </c>
      <c r="BZ31">
        <f>COUNT($AS31:AZ31)</f>
        <v>5</v>
      </c>
      <c r="CA31">
        <f>COUNT($AS31:BA31)</f>
        <v>5</v>
      </c>
      <c r="CB31">
        <f>COUNT($AS31:BB31)</f>
        <v>5</v>
      </c>
      <c r="CC31">
        <f>COUNT($AS31:BC31)</f>
        <v>5</v>
      </c>
      <c r="CD31">
        <f>COUNT($AS31:BD31)</f>
        <v>5</v>
      </c>
      <c r="CF31">
        <f>COUNT($BF31:BF31)</f>
        <v>1</v>
      </c>
      <c r="CG31">
        <f>COUNT($BF31:BG31)</f>
        <v>2</v>
      </c>
      <c r="CH31">
        <f>COUNT($BF31:BH31)</f>
        <v>2</v>
      </c>
      <c r="CI31">
        <f>COUNT($BF31:BI31)</f>
        <v>3</v>
      </c>
      <c r="CJ31">
        <f>COUNT($BF31:BJ31)</f>
        <v>4</v>
      </c>
      <c r="CK31">
        <f>COUNT($BF31:BK31)</f>
        <v>4</v>
      </c>
      <c r="CL31">
        <f>COUNT($BF31:BL31)</f>
        <v>4</v>
      </c>
      <c r="CM31">
        <f>COUNT($BF31:BM31)</f>
        <v>4</v>
      </c>
      <c r="CN31">
        <f>COUNT($BF31:BN31)</f>
        <v>4</v>
      </c>
      <c r="CO31">
        <f>COUNT($BF31:BO31)</f>
        <v>4</v>
      </c>
      <c r="CP31">
        <f>COUNT($BF31:BP31)</f>
        <v>4</v>
      </c>
      <c r="CQ31">
        <f>COUNT($BF31:BQ31)</f>
        <v>5</v>
      </c>
      <c r="CS31" s="5">
        <f t="shared" si="45"/>
        <v>1</v>
      </c>
      <c r="CT31" s="100" t="str">
        <f t="shared" si="80"/>
        <v>81061Medicare Advantage</v>
      </c>
      <c r="CU31" s="83">
        <f t="shared" si="46"/>
        <v>810</v>
      </c>
      <c r="CV31" s="83">
        <f t="shared" si="47"/>
        <v>61</v>
      </c>
      <c r="CX31">
        <f t="shared" si="81"/>
        <v>5</v>
      </c>
      <c r="CY31">
        <f t="shared" si="82"/>
        <v>5</v>
      </c>
      <c r="DA31" s="90" cm="1">
        <f t="array" ref="DA31">IF(DA$5&lt;=$CX31,INDEX($AS31:$BD31,1,_xlfn.XMATCH(DA$5,$BS31:$CD31)),"na")</f>
        <v>45658</v>
      </c>
      <c r="DB31" s="91" cm="1">
        <f t="array" ref="DB31">IF(DB$5&lt;=$CY31,INDEX($BF31:$BQ31,1,_xlfn.XMATCH(DB$5,$CF31:$CQ31)),"na")</f>
        <v>45688</v>
      </c>
      <c r="DC31" s="82" t="str">
        <f>_xlfn.XLOOKUP($CU31&amp;"-"&amp;$CV31&amp;$C31,REF!$K$2:$K$90,REF!B$2:B$90)</f>
        <v>Medicare Advantage</v>
      </c>
      <c r="DD31" s="82" t="str">
        <f>_xlfn.XLOOKUP($CU31&amp;"-"&amp;$CV31&amp;$C31,REF!$K$2:$K$90,REF!C$2:C$90)</f>
        <v>Med Adv HMO A</v>
      </c>
      <c r="DE31" s="82" t="str">
        <f>_xlfn.XLOOKUP($CU31&amp;"-"&amp;$CV31&amp;$C31,REF!$K$2:$K$90,REF!D$2:D$90)</f>
        <v>BETHANY VILLAGE</v>
      </c>
      <c r="DF31" s="82" t="str">
        <f>_xlfn.XLOOKUP($CU31&amp;"-"&amp;$CV31&amp;$C31,REF!$K$2:$K$90,REF!E$2:E$90)</f>
        <v>SKILLED NURSING</v>
      </c>
      <c r="DG31" s="82" t="str">
        <f>_xlfn.XLOOKUP($CU31&amp;"-"&amp;$CV31&amp;$C31,REF!$K$2:$K$90,REF!F$2:F$90)</f>
        <v>BETHANY VILLAGE - THE OAKS</v>
      </c>
      <c r="DH31" s="93" cm="1">
        <f t="array" ref="DH31">IF(DH$5&lt;=$CX31,INDEX($AF31:$AQ31,1,_xlfn.XMATCH(DH$5,$BS31:$CD31)),"na")</f>
        <v>2.4089999999999998</v>
      </c>
      <c r="DI31" s="90" cm="1">
        <f t="array" ref="DI31">IF(DI$5&lt;=$CX31,INDEX($AS31:$BD31,1,_xlfn.XMATCH(DI$5,$BS31:$CD31)),"na")</f>
        <v>45689</v>
      </c>
      <c r="DJ31" s="91" cm="1">
        <f t="array" ref="DJ31">IF(DJ$5&lt;=$CY31,INDEX($BF31:$BQ31,1,_xlfn.XMATCH(DJ$5,$CF31:$CQ31)),"na")</f>
        <v>45716</v>
      </c>
      <c r="DK31" s="101" t="str">
        <f t="shared" si="83"/>
        <v>Medicare Advantage</v>
      </c>
      <c r="DL31" s="101" t="str">
        <f t="shared" si="48"/>
        <v>Med Adv HMO A</v>
      </c>
      <c r="DM31" s="101" t="str">
        <f t="shared" si="49"/>
        <v>BETHANY VILLAGE</v>
      </c>
      <c r="DN31" s="101" t="str">
        <f t="shared" si="50"/>
        <v>SKILLED NURSING</v>
      </c>
      <c r="DO31" s="101" t="str">
        <f t="shared" si="51"/>
        <v>BETHANY VILLAGE - THE OAKS</v>
      </c>
      <c r="DP31" s="93" cm="1">
        <f t="array" ref="DP31">IF(DP$5&lt;=$CX31,INDEX($AF31:$AQ31,1,_xlfn.XMATCH(DP$5,$BS31:$CD31)),"na")</f>
        <v>1.6500000000000001</v>
      </c>
      <c r="DQ31" s="90" cm="1">
        <f t="array" ref="DQ31">IF(DQ$5&lt;=$CX31,INDEX($AS31:$BD31,1,_xlfn.XMATCH(DQ$5,$BS31:$CD31)),"na")</f>
        <v>45717</v>
      </c>
      <c r="DR31" s="91" cm="1">
        <f t="array" ref="DR31">IF(DR$5&lt;=$CY31,INDEX($BF31:$BQ31,1,_xlfn.XMATCH(DR$5,$CF31:$CQ31)),"na")</f>
        <v>45777</v>
      </c>
      <c r="DS31" s="101" t="str">
        <f t="shared" si="84"/>
        <v>Medicare Advantage</v>
      </c>
      <c r="DT31" s="101" t="str">
        <f t="shared" si="52"/>
        <v>Med Adv HMO A</v>
      </c>
      <c r="DU31" s="101" t="str">
        <f t="shared" si="53"/>
        <v>BETHANY VILLAGE</v>
      </c>
      <c r="DV31" s="101" t="str">
        <f t="shared" si="54"/>
        <v>SKILLED NURSING</v>
      </c>
      <c r="DW31" s="101" t="str">
        <f t="shared" si="55"/>
        <v>BETHANY VILLAGE - THE OAKS</v>
      </c>
      <c r="DX31" s="93" cm="1">
        <f t="array" ref="DX31">IF(DX$5&lt;=$CX31,INDEX($AF31:$AQ31,1,_xlfn.XMATCH(DX$5,$BS31:$CD31)),"na")</f>
        <v>2.4089999999999998</v>
      </c>
      <c r="DY31" s="90" cm="1">
        <f t="array" ref="DY31">IF(DY$5&lt;=$CX31,INDEX($AS31:$BD31,1,_xlfn.XMATCH(DY$5,$BS31:$CD31)),"na")</f>
        <v>45778</v>
      </c>
      <c r="DZ31" s="91" cm="1">
        <f t="array" ref="DZ31">IF(DZ$5&lt;=$CY31,INDEX($BF31:$BQ31,1,_xlfn.XMATCH(DZ$5,$CF31:$CQ31)),"na")</f>
        <v>45808</v>
      </c>
      <c r="EA31" s="101" t="str">
        <f t="shared" si="85"/>
        <v>Medicare Advantage</v>
      </c>
      <c r="EB31" s="101" t="str">
        <f t="shared" si="56"/>
        <v>Med Adv HMO A</v>
      </c>
      <c r="EC31" s="101" t="str">
        <f t="shared" si="57"/>
        <v>BETHANY VILLAGE</v>
      </c>
      <c r="ED31" s="101" t="str">
        <f t="shared" si="58"/>
        <v>SKILLED NURSING</v>
      </c>
      <c r="EE31" s="101" t="str">
        <f t="shared" si="59"/>
        <v>BETHANY VILLAGE - THE OAKS</v>
      </c>
      <c r="EF31" s="93" cm="1">
        <f t="array" ref="EF31">IF(EF$5&lt;=$CX31,INDEX($AF31:$AQ31,1,_xlfn.XMATCH(EF$5,$BS31:$CD31)),"na")</f>
        <v>2.145</v>
      </c>
      <c r="EG31" s="90" cm="1">
        <f t="array" ref="EG31">IF(EG$5&lt;=$CX31,INDEX($AS31:$BD31,1,_xlfn.XMATCH(EG$5,$BS31:$CD31)),"na")</f>
        <v>45809</v>
      </c>
      <c r="EH31" s="91" cm="1">
        <f t="array" ref="EH31">IF(EH$5&lt;=$CY31,INDEX($BF31:$BQ31,1,_xlfn.XMATCH(EH$5,$CF31:$CQ31)),"na")</f>
        <v>46022</v>
      </c>
      <c r="EI31" s="101" t="str">
        <f t="shared" si="86"/>
        <v>Medicare Advantage</v>
      </c>
      <c r="EJ31" s="101" t="str">
        <f t="shared" si="60"/>
        <v>Med Adv HMO A</v>
      </c>
      <c r="EK31" s="101" t="str">
        <f t="shared" si="61"/>
        <v>BETHANY VILLAGE</v>
      </c>
      <c r="EL31" s="101" t="str">
        <f t="shared" si="62"/>
        <v>SKILLED NURSING</v>
      </c>
      <c r="EM31" s="101" t="str">
        <f t="shared" si="63"/>
        <v>BETHANY VILLAGE - THE OAKS</v>
      </c>
      <c r="EN31" s="93" cm="1">
        <f t="array" ref="EN31">IF(EN$5&lt;=$CX31,INDEX($AF31:$AQ31,1,_xlfn.XMATCH(EN$5,$BS31:$CD31)),"na")</f>
        <v>2.4089999999999998</v>
      </c>
      <c r="EO31" s="90" t="str" cm="1">
        <f t="array" ref="EO31">IF(EO$5&lt;=$CX31,INDEX($AS31:$BD31,1,_xlfn.XMATCH(EO$5,$BS31:$CD31)),"na")</f>
        <v>na</v>
      </c>
      <c r="EP31" s="91" t="str" cm="1">
        <f t="array" ref="EP31">IF(EP$5&lt;=$CY31,INDEX($BF31:$BQ31,1,_xlfn.XMATCH(EP$5,$CF31:$CQ31)),"na")</f>
        <v>na</v>
      </c>
      <c r="EQ31" s="101" t="str">
        <f t="shared" si="87"/>
        <v>Medicare Advantage</v>
      </c>
      <c r="ER31" s="101" t="str">
        <f t="shared" si="64"/>
        <v>Med Adv HMO A</v>
      </c>
      <c r="ES31" s="101" t="str">
        <f t="shared" si="65"/>
        <v>BETHANY VILLAGE</v>
      </c>
      <c r="ET31" s="101" t="str">
        <f t="shared" si="66"/>
        <v>SKILLED NURSING</v>
      </c>
      <c r="EU31" s="101" t="str">
        <f t="shared" si="67"/>
        <v>BETHANY VILLAGE - THE OAKS</v>
      </c>
      <c r="EV31" s="93" t="str" cm="1">
        <f t="array" ref="EV31">IF(EV$5&lt;=$CX31,INDEX($AF31:$AQ31,1,_xlfn.XMATCH(EV$5,$BS31:$CD31)),"na")</f>
        <v>na</v>
      </c>
    </row>
    <row r="32" spans="1:152" x14ac:dyDescent="0.25">
      <c r="A32" s="59" t="s">
        <v>210</v>
      </c>
      <c r="B32" s="43" t="s">
        <v>202</v>
      </c>
      <c r="C32" s="43" t="s">
        <v>89</v>
      </c>
      <c r="D32" s="4">
        <v>609.50340000000006</v>
      </c>
      <c r="E32" s="4">
        <v>550.51919999999996</v>
      </c>
      <c r="F32" s="4">
        <v>593.33999999999992</v>
      </c>
      <c r="G32" s="4">
        <v>564.29999999999995</v>
      </c>
      <c r="H32" s="4">
        <v>599.47799999999995</v>
      </c>
      <c r="I32" s="4">
        <v>589.84199999999998</v>
      </c>
      <c r="J32" s="4">
        <v>609.50340000000006</v>
      </c>
      <c r="K32" s="4">
        <v>609.50340000000006</v>
      </c>
      <c r="L32" s="4">
        <v>589.84199999999998</v>
      </c>
      <c r="M32" s="4">
        <v>609.50340000000006</v>
      </c>
      <c r="N32" s="4">
        <v>589.84199999999998</v>
      </c>
      <c r="O32" s="4">
        <v>609.50340000000006</v>
      </c>
      <c r="Q32" t="s">
        <v>208</v>
      </c>
      <c r="R32" t="s">
        <v>292</v>
      </c>
      <c r="S32" s="74">
        <f t="shared" ref="S32:AD32" si="96">S24/S16</f>
        <v>0</v>
      </c>
      <c r="T32" s="74">
        <f t="shared" si="96"/>
        <v>0</v>
      </c>
      <c r="U32" s="74">
        <f t="shared" si="96"/>
        <v>0</v>
      </c>
      <c r="V32" s="74">
        <f t="shared" si="96"/>
        <v>0</v>
      </c>
      <c r="W32" s="74">
        <f t="shared" si="96"/>
        <v>0</v>
      </c>
      <c r="X32" s="74">
        <f t="shared" si="96"/>
        <v>0</v>
      </c>
      <c r="Y32" s="74">
        <f t="shared" si="96"/>
        <v>0</v>
      </c>
      <c r="Z32" s="74">
        <f t="shared" si="96"/>
        <v>0</v>
      </c>
      <c r="AA32" s="74">
        <f t="shared" si="96"/>
        <v>0</v>
      </c>
      <c r="AB32" s="74">
        <f t="shared" si="96"/>
        <v>0</v>
      </c>
      <c r="AC32" s="74">
        <f t="shared" si="96"/>
        <v>0</v>
      </c>
      <c r="AD32" s="74">
        <f t="shared" si="96"/>
        <v>0</v>
      </c>
      <c r="AF32" s="7">
        <f t="shared" si="22"/>
        <v>19.6614</v>
      </c>
      <c r="AG32" s="7">
        <f t="shared" si="23"/>
        <v>19.661399999999997</v>
      </c>
      <c r="AH32" s="7">
        <f t="shared" si="24"/>
        <v>19.139999999999997</v>
      </c>
      <c r="AI32" s="7">
        <f t="shared" si="25"/>
        <v>18.809999999999999</v>
      </c>
      <c r="AJ32" s="7">
        <f t="shared" si="26"/>
        <v>19.337999999999997</v>
      </c>
      <c r="AK32" s="7">
        <f t="shared" si="27"/>
        <v>19.6614</v>
      </c>
      <c r="AL32" s="7">
        <f t="shared" si="28"/>
        <v>19.6614</v>
      </c>
      <c r="AM32" s="7">
        <f t="shared" si="29"/>
        <v>19.6614</v>
      </c>
      <c r="AN32" s="7">
        <f t="shared" si="30"/>
        <v>19.6614</v>
      </c>
      <c r="AO32" s="7">
        <f t="shared" si="31"/>
        <v>19.6614</v>
      </c>
      <c r="AP32" s="7">
        <f t="shared" si="32"/>
        <v>19.6614</v>
      </c>
      <c r="AQ32" s="7">
        <f t="shared" si="33"/>
        <v>19.6614</v>
      </c>
      <c r="AS32" s="86">
        <f>_xlfn.XLOOKUP(AS$5,'OC-Days'!$G:$G,'OC-Days'!$F:$F)</f>
        <v>45658</v>
      </c>
      <c r="AT32" s="87" t="str">
        <f>IF(AG32=AF32,"na",_xlfn.XLOOKUP(AT$5,'OC-Days'!$G:$G,'OC-Days'!$F:$F))</f>
        <v>na</v>
      </c>
      <c r="AU32" s="87">
        <f>IF(AH32=AG32,"na",_xlfn.XLOOKUP(AU$5,'OC-Days'!$G:$G,'OC-Days'!$F:$F))</f>
        <v>45717</v>
      </c>
      <c r="AV32" s="87">
        <f>IF(AI32=AH32,"na",_xlfn.XLOOKUP(AV$5,'OC-Days'!$G:$G,'OC-Days'!$F:$F))</f>
        <v>45748</v>
      </c>
      <c r="AW32" s="87">
        <f>IF(AJ32=AI32,"na",_xlfn.XLOOKUP(AW$5,'OC-Days'!$G:$G,'OC-Days'!$F:$F))</f>
        <v>45778</v>
      </c>
      <c r="AX32" s="87">
        <f>IF(AK32=AJ32,"na",_xlfn.XLOOKUP(AX$5,'OC-Days'!$G:$G,'OC-Days'!$F:$F))</f>
        <v>45809</v>
      </c>
      <c r="AY32" s="87" t="str">
        <f>IF(AL32=AK32,"na",_xlfn.XLOOKUP(AY$5,'OC-Days'!$G:$G,'OC-Days'!$F:$F))</f>
        <v>na</v>
      </c>
      <c r="AZ32" s="87" t="str">
        <f>IF(AM32=AL32,"na",_xlfn.XLOOKUP(AZ$5,'OC-Days'!$G:$G,'OC-Days'!$F:$F))</f>
        <v>na</v>
      </c>
      <c r="BA32" s="87" t="str">
        <f>IF(AN32=AM32,"na",_xlfn.XLOOKUP(BA$5,'OC-Days'!$G:$G,'OC-Days'!$F:$F))</f>
        <v>na</v>
      </c>
      <c r="BB32" s="87" t="str">
        <f>IF(AO32=AN32,"na",_xlfn.XLOOKUP(BB$5,'OC-Days'!$G:$G,'OC-Days'!$F:$F))</f>
        <v>na</v>
      </c>
      <c r="BC32" s="87" t="str">
        <f>IF(AP32=AO32,"na",_xlfn.XLOOKUP(BC$5,'OC-Days'!$G:$G,'OC-Days'!$F:$F))</f>
        <v>na</v>
      </c>
      <c r="BD32" s="87" t="str">
        <f>IF(AQ32=AP32,"na",_xlfn.XLOOKUP(BD$5,'OC-Days'!$G:$G,'OC-Days'!$F:$F))</f>
        <v>na</v>
      </c>
      <c r="BF32" s="88" t="str">
        <f t="shared" si="68"/>
        <v>na</v>
      </c>
      <c r="BG32" s="88">
        <f t="shared" si="69"/>
        <v>45716</v>
      </c>
      <c r="BH32" s="88">
        <f t="shared" si="70"/>
        <v>45747</v>
      </c>
      <c r="BI32" s="88">
        <f t="shared" si="71"/>
        <v>45777</v>
      </c>
      <c r="BJ32" s="88">
        <f t="shared" si="72"/>
        <v>45808</v>
      </c>
      <c r="BK32" s="88" t="str">
        <f t="shared" si="73"/>
        <v>na</v>
      </c>
      <c r="BL32" s="88" t="str">
        <f t="shared" si="74"/>
        <v>na</v>
      </c>
      <c r="BM32" s="88" t="str">
        <f t="shared" si="75"/>
        <v>na</v>
      </c>
      <c r="BN32" s="88" t="str">
        <f t="shared" si="76"/>
        <v>na</v>
      </c>
      <c r="BO32" s="88" t="str">
        <f t="shared" si="77"/>
        <v>na</v>
      </c>
      <c r="BP32" s="88" t="str">
        <f t="shared" si="78"/>
        <v>na</v>
      </c>
      <c r="BQ32" s="89">
        <f t="shared" si="79"/>
        <v>46022</v>
      </c>
      <c r="BS32">
        <f>COUNT($AS32:AS32)</f>
        <v>1</v>
      </c>
      <c r="BT32">
        <f>COUNT($AS32:AT32)</f>
        <v>1</v>
      </c>
      <c r="BU32">
        <f>COUNT($AS32:AU32)</f>
        <v>2</v>
      </c>
      <c r="BV32">
        <f>COUNT($AS32:AV32)</f>
        <v>3</v>
      </c>
      <c r="BW32">
        <f>COUNT($AS32:AW32)</f>
        <v>4</v>
      </c>
      <c r="BX32">
        <f>COUNT($AS32:AX32)</f>
        <v>5</v>
      </c>
      <c r="BY32">
        <f>COUNT($AS32:AY32)</f>
        <v>5</v>
      </c>
      <c r="BZ32">
        <f>COUNT($AS32:AZ32)</f>
        <v>5</v>
      </c>
      <c r="CA32">
        <f>COUNT($AS32:BA32)</f>
        <v>5</v>
      </c>
      <c r="CB32">
        <f>COUNT($AS32:BB32)</f>
        <v>5</v>
      </c>
      <c r="CC32">
        <f>COUNT($AS32:BC32)</f>
        <v>5</v>
      </c>
      <c r="CD32">
        <f>COUNT($AS32:BD32)</f>
        <v>5</v>
      </c>
      <c r="CF32">
        <f>COUNT($BF32:BF32)</f>
        <v>0</v>
      </c>
      <c r="CG32">
        <f>COUNT($BF32:BG32)</f>
        <v>1</v>
      </c>
      <c r="CH32">
        <f>COUNT($BF32:BH32)</f>
        <v>2</v>
      </c>
      <c r="CI32">
        <f>COUNT($BF32:BI32)</f>
        <v>3</v>
      </c>
      <c r="CJ32">
        <f>COUNT($BF32:BJ32)</f>
        <v>4</v>
      </c>
      <c r="CK32">
        <f>COUNT($BF32:BK32)</f>
        <v>4</v>
      </c>
      <c r="CL32">
        <f>COUNT($BF32:BL32)</f>
        <v>4</v>
      </c>
      <c r="CM32">
        <f>COUNT($BF32:BM32)</f>
        <v>4</v>
      </c>
      <c r="CN32">
        <f>COUNT($BF32:BN32)</f>
        <v>4</v>
      </c>
      <c r="CO32">
        <f>COUNT($BF32:BO32)</f>
        <v>4</v>
      </c>
      <c r="CP32">
        <f>COUNT($BF32:BP32)</f>
        <v>4</v>
      </c>
      <c r="CQ32">
        <f>COUNT($BF32:BQ32)</f>
        <v>5</v>
      </c>
      <c r="CS32" s="5">
        <f t="shared" si="45"/>
        <v>1</v>
      </c>
      <c r="CT32" s="100" t="str">
        <f t="shared" si="80"/>
        <v>81061Medicaid</v>
      </c>
      <c r="CU32" s="83">
        <f t="shared" si="46"/>
        <v>810</v>
      </c>
      <c r="CV32" s="83">
        <f t="shared" si="47"/>
        <v>61</v>
      </c>
      <c r="CX32">
        <f t="shared" si="81"/>
        <v>5</v>
      </c>
      <c r="CY32">
        <f t="shared" si="82"/>
        <v>5</v>
      </c>
      <c r="DA32" s="90" cm="1">
        <f t="array" ref="DA32">IF(DA$5&lt;=$CX32,INDEX($AS32:$BD32,1,_xlfn.XMATCH(DA$5,$BS32:$CD32)),"na")</f>
        <v>45658</v>
      </c>
      <c r="DB32" s="91" cm="1">
        <f t="array" ref="DB32">IF(DB$5&lt;=$CY32,INDEX($BF32:$BQ32,1,_xlfn.XMATCH(DB$5,$CF32:$CQ32)),"na")</f>
        <v>45716</v>
      </c>
      <c r="DC32" s="82" t="str">
        <f>_xlfn.XLOOKUP($CU32&amp;"-"&amp;$CV32&amp;$C32,REF!$K$2:$K$90,REF!B$2:B$90)</f>
        <v>MEDICAID</v>
      </c>
      <c r="DD32" s="82" t="str">
        <f>_xlfn.XLOOKUP($CU32&amp;"-"&amp;$CV32&amp;$C32,REF!$K$2:$K$90,REF!C$2:C$90)</f>
        <v>PA MEDICAID</v>
      </c>
      <c r="DE32" s="82" t="str">
        <f>_xlfn.XLOOKUP($CU32&amp;"-"&amp;$CV32&amp;$C32,REF!$K$2:$K$90,REF!D$2:D$90)</f>
        <v>BETHANY VILLAGE</v>
      </c>
      <c r="DF32" s="82" t="str">
        <f>_xlfn.XLOOKUP($CU32&amp;"-"&amp;$CV32&amp;$C32,REF!$K$2:$K$90,REF!E$2:E$90)</f>
        <v>SKILLED NURSING</v>
      </c>
      <c r="DG32" s="82" t="str">
        <f>_xlfn.XLOOKUP($CU32&amp;"-"&amp;$CV32&amp;$C32,REF!$K$2:$K$90,REF!F$2:F$90)</f>
        <v>BETHANY VILLAGE - THE OAKS</v>
      </c>
      <c r="DH32" s="93" cm="1">
        <f t="array" ref="DH32">IF(DH$5&lt;=$CX32,INDEX($AF32:$AQ32,1,_xlfn.XMATCH(DH$5,$BS32:$CD32)),"na")</f>
        <v>19.6614</v>
      </c>
      <c r="DI32" s="90" cm="1">
        <f t="array" ref="DI32">IF(DI$5&lt;=$CX32,INDEX($AS32:$BD32,1,_xlfn.XMATCH(DI$5,$BS32:$CD32)),"na")</f>
        <v>45717</v>
      </c>
      <c r="DJ32" s="91" cm="1">
        <f t="array" ref="DJ32">IF(DJ$5&lt;=$CY32,INDEX($BF32:$BQ32,1,_xlfn.XMATCH(DJ$5,$CF32:$CQ32)),"na")</f>
        <v>45747</v>
      </c>
      <c r="DK32" s="101" t="str">
        <f t="shared" si="83"/>
        <v>MEDICAID</v>
      </c>
      <c r="DL32" s="101" t="str">
        <f t="shared" si="48"/>
        <v>PA MEDICAID</v>
      </c>
      <c r="DM32" s="101" t="str">
        <f t="shared" si="49"/>
        <v>BETHANY VILLAGE</v>
      </c>
      <c r="DN32" s="101" t="str">
        <f t="shared" si="50"/>
        <v>SKILLED NURSING</v>
      </c>
      <c r="DO32" s="101" t="str">
        <f t="shared" si="51"/>
        <v>BETHANY VILLAGE - THE OAKS</v>
      </c>
      <c r="DP32" s="93" cm="1">
        <f t="array" ref="DP32">IF(DP$5&lt;=$CX32,INDEX($AF32:$AQ32,1,_xlfn.XMATCH(DP$5,$BS32:$CD32)),"na")</f>
        <v>19.139999999999997</v>
      </c>
      <c r="DQ32" s="90" cm="1">
        <f t="array" ref="DQ32">IF(DQ$5&lt;=$CX32,INDEX($AS32:$BD32,1,_xlfn.XMATCH(DQ$5,$BS32:$CD32)),"na")</f>
        <v>45748</v>
      </c>
      <c r="DR32" s="91" cm="1">
        <f t="array" ref="DR32">IF(DR$5&lt;=$CY32,INDEX($BF32:$BQ32,1,_xlfn.XMATCH(DR$5,$CF32:$CQ32)),"na")</f>
        <v>45777</v>
      </c>
      <c r="DS32" s="101" t="str">
        <f t="shared" si="84"/>
        <v>MEDICAID</v>
      </c>
      <c r="DT32" s="101" t="str">
        <f t="shared" si="52"/>
        <v>PA MEDICAID</v>
      </c>
      <c r="DU32" s="101" t="str">
        <f t="shared" si="53"/>
        <v>BETHANY VILLAGE</v>
      </c>
      <c r="DV32" s="101" t="str">
        <f t="shared" si="54"/>
        <v>SKILLED NURSING</v>
      </c>
      <c r="DW32" s="101" t="str">
        <f t="shared" si="55"/>
        <v>BETHANY VILLAGE - THE OAKS</v>
      </c>
      <c r="DX32" s="93" cm="1">
        <f t="array" ref="DX32">IF(DX$5&lt;=$CX32,INDEX($AF32:$AQ32,1,_xlfn.XMATCH(DX$5,$BS32:$CD32)),"na")</f>
        <v>18.809999999999999</v>
      </c>
      <c r="DY32" s="90" cm="1">
        <f t="array" ref="DY32">IF(DY$5&lt;=$CX32,INDEX($AS32:$BD32,1,_xlfn.XMATCH(DY$5,$BS32:$CD32)),"na")</f>
        <v>45778</v>
      </c>
      <c r="DZ32" s="91" cm="1">
        <f t="array" ref="DZ32">IF(DZ$5&lt;=$CY32,INDEX($BF32:$BQ32,1,_xlfn.XMATCH(DZ$5,$CF32:$CQ32)),"na")</f>
        <v>45808</v>
      </c>
      <c r="EA32" s="101" t="str">
        <f t="shared" si="85"/>
        <v>MEDICAID</v>
      </c>
      <c r="EB32" s="101" t="str">
        <f t="shared" si="56"/>
        <v>PA MEDICAID</v>
      </c>
      <c r="EC32" s="101" t="str">
        <f t="shared" si="57"/>
        <v>BETHANY VILLAGE</v>
      </c>
      <c r="ED32" s="101" t="str">
        <f t="shared" si="58"/>
        <v>SKILLED NURSING</v>
      </c>
      <c r="EE32" s="101" t="str">
        <f t="shared" si="59"/>
        <v>BETHANY VILLAGE - THE OAKS</v>
      </c>
      <c r="EF32" s="93" cm="1">
        <f t="array" ref="EF32">IF(EF$5&lt;=$CX32,INDEX($AF32:$AQ32,1,_xlfn.XMATCH(EF$5,$BS32:$CD32)),"na")</f>
        <v>19.337999999999997</v>
      </c>
      <c r="EG32" s="90" cm="1">
        <f t="array" ref="EG32">IF(EG$5&lt;=$CX32,INDEX($AS32:$BD32,1,_xlfn.XMATCH(EG$5,$BS32:$CD32)),"na")</f>
        <v>45809</v>
      </c>
      <c r="EH32" s="91" cm="1">
        <f t="array" ref="EH32">IF(EH$5&lt;=$CY32,INDEX($BF32:$BQ32,1,_xlfn.XMATCH(EH$5,$CF32:$CQ32)),"na")</f>
        <v>46022</v>
      </c>
      <c r="EI32" s="101" t="str">
        <f t="shared" si="86"/>
        <v>MEDICAID</v>
      </c>
      <c r="EJ32" s="101" t="str">
        <f t="shared" si="60"/>
        <v>PA MEDICAID</v>
      </c>
      <c r="EK32" s="101" t="str">
        <f t="shared" si="61"/>
        <v>BETHANY VILLAGE</v>
      </c>
      <c r="EL32" s="101" t="str">
        <f t="shared" si="62"/>
        <v>SKILLED NURSING</v>
      </c>
      <c r="EM32" s="101" t="str">
        <f t="shared" si="63"/>
        <v>BETHANY VILLAGE - THE OAKS</v>
      </c>
      <c r="EN32" s="93" cm="1">
        <f t="array" ref="EN32">IF(EN$5&lt;=$CX32,INDEX($AF32:$AQ32,1,_xlfn.XMATCH(EN$5,$BS32:$CD32)),"na")</f>
        <v>19.6614</v>
      </c>
      <c r="EO32" s="90" t="str" cm="1">
        <f t="array" ref="EO32">IF(EO$5&lt;=$CX32,INDEX($AS32:$BD32,1,_xlfn.XMATCH(EO$5,$BS32:$CD32)),"na")</f>
        <v>na</v>
      </c>
      <c r="EP32" s="91" t="str" cm="1">
        <f t="array" ref="EP32">IF(EP$5&lt;=$CY32,INDEX($BF32:$BQ32,1,_xlfn.XMATCH(EP$5,$CF32:$CQ32)),"na")</f>
        <v>na</v>
      </c>
      <c r="EQ32" s="101" t="str">
        <f t="shared" si="87"/>
        <v>MEDICAID</v>
      </c>
      <c r="ER32" s="101" t="str">
        <f t="shared" si="64"/>
        <v>PA MEDICAID</v>
      </c>
      <c r="ES32" s="101" t="str">
        <f t="shared" si="65"/>
        <v>BETHANY VILLAGE</v>
      </c>
      <c r="ET32" s="101" t="str">
        <f t="shared" si="66"/>
        <v>SKILLED NURSING</v>
      </c>
      <c r="EU32" s="101" t="str">
        <f t="shared" si="67"/>
        <v>BETHANY VILLAGE - THE OAKS</v>
      </c>
      <c r="EV32" s="93" t="str" cm="1">
        <f t="array" ref="EV32">IF(EV$5&lt;=$CX32,INDEX($AF32:$AQ32,1,_xlfn.XMATCH(EV$5,$BS32:$CD32)),"na")</f>
        <v>na</v>
      </c>
    </row>
    <row r="33" spans="1:152" hidden="1" x14ac:dyDescent="0.25">
      <c r="A33" s="59" t="s">
        <v>210</v>
      </c>
      <c r="B33" s="43" t="s">
        <v>203</v>
      </c>
      <c r="C33" s="43" t="s">
        <v>129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Q33" t="s">
        <v>209</v>
      </c>
      <c r="R33" t="s">
        <v>292</v>
      </c>
      <c r="S33" s="74">
        <f t="shared" ref="S33:AD33" si="97">S25/S17</f>
        <v>0</v>
      </c>
      <c r="T33" s="74">
        <f t="shared" si="97"/>
        <v>0</v>
      </c>
      <c r="U33" s="74">
        <f t="shared" si="97"/>
        <v>0</v>
      </c>
      <c r="V33" s="74">
        <f t="shared" si="97"/>
        <v>0</v>
      </c>
      <c r="W33" s="74">
        <f t="shared" si="97"/>
        <v>0</v>
      </c>
      <c r="X33" s="74">
        <f t="shared" si="97"/>
        <v>0</v>
      </c>
      <c r="Y33" s="74">
        <f t="shared" si="97"/>
        <v>0</v>
      </c>
      <c r="Z33" s="74">
        <f t="shared" si="97"/>
        <v>0</v>
      </c>
      <c r="AA33" s="74">
        <f t="shared" si="97"/>
        <v>0</v>
      </c>
      <c r="AB33" s="74">
        <f t="shared" si="97"/>
        <v>0</v>
      </c>
      <c r="AC33" s="74">
        <f t="shared" si="97"/>
        <v>0</v>
      </c>
      <c r="AD33" s="74">
        <f t="shared" si="97"/>
        <v>0</v>
      </c>
      <c r="AF33" s="7">
        <f t="shared" si="22"/>
        <v>0</v>
      </c>
      <c r="AG33" s="7">
        <f t="shared" si="23"/>
        <v>0</v>
      </c>
      <c r="AH33" s="7">
        <f t="shared" si="24"/>
        <v>0</v>
      </c>
      <c r="AI33" s="7">
        <f t="shared" si="25"/>
        <v>0</v>
      </c>
      <c r="AJ33" s="7">
        <f t="shared" si="26"/>
        <v>0</v>
      </c>
      <c r="AK33" s="7">
        <f t="shared" si="27"/>
        <v>0</v>
      </c>
      <c r="AL33" s="7">
        <f t="shared" si="28"/>
        <v>0</v>
      </c>
      <c r="AM33" s="7">
        <f t="shared" si="29"/>
        <v>0</v>
      </c>
      <c r="AN33" s="7">
        <f t="shared" si="30"/>
        <v>0</v>
      </c>
      <c r="AO33" s="7">
        <f t="shared" si="31"/>
        <v>0</v>
      </c>
      <c r="AP33" s="7">
        <f t="shared" si="32"/>
        <v>0</v>
      </c>
      <c r="AQ33" s="7">
        <f t="shared" si="33"/>
        <v>0</v>
      </c>
      <c r="AS33" s="86">
        <f>_xlfn.XLOOKUP(AS$5,'OC-Days'!$G:$G,'OC-Days'!$F:$F)</f>
        <v>45658</v>
      </c>
      <c r="AT33" s="87" t="str">
        <f>IF(AG33=AF33,"na",_xlfn.XLOOKUP(AT$5,'OC-Days'!$G:$G,'OC-Days'!$F:$F))</f>
        <v>na</v>
      </c>
      <c r="AU33" s="87" t="str">
        <f>IF(AH33=AG33,"na",_xlfn.XLOOKUP(AU$5,'OC-Days'!$G:$G,'OC-Days'!$F:$F))</f>
        <v>na</v>
      </c>
      <c r="AV33" s="87" t="str">
        <f>IF(AI33=AH33,"na",_xlfn.XLOOKUP(AV$5,'OC-Days'!$G:$G,'OC-Days'!$F:$F))</f>
        <v>na</v>
      </c>
      <c r="AW33" s="87" t="str">
        <f>IF(AJ33=AI33,"na",_xlfn.XLOOKUP(AW$5,'OC-Days'!$G:$G,'OC-Days'!$F:$F))</f>
        <v>na</v>
      </c>
      <c r="AX33" s="87" t="str">
        <f>IF(AK33=AJ33,"na",_xlfn.XLOOKUP(AX$5,'OC-Days'!$G:$G,'OC-Days'!$F:$F))</f>
        <v>na</v>
      </c>
      <c r="AY33" s="87" t="str">
        <f>IF(AL33=AK33,"na",_xlfn.XLOOKUP(AY$5,'OC-Days'!$G:$G,'OC-Days'!$F:$F))</f>
        <v>na</v>
      </c>
      <c r="AZ33" s="87" t="str">
        <f>IF(AM33=AL33,"na",_xlfn.XLOOKUP(AZ$5,'OC-Days'!$G:$G,'OC-Days'!$F:$F))</f>
        <v>na</v>
      </c>
      <c r="BA33" s="87" t="str">
        <f>IF(AN33=AM33,"na",_xlfn.XLOOKUP(BA$5,'OC-Days'!$G:$G,'OC-Days'!$F:$F))</f>
        <v>na</v>
      </c>
      <c r="BB33" s="87" t="str">
        <f>IF(AO33=AN33,"na",_xlfn.XLOOKUP(BB$5,'OC-Days'!$G:$G,'OC-Days'!$F:$F))</f>
        <v>na</v>
      </c>
      <c r="BC33" s="87" t="str">
        <f>IF(AP33=AO33,"na",_xlfn.XLOOKUP(BC$5,'OC-Days'!$G:$G,'OC-Days'!$F:$F))</f>
        <v>na</v>
      </c>
      <c r="BD33" s="87" t="str">
        <f>IF(AQ33=AP33,"na",_xlfn.XLOOKUP(BD$5,'OC-Days'!$G:$G,'OC-Days'!$F:$F))</f>
        <v>na</v>
      </c>
      <c r="BF33" s="88" t="str">
        <f t="shared" si="68"/>
        <v>na</v>
      </c>
      <c r="BG33" s="88" t="str">
        <f t="shared" si="69"/>
        <v>na</v>
      </c>
      <c r="BH33" s="88" t="str">
        <f t="shared" si="70"/>
        <v>na</v>
      </c>
      <c r="BI33" s="88" t="str">
        <f t="shared" si="71"/>
        <v>na</v>
      </c>
      <c r="BJ33" s="88" t="str">
        <f t="shared" si="72"/>
        <v>na</v>
      </c>
      <c r="BK33" s="88" t="str">
        <f t="shared" si="73"/>
        <v>na</v>
      </c>
      <c r="BL33" s="88" t="str">
        <f t="shared" si="74"/>
        <v>na</v>
      </c>
      <c r="BM33" s="88" t="str">
        <f t="shared" si="75"/>
        <v>na</v>
      </c>
      <c r="BN33" s="88" t="str">
        <f t="shared" si="76"/>
        <v>na</v>
      </c>
      <c r="BO33" s="88" t="str">
        <f t="shared" si="77"/>
        <v>na</v>
      </c>
      <c r="BP33" s="88" t="str">
        <f t="shared" si="78"/>
        <v>na</v>
      </c>
      <c r="BQ33" s="89">
        <f t="shared" si="79"/>
        <v>46022</v>
      </c>
      <c r="BS33">
        <f>COUNT($AS33:AS33)</f>
        <v>1</v>
      </c>
      <c r="BT33">
        <f>COUNT($AS33:AT33)</f>
        <v>1</v>
      </c>
      <c r="BU33">
        <f>COUNT($AS33:AU33)</f>
        <v>1</v>
      </c>
      <c r="BV33">
        <f>COUNT($AS33:AV33)</f>
        <v>1</v>
      </c>
      <c r="BW33">
        <f>COUNT($AS33:AW33)</f>
        <v>1</v>
      </c>
      <c r="BX33">
        <f>COUNT($AS33:AX33)</f>
        <v>1</v>
      </c>
      <c r="BY33">
        <f>COUNT($AS33:AY33)</f>
        <v>1</v>
      </c>
      <c r="BZ33">
        <f>COUNT($AS33:AZ33)</f>
        <v>1</v>
      </c>
      <c r="CA33">
        <f>COUNT($AS33:BA33)</f>
        <v>1</v>
      </c>
      <c r="CB33">
        <f>COUNT($AS33:BB33)</f>
        <v>1</v>
      </c>
      <c r="CC33">
        <f>COUNT($AS33:BC33)</f>
        <v>1</v>
      </c>
      <c r="CD33">
        <f>COUNT($AS33:BD33)</f>
        <v>1</v>
      </c>
      <c r="CF33">
        <f>COUNT($BF33:BF33)</f>
        <v>0</v>
      </c>
      <c r="CG33">
        <f>COUNT($BF33:BG33)</f>
        <v>0</v>
      </c>
      <c r="CH33">
        <f>COUNT($BF33:BH33)</f>
        <v>0</v>
      </c>
      <c r="CI33">
        <f>COUNT($BF33:BI33)</f>
        <v>0</v>
      </c>
      <c r="CJ33">
        <f>COUNT($BF33:BJ33)</f>
        <v>0</v>
      </c>
      <c r="CK33">
        <f>COUNT($BF33:BK33)</f>
        <v>0</v>
      </c>
      <c r="CL33">
        <f>COUNT($BF33:BL33)</f>
        <v>0</v>
      </c>
      <c r="CM33">
        <f>COUNT($BF33:BM33)</f>
        <v>0</v>
      </c>
      <c r="CN33">
        <f>COUNT($BF33:BN33)</f>
        <v>0</v>
      </c>
      <c r="CO33">
        <f>COUNT($BF33:BO33)</f>
        <v>0</v>
      </c>
      <c r="CP33">
        <f>COUNT($BF33:BP33)</f>
        <v>0</v>
      </c>
      <c r="CQ33">
        <f>COUNT($BF33:BQ33)</f>
        <v>1</v>
      </c>
      <c r="CS33" s="5">
        <f t="shared" si="45"/>
        <v>0</v>
      </c>
      <c r="CT33" s="100" t="str">
        <f t="shared" si="80"/>
        <v>81061Insurance</v>
      </c>
      <c r="CU33" s="83">
        <f t="shared" si="46"/>
        <v>810</v>
      </c>
      <c r="CV33" s="83">
        <f t="shared" si="47"/>
        <v>61</v>
      </c>
      <c r="CX33">
        <f t="shared" si="81"/>
        <v>1</v>
      </c>
      <c r="CY33">
        <f t="shared" si="82"/>
        <v>1</v>
      </c>
      <c r="DA33" s="90" cm="1">
        <f t="array" ref="DA33">IF(DA$5&lt;=$CX33,INDEX($AS33:$BD33,1,_xlfn.XMATCH(DA$5,$BS33:$CD33)),"na")</f>
        <v>45658</v>
      </c>
      <c r="DB33" s="91" cm="1">
        <f t="array" ref="DB33">IF(DB$5&lt;=$CY33,INDEX($BF33:$BQ33,1,_xlfn.XMATCH(DB$5,$CF33:$CQ33)),"na")</f>
        <v>46022</v>
      </c>
      <c r="DC33" s="82" t="str">
        <f>_xlfn.XLOOKUP($CU33&amp;"-"&amp;$CV33&amp;$C33,REF!$K$2:$K$90,REF!B$2:B$90)</f>
        <v>MANAGED CARE</v>
      </c>
      <c r="DD33" s="82" t="str">
        <f>_xlfn.XLOOKUP($CU33&amp;"-"&amp;$CV33&amp;$C33,REF!$K$2:$K$90,REF!C$2:C$90)</f>
        <v>MGCARE LEVEL OF CARE</v>
      </c>
      <c r="DE33" s="82" t="str">
        <f>_xlfn.XLOOKUP($CU33&amp;"-"&amp;$CV33&amp;$C33,REF!$K$2:$K$90,REF!D$2:D$90)</f>
        <v>BETHANY VILLAGE</v>
      </c>
      <c r="DF33" s="82" t="str">
        <f>_xlfn.XLOOKUP($CU33&amp;"-"&amp;$CV33&amp;$C33,REF!$K$2:$K$90,REF!E$2:E$90)</f>
        <v>SKILLED NURSING</v>
      </c>
      <c r="DG33" s="82" t="str">
        <f>_xlfn.XLOOKUP($CU33&amp;"-"&amp;$CV33&amp;$C33,REF!$K$2:$K$90,REF!F$2:F$90)</f>
        <v>BETHANY VILLAGE - THE OAKS</v>
      </c>
      <c r="DH33" s="93" cm="1">
        <f t="array" ref="DH33">IF(DH$5&lt;=$CX33,INDEX($AF33:$AQ33,1,_xlfn.XMATCH(DH$5,$BS33:$CD33)),"na")</f>
        <v>0</v>
      </c>
      <c r="DI33" s="90" t="str" cm="1">
        <f t="array" ref="DI33">IF(DI$5&lt;=$CX33,INDEX($AS33:$BD33,1,_xlfn.XMATCH(DI$5,$BS33:$CD33)),"na")</f>
        <v>na</v>
      </c>
      <c r="DJ33" s="91" t="str" cm="1">
        <f t="array" ref="DJ33">IF(DJ$5&lt;=$CY33,INDEX($BF33:$BQ33,1,_xlfn.XMATCH(DJ$5,$CF33:$CQ33)),"na")</f>
        <v>na</v>
      </c>
      <c r="DK33" s="101" t="str">
        <f t="shared" si="83"/>
        <v>MANAGED CARE</v>
      </c>
      <c r="DL33" s="101" t="str">
        <f t="shared" si="48"/>
        <v>MGCARE LEVEL OF CARE</v>
      </c>
      <c r="DM33" s="101" t="str">
        <f t="shared" si="49"/>
        <v>BETHANY VILLAGE</v>
      </c>
      <c r="DN33" s="101" t="str">
        <f t="shared" si="50"/>
        <v>SKILLED NURSING</v>
      </c>
      <c r="DO33" s="101" t="str">
        <f t="shared" si="51"/>
        <v>BETHANY VILLAGE - THE OAKS</v>
      </c>
      <c r="DP33" s="93" t="str" cm="1">
        <f t="array" ref="DP33">IF(DP$5&lt;=$CX33,INDEX($AF33:$AQ33,1,_xlfn.XMATCH(DP$5,$BS33:$CD33)),"na")</f>
        <v>na</v>
      </c>
      <c r="DQ33" s="90" t="str" cm="1">
        <f t="array" ref="DQ33">IF(DQ$5&lt;=$CX33,INDEX($AS33:$BD33,1,_xlfn.XMATCH(DQ$5,$BS33:$CD33)),"na")</f>
        <v>na</v>
      </c>
      <c r="DR33" s="91" t="str" cm="1">
        <f t="array" ref="DR33">IF(DR$5&lt;=$CY33,INDEX($BF33:$BQ33,1,_xlfn.XMATCH(DR$5,$CF33:$CQ33)),"na")</f>
        <v>na</v>
      </c>
      <c r="DS33" s="101" t="str">
        <f t="shared" si="84"/>
        <v>MANAGED CARE</v>
      </c>
      <c r="DT33" s="101" t="str">
        <f t="shared" si="52"/>
        <v>MGCARE LEVEL OF CARE</v>
      </c>
      <c r="DU33" s="101" t="str">
        <f t="shared" si="53"/>
        <v>BETHANY VILLAGE</v>
      </c>
      <c r="DV33" s="101" t="str">
        <f t="shared" si="54"/>
        <v>SKILLED NURSING</v>
      </c>
      <c r="DW33" s="101" t="str">
        <f t="shared" si="55"/>
        <v>BETHANY VILLAGE - THE OAKS</v>
      </c>
      <c r="DX33" s="93" t="str" cm="1">
        <f t="array" ref="DX33">IF(DX$5&lt;=$CX33,INDEX($AF33:$AQ33,1,_xlfn.XMATCH(DX$5,$BS33:$CD33)),"na")</f>
        <v>na</v>
      </c>
      <c r="DY33" s="90" t="str" cm="1">
        <f t="array" ref="DY33">IF(DY$5&lt;=$CX33,INDEX($AS33:$BD33,1,_xlfn.XMATCH(DY$5,$BS33:$CD33)),"na")</f>
        <v>na</v>
      </c>
      <c r="DZ33" s="91" t="str" cm="1">
        <f t="array" ref="DZ33">IF(DZ$5&lt;=$CY33,INDEX($BF33:$BQ33,1,_xlfn.XMATCH(DZ$5,$CF33:$CQ33)),"na")</f>
        <v>na</v>
      </c>
      <c r="EA33" s="101" t="str">
        <f t="shared" si="85"/>
        <v>MANAGED CARE</v>
      </c>
      <c r="EB33" s="101" t="str">
        <f t="shared" si="56"/>
        <v>MGCARE LEVEL OF CARE</v>
      </c>
      <c r="EC33" s="101" t="str">
        <f t="shared" si="57"/>
        <v>BETHANY VILLAGE</v>
      </c>
      <c r="ED33" s="101" t="str">
        <f t="shared" si="58"/>
        <v>SKILLED NURSING</v>
      </c>
      <c r="EE33" s="101" t="str">
        <f t="shared" si="59"/>
        <v>BETHANY VILLAGE - THE OAKS</v>
      </c>
      <c r="EF33" s="93" t="str" cm="1">
        <f t="array" ref="EF33">IF(EF$5&lt;=$CX33,INDEX($AF33:$AQ33,1,_xlfn.XMATCH(EF$5,$BS33:$CD33)),"na")</f>
        <v>na</v>
      </c>
      <c r="EG33" s="90" t="str" cm="1">
        <f t="array" ref="EG33">IF(EG$5&lt;=$CX33,INDEX($AS33:$BD33,1,_xlfn.XMATCH(EG$5,$BS33:$CD33)),"na")</f>
        <v>na</v>
      </c>
      <c r="EH33" s="91" t="str" cm="1">
        <f t="array" ref="EH33">IF(EH$5&lt;=$CY33,INDEX($BF33:$BQ33,1,_xlfn.XMATCH(EH$5,$CF33:$CQ33)),"na")</f>
        <v>na</v>
      </c>
      <c r="EI33" s="101" t="str">
        <f t="shared" si="86"/>
        <v>MANAGED CARE</v>
      </c>
      <c r="EJ33" s="101" t="str">
        <f t="shared" si="60"/>
        <v>MGCARE LEVEL OF CARE</v>
      </c>
      <c r="EK33" s="101" t="str">
        <f t="shared" si="61"/>
        <v>BETHANY VILLAGE</v>
      </c>
      <c r="EL33" s="101" t="str">
        <f t="shared" si="62"/>
        <v>SKILLED NURSING</v>
      </c>
      <c r="EM33" s="101" t="str">
        <f t="shared" si="63"/>
        <v>BETHANY VILLAGE - THE OAKS</v>
      </c>
      <c r="EN33" s="93" t="str" cm="1">
        <f t="array" ref="EN33">IF(EN$5&lt;=$CX33,INDEX($AF33:$AQ33,1,_xlfn.XMATCH(EN$5,$BS33:$CD33)),"na")</f>
        <v>na</v>
      </c>
      <c r="EO33" s="90" t="str" cm="1">
        <f t="array" ref="EO33">IF(EO$5&lt;=$CX33,INDEX($AS33:$BD33,1,_xlfn.XMATCH(EO$5,$BS33:$CD33)),"na")</f>
        <v>na</v>
      </c>
      <c r="EP33" s="91" t="str" cm="1">
        <f t="array" ref="EP33">IF(EP$5&lt;=$CY33,INDEX($BF33:$BQ33,1,_xlfn.XMATCH(EP$5,$CF33:$CQ33)),"na")</f>
        <v>na</v>
      </c>
      <c r="EQ33" s="101" t="str">
        <f t="shared" si="87"/>
        <v>MANAGED CARE</v>
      </c>
      <c r="ER33" s="101" t="str">
        <f t="shared" si="64"/>
        <v>MGCARE LEVEL OF CARE</v>
      </c>
      <c r="ES33" s="101" t="str">
        <f t="shared" si="65"/>
        <v>BETHANY VILLAGE</v>
      </c>
      <c r="ET33" s="101" t="str">
        <f t="shared" si="66"/>
        <v>SKILLED NURSING</v>
      </c>
      <c r="EU33" s="101" t="str">
        <f t="shared" si="67"/>
        <v>BETHANY VILLAGE - THE OAKS</v>
      </c>
      <c r="EV33" s="93" t="str" cm="1">
        <f t="array" ref="EV33">IF(EV$5&lt;=$CX33,INDEX($AF33:$AQ33,1,_xlfn.XMATCH(EV$5,$BS33:$CD33)),"na")</f>
        <v>na</v>
      </c>
    </row>
    <row r="34" spans="1:152" x14ac:dyDescent="0.25">
      <c r="A34" s="59" t="s">
        <v>210</v>
      </c>
      <c r="B34" s="43" t="s">
        <v>204</v>
      </c>
      <c r="C34" s="43" t="s">
        <v>91</v>
      </c>
      <c r="D34" s="4">
        <v>1232.1011999999998</v>
      </c>
      <c r="E34" s="4">
        <v>1177.3607999999999</v>
      </c>
      <c r="F34" s="4">
        <v>1285.9109999999998</v>
      </c>
      <c r="G34" s="4">
        <v>1217.8979999999999</v>
      </c>
      <c r="H34" s="4">
        <v>1226.577</v>
      </c>
      <c r="I34" s="4">
        <v>1192.356</v>
      </c>
      <c r="J34" s="4">
        <v>1232.1011999999998</v>
      </c>
      <c r="K34" s="4">
        <v>1232.1011999999998</v>
      </c>
      <c r="L34" s="4">
        <v>1192.356</v>
      </c>
      <c r="M34" s="4">
        <v>1232.1011999999998</v>
      </c>
      <c r="N34" s="4">
        <v>1192.356</v>
      </c>
      <c r="O34" s="4">
        <v>1232.1011999999998</v>
      </c>
      <c r="Q34" t="s">
        <v>210</v>
      </c>
      <c r="R34" t="s">
        <v>292</v>
      </c>
      <c r="S34" s="74">
        <f t="shared" ref="S34:AD34" si="98">S26/S18</f>
        <v>0</v>
      </c>
      <c r="T34" s="74">
        <f t="shared" si="98"/>
        <v>0</v>
      </c>
      <c r="U34" s="74">
        <f t="shared" si="98"/>
        <v>0</v>
      </c>
      <c r="V34" s="74">
        <f t="shared" si="98"/>
        <v>0</v>
      </c>
      <c r="W34" s="74">
        <f t="shared" si="98"/>
        <v>0</v>
      </c>
      <c r="X34" s="74">
        <f t="shared" si="98"/>
        <v>0</v>
      </c>
      <c r="Y34" s="74">
        <f t="shared" si="98"/>
        <v>0</v>
      </c>
      <c r="Z34" s="74">
        <f t="shared" si="98"/>
        <v>0</v>
      </c>
      <c r="AA34" s="74">
        <f t="shared" si="98"/>
        <v>0</v>
      </c>
      <c r="AB34" s="74">
        <f t="shared" si="98"/>
        <v>0</v>
      </c>
      <c r="AC34" s="74">
        <f t="shared" si="98"/>
        <v>0</v>
      </c>
      <c r="AD34" s="74">
        <f t="shared" si="98"/>
        <v>0</v>
      </c>
      <c r="AF34" s="7">
        <f t="shared" si="22"/>
        <v>39.745199999999997</v>
      </c>
      <c r="AG34" s="7">
        <f t="shared" si="23"/>
        <v>42.0486</v>
      </c>
      <c r="AH34" s="7">
        <f t="shared" si="24"/>
        <v>41.480999999999995</v>
      </c>
      <c r="AI34" s="7">
        <f t="shared" si="25"/>
        <v>40.596599999999995</v>
      </c>
      <c r="AJ34" s="7">
        <f t="shared" si="26"/>
        <v>39.567</v>
      </c>
      <c r="AK34" s="7">
        <f t="shared" si="27"/>
        <v>39.745199999999997</v>
      </c>
      <c r="AL34" s="7">
        <f t="shared" si="28"/>
        <v>39.745199999999997</v>
      </c>
      <c r="AM34" s="7">
        <f t="shared" si="29"/>
        <v>39.745199999999997</v>
      </c>
      <c r="AN34" s="7">
        <f t="shared" si="30"/>
        <v>39.745199999999997</v>
      </c>
      <c r="AO34" s="7">
        <f t="shared" si="31"/>
        <v>39.745199999999997</v>
      </c>
      <c r="AP34" s="7">
        <f t="shared" si="32"/>
        <v>39.745199999999997</v>
      </c>
      <c r="AQ34" s="7">
        <f t="shared" si="33"/>
        <v>39.745199999999997</v>
      </c>
      <c r="AS34" s="86">
        <f>_xlfn.XLOOKUP(AS$5,'OC-Days'!$G:$G,'OC-Days'!$F:$F)</f>
        <v>45658</v>
      </c>
      <c r="AT34" s="87">
        <f>IF(AG34=AF34,"na",_xlfn.XLOOKUP(AT$5,'OC-Days'!$G:$G,'OC-Days'!$F:$F))</f>
        <v>45689</v>
      </c>
      <c r="AU34" s="87">
        <f>IF(AH34=AG34,"na",_xlfn.XLOOKUP(AU$5,'OC-Days'!$G:$G,'OC-Days'!$F:$F))</f>
        <v>45717</v>
      </c>
      <c r="AV34" s="87">
        <f>IF(AI34=AH34,"na",_xlfn.XLOOKUP(AV$5,'OC-Days'!$G:$G,'OC-Days'!$F:$F))</f>
        <v>45748</v>
      </c>
      <c r="AW34" s="87">
        <f>IF(AJ34=AI34,"na",_xlfn.XLOOKUP(AW$5,'OC-Days'!$G:$G,'OC-Days'!$F:$F))</f>
        <v>45778</v>
      </c>
      <c r="AX34" s="87">
        <f>IF(AK34=AJ34,"na",_xlfn.XLOOKUP(AX$5,'OC-Days'!$G:$G,'OC-Days'!$F:$F))</f>
        <v>45809</v>
      </c>
      <c r="AY34" s="87" t="str">
        <f>IF(AL34=AK34,"na",_xlfn.XLOOKUP(AY$5,'OC-Days'!$G:$G,'OC-Days'!$F:$F))</f>
        <v>na</v>
      </c>
      <c r="AZ34" s="87" t="str">
        <f>IF(AM34=AL34,"na",_xlfn.XLOOKUP(AZ$5,'OC-Days'!$G:$G,'OC-Days'!$F:$F))</f>
        <v>na</v>
      </c>
      <c r="BA34" s="87" t="str">
        <f>IF(AN34=AM34,"na",_xlfn.XLOOKUP(BA$5,'OC-Days'!$G:$G,'OC-Days'!$F:$F))</f>
        <v>na</v>
      </c>
      <c r="BB34" s="87" t="str">
        <f>IF(AO34=AN34,"na",_xlfn.XLOOKUP(BB$5,'OC-Days'!$G:$G,'OC-Days'!$F:$F))</f>
        <v>na</v>
      </c>
      <c r="BC34" s="87" t="str">
        <f>IF(AP34=AO34,"na",_xlfn.XLOOKUP(BC$5,'OC-Days'!$G:$G,'OC-Days'!$F:$F))</f>
        <v>na</v>
      </c>
      <c r="BD34" s="87" t="str">
        <f>IF(AQ34=AP34,"na",_xlfn.XLOOKUP(BD$5,'OC-Days'!$G:$G,'OC-Days'!$F:$F))</f>
        <v>na</v>
      </c>
      <c r="BF34" s="88">
        <f t="shared" si="68"/>
        <v>45688</v>
      </c>
      <c r="BG34" s="88">
        <f t="shared" si="69"/>
        <v>45716</v>
      </c>
      <c r="BH34" s="88">
        <f t="shared" si="70"/>
        <v>45747</v>
      </c>
      <c r="BI34" s="88">
        <f t="shared" si="71"/>
        <v>45777</v>
      </c>
      <c r="BJ34" s="88">
        <f t="shared" si="72"/>
        <v>45808</v>
      </c>
      <c r="BK34" s="88" t="str">
        <f t="shared" si="73"/>
        <v>na</v>
      </c>
      <c r="BL34" s="88" t="str">
        <f t="shared" si="74"/>
        <v>na</v>
      </c>
      <c r="BM34" s="88" t="str">
        <f t="shared" si="75"/>
        <v>na</v>
      </c>
      <c r="BN34" s="88" t="str">
        <f t="shared" si="76"/>
        <v>na</v>
      </c>
      <c r="BO34" s="88" t="str">
        <f t="shared" si="77"/>
        <v>na</v>
      </c>
      <c r="BP34" s="88" t="str">
        <f t="shared" si="78"/>
        <v>na</v>
      </c>
      <c r="BQ34" s="89">
        <f t="shared" si="79"/>
        <v>46022</v>
      </c>
      <c r="BS34">
        <f>COUNT($AS34:AS34)</f>
        <v>1</v>
      </c>
      <c r="BT34">
        <f>COUNT($AS34:AT34)</f>
        <v>2</v>
      </c>
      <c r="BU34">
        <f>COUNT($AS34:AU34)</f>
        <v>3</v>
      </c>
      <c r="BV34">
        <f>COUNT($AS34:AV34)</f>
        <v>4</v>
      </c>
      <c r="BW34">
        <f>COUNT($AS34:AW34)</f>
        <v>5</v>
      </c>
      <c r="BX34">
        <f>COUNT($AS34:AX34)</f>
        <v>6</v>
      </c>
      <c r="BY34">
        <f>COUNT($AS34:AY34)</f>
        <v>6</v>
      </c>
      <c r="BZ34">
        <f>COUNT($AS34:AZ34)</f>
        <v>6</v>
      </c>
      <c r="CA34">
        <f>COUNT($AS34:BA34)</f>
        <v>6</v>
      </c>
      <c r="CB34">
        <f>COUNT($AS34:BB34)</f>
        <v>6</v>
      </c>
      <c r="CC34">
        <f>COUNT($AS34:BC34)</f>
        <v>6</v>
      </c>
      <c r="CD34">
        <f>COUNT($AS34:BD34)</f>
        <v>6</v>
      </c>
      <c r="CF34">
        <f>COUNT($BF34:BF34)</f>
        <v>1</v>
      </c>
      <c r="CG34">
        <f>COUNT($BF34:BG34)</f>
        <v>2</v>
      </c>
      <c r="CH34">
        <f>COUNT($BF34:BH34)</f>
        <v>3</v>
      </c>
      <c r="CI34">
        <f>COUNT($BF34:BI34)</f>
        <v>4</v>
      </c>
      <c r="CJ34">
        <f>COUNT($BF34:BJ34)</f>
        <v>5</v>
      </c>
      <c r="CK34">
        <f>COUNT($BF34:BK34)</f>
        <v>5</v>
      </c>
      <c r="CL34">
        <f>COUNT($BF34:BL34)</f>
        <v>5</v>
      </c>
      <c r="CM34">
        <f>COUNT($BF34:BM34)</f>
        <v>5</v>
      </c>
      <c r="CN34">
        <f>COUNT($BF34:BN34)</f>
        <v>5</v>
      </c>
      <c r="CO34">
        <f>COUNT($BF34:BO34)</f>
        <v>5</v>
      </c>
      <c r="CP34">
        <f>COUNT($BF34:BP34)</f>
        <v>5</v>
      </c>
      <c r="CQ34">
        <f>COUNT($BF34:BQ34)</f>
        <v>6</v>
      </c>
      <c r="CS34" s="5">
        <f t="shared" si="45"/>
        <v>1</v>
      </c>
      <c r="CT34" s="100" t="str">
        <f t="shared" si="80"/>
        <v>81061Private Pay</v>
      </c>
      <c r="CU34" s="83">
        <f t="shared" si="46"/>
        <v>810</v>
      </c>
      <c r="CV34" s="83">
        <f t="shared" si="47"/>
        <v>61</v>
      </c>
      <c r="CX34">
        <f t="shared" si="81"/>
        <v>6</v>
      </c>
      <c r="CY34">
        <f t="shared" si="82"/>
        <v>6</v>
      </c>
      <c r="DA34" s="90" cm="1">
        <f t="array" ref="DA34">IF(DA$5&lt;=$CX34,INDEX($AS34:$BD34,1,_xlfn.XMATCH(DA$5,$BS34:$CD34)),"na")</f>
        <v>45658</v>
      </c>
      <c r="DB34" s="91" cm="1">
        <f t="array" ref="DB34">IF(DB$5&lt;=$CY34,INDEX($BF34:$BQ34,1,_xlfn.XMATCH(DB$5,$CF34:$CQ34)),"na")</f>
        <v>45688</v>
      </c>
      <c r="DC34" s="82" t="str">
        <f>_xlfn.XLOOKUP($CU34&amp;"-"&amp;$CV34&amp;$C34,REF!$K$2:$K$90,REF!B$2:B$90)</f>
        <v>PRIVATE PAY</v>
      </c>
      <c r="DD34" s="82" t="str">
        <f>_xlfn.XLOOKUP($CU34&amp;"-"&amp;$CV34&amp;$C34,REF!$K$2:$K$90,REF!C$2:C$90)</f>
        <v>PRIVATE PAY</v>
      </c>
      <c r="DE34" s="82" t="str">
        <f>_xlfn.XLOOKUP($CU34&amp;"-"&amp;$CV34&amp;$C34,REF!$K$2:$K$90,REF!D$2:D$90)</f>
        <v>BETHANY VILLAGE</v>
      </c>
      <c r="DF34" s="82" t="str">
        <f>_xlfn.XLOOKUP($CU34&amp;"-"&amp;$CV34&amp;$C34,REF!$K$2:$K$90,REF!E$2:E$90)</f>
        <v>SKILLED NURSING</v>
      </c>
      <c r="DG34" s="82" t="str">
        <f>_xlfn.XLOOKUP($CU34&amp;"-"&amp;$CV34&amp;$C34,REF!$K$2:$K$90,REF!F$2:F$90)</f>
        <v>BETHANY VILLAGE - THE OAKS</v>
      </c>
      <c r="DH34" s="93" cm="1">
        <f t="array" ref="DH34">IF(DH$5&lt;=$CX34,INDEX($AF34:$AQ34,1,_xlfn.XMATCH(DH$5,$BS34:$CD34)),"na")</f>
        <v>39.745199999999997</v>
      </c>
      <c r="DI34" s="90" cm="1">
        <f t="array" ref="DI34">IF(DI$5&lt;=$CX34,INDEX($AS34:$BD34,1,_xlfn.XMATCH(DI$5,$BS34:$CD34)),"na")</f>
        <v>45689</v>
      </c>
      <c r="DJ34" s="91" cm="1">
        <f t="array" ref="DJ34">IF(DJ$5&lt;=$CY34,INDEX($BF34:$BQ34,1,_xlfn.XMATCH(DJ$5,$CF34:$CQ34)),"na")</f>
        <v>45716</v>
      </c>
      <c r="DK34" s="101" t="str">
        <f t="shared" si="83"/>
        <v>PRIVATE PAY</v>
      </c>
      <c r="DL34" s="101" t="str">
        <f t="shared" si="48"/>
        <v>PRIVATE PAY</v>
      </c>
      <c r="DM34" s="101" t="str">
        <f t="shared" si="49"/>
        <v>BETHANY VILLAGE</v>
      </c>
      <c r="DN34" s="101" t="str">
        <f t="shared" si="50"/>
        <v>SKILLED NURSING</v>
      </c>
      <c r="DO34" s="101" t="str">
        <f t="shared" si="51"/>
        <v>BETHANY VILLAGE - THE OAKS</v>
      </c>
      <c r="DP34" s="93" cm="1">
        <f t="array" ref="DP34">IF(DP$5&lt;=$CX34,INDEX($AF34:$AQ34,1,_xlfn.XMATCH(DP$5,$BS34:$CD34)),"na")</f>
        <v>42.0486</v>
      </c>
      <c r="DQ34" s="90" cm="1">
        <f t="array" ref="DQ34">IF(DQ$5&lt;=$CX34,INDEX($AS34:$BD34,1,_xlfn.XMATCH(DQ$5,$BS34:$CD34)),"na")</f>
        <v>45717</v>
      </c>
      <c r="DR34" s="91" cm="1">
        <f t="array" ref="DR34">IF(DR$5&lt;=$CY34,INDEX($BF34:$BQ34,1,_xlfn.XMATCH(DR$5,$CF34:$CQ34)),"na")</f>
        <v>45747</v>
      </c>
      <c r="DS34" s="101" t="str">
        <f t="shared" si="84"/>
        <v>PRIVATE PAY</v>
      </c>
      <c r="DT34" s="101" t="str">
        <f t="shared" si="52"/>
        <v>PRIVATE PAY</v>
      </c>
      <c r="DU34" s="101" t="str">
        <f t="shared" si="53"/>
        <v>BETHANY VILLAGE</v>
      </c>
      <c r="DV34" s="101" t="str">
        <f t="shared" si="54"/>
        <v>SKILLED NURSING</v>
      </c>
      <c r="DW34" s="101" t="str">
        <f t="shared" si="55"/>
        <v>BETHANY VILLAGE - THE OAKS</v>
      </c>
      <c r="DX34" s="93" cm="1">
        <f t="array" ref="DX34">IF(DX$5&lt;=$CX34,INDEX($AF34:$AQ34,1,_xlfn.XMATCH(DX$5,$BS34:$CD34)),"na")</f>
        <v>41.480999999999995</v>
      </c>
      <c r="DY34" s="90" cm="1">
        <f t="array" ref="DY34">IF(DY$5&lt;=$CX34,INDEX($AS34:$BD34,1,_xlfn.XMATCH(DY$5,$BS34:$CD34)),"na")</f>
        <v>45748</v>
      </c>
      <c r="DZ34" s="91" cm="1">
        <f t="array" ref="DZ34">IF(DZ$5&lt;=$CY34,INDEX($BF34:$BQ34,1,_xlfn.XMATCH(DZ$5,$CF34:$CQ34)),"na")</f>
        <v>45777</v>
      </c>
      <c r="EA34" s="101" t="str">
        <f t="shared" si="85"/>
        <v>PRIVATE PAY</v>
      </c>
      <c r="EB34" s="101" t="str">
        <f t="shared" si="56"/>
        <v>PRIVATE PAY</v>
      </c>
      <c r="EC34" s="101" t="str">
        <f t="shared" si="57"/>
        <v>BETHANY VILLAGE</v>
      </c>
      <c r="ED34" s="101" t="str">
        <f t="shared" si="58"/>
        <v>SKILLED NURSING</v>
      </c>
      <c r="EE34" s="101" t="str">
        <f t="shared" si="59"/>
        <v>BETHANY VILLAGE - THE OAKS</v>
      </c>
      <c r="EF34" s="93" cm="1">
        <f t="array" ref="EF34">IF(EF$5&lt;=$CX34,INDEX($AF34:$AQ34,1,_xlfn.XMATCH(EF$5,$BS34:$CD34)),"na")</f>
        <v>40.596599999999995</v>
      </c>
      <c r="EG34" s="90" cm="1">
        <f t="array" ref="EG34">IF(EG$5&lt;=$CX34,INDEX($AS34:$BD34,1,_xlfn.XMATCH(EG$5,$BS34:$CD34)),"na")</f>
        <v>45778</v>
      </c>
      <c r="EH34" s="91" cm="1">
        <f t="array" ref="EH34">IF(EH$5&lt;=$CY34,INDEX($BF34:$BQ34,1,_xlfn.XMATCH(EH$5,$CF34:$CQ34)),"na")</f>
        <v>45808</v>
      </c>
      <c r="EI34" s="101" t="str">
        <f t="shared" si="86"/>
        <v>PRIVATE PAY</v>
      </c>
      <c r="EJ34" s="101" t="str">
        <f t="shared" si="60"/>
        <v>PRIVATE PAY</v>
      </c>
      <c r="EK34" s="101" t="str">
        <f t="shared" si="61"/>
        <v>BETHANY VILLAGE</v>
      </c>
      <c r="EL34" s="101" t="str">
        <f t="shared" si="62"/>
        <v>SKILLED NURSING</v>
      </c>
      <c r="EM34" s="101" t="str">
        <f t="shared" si="63"/>
        <v>BETHANY VILLAGE - THE OAKS</v>
      </c>
      <c r="EN34" s="93" cm="1">
        <f t="array" ref="EN34">IF(EN$5&lt;=$CX34,INDEX($AF34:$AQ34,1,_xlfn.XMATCH(EN$5,$BS34:$CD34)),"na")</f>
        <v>39.567</v>
      </c>
      <c r="EO34" s="90" cm="1">
        <f t="array" ref="EO34">IF(EO$5&lt;=$CX34,INDEX($AS34:$BD34,1,_xlfn.XMATCH(EO$5,$BS34:$CD34)),"na")</f>
        <v>45809</v>
      </c>
      <c r="EP34" s="91" cm="1">
        <f t="array" ref="EP34">IF(EP$5&lt;=$CY34,INDEX($BF34:$BQ34,1,_xlfn.XMATCH(EP$5,$CF34:$CQ34)),"na")</f>
        <v>46022</v>
      </c>
      <c r="EQ34" s="101" t="str">
        <f t="shared" si="87"/>
        <v>PRIVATE PAY</v>
      </c>
      <c r="ER34" s="101" t="str">
        <f t="shared" si="64"/>
        <v>PRIVATE PAY</v>
      </c>
      <c r="ES34" s="101" t="str">
        <f t="shared" si="65"/>
        <v>BETHANY VILLAGE</v>
      </c>
      <c r="ET34" s="101" t="str">
        <f t="shared" si="66"/>
        <v>SKILLED NURSING</v>
      </c>
      <c r="EU34" s="101" t="str">
        <f t="shared" si="67"/>
        <v>BETHANY VILLAGE - THE OAKS</v>
      </c>
      <c r="EV34" s="93" cm="1">
        <f t="array" ref="EV34">IF(EV$5&lt;=$CX34,INDEX($AF34:$AQ34,1,_xlfn.XMATCH(EV$5,$BS34:$CD34)),"na")</f>
        <v>39.745199999999997</v>
      </c>
    </row>
    <row r="35" spans="1:152" hidden="1" x14ac:dyDescent="0.25">
      <c r="A35" s="59" t="s">
        <v>210</v>
      </c>
      <c r="B35" s="43" t="s">
        <v>205</v>
      </c>
      <c r="C35" s="43" t="s">
        <v>23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Q35" t="s">
        <v>212</v>
      </c>
      <c r="R35" t="s">
        <v>292</v>
      </c>
      <c r="S35" s="74">
        <f t="shared" ref="S35:AD35" si="99">S27/S19</f>
        <v>0</v>
      </c>
      <c r="T35" s="74">
        <f t="shared" si="99"/>
        <v>0</v>
      </c>
      <c r="U35" s="74">
        <f t="shared" si="99"/>
        <v>0</v>
      </c>
      <c r="V35" s="74">
        <f t="shared" si="99"/>
        <v>0</v>
      </c>
      <c r="W35" s="74">
        <f t="shared" si="99"/>
        <v>0</v>
      </c>
      <c r="X35" s="74">
        <f t="shared" si="99"/>
        <v>0</v>
      </c>
      <c r="Y35" s="74">
        <f t="shared" si="99"/>
        <v>0</v>
      </c>
      <c r="Z35" s="74">
        <f t="shared" si="99"/>
        <v>0</v>
      </c>
      <c r="AA35" s="74">
        <f t="shared" si="99"/>
        <v>0</v>
      </c>
      <c r="AB35" s="74">
        <f t="shared" si="99"/>
        <v>0</v>
      </c>
      <c r="AC35" s="74">
        <f t="shared" si="99"/>
        <v>0</v>
      </c>
      <c r="AD35" s="74">
        <f t="shared" si="99"/>
        <v>0</v>
      </c>
      <c r="AF35" s="7">
        <f t="shared" si="22"/>
        <v>0</v>
      </c>
      <c r="AG35" s="7">
        <f t="shared" si="23"/>
        <v>0</v>
      </c>
      <c r="AH35" s="7">
        <f t="shared" si="24"/>
        <v>0</v>
      </c>
      <c r="AI35" s="7">
        <f t="shared" si="25"/>
        <v>0</v>
      </c>
      <c r="AJ35" s="7">
        <f t="shared" si="26"/>
        <v>0</v>
      </c>
      <c r="AK35" s="7">
        <f t="shared" si="27"/>
        <v>0</v>
      </c>
      <c r="AL35" s="7">
        <f t="shared" si="28"/>
        <v>0</v>
      </c>
      <c r="AM35" s="7">
        <f t="shared" si="29"/>
        <v>0</v>
      </c>
      <c r="AN35" s="7">
        <f t="shared" si="30"/>
        <v>0</v>
      </c>
      <c r="AO35" s="7">
        <f t="shared" si="31"/>
        <v>0</v>
      </c>
      <c r="AP35" s="7">
        <f t="shared" si="32"/>
        <v>0</v>
      </c>
      <c r="AQ35" s="7">
        <f t="shared" si="33"/>
        <v>0</v>
      </c>
      <c r="AS35" s="86">
        <f>_xlfn.XLOOKUP(AS$5,'OC-Days'!$G:$G,'OC-Days'!$F:$F)</f>
        <v>45658</v>
      </c>
      <c r="AT35" s="87" t="str">
        <f>IF(AG35=AF35,"na",_xlfn.XLOOKUP(AT$5,'OC-Days'!$G:$G,'OC-Days'!$F:$F))</f>
        <v>na</v>
      </c>
      <c r="AU35" s="87" t="str">
        <f>IF(AH35=AG35,"na",_xlfn.XLOOKUP(AU$5,'OC-Days'!$G:$G,'OC-Days'!$F:$F))</f>
        <v>na</v>
      </c>
      <c r="AV35" s="87" t="str">
        <f>IF(AI35=AH35,"na",_xlfn.XLOOKUP(AV$5,'OC-Days'!$G:$G,'OC-Days'!$F:$F))</f>
        <v>na</v>
      </c>
      <c r="AW35" s="87" t="str">
        <f>IF(AJ35=AI35,"na",_xlfn.XLOOKUP(AW$5,'OC-Days'!$G:$G,'OC-Days'!$F:$F))</f>
        <v>na</v>
      </c>
      <c r="AX35" s="87" t="str">
        <f>IF(AK35=AJ35,"na",_xlfn.XLOOKUP(AX$5,'OC-Days'!$G:$G,'OC-Days'!$F:$F))</f>
        <v>na</v>
      </c>
      <c r="AY35" s="87" t="str">
        <f>IF(AL35=AK35,"na",_xlfn.XLOOKUP(AY$5,'OC-Days'!$G:$G,'OC-Days'!$F:$F))</f>
        <v>na</v>
      </c>
      <c r="AZ35" s="87" t="str">
        <f>IF(AM35=AL35,"na",_xlfn.XLOOKUP(AZ$5,'OC-Days'!$G:$G,'OC-Days'!$F:$F))</f>
        <v>na</v>
      </c>
      <c r="BA35" s="87" t="str">
        <f>IF(AN35=AM35,"na",_xlfn.XLOOKUP(BA$5,'OC-Days'!$G:$G,'OC-Days'!$F:$F))</f>
        <v>na</v>
      </c>
      <c r="BB35" s="87" t="str">
        <f>IF(AO35=AN35,"na",_xlfn.XLOOKUP(BB$5,'OC-Days'!$G:$G,'OC-Days'!$F:$F))</f>
        <v>na</v>
      </c>
      <c r="BC35" s="87" t="str">
        <f>IF(AP35=AO35,"na",_xlfn.XLOOKUP(BC$5,'OC-Days'!$G:$G,'OC-Days'!$F:$F))</f>
        <v>na</v>
      </c>
      <c r="BD35" s="87" t="str">
        <f>IF(AQ35=AP35,"na",_xlfn.XLOOKUP(BD$5,'OC-Days'!$G:$G,'OC-Days'!$F:$F))</f>
        <v>na</v>
      </c>
      <c r="BF35" s="88" t="str">
        <f t="shared" si="68"/>
        <v>na</v>
      </c>
      <c r="BG35" s="88" t="str">
        <f t="shared" si="69"/>
        <v>na</v>
      </c>
      <c r="BH35" s="88" t="str">
        <f t="shared" si="70"/>
        <v>na</v>
      </c>
      <c r="BI35" s="88" t="str">
        <f t="shared" si="71"/>
        <v>na</v>
      </c>
      <c r="BJ35" s="88" t="str">
        <f t="shared" si="72"/>
        <v>na</v>
      </c>
      <c r="BK35" s="88" t="str">
        <f t="shared" si="73"/>
        <v>na</v>
      </c>
      <c r="BL35" s="88" t="str">
        <f t="shared" si="74"/>
        <v>na</v>
      </c>
      <c r="BM35" s="88" t="str">
        <f t="shared" si="75"/>
        <v>na</v>
      </c>
      <c r="BN35" s="88" t="str">
        <f t="shared" si="76"/>
        <v>na</v>
      </c>
      <c r="BO35" s="88" t="str">
        <f t="shared" si="77"/>
        <v>na</v>
      </c>
      <c r="BP35" s="88" t="str">
        <f t="shared" si="78"/>
        <v>na</v>
      </c>
      <c r="BQ35" s="89">
        <f t="shared" si="79"/>
        <v>46022</v>
      </c>
      <c r="BS35">
        <f>COUNT($AS35:AS35)</f>
        <v>1</v>
      </c>
      <c r="BT35">
        <f>COUNT($AS35:AT35)</f>
        <v>1</v>
      </c>
      <c r="BU35">
        <f>COUNT($AS35:AU35)</f>
        <v>1</v>
      </c>
      <c r="BV35">
        <f>COUNT($AS35:AV35)</f>
        <v>1</v>
      </c>
      <c r="BW35">
        <f>COUNT($AS35:AW35)</f>
        <v>1</v>
      </c>
      <c r="BX35">
        <f>COUNT($AS35:AX35)</f>
        <v>1</v>
      </c>
      <c r="BY35">
        <f>COUNT($AS35:AY35)</f>
        <v>1</v>
      </c>
      <c r="BZ35">
        <f>COUNT($AS35:AZ35)</f>
        <v>1</v>
      </c>
      <c r="CA35">
        <f>COUNT($AS35:BA35)</f>
        <v>1</v>
      </c>
      <c r="CB35">
        <f>COUNT($AS35:BB35)</f>
        <v>1</v>
      </c>
      <c r="CC35">
        <f>COUNT($AS35:BC35)</f>
        <v>1</v>
      </c>
      <c r="CD35">
        <f>COUNT($AS35:BD35)</f>
        <v>1</v>
      </c>
      <c r="CF35">
        <f>COUNT($BF35:BF35)</f>
        <v>0</v>
      </c>
      <c r="CG35">
        <f>COUNT($BF35:BG35)</f>
        <v>0</v>
      </c>
      <c r="CH35">
        <f>COUNT($BF35:BH35)</f>
        <v>0</v>
      </c>
      <c r="CI35">
        <f>COUNT($BF35:BI35)</f>
        <v>0</v>
      </c>
      <c r="CJ35">
        <f>COUNT($BF35:BJ35)</f>
        <v>0</v>
      </c>
      <c r="CK35">
        <f>COUNT($BF35:BK35)</f>
        <v>0</v>
      </c>
      <c r="CL35">
        <f>COUNT($BF35:BL35)</f>
        <v>0</v>
      </c>
      <c r="CM35">
        <f>COUNT($BF35:BM35)</f>
        <v>0</v>
      </c>
      <c r="CN35">
        <f>COUNT($BF35:BN35)</f>
        <v>0</v>
      </c>
      <c r="CO35">
        <f>COUNT($BF35:BO35)</f>
        <v>0</v>
      </c>
      <c r="CP35">
        <f>COUNT($BF35:BP35)</f>
        <v>0</v>
      </c>
      <c r="CQ35">
        <f>COUNT($BF35:BQ35)</f>
        <v>1</v>
      </c>
      <c r="CS35" s="5">
        <f t="shared" si="45"/>
        <v>0</v>
      </c>
      <c r="CT35" s="100" t="str">
        <f t="shared" si="80"/>
        <v>81061Hospice</v>
      </c>
      <c r="CU35" s="83">
        <f t="shared" si="46"/>
        <v>810</v>
      </c>
      <c r="CV35" s="83">
        <f t="shared" si="47"/>
        <v>61</v>
      </c>
      <c r="CX35">
        <f t="shared" si="81"/>
        <v>1</v>
      </c>
      <c r="CY35">
        <f t="shared" si="82"/>
        <v>1</v>
      </c>
      <c r="DA35" s="90" cm="1">
        <f t="array" ref="DA35">IF(DA$5&lt;=$CX35,INDEX($AS35:$BD35,1,_xlfn.XMATCH(DA$5,$BS35:$CD35)),"na")</f>
        <v>45658</v>
      </c>
      <c r="DB35" s="91" cm="1">
        <f t="array" ref="DB35">IF(DB$5&lt;=$CY35,INDEX($BF35:$BQ35,1,_xlfn.XMATCH(DB$5,$CF35:$CQ35)),"na")</f>
        <v>46022</v>
      </c>
      <c r="DC35" s="82" t="str">
        <f>_xlfn.XLOOKUP($CU35&amp;"-"&amp;$CV35&amp;$C35,REF!$K$2:$K$90,REF!B$2:B$90)</f>
        <v>Hospice</v>
      </c>
      <c r="DD35" s="82" t="str">
        <f>_xlfn.XLOOKUP($CU35&amp;"-"&amp;$CV35&amp;$C35,REF!$K$2:$K$90,REF!C$2:C$90)</f>
        <v>Hospice - Private Pay</v>
      </c>
      <c r="DE35" s="82" t="str">
        <f>_xlfn.XLOOKUP($CU35&amp;"-"&amp;$CV35&amp;$C35,REF!$K$2:$K$90,REF!D$2:D$90)</f>
        <v>BETHANY VILLAGE</v>
      </c>
      <c r="DF35" s="82" t="str">
        <f>_xlfn.XLOOKUP($CU35&amp;"-"&amp;$CV35&amp;$C35,REF!$K$2:$K$90,REF!E$2:E$90)</f>
        <v>SKILLED NURSING</v>
      </c>
      <c r="DG35" s="82" t="str">
        <f>_xlfn.XLOOKUP($CU35&amp;"-"&amp;$CV35&amp;$C35,REF!$K$2:$K$90,REF!F$2:F$90)</f>
        <v>BETHANY VILLAGE - THE OAKS</v>
      </c>
      <c r="DH35" s="93" cm="1">
        <f t="array" ref="DH35">IF(DH$5&lt;=$CX35,INDEX($AF35:$AQ35,1,_xlfn.XMATCH(DH$5,$BS35:$CD35)),"na")</f>
        <v>0</v>
      </c>
      <c r="DI35" s="90" t="str" cm="1">
        <f t="array" ref="DI35">IF(DI$5&lt;=$CX35,INDEX($AS35:$BD35,1,_xlfn.XMATCH(DI$5,$BS35:$CD35)),"na")</f>
        <v>na</v>
      </c>
      <c r="DJ35" s="91" t="str" cm="1">
        <f t="array" ref="DJ35">IF(DJ$5&lt;=$CY35,INDEX($BF35:$BQ35,1,_xlfn.XMATCH(DJ$5,$CF35:$CQ35)),"na")</f>
        <v>na</v>
      </c>
      <c r="DK35" s="101" t="str">
        <f t="shared" si="83"/>
        <v>Hospice</v>
      </c>
      <c r="DL35" s="101" t="str">
        <f t="shared" si="48"/>
        <v>Hospice - Private Pay</v>
      </c>
      <c r="DM35" s="101" t="str">
        <f t="shared" si="49"/>
        <v>BETHANY VILLAGE</v>
      </c>
      <c r="DN35" s="101" t="str">
        <f t="shared" si="50"/>
        <v>SKILLED NURSING</v>
      </c>
      <c r="DO35" s="101" t="str">
        <f t="shared" si="51"/>
        <v>BETHANY VILLAGE - THE OAKS</v>
      </c>
      <c r="DP35" s="93" t="str" cm="1">
        <f t="array" ref="DP35">IF(DP$5&lt;=$CX35,INDEX($AF35:$AQ35,1,_xlfn.XMATCH(DP$5,$BS35:$CD35)),"na")</f>
        <v>na</v>
      </c>
      <c r="DQ35" s="90" t="str" cm="1">
        <f t="array" ref="DQ35">IF(DQ$5&lt;=$CX35,INDEX($AS35:$BD35,1,_xlfn.XMATCH(DQ$5,$BS35:$CD35)),"na")</f>
        <v>na</v>
      </c>
      <c r="DR35" s="91" t="str" cm="1">
        <f t="array" ref="DR35">IF(DR$5&lt;=$CY35,INDEX($BF35:$BQ35,1,_xlfn.XMATCH(DR$5,$CF35:$CQ35)),"na")</f>
        <v>na</v>
      </c>
      <c r="DS35" s="101" t="str">
        <f t="shared" si="84"/>
        <v>Hospice</v>
      </c>
      <c r="DT35" s="101" t="str">
        <f t="shared" si="52"/>
        <v>Hospice - Private Pay</v>
      </c>
      <c r="DU35" s="101" t="str">
        <f t="shared" si="53"/>
        <v>BETHANY VILLAGE</v>
      </c>
      <c r="DV35" s="101" t="str">
        <f t="shared" si="54"/>
        <v>SKILLED NURSING</v>
      </c>
      <c r="DW35" s="101" t="str">
        <f t="shared" si="55"/>
        <v>BETHANY VILLAGE - THE OAKS</v>
      </c>
      <c r="DX35" s="93" t="str" cm="1">
        <f t="array" ref="DX35">IF(DX$5&lt;=$CX35,INDEX($AF35:$AQ35,1,_xlfn.XMATCH(DX$5,$BS35:$CD35)),"na")</f>
        <v>na</v>
      </c>
      <c r="DY35" s="90" t="str" cm="1">
        <f t="array" ref="DY35">IF(DY$5&lt;=$CX35,INDEX($AS35:$BD35,1,_xlfn.XMATCH(DY$5,$BS35:$CD35)),"na")</f>
        <v>na</v>
      </c>
      <c r="DZ35" s="91" t="str" cm="1">
        <f t="array" ref="DZ35">IF(DZ$5&lt;=$CY35,INDEX($BF35:$BQ35,1,_xlfn.XMATCH(DZ$5,$CF35:$CQ35)),"na")</f>
        <v>na</v>
      </c>
      <c r="EA35" s="101" t="str">
        <f t="shared" si="85"/>
        <v>Hospice</v>
      </c>
      <c r="EB35" s="101" t="str">
        <f t="shared" si="56"/>
        <v>Hospice - Private Pay</v>
      </c>
      <c r="EC35" s="101" t="str">
        <f t="shared" si="57"/>
        <v>BETHANY VILLAGE</v>
      </c>
      <c r="ED35" s="101" t="str">
        <f t="shared" si="58"/>
        <v>SKILLED NURSING</v>
      </c>
      <c r="EE35" s="101" t="str">
        <f t="shared" si="59"/>
        <v>BETHANY VILLAGE - THE OAKS</v>
      </c>
      <c r="EF35" s="93" t="str" cm="1">
        <f t="array" ref="EF35">IF(EF$5&lt;=$CX35,INDEX($AF35:$AQ35,1,_xlfn.XMATCH(EF$5,$BS35:$CD35)),"na")</f>
        <v>na</v>
      </c>
      <c r="EG35" s="90" t="str" cm="1">
        <f t="array" ref="EG35">IF(EG$5&lt;=$CX35,INDEX($AS35:$BD35,1,_xlfn.XMATCH(EG$5,$BS35:$CD35)),"na")</f>
        <v>na</v>
      </c>
      <c r="EH35" s="91" t="str" cm="1">
        <f t="array" ref="EH35">IF(EH$5&lt;=$CY35,INDEX($BF35:$BQ35,1,_xlfn.XMATCH(EH$5,$CF35:$CQ35)),"na")</f>
        <v>na</v>
      </c>
      <c r="EI35" s="101" t="str">
        <f t="shared" si="86"/>
        <v>Hospice</v>
      </c>
      <c r="EJ35" s="101" t="str">
        <f t="shared" si="60"/>
        <v>Hospice - Private Pay</v>
      </c>
      <c r="EK35" s="101" t="str">
        <f t="shared" si="61"/>
        <v>BETHANY VILLAGE</v>
      </c>
      <c r="EL35" s="101" t="str">
        <f t="shared" si="62"/>
        <v>SKILLED NURSING</v>
      </c>
      <c r="EM35" s="101" t="str">
        <f t="shared" si="63"/>
        <v>BETHANY VILLAGE - THE OAKS</v>
      </c>
      <c r="EN35" s="93" t="str" cm="1">
        <f t="array" ref="EN35">IF(EN$5&lt;=$CX35,INDEX($AF35:$AQ35,1,_xlfn.XMATCH(EN$5,$BS35:$CD35)),"na")</f>
        <v>na</v>
      </c>
      <c r="EO35" s="90" t="str" cm="1">
        <f t="array" ref="EO35">IF(EO$5&lt;=$CX35,INDEX($AS35:$BD35,1,_xlfn.XMATCH(EO$5,$BS35:$CD35)),"na")</f>
        <v>na</v>
      </c>
      <c r="EP35" s="91" t="str" cm="1">
        <f t="array" ref="EP35">IF(EP$5&lt;=$CY35,INDEX($BF35:$BQ35,1,_xlfn.XMATCH(EP$5,$CF35:$CQ35)),"na")</f>
        <v>na</v>
      </c>
      <c r="EQ35" s="101" t="str">
        <f t="shared" si="87"/>
        <v>Hospice</v>
      </c>
      <c r="ER35" s="101" t="str">
        <f t="shared" si="64"/>
        <v>Hospice - Private Pay</v>
      </c>
      <c r="ES35" s="101" t="str">
        <f t="shared" si="65"/>
        <v>BETHANY VILLAGE</v>
      </c>
      <c r="ET35" s="101" t="str">
        <f t="shared" si="66"/>
        <v>SKILLED NURSING</v>
      </c>
      <c r="EU35" s="101" t="str">
        <f t="shared" si="67"/>
        <v>BETHANY VILLAGE - THE OAKS</v>
      </c>
      <c r="EV35" s="93" t="str" cm="1">
        <f t="array" ref="EV35">IF(EV$5&lt;=$CX35,INDEX($AF35:$AQ35,1,_xlfn.XMATCH(EV$5,$BS35:$CD35)),"na")</f>
        <v>na</v>
      </c>
    </row>
    <row r="36" spans="1:152" x14ac:dyDescent="0.25">
      <c r="A36" s="60" t="s">
        <v>212</v>
      </c>
      <c r="B36" s="43" t="s">
        <v>200</v>
      </c>
      <c r="C36" s="43" t="s">
        <v>133</v>
      </c>
      <c r="D36" s="4">
        <v>378.2000000000001</v>
      </c>
      <c r="E36" s="4">
        <v>341.6</v>
      </c>
      <c r="F36" s="4">
        <v>378.2000000000001</v>
      </c>
      <c r="G36" s="4">
        <v>366.00000000000006</v>
      </c>
      <c r="H36" s="4">
        <v>378.2000000000001</v>
      </c>
      <c r="I36" s="4">
        <v>366.00000000000006</v>
      </c>
      <c r="J36" s="4">
        <v>378.2000000000001</v>
      </c>
      <c r="K36" s="4">
        <v>378.2000000000001</v>
      </c>
      <c r="L36" s="4">
        <v>366.00000000000006</v>
      </c>
      <c r="M36" s="4">
        <v>378.2000000000001</v>
      </c>
      <c r="N36" s="4">
        <v>366.00000000000006</v>
      </c>
      <c r="O36" s="4">
        <v>378.2000000000001</v>
      </c>
      <c r="AF36" s="7">
        <f t="shared" si="22"/>
        <v>12.200000000000003</v>
      </c>
      <c r="AG36" s="7">
        <f t="shared" si="23"/>
        <v>12.200000000000001</v>
      </c>
      <c r="AH36" s="7">
        <f t="shared" si="24"/>
        <v>12.200000000000003</v>
      </c>
      <c r="AI36" s="7">
        <f t="shared" si="25"/>
        <v>12.200000000000001</v>
      </c>
      <c r="AJ36" s="7">
        <f t="shared" si="26"/>
        <v>12.200000000000003</v>
      </c>
      <c r="AK36" s="7">
        <f t="shared" si="27"/>
        <v>12.200000000000001</v>
      </c>
      <c r="AL36" s="7">
        <f t="shared" si="28"/>
        <v>12.200000000000003</v>
      </c>
      <c r="AM36" s="7">
        <f t="shared" si="29"/>
        <v>12.200000000000003</v>
      </c>
      <c r="AN36" s="7">
        <f t="shared" si="30"/>
        <v>12.200000000000001</v>
      </c>
      <c r="AO36" s="7">
        <f t="shared" si="31"/>
        <v>12.200000000000003</v>
      </c>
      <c r="AP36" s="7">
        <f t="shared" si="32"/>
        <v>12.200000000000001</v>
      </c>
      <c r="AQ36" s="7">
        <f t="shared" si="33"/>
        <v>12.200000000000003</v>
      </c>
      <c r="AS36" s="86">
        <f>_xlfn.XLOOKUP(AS$5,'OC-Days'!$G:$G,'OC-Days'!$F:$F)</f>
        <v>45658</v>
      </c>
      <c r="AT36" s="87" t="str">
        <f>IF(AG36=AF36,"na",_xlfn.XLOOKUP(AT$5,'OC-Days'!$G:$G,'OC-Days'!$F:$F))</f>
        <v>na</v>
      </c>
      <c r="AU36" s="87" t="str">
        <f>IF(AH36=AG36,"na",_xlfn.XLOOKUP(AU$5,'OC-Days'!$G:$G,'OC-Days'!$F:$F))</f>
        <v>na</v>
      </c>
      <c r="AV36" s="87" t="str">
        <f>IF(AI36=AH36,"na",_xlfn.XLOOKUP(AV$5,'OC-Days'!$G:$G,'OC-Days'!$F:$F))</f>
        <v>na</v>
      </c>
      <c r="AW36" s="87" t="str">
        <f>IF(AJ36=AI36,"na",_xlfn.XLOOKUP(AW$5,'OC-Days'!$G:$G,'OC-Days'!$F:$F))</f>
        <v>na</v>
      </c>
      <c r="AX36" s="87" t="str">
        <f>IF(AK36=AJ36,"na",_xlfn.XLOOKUP(AX$5,'OC-Days'!$G:$G,'OC-Days'!$F:$F))</f>
        <v>na</v>
      </c>
      <c r="AY36" s="87" t="str">
        <f>IF(AL36=AK36,"na",_xlfn.XLOOKUP(AY$5,'OC-Days'!$G:$G,'OC-Days'!$F:$F))</f>
        <v>na</v>
      </c>
      <c r="AZ36" s="87" t="str">
        <f>IF(AM36=AL36,"na",_xlfn.XLOOKUP(AZ$5,'OC-Days'!$G:$G,'OC-Days'!$F:$F))</f>
        <v>na</v>
      </c>
      <c r="BA36" s="87" t="str">
        <f>IF(AN36=AM36,"na",_xlfn.XLOOKUP(BA$5,'OC-Days'!$G:$G,'OC-Days'!$F:$F))</f>
        <v>na</v>
      </c>
      <c r="BB36" s="87" t="str">
        <f>IF(AO36=AN36,"na",_xlfn.XLOOKUP(BB$5,'OC-Days'!$G:$G,'OC-Days'!$F:$F))</f>
        <v>na</v>
      </c>
      <c r="BC36" s="87" t="str">
        <f>IF(AP36=AO36,"na",_xlfn.XLOOKUP(BC$5,'OC-Days'!$G:$G,'OC-Days'!$F:$F))</f>
        <v>na</v>
      </c>
      <c r="BD36" s="87" t="str">
        <f>IF(AQ36=AP36,"na",_xlfn.XLOOKUP(BD$5,'OC-Days'!$G:$G,'OC-Days'!$F:$F))</f>
        <v>na</v>
      </c>
      <c r="BF36" s="88" t="str">
        <f t="shared" si="68"/>
        <v>na</v>
      </c>
      <c r="BG36" s="88" t="str">
        <f t="shared" si="69"/>
        <v>na</v>
      </c>
      <c r="BH36" s="88" t="str">
        <f t="shared" si="70"/>
        <v>na</v>
      </c>
      <c r="BI36" s="88" t="str">
        <f t="shared" si="71"/>
        <v>na</v>
      </c>
      <c r="BJ36" s="88" t="str">
        <f t="shared" si="72"/>
        <v>na</v>
      </c>
      <c r="BK36" s="88" t="str">
        <f t="shared" si="73"/>
        <v>na</v>
      </c>
      <c r="BL36" s="88" t="str">
        <f t="shared" si="74"/>
        <v>na</v>
      </c>
      <c r="BM36" s="88" t="str">
        <f t="shared" si="75"/>
        <v>na</v>
      </c>
      <c r="BN36" s="88" t="str">
        <f t="shared" si="76"/>
        <v>na</v>
      </c>
      <c r="BO36" s="88" t="str">
        <f t="shared" si="77"/>
        <v>na</v>
      </c>
      <c r="BP36" s="88" t="str">
        <f t="shared" si="78"/>
        <v>na</v>
      </c>
      <c r="BQ36" s="89">
        <f t="shared" si="79"/>
        <v>46022</v>
      </c>
      <c r="BS36">
        <f>COUNT($AS36:AS36)</f>
        <v>1</v>
      </c>
      <c r="BT36">
        <f>COUNT($AS36:AT36)</f>
        <v>1</v>
      </c>
      <c r="BU36">
        <f>COUNT($AS36:AU36)</f>
        <v>1</v>
      </c>
      <c r="BV36">
        <f>COUNT($AS36:AV36)</f>
        <v>1</v>
      </c>
      <c r="BW36">
        <f>COUNT($AS36:AW36)</f>
        <v>1</v>
      </c>
      <c r="BX36">
        <f>COUNT($AS36:AX36)</f>
        <v>1</v>
      </c>
      <c r="BY36">
        <f>COUNT($AS36:AY36)</f>
        <v>1</v>
      </c>
      <c r="BZ36">
        <f>COUNT($AS36:AZ36)</f>
        <v>1</v>
      </c>
      <c r="CA36">
        <f>COUNT($AS36:BA36)</f>
        <v>1</v>
      </c>
      <c r="CB36">
        <f>COUNT($AS36:BB36)</f>
        <v>1</v>
      </c>
      <c r="CC36">
        <f>COUNT($AS36:BC36)</f>
        <v>1</v>
      </c>
      <c r="CD36">
        <f>COUNT($AS36:BD36)</f>
        <v>1</v>
      </c>
      <c r="CF36">
        <f>COUNT($BF36:BF36)</f>
        <v>0</v>
      </c>
      <c r="CG36">
        <f>COUNT($BF36:BG36)</f>
        <v>0</v>
      </c>
      <c r="CH36">
        <f>COUNT($BF36:BH36)</f>
        <v>0</v>
      </c>
      <c r="CI36">
        <f>COUNT($BF36:BI36)</f>
        <v>0</v>
      </c>
      <c r="CJ36">
        <f>COUNT($BF36:BJ36)</f>
        <v>0</v>
      </c>
      <c r="CK36">
        <f>COUNT($BF36:BK36)</f>
        <v>0</v>
      </c>
      <c r="CL36">
        <f>COUNT($BF36:BL36)</f>
        <v>0</v>
      </c>
      <c r="CM36">
        <f>COUNT($BF36:BM36)</f>
        <v>0</v>
      </c>
      <c r="CN36">
        <f>COUNT($BF36:BN36)</f>
        <v>0</v>
      </c>
      <c r="CO36">
        <f>COUNT($BF36:BO36)</f>
        <v>0</v>
      </c>
      <c r="CP36">
        <f>COUNT($BF36:BP36)</f>
        <v>0</v>
      </c>
      <c r="CQ36">
        <f>COUNT($BF36:BQ36)</f>
        <v>1</v>
      </c>
      <c r="CS36" s="5">
        <f t="shared" si="45"/>
        <v>1</v>
      </c>
      <c r="CT36" s="100" t="str">
        <f t="shared" si="80"/>
        <v>84061Medicare A</v>
      </c>
      <c r="CU36" s="83">
        <f t="shared" si="46"/>
        <v>840</v>
      </c>
      <c r="CV36" s="83">
        <f t="shared" si="47"/>
        <v>61</v>
      </c>
      <c r="CX36">
        <f t="shared" si="81"/>
        <v>1</v>
      </c>
      <c r="CY36">
        <f t="shared" si="82"/>
        <v>1</v>
      </c>
      <c r="DA36" s="90" cm="1">
        <f t="array" ref="DA36">IF(DA$5&lt;=$CX36,INDEX($AS36:$BD36,1,_xlfn.XMATCH(DA$5,$BS36:$CD36)),"na")</f>
        <v>45658</v>
      </c>
      <c r="DB36" s="91" cm="1">
        <f t="array" ref="DB36">IF(DB$5&lt;=$CY36,INDEX($BF36:$BQ36,1,_xlfn.XMATCH(DB$5,$CF36:$CQ36)),"na")</f>
        <v>46022</v>
      </c>
      <c r="DC36" s="82" t="str">
        <f>_xlfn.XLOOKUP($CU36&amp;"-"&amp;$CV36&amp;$C36,REF!$K$2:$K$90,REF!B$2:B$90)</f>
        <v>MEDICAREA/MC HMO</v>
      </c>
      <c r="DD36" s="82" t="str">
        <f>_xlfn.XLOOKUP($CU36&amp;"-"&amp;$CV36&amp;$C36,REF!$K$2:$K$90,REF!C$2:C$90)</f>
        <v>MEDICARE A HIGHMARK</v>
      </c>
      <c r="DE36" s="82" t="str">
        <f>_xlfn.XLOOKUP($CU36&amp;"-"&amp;$CV36&amp;$C36,REF!$K$2:$K$90,REF!D$2:D$90)</f>
        <v>Normandie Ridge</v>
      </c>
      <c r="DF36" s="82" t="str">
        <f>_xlfn.XLOOKUP($CU36&amp;"-"&amp;$CV36&amp;$C36,REF!$K$2:$K$90,REF!E$2:E$90)</f>
        <v>SKILLED NURSING</v>
      </c>
      <c r="DG36" s="82" t="str">
        <f>_xlfn.XLOOKUP($CU36&amp;"-"&amp;$CV36&amp;$C36,REF!$K$2:$K$90,REF!F$2:F$90)</f>
        <v>NORMANDIE RIDGE SNF</v>
      </c>
      <c r="DH36" s="93" cm="1">
        <f t="array" ref="DH36">IF(DH$5&lt;=$CX36,INDEX($AF36:$AQ36,1,_xlfn.XMATCH(DH$5,$BS36:$CD36)),"na")</f>
        <v>12.200000000000003</v>
      </c>
      <c r="DI36" s="90" t="str" cm="1">
        <f t="array" ref="DI36">IF(DI$5&lt;=$CX36,INDEX($AS36:$BD36,1,_xlfn.XMATCH(DI$5,$BS36:$CD36)),"na")</f>
        <v>na</v>
      </c>
      <c r="DJ36" s="91" t="str" cm="1">
        <f t="array" ref="DJ36">IF(DJ$5&lt;=$CY36,INDEX($BF36:$BQ36,1,_xlfn.XMATCH(DJ$5,$CF36:$CQ36)),"na")</f>
        <v>na</v>
      </c>
      <c r="DK36" s="101" t="str">
        <f t="shared" si="83"/>
        <v>MEDICAREA/MC HMO</v>
      </c>
      <c r="DL36" s="101" t="str">
        <f t="shared" si="48"/>
        <v>MEDICARE A HIGHMARK</v>
      </c>
      <c r="DM36" s="101" t="str">
        <f t="shared" si="49"/>
        <v>Normandie Ridge</v>
      </c>
      <c r="DN36" s="101" t="str">
        <f t="shared" si="50"/>
        <v>SKILLED NURSING</v>
      </c>
      <c r="DO36" s="101" t="str">
        <f t="shared" si="51"/>
        <v>NORMANDIE RIDGE SNF</v>
      </c>
      <c r="DP36" s="93" t="str" cm="1">
        <f t="array" ref="DP36">IF(DP$5&lt;=$CX36,INDEX($AF36:$AQ36,1,_xlfn.XMATCH(DP$5,$BS36:$CD36)),"na")</f>
        <v>na</v>
      </c>
      <c r="DQ36" s="90" t="str" cm="1">
        <f t="array" ref="DQ36">IF(DQ$5&lt;=$CX36,INDEX($AS36:$BD36,1,_xlfn.XMATCH(DQ$5,$BS36:$CD36)),"na")</f>
        <v>na</v>
      </c>
      <c r="DR36" s="91" t="str" cm="1">
        <f t="array" ref="DR36">IF(DR$5&lt;=$CY36,INDEX($BF36:$BQ36,1,_xlfn.XMATCH(DR$5,$CF36:$CQ36)),"na")</f>
        <v>na</v>
      </c>
      <c r="DS36" s="101" t="str">
        <f t="shared" si="84"/>
        <v>MEDICAREA/MC HMO</v>
      </c>
      <c r="DT36" s="101" t="str">
        <f t="shared" si="52"/>
        <v>MEDICARE A HIGHMARK</v>
      </c>
      <c r="DU36" s="101" t="str">
        <f t="shared" si="53"/>
        <v>Normandie Ridge</v>
      </c>
      <c r="DV36" s="101" t="str">
        <f t="shared" si="54"/>
        <v>SKILLED NURSING</v>
      </c>
      <c r="DW36" s="101" t="str">
        <f t="shared" si="55"/>
        <v>NORMANDIE RIDGE SNF</v>
      </c>
      <c r="DX36" s="93" t="str" cm="1">
        <f t="array" ref="DX36">IF(DX$5&lt;=$CX36,INDEX($AF36:$AQ36,1,_xlfn.XMATCH(DX$5,$BS36:$CD36)),"na")</f>
        <v>na</v>
      </c>
      <c r="DY36" s="90" t="str" cm="1">
        <f t="array" ref="DY36">IF(DY$5&lt;=$CX36,INDEX($AS36:$BD36,1,_xlfn.XMATCH(DY$5,$BS36:$CD36)),"na")</f>
        <v>na</v>
      </c>
      <c r="DZ36" s="91" t="str" cm="1">
        <f t="array" ref="DZ36">IF(DZ$5&lt;=$CY36,INDEX($BF36:$BQ36,1,_xlfn.XMATCH(DZ$5,$CF36:$CQ36)),"na")</f>
        <v>na</v>
      </c>
      <c r="EA36" s="101" t="str">
        <f t="shared" si="85"/>
        <v>MEDICAREA/MC HMO</v>
      </c>
      <c r="EB36" s="101" t="str">
        <f t="shared" si="56"/>
        <v>MEDICARE A HIGHMARK</v>
      </c>
      <c r="EC36" s="101" t="str">
        <f t="shared" si="57"/>
        <v>Normandie Ridge</v>
      </c>
      <c r="ED36" s="101" t="str">
        <f t="shared" si="58"/>
        <v>SKILLED NURSING</v>
      </c>
      <c r="EE36" s="101" t="str">
        <f t="shared" si="59"/>
        <v>NORMANDIE RIDGE SNF</v>
      </c>
      <c r="EF36" s="93" t="str" cm="1">
        <f t="array" ref="EF36">IF(EF$5&lt;=$CX36,INDEX($AF36:$AQ36,1,_xlfn.XMATCH(EF$5,$BS36:$CD36)),"na")</f>
        <v>na</v>
      </c>
      <c r="EG36" s="90" t="str" cm="1">
        <f t="array" ref="EG36">IF(EG$5&lt;=$CX36,INDEX($AS36:$BD36,1,_xlfn.XMATCH(EG$5,$BS36:$CD36)),"na")</f>
        <v>na</v>
      </c>
      <c r="EH36" s="91" t="str" cm="1">
        <f t="array" ref="EH36">IF(EH$5&lt;=$CY36,INDEX($BF36:$BQ36,1,_xlfn.XMATCH(EH$5,$CF36:$CQ36)),"na")</f>
        <v>na</v>
      </c>
      <c r="EI36" s="101" t="str">
        <f t="shared" si="86"/>
        <v>MEDICAREA/MC HMO</v>
      </c>
      <c r="EJ36" s="101" t="str">
        <f t="shared" si="60"/>
        <v>MEDICARE A HIGHMARK</v>
      </c>
      <c r="EK36" s="101" t="str">
        <f t="shared" si="61"/>
        <v>Normandie Ridge</v>
      </c>
      <c r="EL36" s="101" t="str">
        <f t="shared" si="62"/>
        <v>SKILLED NURSING</v>
      </c>
      <c r="EM36" s="101" t="str">
        <f t="shared" si="63"/>
        <v>NORMANDIE RIDGE SNF</v>
      </c>
      <c r="EN36" s="93" t="str" cm="1">
        <f t="array" ref="EN36">IF(EN$5&lt;=$CX36,INDEX($AF36:$AQ36,1,_xlfn.XMATCH(EN$5,$BS36:$CD36)),"na")</f>
        <v>na</v>
      </c>
      <c r="EO36" s="90" t="str" cm="1">
        <f t="array" ref="EO36">IF(EO$5&lt;=$CX36,INDEX($AS36:$BD36,1,_xlfn.XMATCH(EO$5,$BS36:$CD36)),"na")</f>
        <v>na</v>
      </c>
      <c r="EP36" s="91" t="str" cm="1">
        <f t="array" ref="EP36">IF(EP$5&lt;=$CY36,INDEX($BF36:$BQ36,1,_xlfn.XMATCH(EP$5,$CF36:$CQ36)),"na")</f>
        <v>na</v>
      </c>
      <c r="EQ36" s="101" t="str">
        <f t="shared" si="87"/>
        <v>MEDICAREA/MC HMO</v>
      </c>
      <c r="ER36" s="101" t="str">
        <f t="shared" si="64"/>
        <v>MEDICARE A HIGHMARK</v>
      </c>
      <c r="ES36" s="101" t="str">
        <f t="shared" si="65"/>
        <v>Normandie Ridge</v>
      </c>
      <c r="ET36" s="101" t="str">
        <f t="shared" si="66"/>
        <v>SKILLED NURSING</v>
      </c>
      <c r="EU36" s="101" t="str">
        <f t="shared" si="67"/>
        <v>NORMANDIE RIDGE SNF</v>
      </c>
      <c r="EV36" s="93" t="str" cm="1">
        <f t="array" ref="EV36">IF(EV$5&lt;=$CX36,INDEX($AF36:$AQ36,1,_xlfn.XMATCH(EV$5,$BS36:$CD36)),"na")</f>
        <v>na</v>
      </c>
    </row>
    <row r="37" spans="1:152" x14ac:dyDescent="0.25">
      <c r="A37" s="60" t="s">
        <v>212</v>
      </c>
      <c r="B37" s="43" t="s">
        <v>201</v>
      </c>
      <c r="C37" s="43" t="s">
        <v>45</v>
      </c>
      <c r="D37" s="4">
        <v>94.55</v>
      </c>
      <c r="E37" s="4">
        <v>85.4</v>
      </c>
      <c r="F37" s="4">
        <v>94.55</v>
      </c>
      <c r="G37" s="4">
        <v>91.5</v>
      </c>
      <c r="H37" s="4">
        <v>94.55</v>
      </c>
      <c r="I37" s="4">
        <v>91.5</v>
      </c>
      <c r="J37" s="4">
        <v>94.55</v>
      </c>
      <c r="K37" s="4">
        <v>94.55</v>
      </c>
      <c r="L37" s="4">
        <v>91.5</v>
      </c>
      <c r="M37" s="4">
        <v>94.55</v>
      </c>
      <c r="N37" s="4">
        <v>91.5</v>
      </c>
      <c r="O37" s="4">
        <v>94.55</v>
      </c>
      <c r="AF37" s="7">
        <f t="shared" si="22"/>
        <v>3.05</v>
      </c>
      <c r="AG37" s="7">
        <f t="shared" si="23"/>
        <v>3.0500000000000003</v>
      </c>
      <c r="AH37" s="7">
        <f t="shared" si="24"/>
        <v>3.05</v>
      </c>
      <c r="AI37" s="7">
        <f t="shared" si="25"/>
        <v>3.05</v>
      </c>
      <c r="AJ37" s="7">
        <f t="shared" si="26"/>
        <v>3.05</v>
      </c>
      <c r="AK37" s="7">
        <f t="shared" si="27"/>
        <v>3.05</v>
      </c>
      <c r="AL37" s="7">
        <f t="shared" si="28"/>
        <v>3.05</v>
      </c>
      <c r="AM37" s="7">
        <f t="shared" si="29"/>
        <v>3.05</v>
      </c>
      <c r="AN37" s="7">
        <f t="shared" si="30"/>
        <v>3.05</v>
      </c>
      <c r="AO37" s="7">
        <f t="shared" si="31"/>
        <v>3.05</v>
      </c>
      <c r="AP37" s="7">
        <f t="shared" si="32"/>
        <v>3.05</v>
      </c>
      <c r="AQ37" s="7">
        <f t="shared" si="33"/>
        <v>3.05</v>
      </c>
      <c r="AS37" s="86">
        <f>_xlfn.XLOOKUP(AS$5,'OC-Days'!$G:$G,'OC-Days'!$F:$F)</f>
        <v>45658</v>
      </c>
      <c r="AT37" s="87" t="str">
        <f>IF(AG37=AF37,"na",_xlfn.XLOOKUP(AT$5,'OC-Days'!$G:$G,'OC-Days'!$F:$F))</f>
        <v>na</v>
      </c>
      <c r="AU37" s="87" t="str">
        <f>IF(AH37=AG37,"na",_xlfn.XLOOKUP(AU$5,'OC-Days'!$G:$G,'OC-Days'!$F:$F))</f>
        <v>na</v>
      </c>
      <c r="AV37" s="87" t="str">
        <f>IF(AI37=AH37,"na",_xlfn.XLOOKUP(AV$5,'OC-Days'!$G:$G,'OC-Days'!$F:$F))</f>
        <v>na</v>
      </c>
      <c r="AW37" s="87" t="str">
        <f>IF(AJ37=AI37,"na",_xlfn.XLOOKUP(AW$5,'OC-Days'!$G:$G,'OC-Days'!$F:$F))</f>
        <v>na</v>
      </c>
      <c r="AX37" s="87" t="str">
        <f>IF(AK37=AJ37,"na",_xlfn.XLOOKUP(AX$5,'OC-Days'!$G:$G,'OC-Days'!$F:$F))</f>
        <v>na</v>
      </c>
      <c r="AY37" s="87" t="str">
        <f>IF(AL37=AK37,"na",_xlfn.XLOOKUP(AY$5,'OC-Days'!$G:$G,'OC-Days'!$F:$F))</f>
        <v>na</v>
      </c>
      <c r="AZ37" s="87" t="str">
        <f>IF(AM37=AL37,"na",_xlfn.XLOOKUP(AZ$5,'OC-Days'!$G:$G,'OC-Days'!$F:$F))</f>
        <v>na</v>
      </c>
      <c r="BA37" s="87" t="str">
        <f>IF(AN37=AM37,"na",_xlfn.XLOOKUP(BA$5,'OC-Days'!$G:$G,'OC-Days'!$F:$F))</f>
        <v>na</v>
      </c>
      <c r="BB37" s="87" t="str">
        <f>IF(AO37=AN37,"na",_xlfn.XLOOKUP(BB$5,'OC-Days'!$G:$G,'OC-Days'!$F:$F))</f>
        <v>na</v>
      </c>
      <c r="BC37" s="87" t="str">
        <f>IF(AP37=AO37,"na",_xlfn.XLOOKUP(BC$5,'OC-Days'!$G:$G,'OC-Days'!$F:$F))</f>
        <v>na</v>
      </c>
      <c r="BD37" s="87" t="str">
        <f>IF(AQ37=AP37,"na",_xlfn.XLOOKUP(BD$5,'OC-Days'!$G:$G,'OC-Days'!$F:$F))</f>
        <v>na</v>
      </c>
      <c r="BF37" s="88" t="str">
        <f t="shared" si="68"/>
        <v>na</v>
      </c>
      <c r="BG37" s="88" t="str">
        <f t="shared" si="69"/>
        <v>na</v>
      </c>
      <c r="BH37" s="88" t="str">
        <f t="shared" si="70"/>
        <v>na</v>
      </c>
      <c r="BI37" s="88" t="str">
        <f t="shared" si="71"/>
        <v>na</v>
      </c>
      <c r="BJ37" s="88" t="str">
        <f t="shared" si="72"/>
        <v>na</v>
      </c>
      <c r="BK37" s="88" t="str">
        <f t="shared" si="73"/>
        <v>na</v>
      </c>
      <c r="BL37" s="88" t="str">
        <f t="shared" si="74"/>
        <v>na</v>
      </c>
      <c r="BM37" s="88" t="str">
        <f t="shared" si="75"/>
        <v>na</v>
      </c>
      <c r="BN37" s="88" t="str">
        <f t="shared" si="76"/>
        <v>na</v>
      </c>
      <c r="BO37" s="88" t="str">
        <f t="shared" si="77"/>
        <v>na</v>
      </c>
      <c r="BP37" s="88" t="str">
        <f t="shared" si="78"/>
        <v>na</v>
      </c>
      <c r="BQ37" s="89">
        <f t="shared" si="79"/>
        <v>46022</v>
      </c>
      <c r="BS37">
        <f>COUNT($AS37:AS37)</f>
        <v>1</v>
      </c>
      <c r="BT37">
        <f>COUNT($AS37:AT37)</f>
        <v>1</v>
      </c>
      <c r="BU37">
        <f>COUNT($AS37:AU37)</f>
        <v>1</v>
      </c>
      <c r="BV37">
        <f>COUNT($AS37:AV37)</f>
        <v>1</v>
      </c>
      <c r="BW37">
        <f>COUNT($AS37:AW37)</f>
        <v>1</v>
      </c>
      <c r="BX37">
        <f>COUNT($AS37:AX37)</f>
        <v>1</v>
      </c>
      <c r="BY37">
        <f>COUNT($AS37:AY37)</f>
        <v>1</v>
      </c>
      <c r="BZ37">
        <f>COUNT($AS37:AZ37)</f>
        <v>1</v>
      </c>
      <c r="CA37">
        <f>COUNT($AS37:BA37)</f>
        <v>1</v>
      </c>
      <c r="CB37">
        <f>COUNT($AS37:BB37)</f>
        <v>1</v>
      </c>
      <c r="CC37">
        <f>COUNT($AS37:BC37)</f>
        <v>1</v>
      </c>
      <c r="CD37">
        <f>COUNT($AS37:BD37)</f>
        <v>1</v>
      </c>
      <c r="CF37">
        <f>COUNT($BF37:BF37)</f>
        <v>0</v>
      </c>
      <c r="CG37">
        <f>COUNT($BF37:BG37)</f>
        <v>0</v>
      </c>
      <c r="CH37">
        <f>COUNT($BF37:BH37)</f>
        <v>0</v>
      </c>
      <c r="CI37">
        <f>COUNT($BF37:BI37)</f>
        <v>0</v>
      </c>
      <c r="CJ37">
        <f>COUNT($BF37:BJ37)</f>
        <v>0</v>
      </c>
      <c r="CK37">
        <f>COUNT($BF37:BK37)</f>
        <v>0</v>
      </c>
      <c r="CL37">
        <f>COUNT($BF37:BL37)</f>
        <v>0</v>
      </c>
      <c r="CM37">
        <f>COUNT($BF37:BM37)</f>
        <v>0</v>
      </c>
      <c r="CN37">
        <f>COUNT($BF37:BN37)</f>
        <v>0</v>
      </c>
      <c r="CO37">
        <f>COUNT($BF37:BO37)</f>
        <v>0</v>
      </c>
      <c r="CP37">
        <f>COUNT($BF37:BP37)</f>
        <v>0</v>
      </c>
      <c r="CQ37">
        <f>COUNT($BF37:BQ37)</f>
        <v>1</v>
      </c>
      <c r="CS37" s="5">
        <f t="shared" si="45"/>
        <v>1</v>
      </c>
      <c r="CT37" s="100" t="str">
        <f t="shared" si="80"/>
        <v>84061Medicare Advantage</v>
      </c>
      <c r="CU37" s="83">
        <f t="shared" si="46"/>
        <v>840</v>
      </c>
      <c r="CV37" s="83">
        <f t="shared" si="47"/>
        <v>61</v>
      </c>
      <c r="CX37">
        <f t="shared" si="81"/>
        <v>1</v>
      </c>
      <c r="CY37">
        <f t="shared" si="82"/>
        <v>1</v>
      </c>
      <c r="DA37" s="90" cm="1">
        <f t="array" ref="DA37">IF(DA$5&lt;=$CX37,INDEX($AS37:$BD37,1,_xlfn.XMATCH(DA$5,$BS37:$CD37)),"na")</f>
        <v>45658</v>
      </c>
      <c r="DB37" s="91" cm="1">
        <f t="array" ref="DB37">IF(DB$5&lt;=$CY37,INDEX($BF37:$BQ37,1,_xlfn.XMATCH(DB$5,$CF37:$CQ37)),"na")</f>
        <v>46022</v>
      </c>
      <c r="DC37" s="82" t="str">
        <f>_xlfn.XLOOKUP($CU37&amp;"-"&amp;$CV37&amp;$C37,REF!$K$2:$K$90,REF!B$2:B$90)</f>
        <v>Medicare Advantage</v>
      </c>
      <c r="DD37" s="82" t="str">
        <f>_xlfn.XLOOKUP($CU37&amp;"-"&amp;$CV37&amp;$C37,REF!$K$2:$K$90,REF!C$2:C$90)</f>
        <v>Med Adv HMO A</v>
      </c>
      <c r="DE37" s="82" t="str">
        <f>_xlfn.XLOOKUP($CU37&amp;"-"&amp;$CV37&amp;$C37,REF!$K$2:$K$90,REF!D$2:D$90)</f>
        <v>Normandie Ridge</v>
      </c>
      <c r="DF37" s="82" t="str">
        <f>_xlfn.XLOOKUP($CU37&amp;"-"&amp;$CV37&amp;$C37,REF!$K$2:$K$90,REF!E$2:E$90)</f>
        <v>SKILLED NURSING</v>
      </c>
      <c r="DG37" s="82" t="str">
        <f>_xlfn.XLOOKUP($CU37&amp;"-"&amp;$CV37&amp;$C37,REF!$K$2:$K$90,REF!F$2:F$90)</f>
        <v>NORMANDIE RIDGE SNF</v>
      </c>
      <c r="DH37" s="93" cm="1">
        <f t="array" ref="DH37">IF(DH$5&lt;=$CX37,INDEX($AF37:$AQ37,1,_xlfn.XMATCH(DH$5,$BS37:$CD37)),"na")</f>
        <v>3.05</v>
      </c>
      <c r="DI37" s="90" t="str" cm="1">
        <f t="array" ref="DI37">IF(DI$5&lt;=$CX37,INDEX($AS37:$BD37,1,_xlfn.XMATCH(DI$5,$BS37:$CD37)),"na")</f>
        <v>na</v>
      </c>
      <c r="DJ37" s="91" t="str" cm="1">
        <f t="array" ref="DJ37">IF(DJ$5&lt;=$CY37,INDEX($BF37:$BQ37,1,_xlfn.XMATCH(DJ$5,$CF37:$CQ37)),"na")</f>
        <v>na</v>
      </c>
      <c r="DK37" s="101" t="str">
        <f t="shared" si="83"/>
        <v>Medicare Advantage</v>
      </c>
      <c r="DL37" s="101" t="str">
        <f t="shared" si="48"/>
        <v>Med Adv HMO A</v>
      </c>
      <c r="DM37" s="101" t="str">
        <f t="shared" si="49"/>
        <v>Normandie Ridge</v>
      </c>
      <c r="DN37" s="101" t="str">
        <f t="shared" si="50"/>
        <v>SKILLED NURSING</v>
      </c>
      <c r="DO37" s="101" t="str">
        <f t="shared" si="51"/>
        <v>NORMANDIE RIDGE SNF</v>
      </c>
      <c r="DP37" s="93" t="str" cm="1">
        <f t="array" ref="DP37">IF(DP$5&lt;=$CX37,INDEX($AF37:$AQ37,1,_xlfn.XMATCH(DP$5,$BS37:$CD37)),"na")</f>
        <v>na</v>
      </c>
      <c r="DQ37" s="90" t="str" cm="1">
        <f t="array" ref="DQ37">IF(DQ$5&lt;=$CX37,INDEX($AS37:$BD37,1,_xlfn.XMATCH(DQ$5,$BS37:$CD37)),"na")</f>
        <v>na</v>
      </c>
      <c r="DR37" s="91" t="str" cm="1">
        <f t="array" ref="DR37">IF(DR$5&lt;=$CY37,INDEX($BF37:$BQ37,1,_xlfn.XMATCH(DR$5,$CF37:$CQ37)),"na")</f>
        <v>na</v>
      </c>
      <c r="DS37" s="101" t="str">
        <f t="shared" si="84"/>
        <v>Medicare Advantage</v>
      </c>
      <c r="DT37" s="101" t="str">
        <f t="shared" si="52"/>
        <v>Med Adv HMO A</v>
      </c>
      <c r="DU37" s="101" t="str">
        <f t="shared" si="53"/>
        <v>Normandie Ridge</v>
      </c>
      <c r="DV37" s="101" t="str">
        <f t="shared" si="54"/>
        <v>SKILLED NURSING</v>
      </c>
      <c r="DW37" s="101" t="str">
        <f t="shared" si="55"/>
        <v>NORMANDIE RIDGE SNF</v>
      </c>
      <c r="DX37" s="93" t="str" cm="1">
        <f t="array" ref="DX37">IF(DX$5&lt;=$CX37,INDEX($AF37:$AQ37,1,_xlfn.XMATCH(DX$5,$BS37:$CD37)),"na")</f>
        <v>na</v>
      </c>
      <c r="DY37" s="90" t="str" cm="1">
        <f t="array" ref="DY37">IF(DY$5&lt;=$CX37,INDEX($AS37:$BD37,1,_xlfn.XMATCH(DY$5,$BS37:$CD37)),"na")</f>
        <v>na</v>
      </c>
      <c r="DZ37" s="91" t="str" cm="1">
        <f t="array" ref="DZ37">IF(DZ$5&lt;=$CY37,INDEX($BF37:$BQ37,1,_xlfn.XMATCH(DZ$5,$CF37:$CQ37)),"na")</f>
        <v>na</v>
      </c>
      <c r="EA37" s="101" t="str">
        <f t="shared" si="85"/>
        <v>Medicare Advantage</v>
      </c>
      <c r="EB37" s="101" t="str">
        <f t="shared" si="56"/>
        <v>Med Adv HMO A</v>
      </c>
      <c r="EC37" s="101" t="str">
        <f t="shared" si="57"/>
        <v>Normandie Ridge</v>
      </c>
      <c r="ED37" s="101" t="str">
        <f t="shared" si="58"/>
        <v>SKILLED NURSING</v>
      </c>
      <c r="EE37" s="101" t="str">
        <f t="shared" si="59"/>
        <v>NORMANDIE RIDGE SNF</v>
      </c>
      <c r="EF37" s="93" t="str" cm="1">
        <f t="array" ref="EF37">IF(EF$5&lt;=$CX37,INDEX($AF37:$AQ37,1,_xlfn.XMATCH(EF$5,$BS37:$CD37)),"na")</f>
        <v>na</v>
      </c>
      <c r="EG37" s="90" t="str" cm="1">
        <f t="array" ref="EG37">IF(EG$5&lt;=$CX37,INDEX($AS37:$BD37,1,_xlfn.XMATCH(EG$5,$BS37:$CD37)),"na")</f>
        <v>na</v>
      </c>
      <c r="EH37" s="91" t="str" cm="1">
        <f t="array" ref="EH37">IF(EH$5&lt;=$CY37,INDEX($BF37:$BQ37,1,_xlfn.XMATCH(EH$5,$CF37:$CQ37)),"na")</f>
        <v>na</v>
      </c>
      <c r="EI37" s="101" t="str">
        <f t="shared" si="86"/>
        <v>Medicare Advantage</v>
      </c>
      <c r="EJ37" s="101" t="str">
        <f t="shared" si="60"/>
        <v>Med Adv HMO A</v>
      </c>
      <c r="EK37" s="101" t="str">
        <f t="shared" si="61"/>
        <v>Normandie Ridge</v>
      </c>
      <c r="EL37" s="101" t="str">
        <f t="shared" si="62"/>
        <v>SKILLED NURSING</v>
      </c>
      <c r="EM37" s="101" t="str">
        <f t="shared" si="63"/>
        <v>NORMANDIE RIDGE SNF</v>
      </c>
      <c r="EN37" s="93" t="str" cm="1">
        <f t="array" ref="EN37">IF(EN$5&lt;=$CX37,INDEX($AF37:$AQ37,1,_xlfn.XMATCH(EN$5,$BS37:$CD37)),"na")</f>
        <v>na</v>
      </c>
      <c r="EO37" s="90" t="str" cm="1">
        <f t="array" ref="EO37">IF(EO$5&lt;=$CX37,INDEX($AS37:$BD37,1,_xlfn.XMATCH(EO$5,$BS37:$CD37)),"na")</f>
        <v>na</v>
      </c>
      <c r="EP37" s="91" t="str" cm="1">
        <f t="array" ref="EP37">IF(EP$5&lt;=$CY37,INDEX($BF37:$BQ37,1,_xlfn.XMATCH(EP$5,$CF37:$CQ37)),"na")</f>
        <v>na</v>
      </c>
      <c r="EQ37" s="101" t="str">
        <f t="shared" si="87"/>
        <v>Medicare Advantage</v>
      </c>
      <c r="ER37" s="101" t="str">
        <f t="shared" si="64"/>
        <v>Med Adv HMO A</v>
      </c>
      <c r="ES37" s="101" t="str">
        <f t="shared" si="65"/>
        <v>Normandie Ridge</v>
      </c>
      <c r="ET37" s="101" t="str">
        <f t="shared" si="66"/>
        <v>SKILLED NURSING</v>
      </c>
      <c r="EU37" s="101" t="str">
        <f t="shared" si="67"/>
        <v>NORMANDIE RIDGE SNF</v>
      </c>
      <c r="EV37" s="93" t="str" cm="1">
        <f t="array" ref="EV37">IF(EV$5&lt;=$CX37,INDEX($AF37:$AQ37,1,_xlfn.XMATCH(EV$5,$BS37:$CD37)),"na")</f>
        <v>na</v>
      </c>
    </row>
    <row r="38" spans="1:152" x14ac:dyDescent="0.25">
      <c r="A38" s="60" t="s">
        <v>212</v>
      </c>
      <c r="B38" s="43" t="s">
        <v>202</v>
      </c>
      <c r="C38" s="43" t="s">
        <v>89</v>
      </c>
      <c r="D38" s="4">
        <v>850.94999999999993</v>
      </c>
      <c r="E38" s="4">
        <v>768.6</v>
      </c>
      <c r="F38" s="4">
        <v>850.94999999999993</v>
      </c>
      <c r="G38" s="4">
        <v>823.5</v>
      </c>
      <c r="H38" s="4">
        <v>850.94999999999993</v>
      </c>
      <c r="I38" s="4">
        <v>823.5</v>
      </c>
      <c r="J38" s="4">
        <v>850.94999999999993</v>
      </c>
      <c r="K38" s="4">
        <v>850.94999999999993</v>
      </c>
      <c r="L38" s="4">
        <v>823.5</v>
      </c>
      <c r="M38" s="4">
        <v>850.94999999999993</v>
      </c>
      <c r="N38" s="4">
        <v>823.5</v>
      </c>
      <c r="O38" s="4">
        <v>850.94999999999993</v>
      </c>
      <c r="AF38" s="7">
        <f t="shared" si="22"/>
        <v>27.45</v>
      </c>
      <c r="AG38" s="7">
        <f t="shared" si="23"/>
        <v>27.45</v>
      </c>
      <c r="AH38" s="7">
        <f t="shared" si="24"/>
        <v>27.45</v>
      </c>
      <c r="AI38" s="7">
        <f t="shared" si="25"/>
        <v>27.45</v>
      </c>
      <c r="AJ38" s="7">
        <f t="shared" si="26"/>
        <v>27.45</v>
      </c>
      <c r="AK38" s="7">
        <f t="shared" si="27"/>
        <v>27.45</v>
      </c>
      <c r="AL38" s="7">
        <f t="shared" si="28"/>
        <v>27.45</v>
      </c>
      <c r="AM38" s="7">
        <f t="shared" si="29"/>
        <v>27.45</v>
      </c>
      <c r="AN38" s="7">
        <f t="shared" si="30"/>
        <v>27.45</v>
      </c>
      <c r="AO38" s="7">
        <f t="shared" si="31"/>
        <v>27.45</v>
      </c>
      <c r="AP38" s="7">
        <f t="shared" si="32"/>
        <v>27.45</v>
      </c>
      <c r="AQ38" s="7">
        <f t="shared" si="33"/>
        <v>27.45</v>
      </c>
      <c r="AS38" s="86">
        <f>_xlfn.XLOOKUP(AS$5,'OC-Days'!$G:$G,'OC-Days'!$F:$F)</f>
        <v>45658</v>
      </c>
      <c r="AT38" s="87" t="str">
        <f>IF(AG38=AF38,"na",_xlfn.XLOOKUP(AT$5,'OC-Days'!$G:$G,'OC-Days'!$F:$F))</f>
        <v>na</v>
      </c>
      <c r="AU38" s="87" t="str">
        <f>IF(AH38=AG38,"na",_xlfn.XLOOKUP(AU$5,'OC-Days'!$G:$G,'OC-Days'!$F:$F))</f>
        <v>na</v>
      </c>
      <c r="AV38" s="87" t="str">
        <f>IF(AI38=AH38,"na",_xlfn.XLOOKUP(AV$5,'OC-Days'!$G:$G,'OC-Days'!$F:$F))</f>
        <v>na</v>
      </c>
      <c r="AW38" s="87" t="str">
        <f>IF(AJ38=AI38,"na",_xlfn.XLOOKUP(AW$5,'OC-Days'!$G:$G,'OC-Days'!$F:$F))</f>
        <v>na</v>
      </c>
      <c r="AX38" s="87" t="str">
        <f>IF(AK38=AJ38,"na",_xlfn.XLOOKUP(AX$5,'OC-Days'!$G:$G,'OC-Days'!$F:$F))</f>
        <v>na</v>
      </c>
      <c r="AY38" s="87" t="str">
        <f>IF(AL38=AK38,"na",_xlfn.XLOOKUP(AY$5,'OC-Days'!$G:$G,'OC-Days'!$F:$F))</f>
        <v>na</v>
      </c>
      <c r="AZ38" s="87" t="str">
        <f>IF(AM38=AL38,"na",_xlfn.XLOOKUP(AZ$5,'OC-Days'!$G:$G,'OC-Days'!$F:$F))</f>
        <v>na</v>
      </c>
      <c r="BA38" s="87" t="str">
        <f>IF(AN38=AM38,"na",_xlfn.XLOOKUP(BA$5,'OC-Days'!$G:$G,'OC-Days'!$F:$F))</f>
        <v>na</v>
      </c>
      <c r="BB38" s="87" t="str">
        <f>IF(AO38=AN38,"na",_xlfn.XLOOKUP(BB$5,'OC-Days'!$G:$G,'OC-Days'!$F:$F))</f>
        <v>na</v>
      </c>
      <c r="BC38" s="87" t="str">
        <f>IF(AP38=AO38,"na",_xlfn.XLOOKUP(BC$5,'OC-Days'!$G:$G,'OC-Days'!$F:$F))</f>
        <v>na</v>
      </c>
      <c r="BD38" s="87" t="str">
        <f>IF(AQ38=AP38,"na",_xlfn.XLOOKUP(BD$5,'OC-Days'!$G:$G,'OC-Days'!$F:$F))</f>
        <v>na</v>
      </c>
      <c r="BF38" s="88" t="str">
        <f t="shared" si="68"/>
        <v>na</v>
      </c>
      <c r="BG38" s="88" t="str">
        <f t="shared" si="69"/>
        <v>na</v>
      </c>
      <c r="BH38" s="88" t="str">
        <f t="shared" si="70"/>
        <v>na</v>
      </c>
      <c r="BI38" s="88" t="str">
        <f t="shared" si="71"/>
        <v>na</v>
      </c>
      <c r="BJ38" s="88" t="str">
        <f t="shared" si="72"/>
        <v>na</v>
      </c>
      <c r="BK38" s="88" t="str">
        <f t="shared" si="73"/>
        <v>na</v>
      </c>
      <c r="BL38" s="88" t="str">
        <f t="shared" si="74"/>
        <v>na</v>
      </c>
      <c r="BM38" s="88" t="str">
        <f t="shared" si="75"/>
        <v>na</v>
      </c>
      <c r="BN38" s="88" t="str">
        <f t="shared" si="76"/>
        <v>na</v>
      </c>
      <c r="BO38" s="88" t="str">
        <f t="shared" si="77"/>
        <v>na</v>
      </c>
      <c r="BP38" s="88" t="str">
        <f t="shared" si="78"/>
        <v>na</v>
      </c>
      <c r="BQ38" s="89">
        <f t="shared" si="79"/>
        <v>46022</v>
      </c>
      <c r="BS38">
        <f>COUNT($AS38:AS38)</f>
        <v>1</v>
      </c>
      <c r="BT38">
        <f>COUNT($AS38:AT38)</f>
        <v>1</v>
      </c>
      <c r="BU38">
        <f>COUNT($AS38:AU38)</f>
        <v>1</v>
      </c>
      <c r="BV38">
        <f>COUNT($AS38:AV38)</f>
        <v>1</v>
      </c>
      <c r="BW38">
        <f>COUNT($AS38:AW38)</f>
        <v>1</v>
      </c>
      <c r="BX38">
        <f>COUNT($AS38:AX38)</f>
        <v>1</v>
      </c>
      <c r="BY38">
        <f>COUNT($AS38:AY38)</f>
        <v>1</v>
      </c>
      <c r="BZ38">
        <f>COUNT($AS38:AZ38)</f>
        <v>1</v>
      </c>
      <c r="CA38">
        <f>COUNT($AS38:BA38)</f>
        <v>1</v>
      </c>
      <c r="CB38">
        <f>COUNT($AS38:BB38)</f>
        <v>1</v>
      </c>
      <c r="CC38">
        <f>COUNT($AS38:BC38)</f>
        <v>1</v>
      </c>
      <c r="CD38">
        <f>COUNT($AS38:BD38)</f>
        <v>1</v>
      </c>
      <c r="CF38">
        <f>COUNT($BF38:BF38)</f>
        <v>0</v>
      </c>
      <c r="CG38">
        <f>COUNT($BF38:BG38)</f>
        <v>0</v>
      </c>
      <c r="CH38">
        <f>COUNT($BF38:BH38)</f>
        <v>0</v>
      </c>
      <c r="CI38">
        <f>COUNT($BF38:BI38)</f>
        <v>0</v>
      </c>
      <c r="CJ38">
        <f>COUNT($BF38:BJ38)</f>
        <v>0</v>
      </c>
      <c r="CK38">
        <f>COUNT($BF38:BK38)</f>
        <v>0</v>
      </c>
      <c r="CL38">
        <f>COUNT($BF38:BL38)</f>
        <v>0</v>
      </c>
      <c r="CM38">
        <f>COUNT($BF38:BM38)</f>
        <v>0</v>
      </c>
      <c r="CN38">
        <f>COUNT($BF38:BN38)</f>
        <v>0</v>
      </c>
      <c r="CO38">
        <f>COUNT($BF38:BO38)</f>
        <v>0</v>
      </c>
      <c r="CP38">
        <f>COUNT($BF38:BP38)</f>
        <v>0</v>
      </c>
      <c r="CQ38">
        <f>COUNT($BF38:BQ38)</f>
        <v>1</v>
      </c>
      <c r="CS38" s="5">
        <f t="shared" si="45"/>
        <v>1</v>
      </c>
      <c r="CT38" s="100" t="str">
        <f t="shared" si="80"/>
        <v>84061Medicaid</v>
      </c>
      <c r="CU38" s="83">
        <f t="shared" si="46"/>
        <v>840</v>
      </c>
      <c r="CV38" s="83">
        <f t="shared" si="47"/>
        <v>61</v>
      </c>
      <c r="CX38">
        <f t="shared" si="81"/>
        <v>1</v>
      </c>
      <c r="CY38">
        <f t="shared" si="82"/>
        <v>1</v>
      </c>
      <c r="DA38" s="90" cm="1">
        <f t="array" ref="DA38">IF(DA$5&lt;=$CX38,INDEX($AS38:$BD38,1,_xlfn.XMATCH(DA$5,$BS38:$CD38)),"na")</f>
        <v>45658</v>
      </c>
      <c r="DB38" s="91" cm="1">
        <f t="array" ref="DB38">IF(DB$5&lt;=$CY38,INDEX($BF38:$BQ38,1,_xlfn.XMATCH(DB$5,$CF38:$CQ38)),"na")</f>
        <v>46022</v>
      </c>
      <c r="DC38" s="82" t="str">
        <f>_xlfn.XLOOKUP($CU38&amp;"-"&amp;$CV38&amp;$C38,REF!$K$2:$K$90,REF!B$2:B$90)</f>
        <v>MEDICAID</v>
      </c>
      <c r="DD38" s="82" t="str">
        <f>_xlfn.XLOOKUP($CU38&amp;"-"&amp;$CV38&amp;$C38,REF!$K$2:$K$90,REF!C$2:C$90)</f>
        <v>PA MEDICAID</v>
      </c>
      <c r="DE38" s="82" t="str">
        <f>_xlfn.XLOOKUP($CU38&amp;"-"&amp;$CV38&amp;$C38,REF!$K$2:$K$90,REF!D$2:D$90)</f>
        <v>Normandie Ridge</v>
      </c>
      <c r="DF38" s="82" t="str">
        <f>_xlfn.XLOOKUP($CU38&amp;"-"&amp;$CV38&amp;$C38,REF!$K$2:$K$90,REF!E$2:E$90)</f>
        <v>SKILLED NURSING</v>
      </c>
      <c r="DG38" s="82" t="str">
        <f>_xlfn.XLOOKUP($CU38&amp;"-"&amp;$CV38&amp;$C38,REF!$K$2:$K$90,REF!F$2:F$90)</f>
        <v>NORMANDIE RIDGE SNF</v>
      </c>
      <c r="DH38" s="93" cm="1">
        <f t="array" ref="DH38">IF(DH$5&lt;=$CX38,INDEX($AF38:$AQ38,1,_xlfn.XMATCH(DH$5,$BS38:$CD38)),"na")</f>
        <v>27.45</v>
      </c>
      <c r="DI38" s="90" t="str" cm="1">
        <f t="array" ref="DI38">IF(DI$5&lt;=$CX38,INDEX($AS38:$BD38,1,_xlfn.XMATCH(DI$5,$BS38:$CD38)),"na")</f>
        <v>na</v>
      </c>
      <c r="DJ38" s="91" t="str" cm="1">
        <f t="array" ref="DJ38">IF(DJ$5&lt;=$CY38,INDEX($BF38:$BQ38,1,_xlfn.XMATCH(DJ$5,$CF38:$CQ38)),"na")</f>
        <v>na</v>
      </c>
      <c r="DK38" s="101" t="str">
        <f t="shared" si="83"/>
        <v>MEDICAID</v>
      </c>
      <c r="DL38" s="101" t="str">
        <f t="shared" si="48"/>
        <v>PA MEDICAID</v>
      </c>
      <c r="DM38" s="101" t="str">
        <f t="shared" si="49"/>
        <v>Normandie Ridge</v>
      </c>
      <c r="DN38" s="101" t="str">
        <f t="shared" si="50"/>
        <v>SKILLED NURSING</v>
      </c>
      <c r="DO38" s="101" t="str">
        <f t="shared" si="51"/>
        <v>NORMANDIE RIDGE SNF</v>
      </c>
      <c r="DP38" s="93" t="str" cm="1">
        <f t="array" ref="DP38">IF(DP$5&lt;=$CX38,INDEX($AF38:$AQ38,1,_xlfn.XMATCH(DP$5,$BS38:$CD38)),"na")</f>
        <v>na</v>
      </c>
      <c r="DQ38" s="90" t="str" cm="1">
        <f t="array" ref="DQ38">IF(DQ$5&lt;=$CX38,INDEX($AS38:$BD38,1,_xlfn.XMATCH(DQ$5,$BS38:$CD38)),"na")</f>
        <v>na</v>
      </c>
      <c r="DR38" s="91" t="str" cm="1">
        <f t="array" ref="DR38">IF(DR$5&lt;=$CY38,INDEX($BF38:$BQ38,1,_xlfn.XMATCH(DR$5,$CF38:$CQ38)),"na")</f>
        <v>na</v>
      </c>
      <c r="DS38" s="101" t="str">
        <f t="shared" si="84"/>
        <v>MEDICAID</v>
      </c>
      <c r="DT38" s="101" t="str">
        <f t="shared" si="52"/>
        <v>PA MEDICAID</v>
      </c>
      <c r="DU38" s="101" t="str">
        <f t="shared" si="53"/>
        <v>Normandie Ridge</v>
      </c>
      <c r="DV38" s="101" t="str">
        <f t="shared" si="54"/>
        <v>SKILLED NURSING</v>
      </c>
      <c r="DW38" s="101" t="str">
        <f t="shared" si="55"/>
        <v>NORMANDIE RIDGE SNF</v>
      </c>
      <c r="DX38" s="93" t="str" cm="1">
        <f t="array" ref="DX38">IF(DX$5&lt;=$CX38,INDEX($AF38:$AQ38,1,_xlfn.XMATCH(DX$5,$BS38:$CD38)),"na")</f>
        <v>na</v>
      </c>
      <c r="DY38" s="90" t="str" cm="1">
        <f t="array" ref="DY38">IF(DY$5&lt;=$CX38,INDEX($AS38:$BD38,1,_xlfn.XMATCH(DY$5,$BS38:$CD38)),"na")</f>
        <v>na</v>
      </c>
      <c r="DZ38" s="91" t="str" cm="1">
        <f t="array" ref="DZ38">IF(DZ$5&lt;=$CY38,INDEX($BF38:$BQ38,1,_xlfn.XMATCH(DZ$5,$CF38:$CQ38)),"na")</f>
        <v>na</v>
      </c>
      <c r="EA38" s="101" t="str">
        <f t="shared" si="85"/>
        <v>MEDICAID</v>
      </c>
      <c r="EB38" s="101" t="str">
        <f t="shared" si="56"/>
        <v>PA MEDICAID</v>
      </c>
      <c r="EC38" s="101" t="str">
        <f t="shared" si="57"/>
        <v>Normandie Ridge</v>
      </c>
      <c r="ED38" s="101" t="str">
        <f t="shared" si="58"/>
        <v>SKILLED NURSING</v>
      </c>
      <c r="EE38" s="101" t="str">
        <f t="shared" si="59"/>
        <v>NORMANDIE RIDGE SNF</v>
      </c>
      <c r="EF38" s="93" t="str" cm="1">
        <f t="array" ref="EF38">IF(EF$5&lt;=$CX38,INDEX($AF38:$AQ38,1,_xlfn.XMATCH(EF$5,$BS38:$CD38)),"na")</f>
        <v>na</v>
      </c>
      <c r="EG38" s="90" t="str" cm="1">
        <f t="array" ref="EG38">IF(EG$5&lt;=$CX38,INDEX($AS38:$BD38,1,_xlfn.XMATCH(EG$5,$BS38:$CD38)),"na")</f>
        <v>na</v>
      </c>
      <c r="EH38" s="91" t="str" cm="1">
        <f t="array" ref="EH38">IF(EH$5&lt;=$CY38,INDEX($BF38:$BQ38,1,_xlfn.XMATCH(EH$5,$CF38:$CQ38)),"na")</f>
        <v>na</v>
      </c>
      <c r="EI38" s="101" t="str">
        <f t="shared" si="86"/>
        <v>MEDICAID</v>
      </c>
      <c r="EJ38" s="101" t="str">
        <f t="shared" si="60"/>
        <v>PA MEDICAID</v>
      </c>
      <c r="EK38" s="101" t="str">
        <f t="shared" si="61"/>
        <v>Normandie Ridge</v>
      </c>
      <c r="EL38" s="101" t="str">
        <f t="shared" si="62"/>
        <v>SKILLED NURSING</v>
      </c>
      <c r="EM38" s="101" t="str">
        <f t="shared" si="63"/>
        <v>NORMANDIE RIDGE SNF</v>
      </c>
      <c r="EN38" s="93" t="str" cm="1">
        <f t="array" ref="EN38">IF(EN$5&lt;=$CX38,INDEX($AF38:$AQ38,1,_xlfn.XMATCH(EN$5,$BS38:$CD38)),"na")</f>
        <v>na</v>
      </c>
      <c r="EO38" s="90" t="str" cm="1">
        <f t="array" ref="EO38">IF(EO$5&lt;=$CX38,INDEX($AS38:$BD38,1,_xlfn.XMATCH(EO$5,$BS38:$CD38)),"na")</f>
        <v>na</v>
      </c>
      <c r="EP38" s="91" t="str" cm="1">
        <f t="array" ref="EP38">IF(EP$5&lt;=$CY38,INDEX($BF38:$BQ38,1,_xlfn.XMATCH(EP$5,$CF38:$CQ38)),"na")</f>
        <v>na</v>
      </c>
      <c r="EQ38" s="101" t="str">
        <f t="shared" si="87"/>
        <v>MEDICAID</v>
      </c>
      <c r="ER38" s="101" t="str">
        <f t="shared" si="64"/>
        <v>PA MEDICAID</v>
      </c>
      <c r="ES38" s="101" t="str">
        <f t="shared" si="65"/>
        <v>Normandie Ridge</v>
      </c>
      <c r="ET38" s="101" t="str">
        <f t="shared" si="66"/>
        <v>SKILLED NURSING</v>
      </c>
      <c r="EU38" s="101" t="str">
        <f t="shared" si="67"/>
        <v>NORMANDIE RIDGE SNF</v>
      </c>
      <c r="EV38" s="93" t="str" cm="1">
        <f t="array" ref="EV38">IF(EV$5&lt;=$CX38,INDEX($AF38:$AQ38,1,_xlfn.XMATCH(EV$5,$BS38:$CD38)),"na")</f>
        <v>na</v>
      </c>
    </row>
    <row r="39" spans="1:152" hidden="1" x14ac:dyDescent="0.25">
      <c r="A39" s="60" t="s">
        <v>212</v>
      </c>
      <c r="B39" s="43" t="s">
        <v>203</v>
      </c>
      <c r="C39" s="43" t="s">
        <v>129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AF39" s="7">
        <f t="shared" si="22"/>
        <v>0</v>
      </c>
      <c r="AG39" s="7">
        <f t="shared" si="23"/>
        <v>0</v>
      </c>
      <c r="AH39" s="7">
        <f t="shared" si="24"/>
        <v>0</v>
      </c>
      <c r="AI39" s="7">
        <f t="shared" si="25"/>
        <v>0</v>
      </c>
      <c r="AJ39" s="7">
        <f t="shared" si="26"/>
        <v>0</v>
      </c>
      <c r="AK39" s="7">
        <f t="shared" si="27"/>
        <v>0</v>
      </c>
      <c r="AL39" s="7">
        <f t="shared" si="28"/>
        <v>0</v>
      </c>
      <c r="AM39" s="7">
        <f t="shared" si="29"/>
        <v>0</v>
      </c>
      <c r="AN39" s="7">
        <f t="shared" si="30"/>
        <v>0</v>
      </c>
      <c r="AO39" s="7">
        <f t="shared" si="31"/>
        <v>0</v>
      </c>
      <c r="AP39" s="7">
        <f t="shared" si="32"/>
        <v>0</v>
      </c>
      <c r="AQ39" s="7">
        <f t="shared" si="33"/>
        <v>0</v>
      </c>
      <c r="AS39" s="86">
        <f>_xlfn.XLOOKUP(AS$5,'OC-Days'!$G:$G,'OC-Days'!$F:$F)</f>
        <v>45658</v>
      </c>
      <c r="AT39" s="87" t="str">
        <f>IF(AG39=AF39,"na",_xlfn.XLOOKUP(AT$5,'OC-Days'!$G:$G,'OC-Days'!$F:$F))</f>
        <v>na</v>
      </c>
      <c r="AU39" s="87" t="str">
        <f>IF(AH39=AG39,"na",_xlfn.XLOOKUP(AU$5,'OC-Days'!$G:$G,'OC-Days'!$F:$F))</f>
        <v>na</v>
      </c>
      <c r="AV39" s="87" t="str">
        <f>IF(AI39=AH39,"na",_xlfn.XLOOKUP(AV$5,'OC-Days'!$G:$G,'OC-Days'!$F:$F))</f>
        <v>na</v>
      </c>
      <c r="AW39" s="87" t="str">
        <f>IF(AJ39=AI39,"na",_xlfn.XLOOKUP(AW$5,'OC-Days'!$G:$G,'OC-Days'!$F:$F))</f>
        <v>na</v>
      </c>
      <c r="AX39" s="87" t="str">
        <f>IF(AK39=AJ39,"na",_xlfn.XLOOKUP(AX$5,'OC-Days'!$G:$G,'OC-Days'!$F:$F))</f>
        <v>na</v>
      </c>
      <c r="AY39" s="87" t="str">
        <f>IF(AL39=AK39,"na",_xlfn.XLOOKUP(AY$5,'OC-Days'!$G:$G,'OC-Days'!$F:$F))</f>
        <v>na</v>
      </c>
      <c r="AZ39" s="87" t="str">
        <f>IF(AM39=AL39,"na",_xlfn.XLOOKUP(AZ$5,'OC-Days'!$G:$G,'OC-Days'!$F:$F))</f>
        <v>na</v>
      </c>
      <c r="BA39" s="87" t="str">
        <f>IF(AN39=AM39,"na",_xlfn.XLOOKUP(BA$5,'OC-Days'!$G:$G,'OC-Days'!$F:$F))</f>
        <v>na</v>
      </c>
      <c r="BB39" s="87" t="str">
        <f>IF(AO39=AN39,"na",_xlfn.XLOOKUP(BB$5,'OC-Days'!$G:$G,'OC-Days'!$F:$F))</f>
        <v>na</v>
      </c>
      <c r="BC39" s="87" t="str">
        <f>IF(AP39=AO39,"na",_xlfn.XLOOKUP(BC$5,'OC-Days'!$G:$G,'OC-Days'!$F:$F))</f>
        <v>na</v>
      </c>
      <c r="BD39" s="87" t="str">
        <f>IF(AQ39=AP39,"na",_xlfn.XLOOKUP(BD$5,'OC-Days'!$G:$G,'OC-Days'!$F:$F))</f>
        <v>na</v>
      </c>
      <c r="BF39" s="88" t="str">
        <f t="shared" si="68"/>
        <v>na</v>
      </c>
      <c r="BG39" s="88" t="str">
        <f t="shared" si="69"/>
        <v>na</v>
      </c>
      <c r="BH39" s="88" t="str">
        <f t="shared" si="70"/>
        <v>na</v>
      </c>
      <c r="BI39" s="88" t="str">
        <f t="shared" si="71"/>
        <v>na</v>
      </c>
      <c r="BJ39" s="88" t="str">
        <f t="shared" si="72"/>
        <v>na</v>
      </c>
      <c r="BK39" s="88" t="str">
        <f t="shared" si="73"/>
        <v>na</v>
      </c>
      <c r="BL39" s="88" t="str">
        <f t="shared" si="74"/>
        <v>na</v>
      </c>
      <c r="BM39" s="88" t="str">
        <f t="shared" si="75"/>
        <v>na</v>
      </c>
      <c r="BN39" s="88" t="str">
        <f t="shared" si="76"/>
        <v>na</v>
      </c>
      <c r="BO39" s="88" t="str">
        <f t="shared" si="77"/>
        <v>na</v>
      </c>
      <c r="BP39" s="88" t="str">
        <f t="shared" si="78"/>
        <v>na</v>
      </c>
      <c r="BQ39" s="89">
        <f t="shared" si="79"/>
        <v>46022</v>
      </c>
      <c r="BS39">
        <f>COUNT($AS39:AS39)</f>
        <v>1</v>
      </c>
      <c r="BT39">
        <f>COUNT($AS39:AT39)</f>
        <v>1</v>
      </c>
      <c r="BU39">
        <f>COUNT($AS39:AU39)</f>
        <v>1</v>
      </c>
      <c r="BV39">
        <f>COUNT($AS39:AV39)</f>
        <v>1</v>
      </c>
      <c r="BW39">
        <f>COUNT($AS39:AW39)</f>
        <v>1</v>
      </c>
      <c r="BX39">
        <f>COUNT($AS39:AX39)</f>
        <v>1</v>
      </c>
      <c r="BY39">
        <f>COUNT($AS39:AY39)</f>
        <v>1</v>
      </c>
      <c r="BZ39">
        <f>COUNT($AS39:AZ39)</f>
        <v>1</v>
      </c>
      <c r="CA39">
        <f>COUNT($AS39:BA39)</f>
        <v>1</v>
      </c>
      <c r="CB39">
        <f>COUNT($AS39:BB39)</f>
        <v>1</v>
      </c>
      <c r="CC39">
        <f>COUNT($AS39:BC39)</f>
        <v>1</v>
      </c>
      <c r="CD39">
        <f>COUNT($AS39:BD39)</f>
        <v>1</v>
      </c>
      <c r="CF39">
        <f>COUNT($BF39:BF39)</f>
        <v>0</v>
      </c>
      <c r="CG39">
        <f>COUNT($BF39:BG39)</f>
        <v>0</v>
      </c>
      <c r="CH39">
        <f>COUNT($BF39:BH39)</f>
        <v>0</v>
      </c>
      <c r="CI39">
        <f>COUNT($BF39:BI39)</f>
        <v>0</v>
      </c>
      <c r="CJ39">
        <f>COUNT($BF39:BJ39)</f>
        <v>0</v>
      </c>
      <c r="CK39">
        <f>COUNT($BF39:BK39)</f>
        <v>0</v>
      </c>
      <c r="CL39">
        <f>COUNT($BF39:BL39)</f>
        <v>0</v>
      </c>
      <c r="CM39">
        <f>COUNT($BF39:BM39)</f>
        <v>0</v>
      </c>
      <c r="CN39">
        <f>COUNT($BF39:BN39)</f>
        <v>0</v>
      </c>
      <c r="CO39">
        <f>COUNT($BF39:BO39)</f>
        <v>0</v>
      </c>
      <c r="CP39">
        <f>COUNT($BF39:BP39)</f>
        <v>0</v>
      </c>
      <c r="CQ39">
        <f>COUNT($BF39:BQ39)</f>
        <v>1</v>
      </c>
      <c r="CS39" s="5">
        <f t="shared" si="45"/>
        <v>0</v>
      </c>
      <c r="CT39" s="100" t="str">
        <f t="shared" si="80"/>
        <v>84061Insurance</v>
      </c>
      <c r="CU39" s="83">
        <f t="shared" si="46"/>
        <v>840</v>
      </c>
      <c r="CV39" s="83">
        <f t="shared" si="47"/>
        <v>61</v>
      </c>
      <c r="CX39">
        <f t="shared" si="81"/>
        <v>1</v>
      </c>
      <c r="CY39">
        <f t="shared" si="82"/>
        <v>1</v>
      </c>
      <c r="DA39" s="90" cm="1">
        <f t="array" ref="DA39">IF(DA$5&lt;=$CX39,INDEX($AS39:$BD39,1,_xlfn.XMATCH(DA$5,$BS39:$CD39)),"na")</f>
        <v>45658</v>
      </c>
      <c r="DB39" s="91" cm="1">
        <f t="array" ref="DB39">IF(DB$5&lt;=$CY39,INDEX($BF39:$BQ39,1,_xlfn.XMATCH(DB$5,$CF39:$CQ39)),"na")</f>
        <v>46022</v>
      </c>
      <c r="DC39" s="82" t="str">
        <f>_xlfn.XLOOKUP($CU39&amp;"-"&amp;$CV39&amp;$C39,REF!$K$2:$K$90,REF!B$2:B$90)</f>
        <v>MANAGED CARE</v>
      </c>
      <c r="DD39" s="82" t="str">
        <f>_xlfn.XLOOKUP($CU39&amp;"-"&amp;$CV39&amp;$C39,REF!$K$2:$K$90,REF!C$2:C$90)</f>
        <v>MGCARE LEVEL OF CARE</v>
      </c>
      <c r="DE39" s="82" t="str">
        <f>_xlfn.XLOOKUP($CU39&amp;"-"&amp;$CV39&amp;$C39,REF!$K$2:$K$90,REF!D$2:D$90)</f>
        <v>Normandie Ridge</v>
      </c>
      <c r="DF39" s="82" t="str">
        <f>_xlfn.XLOOKUP($CU39&amp;"-"&amp;$CV39&amp;$C39,REF!$K$2:$K$90,REF!E$2:E$90)</f>
        <v>SKILLED NURSING</v>
      </c>
      <c r="DG39" s="82" t="str">
        <f>_xlfn.XLOOKUP($CU39&amp;"-"&amp;$CV39&amp;$C39,REF!$K$2:$K$90,REF!F$2:F$90)</f>
        <v>NORMANDIE RIDGE SNF</v>
      </c>
      <c r="DH39" s="93" cm="1">
        <f t="array" ref="DH39">IF(DH$5&lt;=$CX39,INDEX($AF39:$AQ39,1,_xlfn.XMATCH(DH$5,$BS39:$CD39)),"na")</f>
        <v>0</v>
      </c>
      <c r="DI39" s="90" t="str" cm="1">
        <f t="array" ref="DI39">IF(DI$5&lt;=$CX39,INDEX($AS39:$BD39,1,_xlfn.XMATCH(DI$5,$BS39:$CD39)),"na")</f>
        <v>na</v>
      </c>
      <c r="DJ39" s="91" t="str" cm="1">
        <f t="array" ref="DJ39">IF(DJ$5&lt;=$CY39,INDEX($BF39:$BQ39,1,_xlfn.XMATCH(DJ$5,$CF39:$CQ39)),"na")</f>
        <v>na</v>
      </c>
      <c r="DK39" s="101" t="str">
        <f t="shared" si="83"/>
        <v>MANAGED CARE</v>
      </c>
      <c r="DL39" s="101" t="str">
        <f t="shared" si="48"/>
        <v>MGCARE LEVEL OF CARE</v>
      </c>
      <c r="DM39" s="101" t="str">
        <f t="shared" si="49"/>
        <v>Normandie Ridge</v>
      </c>
      <c r="DN39" s="101" t="str">
        <f t="shared" si="50"/>
        <v>SKILLED NURSING</v>
      </c>
      <c r="DO39" s="101" t="str">
        <f t="shared" si="51"/>
        <v>NORMANDIE RIDGE SNF</v>
      </c>
      <c r="DP39" s="93" t="str" cm="1">
        <f t="array" ref="DP39">IF(DP$5&lt;=$CX39,INDEX($AF39:$AQ39,1,_xlfn.XMATCH(DP$5,$BS39:$CD39)),"na")</f>
        <v>na</v>
      </c>
      <c r="DQ39" s="90" t="str" cm="1">
        <f t="array" ref="DQ39">IF(DQ$5&lt;=$CX39,INDEX($AS39:$BD39,1,_xlfn.XMATCH(DQ$5,$BS39:$CD39)),"na")</f>
        <v>na</v>
      </c>
      <c r="DR39" s="91" t="str" cm="1">
        <f t="array" ref="DR39">IF(DR$5&lt;=$CY39,INDEX($BF39:$BQ39,1,_xlfn.XMATCH(DR$5,$CF39:$CQ39)),"na")</f>
        <v>na</v>
      </c>
      <c r="DS39" s="101" t="str">
        <f t="shared" si="84"/>
        <v>MANAGED CARE</v>
      </c>
      <c r="DT39" s="101" t="str">
        <f t="shared" si="52"/>
        <v>MGCARE LEVEL OF CARE</v>
      </c>
      <c r="DU39" s="101" t="str">
        <f t="shared" si="53"/>
        <v>Normandie Ridge</v>
      </c>
      <c r="DV39" s="101" t="str">
        <f t="shared" si="54"/>
        <v>SKILLED NURSING</v>
      </c>
      <c r="DW39" s="101" t="str">
        <f t="shared" si="55"/>
        <v>NORMANDIE RIDGE SNF</v>
      </c>
      <c r="DX39" s="93" t="str" cm="1">
        <f t="array" ref="DX39">IF(DX$5&lt;=$CX39,INDEX($AF39:$AQ39,1,_xlfn.XMATCH(DX$5,$BS39:$CD39)),"na")</f>
        <v>na</v>
      </c>
      <c r="DY39" s="90" t="str" cm="1">
        <f t="array" ref="DY39">IF(DY$5&lt;=$CX39,INDEX($AS39:$BD39,1,_xlfn.XMATCH(DY$5,$BS39:$CD39)),"na")</f>
        <v>na</v>
      </c>
      <c r="DZ39" s="91" t="str" cm="1">
        <f t="array" ref="DZ39">IF(DZ$5&lt;=$CY39,INDEX($BF39:$BQ39,1,_xlfn.XMATCH(DZ$5,$CF39:$CQ39)),"na")</f>
        <v>na</v>
      </c>
      <c r="EA39" s="101" t="str">
        <f t="shared" si="85"/>
        <v>MANAGED CARE</v>
      </c>
      <c r="EB39" s="101" t="str">
        <f t="shared" si="56"/>
        <v>MGCARE LEVEL OF CARE</v>
      </c>
      <c r="EC39" s="101" t="str">
        <f t="shared" si="57"/>
        <v>Normandie Ridge</v>
      </c>
      <c r="ED39" s="101" t="str">
        <f t="shared" si="58"/>
        <v>SKILLED NURSING</v>
      </c>
      <c r="EE39" s="101" t="str">
        <f t="shared" si="59"/>
        <v>NORMANDIE RIDGE SNF</v>
      </c>
      <c r="EF39" s="93" t="str" cm="1">
        <f t="array" ref="EF39">IF(EF$5&lt;=$CX39,INDEX($AF39:$AQ39,1,_xlfn.XMATCH(EF$5,$BS39:$CD39)),"na")</f>
        <v>na</v>
      </c>
      <c r="EG39" s="90" t="str" cm="1">
        <f t="array" ref="EG39">IF(EG$5&lt;=$CX39,INDEX($AS39:$BD39,1,_xlfn.XMATCH(EG$5,$BS39:$CD39)),"na")</f>
        <v>na</v>
      </c>
      <c r="EH39" s="91" t="str" cm="1">
        <f t="array" ref="EH39">IF(EH$5&lt;=$CY39,INDEX($BF39:$BQ39,1,_xlfn.XMATCH(EH$5,$CF39:$CQ39)),"na")</f>
        <v>na</v>
      </c>
      <c r="EI39" s="101" t="str">
        <f t="shared" si="86"/>
        <v>MANAGED CARE</v>
      </c>
      <c r="EJ39" s="101" t="str">
        <f t="shared" si="60"/>
        <v>MGCARE LEVEL OF CARE</v>
      </c>
      <c r="EK39" s="101" t="str">
        <f t="shared" si="61"/>
        <v>Normandie Ridge</v>
      </c>
      <c r="EL39" s="101" t="str">
        <f t="shared" si="62"/>
        <v>SKILLED NURSING</v>
      </c>
      <c r="EM39" s="101" t="str">
        <f t="shared" si="63"/>
        <v>NORMANDIE RIDGE SNF</v>
      </c>
      <c r="EN39" s="93" t="str" cm="1">
        <f t="array" ref="EN39">IF(EN$5&lt;=$CX39,INDEX($AF39:$AQ39,1,_xlfn.XMATCH(EN$5,$BS39:$CD39)),"na")</f>
        <v>na</v>
      </c>
      <c r="EO39" s="90" t="str" cm="1">
        <f t="array" ref="EO39">IF(EO$5&lt;=$CX39,INDEX($AS39:$BD39,1,_xlfn.XMATCH(EO$5,$BS39:$CD39)),"na")</f>
        <v>na</v>
      </c>
      <c r="EP39" s="91" t="str" cm="1">
        <f t="array" ref="EP39">IF(EP$5&lt;=$CY39,INDEX($BF39:$BQ39,1,_xlfn.XMATCH(EP$5,$CF39:$CQ39)),"na")</f>
        <v>na</v>
      </c>
      <c r="EQ39" s="101" t="str">
        <f t="shared" si="87"/>
        <v>MANAGED CARE</v>
      </c>
      <c r="ER39" s="101" t="str">
        <f t="shared" si="64"/>
        <v>MGCARE LEVEL OF CARE</v>
      </c>
      <c r="ES39" s="101" t="str">
        <f t="shared" si="65"/>
        <v>Normandie Ridge</v>
      </c>
      <c r="ET39" s="101" t="str">
        <f t="shared" si="66"/>
        <v>SKILLED NURSING</v>
      </c>
      <c r="EU39" s="101" t="str">
        <f t="shared" si="67"/>
        <v>NORMANDIE RIDGE SNF</v>
      </c>
      <c r="EV39" s="93" t="str" cm="1">
        <f t="array" ref="EV39">IF(EV$5&lt;=$CX39,INDEX($AF39:$AQ39,1,_xlfn.XMATCH(EV$5,$BS39:$CD39)),"na")</f>
        <v>na</v>
      </c>
    </row>
    <row r="40" spans="1:152" x14ac:dyDescent="0.25">
      <c r="A40" s="60" t="s">
        <v>212</v>
      </c>
      <c r="B40" s="43" t="s">
        <v>204</v>
      </c>
      <c r="C40" s="43" t="s">
        <v>91</v>
      </c>
      <c r="D40" s="4">
        <v>567.30000000000007</v>
      </c>
      <c r="E40" s="4">
        <v>512.4</v>
      </c>
      <c r="F40" s="4">
        <v>567.30000000000007</v>
      </c>
      <c r="G40" s="4">
        <v>549</v>
      </c>
      <c r="H40" s="4">
        <v>567.30000000000007</v>
      </c>
      <c r="I40" s="4">
        <v>549</v>
      </c>
      <c r="J40" s="4">
        <v>567.30000000000007</v>
      </c>
      <c r="K40" s="4">
        <v>567.30000000000007</v>
      </c>
      <c r="L40" s="4">
        <v>549</v>
      </c>
      <c r="M40" s="4">
        <v>567.30000000000007</v>
      </c>
      <c r="N40" s="4">
        <v>549</v>
      </c>
      <c r="O40" s="4">
        <v>567.30000000000007</v>
      </c>
      <c r="AF40" s="7">
        <f t="shared" si="22"/>
        <v>18.3</v>
      </c>
      <c r="AG40" s="7">
        <f t="shared" si="23"/>
        <v>18.3</v>
      </c>
      <c r="AH40" s="7">
        <f t="shared" si="24"/>
        <v>18.3</v>
      </c>
      <c r="AI40" s="7">
        <f t="shared" si="25"/>
        <v>18.3</v>
      </c>
      <c r="AJ40" s="7">
        <f t="shared" si="26"/>
        <v>18.3</v>
      </c>
      <c r="AK40" s="7">
        <f t="shared" si="27"/>
        <v>18.3</v>
      </c>
      <c r="AL40" s="7">
        <f t="shared" si="28"/>
        <v>18.3</v>
      </c>
      <c r="AM40" s="7">
        <f t="shared" si="29"/>
        <v>18.3</v>
      </c>
      <c r="AN40" s="7">
        <f t="shared" si="30"/>
        <v>18.3</v>
      </c>
      <c r="AO40" s="7">
        <f t="shared" si="31"/>
        <v>18.3</v>
      </c>
      <c r="AP40" s="7">
        <f t="shared" si="32"/>
        <v>18.3</v>
      </c>
      <c r="AQ40" s="7">
        <f t="shared" si="33"/>
        <v>18.3</v>
      </c>
      <c r="AS40" s="86">
        <f>_xlfn.XLOOKUP(AS$5,'OC-Days'!$G:$G,'OC-Days'!$F:$F)</f>
        <v>45658</v>
      </c>
      <c r="AT40" s="87" t="str">
        <f>IF(AG40=AF40,"na",_xlfn.XLOOKUP(AT$5,'OC-Days'!$G:$G,'OC-Days'!$F:$F))</f>
        <v>na</v>
      </c>
      <c r="AU40" s="87" t="str">
        <f>IF(AH40=AG40,"na",_xlfn.XLOOKUP(AU$5,'OC-Days'!$G:$G,'OC-Days'!$F:$F))</f>
        <v>na</v>
      </c>
      <c r="AV40" s="87" t="str">
        <f>IF(AI40=AH40,"na",_xlfn.XLOOKUP(AV$5,'OC-Days'!$G:$G,'OC-Days'!$F:$F))</f>
        <v>na</v>
      </c>
      <c r="AW40" s="87" t="str">
        <f>IF(AJ40=AI40,"na",_xlfn.XLOOKUP(AW$5,'OC-Days'!$G:$G,'OC-Days'!$F:$F))</f>
        <v>na</v>
      </c>
      <c r="AX40" s="87" t="str">
        <f>IF(AK40=AJ40,"na",_xlfn.XLOOKUP(AX$5,'OC-Days'!$G:$G,'OC-Days'!$F:$F))</f>
        <v>na</v>
      </c>
      <c r="AY40" s="87" t="str">
        <f>IF(AL40=AK40,"na",_xlfn.XLOOKUP(AY$5,'OC-Days'!$G:$G,'OC-Days'!$F:$F))</f>
        <v>na</v>
      </c>
      <c r="AZ40" s="87" t="str">
        <f>IF(AM40=AL40,"na",_xlfn.XLOOKUP(AZ$5,'OC-Days'!$G:$G,'OC-Days'!$F:$F))</f>
        <v>na</v>
      </c>
      <c r="BA40" s="87" t="str">
        <f>IF(AN40=AM40,"na",_xlfn.XLOOKUP(BA$5,'OC-Days'!$G:$G,'OC-Days'!$F:$F))</f>
        <v>na</v>
      </c>
      <c r="BB40" s="87" t="str">
        <f>IF(AO40=AN40,"na",_xlfn.XLOOKUP(BB$5,'OC-Days'!$G:$G,'OC-Days'!$F:$F))</f>
        <v>na</v>
      </c>
      <c r="BC40" s="87" t="str">
        <f>IF(AP40=AO40,"na",_xlfn.XLOOKUP(BC$5,'OC-Days'!$G:$G,'OC-Days'!$F:$F))</f>
        <v>na</v>
      </c>
      <c r="BD40" s="87" t="str">
        <f>IF(AQ40=AP40,"na",_xlfn.XLOOKUP(BD$5,'OC-Days'!$G:$G,'OC-Days'!$F:$F))</f>
        <v>na</v>
      </c>
      <c r="BF40" s="88" t="str">
        <f t="shared" si="68"/>
        <v>na</v>
      </c>
      <c r="BG40" s="88" t="str">
        <f t="shared" si="69"/>
        <v>na</v>
      </c>
      <c r="BH40" s="88" t="str">
        <f t="shared" si="70"/>
        <v>na</v>
      </c>
      <c r="BI40" s="88" t="str">
        <f t="shared" si="71"/>
        <v>na</v>
      </c>
      <c r="BJ40" s="88" t="str">
        <f t="shared" si="72"/>
        <v>na</v>
      </c>
      <c r="BK40" s="88" t="str">
        <f t="shared" si="73"/>
        <v>na</v>
      </c>
      <c r="BL40" s="88" t="str">
        <f t="shared" si="74"/>
        <v>na</v>
      </c>
      <c r="BM40" s="88" t="str">
        <f t="shared" si="75"/>
        <v>na</v>
      </c>
      <c r="BN40" s="88" t="str">
        <f t="shared" si="76"/>
        <v>na</v>
      </c>
      <c r="BO40" s="88" t="str">
        <f t="shared" si="77"/>
        <v>na</v>
      </c>
      <c r="BP40" s="88" t="str">
        <f t="shared" si="78"/>
        <v>na</v>
      </c>
      <c r="BQ40" s="89">
        <f t="shared" si="79"/>
        <v>46022</v>
      </c>
      <c r="BS40">
        <f>COUNT($AS40:AS40)</f>
        <v>1</v>
      </c>
      <c r="BT40">
        <f>COUNT($AS40:AT40)</f>
        <v>1</v>
      </c>
      <c r="BU40">
        <f>COUNT($AS40:AU40)</f>
        <v>1</v>
      </c>
      <c r="BV40">
        <f>COUNT($AS40:AV40)</f>
        <v>1</v>
      </c>
      <c r="BW40">
        <f>COUNT($AS40:AW40)</f>
        <v>1</v>
      </c>
      <c r="BX40">
        <f>COUNT($AS40:AX40)</f>
        <v>1</v>
      </c>
      <c r="BY40">
        <f>COUNT($AS40:AY40)</f>
        <v>1</v>
      </c>
      <c r="BZ40">
        <f>COUNT($AS40:AZ40)</f>
        <v>1</v>
      </c>
      <c r="CA40">
        <f>COUNT($AS40:BA40)</f>
        <v>1</v>
      </c>
      <c r="CB40">
        <f>COUNT($AS40:BB40)</f>
        <v>1</v>
      </c>
      <c r="CC40">
        <f>COUNT($AS40:BC40)</f>
        <v>1</v>
      </c>
      <c r="CD40">
        <f>COUNT($AS40:BD40)</f>
        <v>1</v>
      </c>
      <c r="CF40">
        <f>COUNT($BF40:BF40)</f>
        <v>0</v>
      </c>
      <c r="CG40">
        <f>COUNT($BF40:BG40)</f>
        <v>0</v>
      </c>
      <c r="CH40">
        <f>COUNT($BF40:BH40)</f>
        <v>0</v>
      </c>
      <c r="CI40">
        <f>COUNT($BF40:BI40)</f>
        <v>0</v>
      </c>
      <c r="CJ40">
        <f>COUNT($BF40:BJ40)</f>
        <v>0</v>
      </c>
      <c r="CK40">
        <f>COUNT($BF40:BK40)</f>
        <v>0</v>
      </c>
      <c r="CL40">
        <f>COUNT($BF40:BL40)</f>
        <v>0</v>
      </c>
      <c r="CM40">
        <f>COUNT($BF40:BM40)</f>
        <v>0</v>
      </c>
      <c r="CN40">
        <f>COUNT($BF40:BN40)</f>
        <v>0</v>
      </c>
      <c r="CO40">
        <f>COUNT($BF40:BO40)</f>
        <v>0</v>
      </c>
      <c r="CP40">
        <f>COUNT($BF40:BP40)</f>
        <v>0</v>
      </c>
      <c r="CQ40">
        <f>COUNT($BF40:BQ40)</f>
        <v>1</v>
      </c>
      <c r="CS40" s="5">
        <f t="shared" si="45"/>
        <v>1</v>
      </c>
      <c r="CT40" s="100" t="str">
        <f t="shared" si="80"/>
        <v>84061Private Pay</v>
      </c>
      <c r="CU40" s="83">
        <f t="shared" si="46"/>
        <v>840</v>
      </c>
      <c r="CV40" s="83">
        <f t="shared" si="47"/>
        <v>61</v>
      </c>
      <c r="CX40">
        <f t="shared" si="81"/>
        <v>1</v>
      </c>
      <c r="CY40">
        <f t="shared" si="82"/>
        <v>1</v>
      </c>
      <c r="DA40" s="90" cm="1">
        <f t="array" ref="DA40">IF(DA$5&lt;=$CX40,INDEX($AS40:$BD40,1,_xlfn.XMATCH(DA$5,$BS40:$CD40)),"na")</f>
        <v>45658</v>
      </c>
      <c r="DB40" s="91" cm="1">
        <f t="array" ref="DB40">IF(DB$5&lt;=$CY40,INDEX($BF40:$BQ40,1,_xlfn.XMATCH(DB$5,$CF40:$CQ40)),"na")</f>
        <v>46022</v>
      </c>
      <c r="DC40" s="82" t="str">
        <f>_xlfn.XLOOKUP($CU40&amp;"-"&amp;$CV40&amp;$C40,REF!$K$2:$K$90,REF!B$2:B$90)</f>
        <v>PRIVATE PAY</v>
      </c>
      <c r="DD40" s="82" t="str">
        <f>_xlfn.XLOOKUP($CU40&amp;"-"&amp;$CV40&amp;$C40,REF!$K$2:$K$90,REF!C$2:C$90)</f>
        <v>PRIVATE PAY</v>
      </c>
      <c r="DE40" s="82" t="str">
        <f>_xlfn.XLOOKUP($CU40&amp;"-"&amp;$CV40&amp;$C40,REF!$K$2:$K$90,REF!D$2:D$90)</f>
        <v>Normandie Ridge</v>
      </c>
      <c r="DF40" s="82" t="str">
        <f>_xlfn.XLOOKUP($CU40&amp;"-"&amp;$CV40&amp;$C40,REF!$K$2:$K$90,REF!E$2:E$90)</f>
        <v>SKILLED NURSING</v>
      </c>
      <c r="DG40" s="82" t="str">
        <f>_xlfn.XLOOKUP($CU40&amp;"-"&amp;$CV40&amp;$C40,REF!$K$2:$K$90,REF!F$2:F$90)</f>
        <v>NORMANDIE RIDGE SNF</v>
      </c>
      <c r="DH40" s="93" cm="1">
        <f t="array" ref="DH40">IF(DH$5&lt;=$CX40,INDEX($AF40:$AQ40,1,_xlfn.XMATCH(DH$5,$BS40:$CD40)),"na")</f>
        <v>18.3</v>
      </c>
      <c r="DI40" s="90" t="str" cm="1">
        <f t="array" ref="DI40">IF(DI$5&lt;=$CX40,INDEX($AS40:$BD40,1,_xlfn.XMATCH(DI$5,$BS40:$CD40)),"na")</f>
        <v>na</v>
      </c>
      <c r="DJ40" s="91" t="str" cm="1">
        <f t="array" ref="DJ40">IF(DJ$5&lt;=$CY40,INDEX($BF40:$BQ40,1,_xlfn.XMATCH(DJ$5,$CF40:$CQ40)),"na")</f>
        <v>na</v>
      </c>
      <c r="DK40" s="101" t="str">
        <f t="shared" si="83"/>
        <v>PRIVATE PAY</v>
      </c>
      <c r="DL40" s="101" t="str">
        <f t="shared" si="48"/>
        <v>PRIVATE PAY</v>
      </c>
      <c r="DM40" s="101" t="str">
        <f t="shared" si="49"/>
        <v>Normandie Ridge</v>
      </c>
      <c r="DN40" s="101" t="str">
        <f t="shared" si="50"/>
        <v>SKILLED NURSING</v>
      </c>
      <c r="DO40" s="101" t="str">
        <f t="shared" si="51"/>
        <v>NORMANDIE RIDGE SNF</v>
      </c>
      <c r="DP40" s="93" t="str" cm="1">
        <f t="array" ref="DP40">IF(DP$5&lt;=$CX40,INDEX($AF40:$AQ40,1,_xlfn.XMATCH(DP$5,$BS40:$CD40)),"na")</f>
        <v>na</v>
      </c>
      <c r="DQ40" s="90" t="str" cm="1">
        <f t="array" ref="DQ40">IF(DQ$5&lt;=$CX40,INDEX($AS40:$BD40,1,_xlfn.XMATCH(DQ$5,$BS40:$CD40)),"na")</f>
        <v>na</v>
      </c>
      <c r="DR40" s="91" t="str" cm="1">
        <f t="array" ref="DR40">IF(DR$5&lt;=$CY40,INDEX($BF40:$BQ40,1,_xlfn.XMATCH(DR$5,$CF40:$CQ40)),"na")</f>
        <v>na</v>
      </c>
      <c r="DS40" s="101" t="str">
        <f t="shared" si="84"/>
        <v>PRIVATE PAY</v>
      </c>
      <c r="DT40" s="101" t="str">
        <f t="shared" si="52"/>
        <v>PRIVATE PAY</v>
      </c>
      <c r="DU40" s="101" t="str">
        <f t="shared" si="53"/>
        <v>Normandie Ridge</v>
      </c>
      <c r="DV40" s="101" t="str">
        <f t="shared" si="54"/>
        <v>SKILLED NURSING</v>
      </c>
      <c r="DW40" s="101" t="str">
        <f t="shared" si="55"/>
        <v>NORMANDIE RIDGE SNF</v>
      </c>
      <c r="DX40" s="93" t="str" cm="1">
        <f t="array" ref="DX40">IF(DX$5&lt;=$CX40,INDEX($AF40:$AQ40,1,_xlfn.XMATCH(DX$5,$BS40:$CD40)),"na")</f>
        <v>na</v>
      </c>
      <c r="DY40" s="90" t="str" cm="1">
        <f t="array" ref="DY40">IF(DY$5&lt;=$CX40,INDEX($AS40:$BD40,1,_xlfn.XMATCH(DY$5,$BS40:$CD40)),"na")</f>
        <v>na</v>
      </c>
      <c r="DZ40" s="91" t="str" cm="1">
        <f t="array" ref="DZ40">IF(DZ$5&lt;=$CY40,INDEX($BF40:$BQ40,1,_xlfn.XMATCH(DZ$5,$CF40:$CQ40)),"na")</f>
        <v>na</v>
      </c>
      <c r="EA40" s="101" t="str">
        <f t="shared" si="85"/>
        <v>PRIVATE PAY</v>
      </c>
      <c r="EB40" s="101" t="str">
        <f t="shared" si="56"/>
        <v>PRIVATE PAY</v>
      </c>
      <c r="EC40" s="101" t="str">
        <f t="shared" si="57"/>
        <v>Normandie Ridge</v>
      </c>
      <c r="ED40" s="101" t="str">
        <f t="shared" si="58"/>
        <v>SKILLED NURSING</v>
      </c>
      <c r="EE40" s="101" t="str">
        <f t="shared" si="59"/>
        <v>NORMANDIE RIDGE SNF</v>
      </c>
      <c r="EF40" s="93" t="str" cm="1">
        <f t="array" ref="EF40">IF(EF$5&lt;=$CX40,INDEX($AF40:$AQ40,1,_xlfn.XMATCH(EF$5,$BS40:$CD40)),"na")</f>
        <v>na</v>
      </c>
      <c r="EG40" s="90" t="str" cm="1">
        <f t="array" ref="EG40">IF(EG$5&lt;=$CX40,INDEX($AS40:$BD40,1,_xlfn.XMATCH(EG$5,$BS40:$CD40)),"na")</f>
        <v>na</v>
      </c>
      <c r="EH40" s="91" t="str" cm="1">
        <f t="array" ref="EH40">IF(EH$5&lt;=$CY40,INDEX($BF40:$BQ40,1,_xlfn.XMATCH(EH$5,$CF40:$CQ40)),"na")</f>
        <v>na</v>
      </c>
      <c r="EI40" s="101" t="str">
        <f t="shared" si="86"/>
        <v>PRIVATE PAY</v>
      </c>
      <c r="EJ40" s="101" t="str">
        <f t="shared" si="60"/>
        <v>PRIVATE PAY</v>
      </c>
      <c r="EK40" s="101" t="str">
        <f t="shared" si="61"/>
        <v>Normandie Ridge</v>
      </c>
      <c r="EL40" s="101" t="str">
        <f t="shared" si="62"/>
        <v>SKILLED NURSING</v>
      </c>
      <c r="EM40" s="101" t="str">
        <f t="shared" si="63"/>
        <v>NORMANDIE RIDGE SNF</v>
      </c>
      <c r="EN40" s="93" t="str" cm="1">
        <f t="array" ref="EN40">IF(EN$5&lt;=$CX40,INDEX($AF40:$AQ40,1,_xlfn.XMATCH(EN$5,$BS40:$CD40)),"na")</f>
        <v>na</v>
      </c>
      <c r="EO40" s="90" t="str" cm="1">
        <f t="array" ref="EO40">IF(EO$5&lt;=$CX40,INDEX($AS40:$BD40,1,_xlfn.XMATCH(EO$5,$BS40:$CD40)),"na")</f>
        <v>na</v>
      </c>
      <c r="EP40" s="91" t="str" cm="1">
        <f t="array" ref="EP40">IF(EP$5&lt;=$CY40,INDEX($BF40:$BQ40,1,_xlfn.XMATCH(EP$5,$CF40:$CQ40)),"na")</f>
        <v>na</v>
      </c>
      <c r="EQ40" s="101" t="str">
        <f t="shared" si="87"/>
        <v>PRIVATE PAY</v>
      </c>
      <c r="ER40" s="101" t="str">
        <f t="shared" si="64"/>
        <v>PRIVATE PAY</v>
      </c>
      <c r="ES40" s="101" t="str">
        <f t="shared" si="65"/>
        <v>Normandie Ridge</v>
      </c>
      <c r="ET40" s="101" t="str">
        <f t="shared" si="66"/>
        <v>SKILLED NURSING</v>
      </c>
      <c r="EU40" s="101" t="str">
        <f t="shared" si="67"/>
        <v>NORMANDIE RIDGE SNF</v>
      </c>
      <c r="EV40" s="93" t="str" cm="1">
        <f t="array" ref="EV40">IF(EV$5&lt;=$CX40,INDEX($AF40:$AQ40,1,_xlfn.XMATCH(EV$5,$BS40:$CD40)),"na")</f>
        <v>na</v>
      </c>
    </row>
    <row r="41" spans="1:152" hidden="1" x14ac:dyDescent="0.25">
      <c r="A41" s="60" t="s">
        <v>212</v>
      </c>
      <c r="B41" s="43" t="s">
        <v>205</v>
      </c>
      <c r="C41" s="43" t="s">
        <v>23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AF41" s="7">
        <f t="shared" si="22"/>
        <v>0</v>
      </c>
      <c r="AG41" s="7">
        <f t="shared" si="23"/>
        <v>0</v>
      </c>
      <c r="AH41" s="7">
        <f t="shared" si="24"/>
        <v>0</v>
      </c>
      <c r="AI41" s="7">
        <f t="shared" si="25"/>
        <v>0</v>
      </c>
      <c r="AJ41" s="7">
        <f t="shared" si="26"/>
        <v>0</v>
      </c>
      <c r="AK41" s="7">
        <f t="shared" si="27"/>
        <v>0</v>
      </c>
      <c r="AL41" s="7">
        <f t="shared" si="28"/>
        <v>0</v>
      </c>
      <c r="AM41" s="7">
        <f t="shared" si="29"/>
        <v>0</v>
      </c>
      <c r="AN41" s="7">
        <f t="shared" si="30"/>
        <v>0</v>
      </c>
      <c r="AO41" s="7">
        <f t="shared" si="31"/>
        <v>0</v>
      </c>
      <c r="AP41" s="7">
        <f t="shared" si="32"/>
        <v>0</v>
      </c>
      <c r="AQ41" s="7">
        <f t="shared" si="33"/>
        <v>0</v>
      </c>
      <c r="AS41" s="86">
        <f>_xlfn.XLOOKUP(AS$5,'OC-Days'!$G:$G,'OC-Days'!$F:$F)</f>
        <v>45658</v>
      </c>
      <c r="AT41" s="87" t="str">
        <f>IF(AG41=AF41,"na",_xlfn.XLOOKUP(AT$5,'OC-Days'!$G:$G,'OC-Days'!$F:$F))</f>
        <v>na</v>
      </c>
      <c r="AU41" s="87" t="str">
        <f>IF(AH41=AG41,"na",_xlfn.XLOOKUP(AU$5,'OC-Days'!$G:$G,'OC-Days'!$F:$F))</f>
        <v>na</v>
      </c>
      <c r="AV41" s="87" t="str">
        <f>IF(AI41=AH41,"na",_xlfn.XLOOKUP(AV$5,'OC-Days'!$G:$G,'OC-Days'!$F:$F))</f>
        <v>na</v>
      </c>
      <c r="AW41" s="87" t="str">
        <f>IF(AJ41=AI41,"na",_xlfn.XLOOKUP(AW$5,'OC-Days'!$G:$G,'OC-Days'!$F:$F))</f>
        <v>na</v>
      </c>
      <c r="AX41" s="87" t="str">
        <f>IF(AK41=AJ41,"na",_xlfn.XLOOKUP(AX$5,'OC-Days'!$G:$G,'OC-Days'!$F:$F))</f>
        <v>na</v>
      </c>
      <c r="AY41" s="87" t="str">
        <f>IF(AL41=AK41,"na",_xlfn.XLOOKUP(AY$5,'OC-Days'!$G:$G,'OC-Days'!$F:$F))</f>
        <v>na</v>
      </c>
      <c r="AZ41" s="87" t="str">
        <f>IF(AM41=AL41,"na",_xlfn.XLOOKUP(AZ$5,'OC-Days'!$G:$G,'OC-Days'!$F:$F))</f>
        <v>na</v>
      </c>
      <c r="BA41" s="87" t="str">
        <f>IF(AN41=AM41,"na",_xlfn.XLOOKUP(BA$5,'OC-Days'!$G:$G,'OC-Days'!$F:$F))</f>
        <v>na</v>
      </c>
      <c r="BB41" s="87" t="str">
        <f>IF(AO41=AN41,"na",_xlfn.XLOOKUP(BB$5,'OC-Days'!$G:$G,'OC-Days'!$F:$F))</f>
        <v>na</v>
      </c>
      <c r="BC41" s="87" t="str">
        <f>IF(AP41=AO41,"na",_xlfn.XLOOKUP(BC$5,'OC-Days'!$G:$G,'OC-Days'!$F:$F))</f>
        <v>na</v>
      </c>
      <c r="BD41" s="87" t="str">
        <f>IF(AQ41=AP41,"na",_xlfn.XLOOKUP(BD$5,'OC-Days'!$G:$G,'OC-Days'!$F:$F))</f>
        <v>na</v>
      </c>
      <c r="BF41" s="88" t="str">
        <f t="shared" si="68"/>
        <v>na</v>
      </c>
      <c r="BG41" s="88" t="str">
        <f t="shared" si="69"/>
        <v>na</v>
      </c>
      <c r="BH41" s="88" t="str">
        <f t="shared" si="70"/>
        <v>na</v>
      </c>
      <c r="BI41" s="88" t="str">
        <f t="shared" si="71"/>
        <v>na</v>
      </c>
      <c r="BJ41" s="88" t="str">
        <f t="shared" si="72"/>
        <v>na</v>
      </c>
      <c r="BK41" s="88" t="str">
        <f t="shared" si="73"/>
        <v>na</v>
      </c>
      <c r="BL41" s="88" t="str">
        <f t="shared" si="74"/>
        <v>na</v>
      </c>
      <c r="BM41" s="88" t="str">
        <f t="shared" si="75"/>
        <v>na</v>
      </c>
      <c r="BN41" s="88" t="str">
        <f t="shared" si="76"/>
        <v>na</v>
      </c>
      <c r="BO41" s="88" t="str">
        <f t="shared" si="77"/>
        <v>na</v>
      </c>
      <c r="BP41" s="88" t="str">
        <f t="shared" si="78"/>
        <v>na</v>
      </c>
      <c r="BQ41" s="89">
        <f t="shared" si="79"/>
        <v>46022</v>
      </c>
      <c r="BS41">
        <f>COUNT($AS41:AS41)</f>
        <v>1</v>
      </c>
      <c r="BT41">
        <f>COUNT($AS41:AT41)</f>
        <v>1</v>
      </c>
      <c r="BU41">
        <f>COUNT($AS41:AU41)</f>
        <v>1</v>
      </c>
      <c r="BV41">
        <f>COUNT($AS41:AV41)</f>
        <v>1</v>
      </c>
      <c r="BW41">
        <f>COUNT($AS41:AW41)</f>
        <v>1</v>
      </c>
      <c r="BX41">
        <f>COUNT($AS41:AX41)</f>
        <v>1</v>
      </c>
      <c r="BY41">
        <f>COUNT($AS41:AY41)</f>
        <v>1</v>
      </c>
      <c r="BZ41">
        <f>COUNT($AS41:AZ41)</f>
        <v>1</v>
      </c>
      <c r="CA41">
        <f>COUNT($AS41:BA41)</f>
        <v>1</v>
      </c>
      <c r="CB41">
        <f>COUNT($AS41:BB41)</f>
        <v>1</v>
      </c>
      <c r="CC41">
        <f>COUNT($AS41:BC41)</f>
        <v>1</v>
      </c>
      <c r="CD41">
        <f>COUNT($AS41:BD41)</f>
        <v>1</v>
      </c>
      <c r="CF41">
        <f>COUNT($BF41:BF41)</f>
        <v>0</v>
      </c>
      <c r="CG41">
        <f>COUNT($BF41:BG41)</f>
        <v>0</v>
      </c>
      <c r="CH41">
        <f>COUNT($BF41:BH41)</f>
        <v>0</v>
      </c>
      <c r="CI41">
        <f>COUNT($BF41:BI41)</f>
        <v>0</v>
      </c>
      <c r="CJ41">
        <f>COUNT($BF41:BJ41)</f>
        <v>0</v>
      </c>
      <c r="CK41">
        <f>COUNT($BF41:BK41)</f>
        <v>0</v>
      </c>
      <c r="CL41">
        <f>COUNT($BF41:BL41)</f>
        <v>0</v>
      </c>
      <c r="CM41">
        <f>COUNT($BF41:BM41)</f>
        <v>0</v>
      </c>
      <c r="CN41">
        <f>COUNT($BF41:BN41)</f>
        <v>0</v>
      </c>
      <c r="CO41">
        <f>COUNT($BF41:BO41)</f>
        <v>0</v>
      </c>
      <c r="CP41">
        <f>COUNT($BF41:BP41)</f>
        <v>0</v>
      </c>
      <c r="CQ41">
        <f>COUNT($BF41:BQ41)</f>
        <v>1</v>
      </c>
      <c r="CS41" s="5">
        <f t="shared" si="45"/>
        <v>0</v>
      </c>
      <c r="CT41" s="100" t="str">
        <f t="shared" si="80"/>
        <v>84061Hospice</v>
      </c>
      <c r="CU41" s="83">
        <f t="shared" si="46"/>
        <v>840</v>
      </c>
      <c r="CV41" s="83">
        <f t="shared" si="47"/>
        <v>61</v>
      </c>
      <c r="CX41">
        <f t="shared" si="81"/>
        <v>1</v>
      </c>
      <c r="CY41">
        <f t="shared" si="82"/>
        <v>1</v>
      </c>
      <c r="DA41" s="90" cm="1">
        <f t="array" ref="DA41">IF(DA$5&lt;=$CX41,INDEX($AS41:$BD41,1,_xlfn.XMATCH(DA$5,$BS41:$CD41)),"na")</f>
        <v>45658</v>
      </c>
      <c r="DB41" s="91" cm="1">
        <f t="array" ref="DB41">IF(DB$5&lt;=$CY41,INDEX($BF41:$BQ41,1,_xlfn.XMATCH(DB$5,$CF41:$CQ41)),"na")</f>
        <v>46022</v>
      </c>
      <c r="DC41" s="82" t="str">
        <f>_xlfn.XLOOKUP($CU41&amp;"-"&amp;$CV41&amp;$C41,REF!$K$2:$K$90,REF!B$2:B$90)</f>
        <v>Hospice</v>
      </c>
      <c r="DD41" s="82" t="str">
        <f>_xlfn.XLOOKUP($CU41&amp;"-"&amp;$CV41&amp;$C41,REF!$K$2:$K$90,REF!C$2:C$90)</f>
        <v>Hospice - Private Pay</v>
      </c>
      <c r="DE41" s="82" t="str">
        <f>_xlfn.XLOOKUP($CU41&amp;"-"&amp;$CV41&amp;$C41,REF!$K$2:$K$90,REF!D$2:D$90)</f>
        <v>Normandie Ridge</v>
      </c>
      <c r="DF41" s="82" t="str">
        <f>_xlfn.XLOOKUP($CU41&amp;"-"&amp;$CV41&amp;$C41,REF!$K$2:$K$90,REF!E$2:E$90)</f>
        <v>SKILLED NURSING</v>
      </c>
      <c r="DG41" s="82" t="str">
        <f>_xlfn.XLOOKUP($CU41&amp;"-"&amp;$CV41&amp;$C41,REF!$K$2:$K$90,REF!F$2:F$90)</f>
        <v>NORMANDIE RIDGE SNF</v>
      </c>
      <c r="DH41" s="93" cm="1">
        <f t="array" ref="DH41">IF(DH$5&lt;=$CX41,INDEX($AF41:$AQ41,1,_xlfn.XMATCH(DH$5,$BS41:$CD41)),"na")</f>
        <v>0</v>
      </c>
      <c r="DI41" s="90" t="str" cm="1">
        <f t="array" ref="DI41">IF(DI$5&lt;=$CX41,INDEX($AS41:$BD41,1,_xlfn.XMATCH(DI$5,$BS41:$CD41)),"na")</f>
        <v>na</v>
      </c>
      <c r="DJ41" s="91" t="str" cm="1">
        <f t="array" ref="DJ41">IF(DJ$5&lt;=$CY41,INDEX($BF41:$BQ41,1,_xlfn.XMATCH(DJ$5,$CF41:$CQ41)),"na")</f>
        <v>na</v>
      </c>
      <c r="DK41" s="101" t="str">
        <f t="shared" si="83"/>
        <v>Hospice</v>
      </c>
      <c r="DL41" s="101" t="str">
        <f t="shared" si="48"/>
        <v>Hospice - Private Pay</v>
      </c>
      <c r="DM41" s="101" t="str">
        <f t="shared" si="49"/>
        <v>Normandie Ridge</v>
      </c>
      <c r="DN41" s="101" t="str">
        <f t="shared" si="50"/>
        <v>SKILLED NURSING</v>
      </c>
      <c r="DO41" s="101" t="str">
        <f t="shared" si="51"/>
        <v>NORMANDIE RIDGE SNF</v>
      </c>
      <c r="DP41" s="93" t="str" cm="1">
        <f t="array" ref="DP41">IF(DP$5&lt;=$CX41,INDEX($AF41:$AQ41,1,_xlfn.XMATCH(DP$5,$BS41:$CD41)),"na")</f>
        <v>na</v>
      </c>
      <c r="DQ41" s="90" t="str" cm="1">
        <f t="array" ref="DQ41">IF(DQ$5&lt;=$CX41,INDEX($AS41:$BD41,1,_xlfn.XMATCH(DQ$5,$BS41:$CD41)),"na")</f>
        <v>na</v>
      </c>
      <c r="DR41" s="91" t="str" cm="1">
        <f t="array" ref="DR41">IF(DR$5&lt;=$CY41,INDEX($BF41:$BQ41,1,_xlfn.XMATCH(DR$5,$CF41:$CQ41)),"na")</f>
        <v>na</v>
      </c>
      <c r="DS41" s="101" t="str">
        <f t="shared" si="84"/>
        <v>Hospice</v>
      </c>
      <c r="DT41" s="101" t="str">
        <f t="shared" si="52"/>
        <v>Hospice - Private Pay</v>
      </c>
      <c r="DU41" s="101" t="str">
        <f t="shared" si="53"/>
        <v>Normandie Ridge</v>
      </c>
      <c r="DV41" s="101" t="str">
        <f t="shared" si="54"/>
        <v>SKILLED NURSING</v>
      </c>
      <c r="DW41" s="101" t="str">
        <f t="shared" si="55"/>
        <v>NORMANDIE RIDGE SNF</v>
      </c>
      <c r="DX41" s="93" t="str" cm="1">
        <f t="array" ref="DX41">IF(DX$5&lt;=$CX41,INDEX($AF41:$AQ41,1,_xlfn.XMATCH(DX$5,$BS41:$CD41)),"na")</f>
        <v>na</v>
      </c>
      <c r="DY41" s="90" t="str" cm="1">
        <f t="array" ref="DY41">IF(DY$5&lt;=$CX41,INDEX($AS41:$BD41,1,_xlfn.XMATCH(DY$5,$BS41:$CD41)),"na")</f>
        <v>na</v>
      </c>
      <c r="DZ41" s="91" t="str" cm="1">
        <f t="array" ref="DZ41">IF(DZ$5&lt;=$CY41,INDEX($BF41:$BQ41,1,_xlfn.XMATCH(DZ$5,$CF41:$CQ41)),"na")</f>
        <v>na</v>
      </c>
      <c r="EA41" s="101" t="str">
        <f t="shared" si="85"/>
        <v>Hospice</v>
      </c>
      <c r="EB41" s="101" t="str">
        <f t="shared" si="56"/>
        <v>Hospice - Private Pay</v>
      </c>
      <c r="EC41" s="101" t="str">
        <f t="shared" si="57"/>
        <v>Normandie Ridge</v>
      </c>
      <c r="ED41" s="101" t="str">
        <f t="shared" si="58"/>
        <v>SKILLED NURSING</v>
      </c>
      <c r="EE41" s="101" t="str">
        <f t="shared" si="59"/>
        <v>NORMANDIE RIDGE SNF</v>
      </c>
      <c r="EF41" s="93" t="str" cm="1">
        <f t="array" ref="EF41">IF(EF$5&lt;=$CX41,INDEX($AF41:$AQ41,1,_xlfn.XMATCH(EF$5,$BS41:$CD41)),"na")</f>
        <v>na</v>
      </c>
      <c r="EG41" s="90" t="str" cm="1">
        <f t="array" ref="EG41">IF(EG$5&lt;=$CX41,INDEX($AS41:$BD41,1,_xlfn.XMATCH(EG$5,$BS41:$CD41)),"na")</f>
        <v>na</v>
      </c>
      <c r="EH41" s="91" t="str" cm="1">
        <f t="array" ref="EH41">IF(EH$5&lt;=$CY41,INDEX($BF41:$BQ41,1,_xlfn.XMATCH(EH$5,$CF41:$CQ41)),"na")</f>
        <v>na</v>
      </c>
      <c r="EI41" s="101" t="str">
        <f t="shared" si="86"/>
        <v>Hospice</v>
      </c>
      <c r="EJ41" s="101" t="str">
        <f t="shared" si="60"/>
        <v>Hospice - Private Pay</v>
      </c>
      <c r="EK41" s="101" t="str">
        <f t="shared" si="61"/>
        <v>Normandie Ridge</v>
      </c>
      <c r="EL41" s="101" t="str">
        <f t="shared" si="62"/>
        <v>SKILLED NURSING</v>
      </c>
      <c r="EM41" s="101" t="str">
        <f t="shared" si="63"/>
        <v>NORMANDIE RIDGE SNF</v>
      </c>
      <c r="EN41" s="93" t="str" cm="1">
        <f t="array" ref="EN41">IF(EN$5&lt;=$CX41,INDEX($AF41:$AQ41,1,_xlfn.XMATCH(EN$5,$BS41:$CD41)),"na")</f>
        <v>na</v>
      </c>
      <c r="EO41" s="90" t="str" cm="1">
        <f t="array" ref="EO41">IF(EO$5&lt;=$CX41,INDEX($AS41:$BD41,1,_xlfn.XMATCH(EO$5,$BS41:$CD41)),"na")</f>
        <v>na</v>
      </c>
      <c r="EP41" s="91" t="str" cm="1">
        <f t="array" ref="EP41">IF(EP$5&lt;=$CY41,INDEX($BF41:$BQ41,1,_xlfn.XMATCH(EP$5,$CF41:$CQ41)),"na")</f>
        <v>na</v>
      </c>
      <c r="EQ41" s="101" t="str">
        <f t="shared" si="87"/>
        <v>Hospice</v>
      </c>
      <c r="ER41" s="101" t="str">
        <f t="shared" si="64"/>
        <v>Hospice - Private Pay</v>
      </c>
      <c r="ES41" s="101" t="str">
        <f t="shared" si="65"/>
        <v>Normandie Ridge</v>
      </c>
      <c r="ET41" s="101" t="str">
        <f t="shared" si="66"/>
        <v>SKILLED NURSING</v>
      </c>
      <c r="EU41" s="101" t="str">
        <f t="shared" si="67"/>
        <v>NORMANDIE RIDGE SNF</v>
      </c>
      <c r="EV41" s="93" t="str" cm="1">
        <f t="array" ref="EV41">IF(EV$5&lt;=$CX41,INDEX($AF41:$AQ41,1,_xlfn.XMATCH(EV$5,$BS41:$CD41)),"na")</f>
        <v>na</v>
      </c>
    </row>
  </sheetData>
  <autoFilter ref="CS5:CV41" xr:uid="{FC7426C9-ACE7-48B4-B4FB-77BF82CE6C77}">
    <filterColumn colId="0">
      <filters>
        <filter val="1"/>
      </filters>
    </filterColumn>
  </autoFilter>
  <pageMargins left="0.7" right="0.7" top="0.75" bottom="0.75" header="0.3" footer="0.3"/>
  <pageSetup orientation="portrait" verticalDpi="0" r:id="rId1"/>
  <customProperties>
    <customPr name="AdaptiveCustomXmlPartId" r:id="rId2"/>
    <customPr name="AdaptiveReportingSheetKey" r:id="rId3"/>
    <customPr name="CurrentId" r:id="rId4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352D-B127-4AB3-B65D-065015292C30}">
  <dimension ref="A1:AP75"/>
  <sheetViews>
    <sheetView workbookViewId="0">
      <pane xSplit="1" ySplit="5" topLeftCell="B6" activePane="bottomRight" state="frozen"/>
      <selection pane="topRight" activeCell="D1" sqref="D1"/>
      <selection pane="bottomLeft" activeCell="A5" sqref="A5"/>
      <selection pane="bottomRight" activeCell="A38" sqref="A38"/>
    </sheetView>
  </sheetViews>
  <sheetFormatPr defaultRowHeight="15" x14ac:dyDescent="0.25"/>
  <cols>
    <col min="1" max="1" width="27.7109375" bestFit="1" customWidth="1"/>
    <col min="2" max="13" width="11.7109375" bestFit="1" customWidth="1"/>
    <col min="14" max="14" width="1.7109375" customWidth="1"/>
    <col min="15" max="26" width="11.7109375" bestFit="1" customWidth="1"/>
    <col min="27" max="27" width="1.7109375" customWidth="1"/>
    <col min="40" max="40" width="1.7109375" customWidth="1"/>
  </cols>
  <sheetData>
    <row r="1" spans="1:42" x14ac:dyDescent="0.25">
      <c r="A1" s="14" t="s">
        <v>288</v>
      </c>
      <c r="B1" s="72">
        <f>_xlfn.XLOOKUP(B5,'OC-Days'!$G:$G,'OC-Days'!$B:$B)</f>
        <v>31</v>
      </c>
      <c r="C1" s="72">
        <f>_xlfn.XLOOKUP(C5,'OC-Days'!$G:$G,'OC-Days'!$B:$B)</f>
        <v>28</v>
      </c>
      <c r="D1" s="72">
        <f>_xlfn.XLOOKUP(D5,'OC-Days'!$G:$G,'OC-Days'!$B:$B)</f>
        <v>31</v>
      </c>
      <c r="E1" s="72">
        <f>_xlfn.XLOOKUP(E5,'OC-Days'!$G:$G,'OC-Days'!$B:$B)</f>
        <v>30</v>
      </c>
      <c r="F1" s="72">
        <f>_xlfn.XLOOKUP(F5,'OC-Days'!$G:$G,'OC-Days'!$B:$B)</f>
        <v>31</v>
      </c>
      <c r="G1" s="72">
        <f>_xlfn.XLOOKUP(G5,'OC-Days'!$G:$G,'OC-Days'!$B:$B)</f>
        <v>30</v>
      </c>
      <c r="H1" s="72">
        <f>_xlfn.XLOOKUP(H5,'OC-Days'!$G:$G,'OC-Days'!$B:$B)</f>
        <v>31</v>
      </c>
      <c r="I1" s="72">
        <f>_xlfn.XLOOKUP(I5,'OC-Days'!$G:$G,'OC-Days'!$B:$B)</f>
        <v>31</v>
      </c>
      <c r="J1" s="72">
        <f>_xlfn.XLOOKUP(J5,'OC-Days'!$G:$G,'OC-Days'!$B:$B)</f>
        <v>30</v>
      </c>
      <c r="K1" s="72">
        <f>_xlfn.XLOOKUP(K5,'OC-Days'!$G:$G,'OC-Days'!$B:$B)</f>
        <v>31</v>
      </c>
      <c r="L1" s="72">
        <f>_xlfn.XLOOKUP(L5,'OC-Days'!$G:$G,'OC-Days'!$B:$B)</f>
        <v>30</v>
      </c>
      <c r="M1" s="72">
        <f>_xlfn.XLOOKUP(M5,'OC-Days'!$G:$G,'OC-Days'!$B:$B)</f>
        <v>31</v>
      </c>
    </row>
    <row r="2" spans="1:42" x14ac:dyDescent="0.25">
      <c r="AB2" s="75"/>
    </row>
    <row r="3" spans="1:42" ht="45" x14ac:dyDescent="0.25">
      <c r="B3" s="63" t="s">
        <v>214</v>
      </c>
      <c r="C3" s="63" t="s">
        <v>214</v>
      </c>
      <c r="D3" s="63" t="s">
        <v>214</v>
      </c>
      <c r="E3" s="63" t="s">
        <v>214</v>
      </c>
      <c r="F3" s="63" t="s">
        <v>214</v>
      </c>
      <c r="G3" s="63" t="s">
        <v>214</v>
      </c>
      <c r="H3" s="63" t="s">
        <v>214</v>
      </c>
      <c r="I3" s="63" t="s">
        <v>214</v>
      </c>
      <c r="J3" s="63" t="s">
        <v>214</v>
      </c>
      <c r="K3" s="63" t="s">
        <v>214</v>
      </c>
      <c r="L3" s="63" t="s">
        <v>214</v>
      </c>
      <c r="M3" s="63" t="s">
        <v>214</v>
      </c>
      <c r="O3" s="63" t="s">
        <v>294</v>
      </c>
      <c r="P3" s="63" t="s">
        <v>294</v>
      </c>
      <c r="Q3" s="63" t="s">
        <v>294</v>
      </c>
      <c r="R3" s="63" t="s">
        <v>294</v>
      </c>
      <c r="S3" s="63" t="s">
        <v>294</v>
      </c>
      <c r="T3" s="63" t="s">
        <v>294</v>
      </c>
      <c r="U3" s="63" t="s">
        <v>294</v>
      </c>
      <c r="V3" s="63" t="s">
        <v>294</v>
      </c>
      <c r="W3" s="63" t="s">
        <v>294</v>
      </c>
      <c r="X3" s="63" t="s">
        <v>294</v>
      </c>
      <c r="Y3" s="63" t="s">
        <v>294</v>
      </c>
      <c r="Z3" s="63" t="s">
        <v>294</v>
      </c>
    </row>
    <row r="4" spans="1:42" x14ac:dyDescent="0.25">
      <c r="B4" s="61" t="s">
        <v>379</v>
      </c>
      <c r="C4" s="61" t="s">
        <v>379</v>
      </c>
      <c r="D4" s="61" t="s">
        <v>379</v>
      </c>
      <c r="E4" s="61" t="s">
        <v>379</v>
      </c>
      <c r="F4" s="61" t="s">
        <v>379</v>
      </c>
      <c r="G4" s="61" t="s">
        <v>379</v>
      </c>
      <c r="H4" s="61" t="s">
        <v>379</v>
      </c>
      <c r="I4" s="61" t="s">
        <v>379</v>
      </c>
      <c r="J4" s="61" t="s">
        <v>379</v>
      </c>
      <c r="K4" s="61" t="s">
        <v>379</v>
      </c>
      <c r="L4" s="61" t="s">
        <v>379</v>
      </c>
      <c r="M4" s="61" t="s">
        <v>379</v>
      </c>
      <c r="O4" s="61" t="s">
        <v>379</v>
      </c>
      <c r="P4" s="61" t="s">
        <v>379</v>
      </c>
      <c r="Q4" s="61" t="s">
        <v>379</v>
      </c>
      <c r="R4" s="61" t="s">
        <v>379</v>
      </c>
      <c r="S4" s="61" t="s">
        <v>379</v>
      </c>
      <c r="T4" s="61" t="s">
        <v>379</v>
      </c>
      <c r="U4" s="61" t="s">
        <v>379</v>
      </c>
      <c r="V4" s="61" t="s">
        <v>379</v>
      </c>
      <c r="W4" s="61" t="s">
        <v>379</v>
      </c>
      <c r="X4" s="61" t="s">
        <v>379</v>
      </c>
      <c r="Y4" s="61" t="s">
        <v>379</v>
      </c>
      <c r="Z4" s="61" t="s">
        <v>379</v>
      </c>
    </row>
    <row r="5" spans="1:42" x14ac:dyDescent="0.25">
      <c r="B5" s="62" t="s">
        <v>380</v>
      </c>
      <c r="C5" s="62" t="s">
        <v>381</v>
      </c>
      <c r="D5" s="62" t="s">
        <v>382</v>
      </c>
      <c r="E5" s="62" t="s">
        <v>383</v>
      </c>
      <c r="F5" s="62" t="s">
        <v>384</v>
      </c>
      <c r="G5" s="62" t="s">
        <v>385</v>
      </c>
      <c r="H5" s="62" t="s">
        <v>386</v>
      </c>
      <c r="I5" s="62" t="s">
        <v>387</v>
      </c>
      <c r="J5" s="62" t="s">
        <v>388</v>
      </c>
      <c r="K5" s="62" t="s">
        <v>389</v>
      </c>
      <c r="L5" s="62" t="s">
        <v>390</v>
      </c>
      <c r="M5" s="62" t="s">
        <v>391</v>
      </c>
      <c r="O5" s="62" t="s">
        <v>380</v>
      </c>
      <c r="P5" s="62" t="s">
        <v>381</v>
      </c>
      <c r="Q5" s="62" t="s">
        <v>382</v>
      </c>
      <c r="R5" s="62" t="s">
        <v>383</v>
      </c>
      <c r="S5" s="62" t="s">
        <v>384</v>
      </c>
      <c r="T5" s="62" t="s">
        <v>385</v>
      </c>
      <c r="U5" s="62" t="s">
        <v>386</v>
      </c>
      <c r="V5" s="62" t="s">
        <v>387</v>
      </c>
      <c r="W5" s="62" t="s">
        <v>388</v>
      </c>
      <c r="X5" s="62" t="s">
        <v>389</v>
      </c>
      <c r="Y5" s="62" t="s">
        <v>390</v>
      </c>
      <c r="Z5" s="62" t="s">
        <v>391</v>
      </c>
      <c r="AB5" t="str">
        <f t="shared" ref="AB5:AM5" si="0">O5</f>
        <v>Jan-2025</v>
      </c>
      <c r="AC5" t="str">
        <f t="shared" si="0"/>
        <v>Feb-2025</v>
      </c>
      <c r="AD5" t="str">
        <f t="shared" si="0"/>
        <v>Mar-2025</v>
      </c>
      <c r="AE5" t="str">
        <f t="shared" si="0"/>
        <v>Apr-2025</v>
      </c>
      <c r="AF5" t="str">
        <f t="shared" si="0"/>
        <v>May-2025</v>
      </c>
      <c r="AG5" t="str">
        <f t="shared" si="0"/>
        <v>Jun-2025</v>
      </c>
      <c r="AH5" t="str">
        <f t="shared" si="0"/>
        <v>Jul-2025</v>
      </c>
      <c r="AI5" t="str">
        <f t="shared" si="0"/>
        <v>Aug-2025</v>
      </c>
      <c r="AJ5" t="str">
        <f t="shared" si="0"/>
        <v>Sep-2025</v>
      </c>
      <c r="AK5" t="str">
        <f t="shared" si="0"/>
        <v>Oct-2025</v>
      </c>
      <c r="AL5" t="str">
        <f t="shared" si="0"/>
        <v>Nov-2025</v>
      </c>
      <c r="AM5" t="str">
        <f t="shared" si="0"/>
        <v>Dec-2025</v>
      </c>
      <c r="AO5" t="s">
        <v>296</v>
      </c>
      <c r="AP5" t="s">
        <v>297</v>
      </c>
    </row>
    <row r="6" spans="1:42" x14ac:dyDescent="0.25">
      <c r="A6" s="65" t="s">
        <v>249</v>
      </c>
      <c r="B6" s="64">
        <v>2185.5</v>
      </c>
      <c r="C6" s="64">
        <v>1974</v>
      </c>
      <c r="D6" s="64">
        <v>2185.5</v>
      </c>
      <c r="E6" s="64">
        <v>2115</v>
      </c>
      <c r="F6" s="64">
        <v>2185.5</v>
      </c>
      <c r="G6" s="64">
        <v>2115</v>
      </c>
      <c r="H6" s="64">
        <v>2185.5</v>
      </c>
      <c r="I6" s="64">
        <v>2185.5</v>
      </c>
      <c r="J6" s="64">
        <v>2115</v>
      </c>
      <c r="K6" s="64">
        <v>2185.5</v>
      </c>
      <c r="L6" s="64">
        <v>2115</v>
      </c>
      <c r="M6" s="64">
        <v>2185.5</v>
      </c>
      <c r="O6">
        <v>70.5</v>
      </c>
      <c r="P6">
        <v>70.5</v>
      </c>
      <c r="Q6">
        <v>70.5</v>
      </c>
      <c r="R6">
        <v>70.5</v>
      </c>
      <c r="S6">
        <v>70.5</v>
      </c>
      <c r="T6">
        <v>70.5</v>
      </c>
      <c r="U6">
        <v>70.5</v>
      </c>
      <c r="V6">
        <v>70.5</v>
      </c>
      <c r="W6">
        <v>70.5</v>
      </c>
      <c r="X6">
        <v>70.5</v>
      </c>
      <c r="Y6">
        <v>70.5</v>
      </c>
      <c r="Z6">
        <v>70.5</v>
      </c>
      <c r="AB6" s="76">
        <f>B6/B$1-O6</f>
        <v>0</v>
      </c>
      <c r="AC6" s="76">
        <f t="shared" ref="AC6:AM6" si="1">C6/C$1-P6</f>
        <v>0</v>
      </c>
      <c r="AD6" s="76">
        <f t="shared" si="1"/>
        <v>0</v>
      </c>
      <c r="AE6" s="76">
        <f t="shared" si="1"/>
        <v>0</v>
      </c>
      <c r="AF6" s="76">
        <f t="shared" si="1"/>
        <v>0</v>
      </c>
      <c r="AG6" s="76">
        <f t="shared" si="1"/>
        <v>0</v>
      </c>
      <c r="AH6" s="76">
        <f t="shared" si="1"/>
        <v>0</v>
      </c>
      <c r="AI6" s="76">
        <f t="shared" si="1"/>
        <v>0</v>
      </c>
      <c r="AJ6" s="76">
        <f t="shared" si="1"/>
        <v>0</v>
      </c>
      <c r="AK6" s="76">
        <f t="shared" si="1"/>
        <v>0</v>
      </c>
      <c r="AL6" s="76">
        <f t="shared" si="1"/>
        <v>0</v>
      </c>
      <c r="AM6" s="76">
        <f t="shared" si="1"/>
        <v>0</v>
      </c>
      <c r="AO6" s="76" t="str">
        <f>LEFT(A6,3)</f>
        <v>100</v>
      </c>
    </row>
    <row r="7" spans="1:42" x14ac:dyDescent="0.25">
      <c r="A7" s="65" t="s">
        <v>250</v>
      </c>
      <c r="B7" s="64">
        <v>1302</v>
      </c>
      <c r="C7" s="64">
        <v>1176</v>
      </c>
      <c r="D7" s="64">
        <v>1302</v>
      </c>
      <c r="E7" s="64">
        <v>1260</v>
      </c>
      <c r="F7" s="64">
        <v>1302</v>
      </c>
      <c r="G7" s="64">
        <v>1260</v>
      </c>
      <c r="H7" s="64">
        <v>1302</v>
      </c>
      <c r="I7" s="64">
        <v>1302</v>
      </c>
      <c r="J7" s="64">
        <v>1260</v>
      </c>
      <c r="K7" s="64">
        <v>1302</v>
      </c>
      <c r="L7" s="64">
        <v>1260</v>
      </c>
      <c r="M7" s="64">
        <v>1302</v>
      </c>
      <c r="O7">
        <v>42</v>
      </c>
      <c r="P7">
        <v>42</v>
      </c>
      <c r="Q7">
        <v>42</v>
      </c>
      <c r="R7">
        <v>42</v>
      </c>
      <c r="S7">
        <v>42</v>
      </c>
      <c r="T7">
        <v>42</v>
      </c>
      <c r="U7">
        <v>42</v>
      </c>
      <c r="V7">
        <v>42</v>
      </c>
      <c r="W7">
        <v>42</v>
      </c>
      <c r="X7">
        <v>42</v>
      </c>
      <c r="Y7">
        <v>42</v>
      </c>
      <c r="Z7">
        <v>42</v>
      </c>
      <c r="AB7" s="76">
        <f t="shared" ref="AB7:AB69" si="2">B7/B$1-O7</f>
        <v>0</v>
      </c>
      <c r="AC7" s="76">
        <f t="shared" ref="AC7:AC69" si="3">C7/C$1-P7</f>
        <v>0</v>
      </c>
      <c r="AD7" s="76">
        <f t="shared" ref="AD7:AD69" si="4">D7/D$1-Q7</f>
        <v>0</v>
      </c>
      <c r="AE7" s="76">
        <f t="shared" ref="AE7:AE69" si="5">E7/E$1-R7</f>
        <v>0</v>
      </c>
      <c r="AF7" s="76">
        <f t="shared" ref="AF7:AF69" si="6">F7/F$1-S7</f>
        <v>0</v>
      </c>
      <c r="AG7" s="76">
        <f t="shared" ref="AG7:AG69" si="7">G7/G$1-T7</f>
        <v>0</v>
      </c>
      <c r="AH7" s="76">
        <f t="shared" ref="AH7:AH69" si="8">H7/H$1-U7</f>
        <v>0</v>
      </c>
      <c r="AI7" s="76">
        <f t="shared" ref="AI7:AI69" si="9">I7/I$1-V7</f>
        <v>0</v>
      </c>
      <c r="AJ7" s="76">
        <f t="shared" ref="AJ7:AJ69" si="10">J7/J$1-W7</f>
        <v>0</v>
      </c>
      <c r="AK7" s="76">
        <f t="shared" ref="AK7:AK69" si="11">K7/K$1-X7</f>
        <v>0</v>
      </c>
      <c r="AL7" s="76">
        <f t="shared" ref="AL7:AL69" si="12">L7/L$1-Y7</f>
        <v>0</v>
      </c>
      <c r="AM7" s="76">
        <f t="shared" ref="AM7:AM69" si="13">M7/M$1-Z7</f>
        <v>0</v>
      </c>
    </row>
    <row r="8" spans="1:42" x14ac:dyDescent="0.25">
      <c r="A8" s="65" t="s">
        <v>251</v>
      </c>
      <c r="B8" s="64">
        <v>1891</v>
      </c>
      <c r="C8" s="64">
        <v>1708</v>
      </c>
      <c r="D8" s="64">
        <v>1922</v>
      </c>
      <c r="E8" s="64">
        <v>1860</v>
      </c>
      <c r="F8" s="64">
        <v>1953</v>
      </c>
      <c r="G8" s="64">
        <v>1890</v>
      </c>
      <c r="H8" s="64">
        <v>2015</v>
      </c>
      <c r="I8" s="64">
        <v>2015</v>
      </c>
      <c r="J8" s="64">
        <v>1980</v>
      </c>
      <c r="K8" s="64">
        <v>2046</v>
      </c>
      <c r="L8" s="64">
        <v>2010</v>
      </c>
      <c r="M8" s="64">
        <v>2077</v>
      </c>
      <c r="O8">
        <v>61</v>
      </c>
      <c r="P8">
        <v>61</v>
      </c>
      <c r="Q8">
        <v>62</v>
      </c>
      <c r="R8">
        <v>62</v>
      </c>
      <c r="S8">
        <v>63</v>
      </c>
      <c r="T8">
        <v>63</v>
      </c>
      <c r="U8">
        <v>65</v>
      </c>
      <c r="V8">
        <v>65</v>
      </c>
      <c r="W8">
        <v>66</v>
      </c>
      <c r="X8">
        <v>66</v>
      </c>
      <c r="Y8">
        <v>67</v>
      </c>
      <c r="Z8">
        <v>67</v>
      </c>
      <c r="AB8" s="76">
        <f t="shared" si="2"/>
        <v>0</v>
      </c>
      <c r="AC8" s="76">
        <f t="shared" si="3"/>
        <v>0</v>
      </c>
      <c r="AD8" s="76">
        <f t="shared" si="4"/>
        <v>0</v>
      </c>
      <c r="AE8" s="76">
        <f t="shared" si="5"/>
        <v>0</v>
      </c>
      <c r="AF8" s="76">
        <f t="shared" si="6"/>
        <v>0</v>
      </c>
      <c r="AG8" s="76">
        <f t="shared" si="7"/>
        <v>0</v>
      </c>
      <c r="AH8" s="76">
        <f t="shared" si="8"/>
        <v>0</v>
      </c>
      <c r="AI8" s="76">
        <f t="shared" si="9"/>
        <v>0</v>
      </c>
      <c r="AJ8" s="76">
        <f t="shared" si="10"/>
        <v>0</v>
      </c>
      <c r="AK8" s="76">
        <f t="shared" si="11"/>
        <v>0</v>
      </c>
      <c r="AL8" s="76">
        <f t="shared" si="12"/>
        <v>0</v>
      </c>
      <c r="AM8" s="76">
        <f t="shared" si="13"/>
        <v>0</v>
      </c>
    </row>
    <row r="9" spans="1:42" x14ac:dyDescent="0.25">
      <c r="A9" s="65" t="s">
        <v>252</v>
      </c>
      <c r="B9" s="64">
        <v>4929</v>
      </c>
      <c r="C9" s="64">
        <v>4480</v>
      </c>
      <c r="D9" s="64">
        <v>4991</v>
      </c>
      <c r="E9" s="64">
        <v>4860</v>
      </c>
      <c r="F9" s="64">
        <v>5053</v>
      </c>
      <c r="G9" s="64">
        <v>4920</v>
      </c>
      <c r="H9" s="64">
        <v>5115</v>
      </c>
      <c r="I9" s="64">
        <v>5146</v>
      </c>
      <c r="J9" s="64">
        <v>5010</v>
      </c>
      <c r="K9" s="64">
        <v>5208</v>
      </c>
      <c r="L9" s="64">
        <v>5070</v>
      </c>
      <c r="M9" s="64">
        <v>5270</v>
      </c>
      <c r="O9">
        <v>159</v>
      </c>
      <c r="P9">
        <v>160</v>
      </c>
      <c r="Q9">
        <v>161</v>
      </c>
      <c r="R9">
        <v>162</v>
      </c>
      <c r="S9">
        <v>163</v>
      </c>
      <c r="T9">
        <v>164</v>
      </c>
      <c r="U9">
        <v>165</v>
      </c>
      <c r="V9">
        <v>166</v>
      </c>
      <c r="W9">
        <v>167</v>
      </c>
      <c r="X9">
        <v>168</v>
      </c>
      <c r="Y9">
        <v>169</v>
      </c>
      <c r="Z9">
        <v>170</v>
      </c>
      <c r="AB9" s="76">
        <f t="shared" si="2"/>
        <v>0</v>
      </c>
      <c r="AC9" s="76">
        <f t="shared" si="3"/>
        <v>0</v>
      </c>
      <c r="AD9" s="76">
        <f t="shared" si="4"/>
        <v>0</v>
      </c>
      <c r="AE9" s="76">
        <f t="shared" si="5"/>
        <v>0</v>
      </c>
      <c r="AF9" s="76">
        <f t="shared" si="6"/>
        <v>0</v>
      </c>
      <c r="AG9" s="76">
        <f t="shared" si="7"/>
        <v>0</v>
      </c>
      <c r="AH9" s="76">
        <f t="shared" si="8"/>
        <v>0</v>
      </c>
      <c r="AI9" s="76">
        <f t="shared" si="9"/>
        <v>0</v>
      </c>
      <c r="AJ9" s="76">
        <f t="shared" si="10"/>
        <v>0</v>
      </c>
      <c r="AK9" s="76">
        <f t="shared" si="11"/>
        <v>0</v>
      </c>
      <c r="AL9" s="76">
        <f t="shared" si="12"/>
        <v>0</v>
      </c>
      <c r="AM9" s="76">
        <f t="shared" si="13"/>
        <v>0</v>
      </c>
    </row>
    <row r="10" spans="1:42" x14ac:dyDescent="0.25">
      <c r="A10" s="65" t="s">
        <v>253</v>
      </c>
      <c r="B10" s="64">
        <v>2790</v>
      </c>
      <c r="C10" s="64">
        <v>2520</v>
      </c>
      <c r="D10" s="64">
        <v>2790</v>
      </c>
      <c r="E10" s="64">
        <v>2700</v>
      </c>
      <c r="F10" s="64">
        <v>2790</v>
      </c>
      <c r="G10" s="64">
        <v>2700</v>
      </c>
      <c r="H10" s="64">
        <v>2790</v>
      </c>
      <c r="I10" s="64">
        <v>2790</v>
      </c>
      <c r="J10" s="64">
        <v>2700</v>
      </c>
      <c r="K10" s="64">
        <v>2790</v>
      </c>
      <c r="L10" s="64">
        <v>2700</v>
      </c>
      <c r="M10" s="64">
        <v>2790</v>
      </c>
      <c r="O10">
        <v>90</v>
      </c>
      <c r="P10">
        <v>90</v>
      </c>
      <c r="Q10">
        <v>90</v>
      </c>
      <c r="R10">
        <v>90</v>
      </c>
      <c r="S10">
        <v>90</v>
      </c>
      <c r="T10">
        <v>90</v>
      </c>
      <c r="U10">
        <v>90</v>
      </c>
      <c r="V10">
        <v>90</v>
      </c>
      <c r="W10">
        <v>90</v>
      </c>
      <c r="X10">
        <v>90</v>
      </c>
      <c r="Y10">
        <v>90</v>
      </c>
      <c r="Z10">
        <v>90</v>
      </c>
      <c r="AB10" s="76">
        <f t="shared" si="2"/>
        <v>0</v>
      </c>
      <c r="AC10" s="76">
        <f t="shared" si="3"/>
        <v>0</v>
      </c>
      <c r="AD10" s="76">
        <f t="shared" si="4"/>
        <v>0</v>
      </c>
      <c r="AE10" s="76">
        <f t="shared" si="5"/>
        <v>0</v>
      </c>
      <c r="AF10" s="76">
        <f t="shared" si="6"/>
        <v>0</v>
      </c>
      <c r="AG10" s="76">
        <f t="shared" si="7"/>
        <v>0</v>
      </c>
      <c r="AH10" s="76">
        <f t="shared" si="8"/>
        <v>0</v>
      </c>
      <c r="AI10" s="76">
        <f t="shared" si="9"/>
        <v>0</v>
      </c>
      <c r="AJ10" s="76">
        <f t="shared" si="10"/>
        <v>0</v>
      </c>
      <c r="AK10" s="76">
        <f t="shared" si="11"/>
        <v>0</v>
      </c>
      <c r="AL10" s="76">
        <f t="shared" si="12"/>
        <v>0</v>
      </c>
      <c r="AM10" s="76">
        <f t="shared" si="13"/>
        <v>0</v>
      </c>
    </row>
    <row r="11" spans="1:42" x14ac:dyDescent="0.25">
      <c r="A11" s="65" t="s">
        <v>254</v>
      </c>
      <c r="B11" s="64">
        <v>1767</v>
      </c>
      <c r="C11" s="64">
        <v>1596</v>
      </c>
      <c r="D11" s="64">
        <v>1767</v>
      </c>
      <c r="E11" s="64">
        <v>1710</v>
      </c>
      <c r="F11" s="64">
        <v>1767</v>
      </c>
      <c r="G11" s="64">
        <v>1710</v>
      </c>
      <c r="H11" s="64">
        <v>1798</v>
      </c>
      <c r="I11" s="64">
        <v>1798</v>
      </c>
      <c r="J11" s="64">
        <v>1740</v>
      </c>
      <c r="K11" s="64">
        <v>1798</v>
      </c>
      <c r="L11" s="64">
        <v>1740</v>
      </c>
      <c r="M11" s="64">
        <v>1798</v>
      </c>
      <c r="O11">
        <v>57</v>
      </c>
      <c r="P11">
        <v>57</v>
      </c>
      <c r="Q11">
        <v>57</v>
      </c>
      <c r="R11">
        <v>57</v>
      </c>
      <c r="S11">
        <v>57</v>
      </c>
      <c r="T11">
        <v>57</v>
      </c>
      <c r="U11">
        <v>58</v>
      </c>
      <c r="V11">
        <v>58</v>
      </c>
      <c r="W11">
        <v>58</v>
      </c>
      <c r="X11">
        <v>58</v>
      </c>
      <c r="Y11">
        <v>58</v>
      </c>
      <c r="Z11">
        <v>58</v>
      </c>
      <c r="AB11" s="76">
        <f t="shared" si="2"/>
        <v>0</v>
      </c>
      <c r="AC11" s="76">
        <f t="shared" si="3"/>
        <v>0</v>
      </c>
      <c r="AD11" s="76">
        <f t="shared" si="4"/>
        <v>0</v>
      </c>
      <c r="AE11" s="76">
        <f t="shared" si="5"/>
        <v>0</v>
      </c>
      <c r="AF11" s="76">
        <f t="shared" si="6"/>
        <v>0</v>
      </c>
      <c r="AG11" s="76">
        <f t="shared" si="7"/>
        <v>0</v>
      </c>
      <c r="AH11" s="76">
        <f t="shared" si="8"/>
        <v>0</v>
      </c>
      <c r="AI11" s="76">
        <f t="shared" si="9"/>
        <v>0</v>
      </c>
      <c r="AJ11" s="76">
        <f t="shared" si="10"/>
        <v>0</v>
      </c>
      <c r="AK11" s="76">
        <f t="shared" si="11"/>
        <v>0</v>
      </c>
      <c r="AL11" s="76">
        <f t="shared" si="12"/>
        <v>0</v>
      </c>
      <c r="AM11" s="76">
        <f t="shared" si="13"/>
        <v>0</v>
      </c>
    </row>
    <row r="12" spans="1:42" x14ac:dyDescent="0.25">
      <c r="A12" s="65" t="s">
        <v>255</v>
      </c>
      <c r="B12" s="64">
        <v>3007</v>
      </c>
      <c r="C12" s="64">
        <v>2716</v>
      </c>
      <c r="D12" s="64">
        <v>3007</v>
      </c>
      <c r="E12" s="64">
        <v>2940</v>
      </c>
      <c r="F12" s="64">
        <v>3038</v>
      </c>
      <c r="G12" s="64">
        <v>2940</v>
      </c>
      <c r="H12" s="64">
        <v>3069</v>
      </c>
      <c r="I12" s="64">
        <v>3069</v>
      </c>
      <c r="J12" s="64">
        <v>2970</v>
      </c>
      <c r="K12" s="64">
        <v>3100</v>
      </c>
      <c r="L12" s="64">
        <v>3000</v>
      </c>
      <c r="M12" s="64">
        <v>3100</v>
      </c>
      <c r="O12">
        <v>97</v>
      </c>
      <c r="P12">
        <v>97</v>
      </c>
      <c r="Q12">
        <v>97</v>
      </c>
      <c r="R12">
        <v>98</v>
      </c>
      <c r="S12">
        <v>98</v>
      </c>
      <c r="T12">
        <v>98</v>
      </c>
      <c r="U12">
        <v>99</v>
      </c>
      <c r="V12">
        <v>99</v>
      </c>
      <c r="W12">
        <v>99</v>
      </c>
      <c r="X12">
        <v>100</v>
      </c>
      <c r="Y12">
        <v>100</v>
      </c>
      <c r="Z12">
        <v>100</v>
      </c>
      <c r="AB12" s="76">
        <f t="shared" si="2"/>
        <v>0</v>
      </c>
      <c r="AC12" s="76">
        <f t="shared" si="3"/>
        <v>0</v>
      </c>
      <c r="AD12" s="76">
        <f t="shared" si="4"/>
        <v>0</v>
      </c>
      <c r="AE12" s="76">
        <f t="shared" si="5"/>
        <v>0</v>
      </c>
      <c r="AF12" s="76">
        <f t="shared" si="6"/>
        <v>0</v>
      </c>
      <c r="AG12" s="76">
        <f t="shared" si="7"/>
        <v>0</v>
      </c>
      <c r="AH12" s="76">
        <f t="shared" si="8"/>
        <v>0</v>
      </c>
      <c r="AI12" s="76">
        <f t="shared" si="9"/>
        <v>0</v>
      </c>
      <c r="AJ12" s="76">
        <f t="shared" si="10"/>
        <v>0</v>
      </c>
      <c r="AK12" s="76">
        <f t="shared" si="11"/>
        <v>0</v>
      </c>
      <c r="AL12" s="76">
        <f t="shared" si="12"/>
        <v>0</v>
      </c>
      <c r="AM12" s="76">
        <f t="shared" si="13"/>
        <v>0</v>
      </c>
    </row>
    <row r="13" spans="1:42" x14ac:dyDescent="0.25">
      <c r="A13" s="65" t="s">
        <v>256</v>
      </c>
      <c r="B13" s="64">
        <v>2480</v>
      </c>
      <c r="C13" s="64">
        <v>2240</v>
      </c>
      <c r="D13" s="64">
        <v>2511</v>
      </c>
      <c r="E13" s="64">
        <v>2430</v>
      </c>
      <c r="F13" s="64">
        <v>2542</v>
      </c>
      <c r="G13" s="64">
        <v>2460</v>
      </c>
      <c r="H13" s="64">
        <v>2573</v>
      </c>
      <c r="I13" s="64">
        <v>2573</v>
      </c>
      <c r="J13" s="64">
        <v>2520</v>
      </c>
      <c r="K13" s="64">
        <v>2604</v>
      </c>
      <c r="L13" s="64">
        <v>2550</v>
      </c>
      <c r="M13" s="64">
        <v>2635</v>
      </c>
      <c r="O13">
        <v>80</v>
      </c>
      <c r="P13">
        <v>80</v>
      </c>
      <c r="Q13">
        <v>81</v>
      </c>
      <c r="R13">
        <v>81</v>
      </c>
      <c r="S13">
        <v>82</v>
      </c>
      <c r="T13">
        <v>82</v>
      </c>
      <c r="U13">
        <v>83</v>
      </c>
      <c r="V13">
        <v>83</v>
      </c>
      <c r="W13">
        <v>84</v>
      </c>
      <c r="X13">
        <v>84</v>
      </c>
      <c r="Y13">
        <v>85</v>
      </c>
      <c r="Z13">
        <v>85</v>
      </c>
      <c r="AB13" s="76">
        <f t="shared" si="2"/>
        <v>0</v>
      </c>
      <c r="AC13" s="76">
        <f t="shared" si="3"/>
        <v>0</v>
      </c>
      <c r="AD13" s="76">
        <f t="shared" si="4"/>
        <v>0</v>
      </c>
      <c r="AE13" s="76">
        <f t="shared" si="5"/>
        <v>0</v>
      </c>
      <c r="AF13" s="76">
        <f t="shared" si="6"/>
        <v>0</v>
      </c>
      <c r="AG13" s="76">
        <f t="shared" si="7"/>
        <v>0</v>
      </c>
      <c r="AH13" s="76">
        <f t="shared" si="8"/>
        <v>0</v>
      </c>
      <c r="AI13" s="76">
        <f t="shared" si="9"/>
        <v>0</v>
      </c>
      <c r="AJ13" s="76">
        <f t="shared" si="10"/>
        <v>0</v>
      </c>
      <c r="AK13" s="76">
        <f t="shared" si="11"/>
        <v>0</v>
      </c>
      <c r="AL13" s="76">
        <f t="shared" si="12"/>
        <v>0</v>
      </c>
      <c r="AM13" s="76">
        <f t="shared" si="13"/>
        <v>0</v>
      </c>
    </row>
    <row r="14" spans="1:42" x14ac:dyDescent="0.25">
      <c r="A14" s="65" t="s">
        <v>257</v>
      </c>
      <c r="B14" s="64">
        <v>3844</v>
      </c>
      <c r="C14" s="64">
        <v>3472</v>
      </c>
      <c r="D14" s="64">
        <v>3844</v>
      </c>
      <c r="E14" s="64">
        <v>3720</v>
      </c>
      <c r="F14" s="64">
        <v>3844</v>
      </c>
      <c r="G14" s="64">
        <v>3720</v>
      </c>
      <c r="H14" s="64">
        <v>3844</v>
      </c>
      <c r="I14" s="64">
        <v>3844</v>
      </c>
      <c r="J14" s="64">
        <v>3720</v>
      </c>
      <c r="K14" s="64">
        <v>3844</v>
      </c>
      <c r="L14" s="64">
        <v>3720</v>
      </c>
      <c r="M14" s="64">
        <v>3844</v>
      </c>
      <c r="O14">
        <v>124</v>
      </c>
      <c r="P14">
        <v>124</v>
      </c>
      <c r="Q14">
        <v>124</v>
      </c>
      <c r="R14">
        <v>124</v>
      </c>
      <c r="S14">
        <v>124</v>
      </c>
      <c r="T14">
        <v>124</v>
      </c>
      <c r="U14">
        <v>124</v>
      </c>
      <c r="V14">
        <v>124</v>
      </c>
      <c r="W14">
        <v>124</v>
      </c>
      <c r="X14">
        <v>124</v>
      </c>
      <c r="Y14">
        <v>124</v>
      </c>
      <c r="Z14">
        <v>124</v>
      </c>
      <c r="AB14" s="76">
        <f t="shared" si="2"/>
        <v>0</v>
      </c>
      <c r="AC14" s="76">
        <f t="shared" si="3"/>
        <v>0</v>
      </c>
      <c r="AD14" s="76">
        <f t="shared" si="4"/>
        <v>0</v>
      </c>
      <c r="AE14" s="76">
        <f t="shared" si="5"/>
        <v>0</v>
      </c>
      <c r="AF14" s="76">
        <f t="shared" si="6"/>
        <v>0</v>
      </c>
      <c r="AG14" s="76">
        <f t="shared" si="7"/>
        <v>0</v>
      </c>
      <c r="AH14" s="76">
        <f t="shared" si="8"/>
        <v>0</v>
      </c>
      <c r="AI14" s="76">
        <f t="shared" si="9"/>
        <v>0</v>
      </c>
      <c r="AJ14" s="76">
        <f t="shared" si="10"/>
        <v>0</v>
      </c>
      <c r="AK14" s="76">
        <f t="shared" si="11"/>
        <v>0</v>
      </c>
      <c r="AL14" s="76">
        <f t="shared" si="12"/>
        <v>0</v>
      </c>
      <c r="AM14" s="76">
        <f t="shared" si="13"/>
        <v>0</v>
      </c>
    </row>
    <row r="15" spans="1:42" x14ac:dyDescent="0.25">
      <c r="A15" s="65" t="s">
        <v>199</v>
      </c>
      <c r="B15" s="64">
        <v>4123</v>
      </c>
      <c r="C15" s="64">
        <v>3724</v>
      </c>
      <c r="D15" s="64">
        <v>4123</v>
      </c>
      <c r="E15" s="64">
        <v>3990</v>
      </c>
      <c r="F15" s="64">
        <v>4123</v>
      </c>
      <c r="G15" s="64">
        <v>3990</v>
      </c>
      <c r="H15" s="64">
        <v>4123</v>
      </c>
      <c r="I15" s="64">
        <v>4123</v>
      </c>
      <c r="J15" s="64">
        <v>3990</v>
      </c>
      <c r="K15" s="64">
        <v>4123</v>
      </c>
      <c r="L15" s="64">
        <v>3990</v>
      </c>
      <c r="M15" s="64">
        <v>4123</v>
      </c>
      <c r="O15">
        <v>133</v>
      </c>
      <c r="P15">
        <v>133</v>
      </c>
      <c r="Q15">
        <v>133</v>
      </c>
      <c r="R15">
        <v>133</v>
      </c>
      <c r="S15">
        <v>133</v>
      </c>
      <c r="T15">
        <v>133</v>
      </c>
      <c r="U15">
        <v>133</v>
      </c>
      <c r="V15">
        <v>133</v>
      </c>
      <c r="W15">
        <v>133</v>
      </c>
      <c r="X15">
        <v>133</v>
      </c>
      <c r="Y15">
        <v>133</v>
      </c>
      <c r="Z15">
        <v>133</v>
      </c>
      <c r="AB15" s="76">
        <f t="shared" si="2"/>
        <v>0</v>
      </c>
      <c r="AC15" s="76">
        <f t="shared" si="3"/>
        <v>0</v>
      </c>
      <c r="AD15" s="76">
        <f t="shared" si="4"/>
        <v>0</v>
      </c>
      <c r="AE15" s="76">
        <f t="shared" si="5"/>
        <v>0</v>
      </c>
      <c r="AF15" s="76">
        <f t="shared" si="6"/>
        <v>0</v>
      </c>
      <c r="AG15" s="76">
        <f t="shared" si="7"/>
        <v>0</v>
      </c>
      <c r="AH15" s="76">
        <f t="shared" si="8"/>
        <v>0</v>
      </c>
      <c r="AI15" s="76">
        <f t="shared" si="9"/>
        <v>0</v>
      </c>
      <c r="AJ15" s="76">
        <f t="shared" si="10"/>
        <v>0</v>
      </c>
      <c r="AK15" s="76">
        <f t="shared" si="11"/>
        <v>0</v>
      </c>
      <c r="AL15" s="76">
        <f t="shared" si="12"/>
        <v>0</v>
      </c>
      <c r="AM15" s="76">
        <f t="shared" si="13"/>
        <v>0</v>
      </c>
    </row>
    <row r="16" spans="1:42" x14ac:dyDescent="0.25">
      <c r="A16" s="65" t="s">
        <v>207</v>
      </c>
      <c r="B16" s="64">
        <v>1395</v>
      </c>
      <c r="C16" s="64">
        <v>1260</v>
      </c>
      <c r="D16" s="64">
        <v>1395</v>
      </c>
      <c r="E16" s="64">
        <v>1350</v>
      </c>
      <c r="F16" s="64">
        <v>1395</v>
      </c>
      <c r="G16" s="64">
        <v>1350</v>
      </c>
      <c r="H16" s="64">
        <v>1395</v>
      </c>
      <c r="I16" s="64">
        <v>1395</v>
      </c>
      <c r="J16" s="64">
        <v>1350</v>
      </c>
      <c r="K16" s="64">
        <v>1395</v>
      </c>
      <c r="L16" s="64">
        <v>1350</v>
      </c>
      <c r="M16" s="64">
        <v>1395</v>
      </c>
      <c r="O16">
        <v>45</v>
      </c>
      <c r="P16">
        <v>45</v>
      </c>
      <c r="Q16">
        <v>45</v>
      </c>
      <c r="R16">
        <v>45</v>
      </c>
      <c r="S16">
        <v>45</v>
      </c>
      <c r="T16">
        <v>45</v>
      </c>
      <c r="U16">
        <v>45</v>
      </c>
      <c r="V16">
        <v>45</v>
      </c>
      <c r="W16">
        <v>45</v>
      </c>
      <c r="X16">
        <v>45</v>
      </c>
      <c r="Y16">
        <v>45</v>
      </c>
      <c r="Z16">
        <v>45</v>
      </c>
      <c r="AB16" s="76">
        <f t="shared" si="2"/>
        <v>0</v>
      </c>
      <c r="AC16" s="76">
        <f t="shared" si="3"/>
        <v>0</v>
      </c>
      <c r="AD16" s="76">
        <f t="shared" si="4"/>
        <v>0</v>
      </c>
      <c r="AE16" s="76">
        <f t="shared" si="5"/>
        <v>0</v>
      </c>
      <c r="AF16" s="76">
        <f t="shared" si="6"/>
        <v>0</v>
      </c>
      <c r="AG16" s="76">
        <f t="shared" si="7"/>
        <v>0</v>
      </c>
      <c r="AH16" s="76">
        <f t="shared" si="8"/>
        <v>0</v>
      </c>
      <c r="AI16" s="76">
        <f t="shared" si="9"/>
        <v>0</v>
      </c>
      <c r="AJ16" s="76">
        <f t="shared" si="10"/>
        <v>0</v>
      </c>
      <c r="AK16" s="76">
        <f t="shared" si="11"/>
        <v>0</v>
      </c>
      <c r="AL16" s="76">
        <f t="shared" si="12"/>
        <v>0</v>
      </c>
      <c r="AM16" s="76">
        <f t="shared" si="13"/>
        <v>0</v>
      </c>
    </row>
    <row r="17" spans="1:39" x14ac:dyDescent="0.25">
      <c r="A17" s="66" t="s">
        <v>219</v>
      </c>
      <c r="B17" s="64">
        <v>29713.5</v>
      </c>
      <c r="C17" s="64">
        <v>26866</v>
      </c>
      <c r="D17" s="64">
        <v>29837.5</v>
      </c>
      <c r="E17" s="64">
        <v>28935</v>
      </c>
      <c r="F17" s="64">
        <v>29992.5</v>
      </c>
      <c r="G17" s="64">
        <v>29055</v>
      </c>
      <c r="H17" s="64">
        <v>30209.5</v>
      </c>
      <c r="I17" s="64">
        <v>30240.5</v>
      </c>
      <c r="J17" s="64">
        <v>29355</v>
      </c>
      <c r="K17" s="64">
        <v>30395.5</v>
      </c>
      <c r="L17" s="64">
        <v>29505</v>
      </c>
      <c r="M17" s="64">
        <v>30519.5</v>
      </c>
      <c r="O17">
        <v>958.5</v>
      </c>
      <c r="P17">
        <v>959.5</v>
      </c>
      <c r="Q17">
        <v>962.5</v>
      </c>
      <c r="R17">
        <v>964.5</v>
      </c>
      <c r="S17">
        <v>967.5</v>
      </c>
      <c r="T17">
        <v>968.5</v>
      </c>
      <c r="U17">
        <v>974.5</v>
      </c>
      <c r="V17">
        <v>975.5</v>
      </c>
      <c r="W17">
        <v>978.5</v>
      </c>
      <c r="X17">
        <v>980.5</v>
      </c>
      <c r="Y17">
        <v>983.5</v>
      </c>
      <c r="Z17">
        <v>984.5</v>
      </c>
      <c r="AB17" s="76">
        <f t="shared" si="2"/>
        <v>0</v>
      </c>
      <c r="AC17" s="76">
        <f t="shared" si="3"/>
        <v>0</v>
      </c>
      <c r="AD17" s="76">
        <f t="shared" si="4"/>
        <v>0</v>
      </c>
      <c r="AE17" s="76">
        <f t="shared" si="5"/>
        <v>0</v>
      </c>
      <c r="AF17" s="76">
        <f t="shared" si="6"/>
        <v>0</v>
      </c>
      <c r="AG17" s="76">
        <f t="shared" si="7"/>
        <v>0</v>
      </c>
      <c r="AH17" s="76">
        <f t="shared" si="8"/>
        <v>0</v>
      </c>
      <c r="AI17" s="76">
        <f t="shared" si="9"/>
        <v>0</v>
      </c>
      <c r="AJ17" s="76">
        <f t="shared" si="10"/>
        <v>0</v>
      </c>
      <c r="AK17" s="76">
        <f t="shared" si="11"/>
        <v>0</v>
      </c>
      <c r="AL17" s="76">
        <f t="shared" si="12"/>
        <v>0</v>
      </c>
      <c r="AM17" s="76">
        <f t="shared" si="13"/>
        <v>0</v>
      </c>
    </row>
    <row r="18" spans="1:39" x14ac:dyDescent="0.25">
      <c r="A18" s="65" t="s">
        <v>245</v>
      </c>
      <c r="B18" s="64">
        <v>2201</v>
      </c>
      <c r="C18" s="64">
        <v>1988</v>
      </c>
      <c r="D18" s="64">
        <v>2201</v>
      </c>
      <c r="E18" s="64">
        <v>2130</v>
      </c>
      <c r="F18" s="64">
        <v>2201</v>
      </c>
      <c r="G18" s="64">
        <v>2130</v>
      </c>
      <c r="H18" s="64">
        <v>2201</v>
      </c>
      <c r="I18" s="64">
        <v>2201</v>
      </c>
      <c r="J18" s="64">
        <v>2130</v>
      </c>
      <c r="K18" s="64">
        <v>2201</v>
      </c>
      <c r="L18" s="64">
        <v>2130</v>
      </c>
      <c r="M18" s="64">
        <v>2201</v>
      </c>
      <c r="O18">
        <v>71</v>
      </c>
      <c r="P18">
        <v>71</v>
      </c>
      <c r="Q18">
        <v>71</v>
      </c>
      <c r="R18">
        <v>71</v>
      </c>
      <c r="S18">
        <v>71</v>
      </c>
      <c r="T18">
        <v>71</v>
      </c>
      <c r="U18">
        <v>71</v>
      </c>
      <c r="V18">
        <v>71</v>
      </c>
      <c r="W18">
        <v>71</v>
      </c>
      <c r="X18">
        <v>71</v>
      </c>
      <c r="Y18">
        <v>71</v>
      </c>
      <c r="Z18">
        <v>71</v>
      </c>
      <c r="AB18" s="76">
        <f t="shared" si="2"/>
        <v>0</v>
      </c>
      <c r="AC18" s="76">
        <f t="shared" si="3"/>
        <v>0</v>
      </c>
      <c r="AD18" s="76">
        <f t="shared" si="4"/>
        <v>0</v>
      </c>
      <c r="AE18" s="76">
        <f t="shared" si="5"/>
        <v>0</v>
      </c>
      <c r="AF18" s="76">
        <f t="shared" si="6"/>
        <v>0</v>
      </c>
      <c r="AG18" s="76">
        <f t="shared" si="7"/>
        <v>0</v>
      </c>
      <c r="AH18" s="76">
        <f t="shared" si="8"/>
        <v>0</v>
      </c>
      <c r="AI18" s="76">
        <f t="shared" si="9"/>
        <v>0</v>
      </c>
      <c r="AJ18" s="76">
        <f t="shared" si="10"/>
        <v>0</v>
      </c>
      <c r="AK18" s="76">
        <f t="shared" si="11"/>
        <v>0</v>
      </c>
      <c r="AL18" s="76">
        <f t="shared" si="12"/>
        <v>0</v>
      </c>
      <c r="AM18" s="76">
        <f t="shared" si="13"/>
        <v>0</v>
      </c>
    </row>
    <row r="19" spans="1:39" x14ac:dyDescent="0.25">
      <c r="A19" s="65" t="s">
        <v>246</v>
      </c>
      <c r="B19" s="64">
        <v>4154</v>
      </c>
      <c r="C19" s="64">
        <v>3752</v>
      </c>
      <c r="D19" s="64">
        <v>4154</v>
      </c>
      <c r="E19" s="64">
        <v>4020</v>
      </c>
      <c r="F19" s="64">
        <v>4154</v>
      </c>
      <c r="G19" s="64">
        <v>4020</v>
      </c>
      <c r="H19" s="64">
        <v>4154</v>
      </c>
      <c r="I19" s="64">
        <v>4154</v>
      </c>
      <c r="J19" s="64">
        <v>4020</v>
      </c>
      <c r="K19" s="64">
        <v>4154</v>
      </c>
      <c r="L19" s="64">
        <v>4020</v>
      </c>
      <c r="M19" s="64">
        <v>4154</v>
      </c>
      <c r="O19">
        <v>134</v>
      </c>
      <c r="P19">
        <v>134</v>
      </c>
      <c r="Q19">
        <v>134</v>
      </c>
      <c r="R19">
        <v>134</v>
      </c>
      <c r="S19">
        <v>134</v>
      </c>
      <c r="T19">
        <v>134</v>
      </c>
      <c r="U19">
        <v>134</v>
      </c>
      <c r="V19">
        <v>134</v>
      </c>
      <c r="W19">
        <v>134</v>
      </c>
      <c r="X19">
        <v>134</v>
      </c>
      <c r="Y19">
        <v>134</v>
      </c>
      <c r="Z19">
        <v>134</v>
      </c>
      <c r="AB19" s="76">
        <f t="shared" si="2"/>
        <v>0</v>
      </c>
      <c r="AC19" s="76">
        <f t="shared" si="3"/>
        <v>0</v>
      </c>
      <c r="AD19" s="76">
        <f t="shared" si="4"/>
        <v>0</v>
      </c>
      <c r="AE19" s="76">
        <f t="shared" si="5"/>
        <v>0</v>
      </c>
      <c r="AF19" s="76">
        <f t="shared" si="6"/>
        <v>0</v>
      </c>
      <c r="AG19" s="76">
        <f t="shared" si="7"/>
        <v>0</v>
      </c>
      <c r="AH19" s="76">
        <f t="shared" si="8"/>
        <v>0</v>
      </c>
      <c r="AI19" s="76">
        <f t="shared" si="9"/>
        <v>0</v>
      </c>
      <c r="AJ19" s="76">
        <f t="shared" si="10"/>
        <v>0</v>
      </c>
      <c r="AK19" s="76">
        <f t="shared" si="11"/>
        <v>0</v>
      </c>
      <c r="AL19" s="76">
        <f t="shared" si="12"/>
        <v>0</v>
      </c>
      <c r="AM19" s="76">
        <f t="shared" si="13"/>
        <v>0</v>
      </c>
    </row>
    <row r="20" spans="1:39" x14ac:dyDescent="0.25">
      <c r="A20" s="65" t="s">
        <v>247</v>
      </c>
      <c r="B20" s="64">
        <v>2573</v>
      </c>
      <c r="C20" s="64">
        <v>2324</v>
      </c>
      <c r="D20" s="64">
        <v>2573</v>
      </c>
      <c r="E20" s="64">
        <v>2490</v>
      </c>
      <c r="F20" s="64">
        <v>2573</v>
      </c>
      <c r="G20" s="64">
        <v>2490</v>
      </c>
      <c r="H20" s="64">
        <v>2573</v>
      </c>
      <c r="I20" s="64">
        <v>2573</v>
      </c>
      <c r="J20" s="64">
        <v>2490</v>
      </c>
      <c r="K20" s="64">
        <v>2573</v>
      </c>
      <c r="L20" s="64">
        <v>2490</v>
      </c>
      <c r="M20" s="64">
        <v>2573</v>
      </c>
      <c r="O20">
        <v>83</v>
      </c>
      <c r="P20">
        <v>83</v>
      </c>
      <c r="Q20">
        <v>83</v>
      </c>
      <c r="R20">
        <v>83</v>
      </c>
      <c r="S20">
        <v>83</v>
      </c>
      <c r="T20">
        <v>83</v>
      </c>
      <c r="U20">
        <v>83</v>
      </c>
      <c r="V20">
        <v>83</v>
      </c>
      <c r="W20">
        <v>83</v>
      </c>
      <c r="X20">
        <v>83</v>
      </c>
      <c r="Y20">
        <v>83</v>
      </c>
      <c r="Z20">
        <v>83</v>
      </c>
      <c r="AB20" s="76">
        <f t="shared" si="2"/>
        <v>0</v>
      </c>
      <c r="AC20" s="76">
        <f t="shared" si="3"/>
        <v>0</v>
      </c>
      <c r="AD20" s="76">
        <f t="shared" si="4"/>
        <v>0</v>
      </c>
      <c r="AE20" s="76">
        <f t="shared" si="5"/>
        <v>0</v>
      </c>
      <c r="AF20" s="76">
        <f t="shared" si="6"/>
        <v>0</v>
      </c>
      <c r="AG20" s="76">
        <f t="shared" si="7"/>
        <v>0</v>
      </c>
      <c r="AH20" s="76">
        <f t="shared" si="8"/>
        <v>0</v>
      </c>
      <c r="AI20" s="76">
        <f t="shared" si="9"/>
        <v>0</v>
      </c>
      <c r="AJ20" s="76">
        <f t="shared" si="10"/>
        <v>0</v>
      </c>
      <c r="AK20" s="76">
        <f t="shared" si="11"/>
        <v>0</v>
      </c>
      <c r="AL20" s="76">
        <f t="shared" si="12"/>
        <v>0</v>
      </c>
      <c r="AM20" s="76">
        <f t="shared" si="13"/>
        <v>0</v>
      </c>
    </row>
    <row r="21" spans="1:39" x14ac:dyDescent="0.25">
      <c r="A21" s="65" t="s">
        <v>248</v>
      </c>
      <c r="B21" s="64">
        <v>728.5</v>
      </c>
      <c r="C21" s="64">
        <v>658</v>
      </c>
      <c r="D21" s="64">
        <v>728.5</v>
      </c>
      <c r="E21" s="64">
        <v>705</v>
      </c>
      <c r="F21" s="64">
        <v>728.5</v>
      </c>
      <c r="G21" s="64">
        <v>705</v>
      </c>
      <c r="H21" s="64">
        <v>728.5</v>
      </c>
      <c r="I21" s="64">
        <v>728.5</v>
      </c>
      <c r="J21" s="64">
        <v>705</v>
      </c>
      <c r="K21" s="64">
        <v>728.5</v>
      </c>
      <c r="L21" s="64">
        <v>705</v>
      </c>
      <c r="M21" s="64">
        <v>728.5</v>
      </c>
      <c r="O21">
        <v>23.5</v>
      </c>
      <c r="P21">
        <v>23.5</v>
      </c>
      <c r="Q21">
        <v>23.5</v>
      </c>
      <c r="R21">
        <v>23.5</v>
      </c>
      <c r="S21">
        <v>23.5</v>
      </c>
      <c r="T21">
        <v>23.5</v>
      </c>
      <c r="U21">
        <v>23.5</v>
      </c>
      <c r="V21">
        <v>23.5</v>
      </c>
      <c r="W21">
        <v>23.5</v>
      </c>
      <c r="X21">
        <v>23.5</v>
      </c>
      <c r="Y21">
        <v>23.5</v>
      </c>
      <c r="Z21">
        <v>23.5</v>
      </c>
      <c r="AB21" s="76">
        <f t="shared" si="2"/>
        <v>0</v>
      </c>
      <c r="AC21" s="76">
        <f t="shared" si="3"/>
        <v>0</v>
      </c>
      <c r="AD21" s="76">
        <f t="shared" si="4"/>
        <v>0</v>
      </c>
      <c r="AE21" s="76">
        <f t="shared" si="5"/>
        <v>0</v>
      </c>
      <c r="AF21" s="76">
        <f t="shared" si="6"/>
        <v>0</v>
      </c>
      <c r="AG21" s="76">
        <f t="shared" si="7"/>
        <v>0</v>
      </c>
      <c r="AH21" s="76">
        <f t="shared" si="8"/>
        <v>0</v>
      </c>
      <c r="AI21" s="76">
        <f t="shared" si="9"/>
        <v>0</v>
      </c>
      <c r="AJ21" s="76">
        <f t="shared" si="10"/>
        <v>0</v>
      </c>
      <c r="AK21" s="76">
        <f t="shared" si="11"/>
        <v>0</v>
      </c>
      <c r="AL21" s="76">
        <f t="shared" si="12"/>
        <v>0</v>
      </c>
      <c r="AM21" s="76">
        <f t="shared" si="13"/>
        <v>0</v>
      </c>
    </row>
    <row r="22" spans="1:39" x14ac:dyDescent="0.25">
      <c r="A22" s="65" t="s">
        <v>208</v>
      </c>
      <c r="B22" s="64">
        <v>1162.5</v>
      </c>
      <c r="C22" s="64">
        <v>1050</v>
      </c>
      <c r="D22" s="64">
        <v>1162.5</v>
      </c>
      <c r="E22" s="64">
        <v>1125</v>
      </c>
      <c r="F22" s="64">
        <v>1162.5</v>
      </c>
      <c r="G22" s="64">
        <v>1125</v>
      </c>
      <c r="H22" s="64">
        <v>1162.5</v>
      </c>
      <c r="I22" s="64">
        <v>1162.5</v>
      </c>
      <c r="J22" s="64">
        <v>1125</v>
      </c>
      <c r="K22" s="64">
        <v>1162.5</v>
      </c>
      <c r="L22" s="64">
        <v>1125</v>
      </c>
      <c r="M22" s="64">
        <v>1162.5</v>
      </c>
      <c r="O22">
        <v>37.5</v>
      </c>
      <c r="P22">
        <v>37.5</v>
      </c>
      <c r="Q22">
        <v>37.5</v>
      </c>
      <c r="R22">
        <v>37.5</v>
      </c>
      <c r="S22">
        <v>37.5</v>
      </c>
      <c r="T22">
        <v>37.5</v>
      </c>
      <c r="U22">
        <v>37.5</v>
      </c>
      <c r="V22">
        <v>37.5</v>
      </c>
      <c r="W22">
        <v>37.5</v>
      </c>
      <c r="X22">
        <v>37.5</v>
      </c>
      <c r="Y22">
        <v>37.5</v>
      </c>
      <c r="Z22">
        <v>37.5</v>
      </c>
      <c r="AB22" s="76">
        <f t="shared" si="2"/>
        <v>0</v>
      </c>
      <c r="AC22" s="76">
        <f t="shared" si="3"/>
        <v>0</v>
      </c>
      <c r="AD22" s="76">
        <f t="shared" si="4"/>
        <v>0</v>
      </c>
      <c r="AE22" s="76">
        <f t="shared" si="5"/>
        <v>0</v>
      </c>
      <c r="AF22" s="76">
        <f t="shared" si="6"/>
        <v>0</v>
      </c>
      <c r="AG22" s="76">
        <f t="shared" si="7"/>
        <v>0</v>
      </c>
      <c r="AH22" s="76">
        <f t="shared" si="8"/>
        <v>0</v>
      </c>
      <c r="AI22" s="76">
        <f t="shared" si="9"/>
        <v>0</v>
      </c>
      <c r="AJ22" s="76">
        <f t="shared" si="10"/>
        <v>0</v>
      </c>
      <c r="AK22" s="76">
        <f t="shared" si="11"/>
        <v>0</v>
      </c>
      <c r="AL22" s="76">
        <f t="shared" si="12"/>
        <v>0</v>
      </c>
      <c r="AM22" s="76">
        <f t="shared" si="13"/>
        <v>0</v>
      </c>
    </row>
    <row r="23" spans="1:39" x14ac:dyDescent="0.25">
      <c r="A23" s="66" t="s">
        <v>220</v>
      </c>
      <c r="B23" s="64">
        <v>10819</v>
      </c>
      <c r="C23" s="64">
        <v>9772</v>
      </c>
      <c r="D23" s="64">
        <v>10819</v>
      </c>
      <c r="E23" s="64">
        <v>10470</v>
      </c>
      <c r="F23" s="64">
        <v>10819</v>
      </c>
      <c r="G23" s="64">
        <v>10470</v>
      </c>
      <c r="H23" s="64">
        <v>10819</v>
      </c>
      <c r="I23" s="64">
        <v>10819</v>
      </c>
      <c r="J23" s="64">
        <v>10470</v>
      </c>
      <c r="K23" s="64">
        <v>10819</v>
      </c>
      <c r="L23" s="64">
        <v>10470</v>
      </c>
      <c r="M23" s="64">
        <v>10819</v>
      </c>
      <c r="O23">
        <v>349</v>
      </c>
      <c r="P23">
        <v>349</v>
      </c>
      <c r="Q23">
        <v>349</v>
      </c>
      <c r="R23">
        <v>349</v>
      </c>
      <c r="S23">
        <v>349</v>
      </c>
      <c r="T23">
        <v>349</v>
      </c>
      <c r="U23">
        <v>349</v>
      </c>
      <c r="V23">
        <v>349</v>
      </c>
      <c r="W23">
        <v>349</v>
      </c>
      <c r="X23">
        <v>349</v>
      </c>
      <c r="Y23">
        <v>349</v>
      </c>
      <c r="Z23">
        <v>349</v>
      </c>
      <c r="AB23" s="76">
        <f t="shared" si="2"/>
        <v>0</v>
      </c>
      <c r="AC23" s="76">
        <f t="shared" si="3"/>
        <v>0</v>
      </c>
      <c r="AD23" s="76">
        <f t="shared" si="4"/>
        <v>0</v>
      </c>
      <c r="AE23" s="76">
        <f t="shared" si="5"/>
        <v>0</v>
      </c>
      <c r="AF23" s="76">
        <f t="shared" si="6"/>
        <v>0</v>
      </c>
      <c r="AG23" s="76">
        <f t="shared" si="7"/>
        <v>0</v>
      </c>
      <c r="AH23" s="76">
        <f t="shared" si="8"/>
        <v>0</v>
      </c>
      <c r="AI23" s="76">
        <f t="shared" si="9"/>
        <v>0</v>
      </c>
      <c r="AJ23" s="76">
        <f t="shared" si="10"/>
        <v>0</v>
      </c>
      <c r="AK23" s="76">
        <f t="shared" si="11"/>
        <v>0</v>
      </c>
      <c r="AL23" s="76">
        <f t="shared" si="12"/>
        <v>0</v>
      </c>
      <c r="AM23" s="76">
        <f t="shared" si="13"/>
        <v>0</v>
      </c>
    </row>
    <row r="24" spans="1:39" x14ac:dyDescent="0.25">
      <c r="A24" s="65" t="s">
        <v>242</v>
      </c>
      <c r="B24" s="64">
        <v>1085</v>
      </c>
      <c r="C24" s="64">
        <v>980</v>
      </c>
      <c r="D24" s="64">
        <v>1085</v>
      </c>
      <c r="E24" s="64">
        <v>1050</v>
      </c>
      <c r="F24" s="64">
        <v>1085</v>
      </c>
      <c r="G24" s="64">
        <v>1050</v>
      </c>
      <c r="H24" s="64">
        <v>1085</v>
      </c>
      <c r="I24" s="64">
        <v>1085</v>
      </c>
      <c r="J24" s="64">
        <v>1050</v>
      </c>
      <c r="K24" s="64">
        <v>1085</v>
      </c>
      <c r="L24" s="64">
        <v>1050</v>
      </c>
      <c r="M24" s="64">
        <v>1085</v>
      </c>
      <c r="O24">
        <v>35</v>
      </c>
      <c r="P24">
        <v>35</v>
      </c>
      <c r="Q24">
        <v>35</v>
      </c>
      <c r="R24">
        <v>35</v>
      </c>
      <c r="S24">
        <v>35</v>
      </c>
      <c r="T24">
        <v>35</v>
      </c>
      <c r="U24">
        <v>35</v>
      </c>
      <c r="V24">
        <v>35</v>
      </c>
      <c r="W24">
        <v>35</v>
      </c>
      <c r="X24">
        <v>35</v>
      </c>
      <c r="Y24">
        <v>35</v>
      </c>
      <c r="Z24">
        <v>35</v>
      </c>
      <c r="AB24" s="76">
        <f t="shared" si="2"/>
        <v>0</v>
      </c>
      <c r="AC24" s="76">
        <f t="shared" si="3"/>
        <v>0</v>
      </c>
      <c r="AD24" s="76">
        <f t="shared" si="4"/>
        <v>0</v>
      </c>
      <c r="AE24" s="76">
        <f t="shared" si="5"/>
        <v>0</v>
      </c>
      <c r="AF24" s="76">
        <f t="shared" si="6"/>
        <v>0</v>
      </c>
      <c r="AG24" s="76">
        <f t="shared" si="7"/>
        <v>0</v>
      </c>
      <c r="AH24" s="76">
        <f t="shared" si="8"/>
        <v>0</v>
      </c>
      <c r="AI24" s="76">
        <f t="shared" si="9"/>
        <v>0</v>
      </c>
      <c r="AJ24" s="76">
        <f t="shared" si="10"/>
        <v>0</v>
      </c>
      <c r="AK24" s="76">
        <f t="shared" si="11"/>
        <v>0</v>
      </c>
      <c r="AL24" s="76">
        <f t="shared" si="12"/>
        <v>0</v>
      </c>
      <c r="AM24" s="76">
        <f t="shared" si="13"/>
        <v>0</v>
      </c>
    </row>
    <row r="25" spans="1:39" x14ac:dyDescent="0.25">
      <c r="A25" s="65" t="s">
        <v>243</v>
      </c>
      <c r="B25" s="64">
        <v>3503</v>
      </c>
      <c r="C25" s="64">
        <v>3164</v>
      </c>
      <c r="D25" s="64">
        <v>3503</v>
      </c>
      <c r="E25" s="64">
        <v>3390</v>
      </c>
      <c r="F25" s="64">
        <v>3503</v>
      </c>
      <c r="G25" s="64">
        <v>3390</v>
      </c>
      <c r="H25" s="64">
        <v>3503</v>
      </c>
      <c r="I25" s="64">
        <v>3503</v>
      </c>
      <c r="J25" s="64">
        <v>3390</v>
      </c>
      <c r="K25" s="64">
        <v>3503</v>
      </c>
      <c r="L25" s="64">
        <v>3390</v>
      </c>
      <c r="M25" s="64">
        <v>3503</v>
      </c>
      <c r="O25">
        <v>113</v>
      </c>
      <c r="P25">
        <v>113</v>
      </c>
      <c r="Q25">
        <v>113</v>
      </c>
      <c r="R25">
        <v>113</v>
      </c>
      <c r="S25">
        <v>113</v>
      </c>
      <c r="T25">
        <v>113</v>
      </c>
      <c r="U25">
        <v>113</v>
      </c>
      <c r="V25">
        <v>113</v>
      </c>
      <c r="W25">
        <v>113</v>
      </c>
      <c r="X25">
        <v>113</v>
      </c>
      <c r="Y25">
        <v>113</v>
      </c>
      <c r="Z25">
        <v>113</v>
      </c>
      <c r="AB25" s="76">
        <f t="shared" si="2"/>
        <v>0</v>
      </c>
      <c r="AC25" s="76">
        <f t="shared" si="3"/>
        <v>0</v>
      </c>
      <c r="AD25" s="76">
        <f t="shared" si="4"/>
        <v>0</v>
      </c>
      <c r="AE25" s="76">
        <f t="shared" si="5"/>
        <v>0</v>
      </c>
      <c r="AF25" s="76">
        <f t="shared" si="6"/>
        <v>0</v>
      </c>
      <c r="AG25" s="76">
        <f t="shared" si="7"/>
        <v>0</v>
      </c>
      <c r="AH25" s="76">
        <f t="shared" si="8"/>
        <v>0</v>
      </c>
      <c r="AI25" s="76">
        <f t="shared" si="9"/>
        <v>0</v>
      </c>
      <c r="AJ25" s="76">
        <f t="shared" si="10"/>
        <v>0</v>
      </c>
      <c r="AK25" s="76">
        <f t="shared" si="11"/>
        <v>0</v>
      </c>
      <c r="AL25" s="76">
        <f t="shared" si="12"/>
        <v>0</v>
      </c>
      <c r="AM25" s="76">
        <f t="shared" si="13"/>
        <v>0</v>
      </c>
    </row>
    <row r="26" spans="1:39" x14ac:dyDescent="0.25">
      <c r="A26" s="65" t="s">
        <v>244</v>
      </c>
      <c r="B26" s="64">
        <v>1023</v>
      </c>
      <c r="C26" s="64">
        <v>924</v>
      </c>
      <c r="D26" s="64">
        <v>1023</v>
      </c>
      <c r="E26" s="64">
        <v>990</v>
      </c>
      <c r="F26" s="64">
        <v>1023</v>
      </c>
      <c r="G26" s="64">
        <v>990</v>
      </c>
      <c r="H26" s="64">
        <v>1023</v>
      </c>
      <c r="I26" s="64">
        <v>1023</v>
      </c>
      <c r="J26" s="64">
        <v>990</v>
      </c>
      <c r="K26" s="64">
        <v>1023</v>
      </c>
      <c r="L26" s="64">
        <v>990</v>
      </c>
      <c r="M26" s="64">
        <v>1023</v>
      </c>
      <c r="O26">
        <v>33</v>
      </c>
      <c r="P26">
        <v>33</v>
      </c>
      <c r="Q26">
        <v>33</v>
      </c>
      <c r="R26">
        <v>33</v>
      </c>
      <c r="S26">
        <v>33</v>
      </c>
      <c r="T26">
        <v>33</v>
      </c>
      <c r="U26">
        <v>33</v>
      </c>
      <c r="V26">
        <v>33</v>
      </c>
      <c r="W26">
        <v>33</v>
      </c>
      <c r="X26">
        <v>33</v>
      </c>
      <c r="Y26">
        <v>33</v>
      </c>
      <c r="Z26">
        <v>33</v>
      </c>
      <c r="AB26" s="76">
        <f t="shared" si="2"/>
        <v>0</v>
      </c>
      <c r="AC26" s="76">
        <f t="shared" si="3"/>
        <v>0</v>
      </c>
      <c r="AD26" s="76">
        <f t="shared" si="4"/>
        <v>0</v>
      </c>
      <c r="AE26" s="76">
        <f t="shared" si="5"/>
        <v>0</v>
      </c>
      <c r="AF26" s="76">
        <f t="shared" si="6"/>
        <v>0</v>
      </c>
      <c r="AG26" s="76">
        <f t="shared" si="7"/>
        <v>0</v>
      </c>
      <c r="AH26" s="76">
        <f t="shared" si="8"/>
        <v>0</v>
      </c>
      <c r="AI26" s="76">
        <f t="shared" si="9"/>
        <v>0</v>
      </c>
      <c r="AJ26" s="76">
        <f t="shared" si="10"/>
        <v>0</v>
      </c>
      <c r="AK26" s="76">
        <f t="shared" si="11"/>
        <v>0</v>
      </c>
      <c r="AL26" s="76">
        <f t="shared" si="12"/>
        <v>0</v>
      </c>
      <c r="AM26" s="76">
        <f t="shared" si="13"/>
        <v>0</v>
      </c>
    </row>
    <row r="27" spans="1:39" x14ac:dyDescent="0.25">
      <c r="A27" s="65" t="s">
        <v>209</v>
      </c>
      <c r="B27" s="64">
        <v>2263</v>
      </c>
      <c r="C27" s="64">
        <v>2044</v>
      </c>
      <c r="D27" s="64">
        <v>2263</v>
      </c>
      <c r="E27" s="64">
        <v>2190</v>
      </c>
      <c r="F27" s="64">
        <v>2263</v>
      </c>
      <c r="G27" s="64">
        <v>2190</v>
      </c>
      <c r="H27" s="64">
        <v>2263</v>
      </c>
      <c r="I27" s="64">
        <v>2263</v>
      </c>
      <c r="J27" s="64">
        <v>2190</v>
      </c>
      <c r="K27" s="64">
        <v>2263</v>
      </c>
      <c r="L27" s="64">
        <v>2190</v>
      </c>
      <c r="M27" s="64">
        <v>2263</v>
      </c>
      <c r="O27">
        <v>73</v>
      </c>
      <c r="P27">
        <v>73</v>
      </c>
      <c r="Q27">
        <v>73</v>
      </c>
      <c r="R27">
        <v>73</v>
      </c>
      <c r="S27">
        <v>73</v>
      </c>
      <c r="T27">
        <v>73</v>
      </c>
      <c r="U27">
        <v>73</v>
      </c>
      <c r="V27">
        <v>73</v>
      </c>
      <c r="W27">
        <v>73</v>
      </c>
      <c r="X27">
        <v>73</v>
      </c>
      <c r="Y27">
        <v>73</v>
      </c>
      <c r="Z27">
        <v>73</v>
      </c>
      <c r="AB27" s="76">
        <f t="shared" si="2"/>
        <v>0</v>
      </c>
      <c r="AC27" s="76">
        <f t="shared" si="3"/>
        <v>0</v>
      </c>
      <c r="AD27" s="76">
        <f t="shared" si="4"/>
        <v>0</v>
      </c>
      <c r="AE27" s="76">
        <f t="shared" si="5"/>
        <v>0</v>
      </c>
      <c r="AF27" s="76">
        <f t="shared" si="6"/>
        <v>0</v>
      </c>
      <c r="AG27" s="76">
        <f t="shared" si="7"/>
        <v>0</v>
      </c>
      <c r="AH27" s="76">
        <f t="shared" si="8"/>
        <v>0</v>
      </c>
      <c r="AI27" s="76">
        <f t="shared" si="9"/>
        <v>0</v>
      </c>
      <c r="AJ27" s="76">
        <f t="shared" si="10"/>
        <v>0</v>
      </c>
      <c r="AK27" s="76">
        <f t="shared" si="11"/>
        <v>0</v>
      </c>
      <c r="AL27" s="76">
        <f t="shared" si="12"/>
        <v>0</v>
      </c>
      <c r="AM27" s="76">
        <f t="shared" si="13"/>
        <v>0</v>
      </c>
    </row>
    <row r="28" spans="1:39" x14ac:dyDescent="0.25">
      <c r="A28" s="66" t="s">
        <v>221</v>
      </c>
      <c r="B28" s="64">
        <v>7874</v>
      </c>
      <c r="C28" s="64">
        <v>7112</v>
      </c>
      <c r="D28" s="64">
        <v>7874</v>
      </c>
      <c r="E28" s="64">
        <v>7620</v>
      </c>
      <c r="F28" s="64">
        <v>7874</v>
      </c>
      <c r="G28" s="64">
        <v>7620</v>
      </c>
      <c r="H28" s="64">
        <v>7874</v>
      </c>
      <c r="I28" s="64">
        <v>7874</v>
      </c>
      <c r="J28" s="64">
        <v>7620</v>
      </c>
      <c r="K28" s="64">
        <v>7874</v>
      </c>
      <c r="L28" s="64">
        <v>7620</v>
      </c>
      <c r="M28" s="64">
        <v>7874</v>
      </c>
      <c r="O28">
        <v>254</v>
      </c>
      <c r="P28">
        <v>254</v>
      </c>
      <c r="Q28">
        <v>254</v>
      </c>
      <c r="R28">
        <v>254</v>
      </c>
      <c r="S28">
        <v>254</v>
      </c>
      <c r="T28">
        <v>254</v>
      </c>
      <c r="U28">
        <v>254</v>
      </c>
      <c r="V28">
        <v>254</v>
      </c>
      <c r="W28">
        <v>254</v>
      </c>
      <c r="X28">
        <v>254</v>
      </c>
      <c r="Y28">
        <v>254</v>
      </c>
      <c r="Z28">
        <v>254</v>
      </c>
      <c r="AB28" s="76">
        <f t="shared" si="2"/>
        <v>0</v>
      </c>
      <c r="AC28" s="76">
        <f t="shared" si="3"/>
        <v>0</v>
      </c>
      <c r="AD28" s="76">
        <f t="shared" si="4"/>
        <v>0</v>
      </c>
      <c r="AE28" s="76">
        <f t="shared" si="5"/>
        <v>0</v>
      </c>
      <c r="AF28" s="76">
        <f t="shared" si="6"/>
        <v>0</v>
      </c>
      <c r="AG28" s="76">
        <f t="shared" si="7"/>
        <v>0</v>
      </c>
      <c r="AH28" s="76">
        <f t="shared" si="8"/>
        <v>0</v>
      </c>
      <c r="AI28" s="76">
        <f t="shared" si="9"/>
        <v>0</v>
      </c>
      <c r="AJ28" s="76">
        <f t="shared" si="10"/>
        <v>0</v>
      </c>
      <c r="AK28" s="76">
        <f t="shared" si="11"/>
        <v>0</v>
      </c>
      <c r="AL28" s="76">
        <f t="shared" si="12"/>
        <v>0</v>
      </c>
      <c r="AM28" s="76">
        <f t="shared" si="13"/>
        <v>0</v>
      </c>
    </row>
    <row r="29" spans="1:39" x14ac:dyDescent="0.25">
      <c r="A29" s="65" t="s">
        <v>239</v>
      </c>
      <c r="B29" s="64">
        <v>372</v>
      </c>
      <c r="C29" s="64">
        <v>336</v>
      </c>
      <c r="D29" s="64">
        <v>372</v>
      </c>
      <c r="E29" s="64">
        <v>360</v>
      </c>
      <c r="F29" s="64">
        <v>372</v>
      </c>
      <c r="G29" s="64">
        <v>360</v>
      </c>
      <c r="H29" s="64">
        <v>372</v>
      </c>
      <c r="I29" s="64">
        <v>372</v>
      </c>
      <c r="J29" s="64">
        <v>360</v>
      </c>
      <c r="K29" s="64">
        <v>372</v>
      </c>
      <c r="L29" s="64">
        <v>360</v>
      </c>
      <c r="M29" s="64">
        <v>372</v>
      </c>
      <c r="O29">
        <v>12</v>
      </c>
      <c r="P29">
        <v>12</v>
      </c>
      <c r="Q29">
        <v>12</v>
      </c>
      <c r="R29">
        <v>12</v>
      </c>
      <c r="S29">
        <v>12</v>
      </c>
      <c r="T29">
        <v>12</v>
      </c>
      <c r="U29">
        <v>12</v>
      </c>
      <c r="V29">
        <v>12</v>
      </c>
      <c r="W29">
        <v>12</v>
      </c>
      <c r="X29">
        <v>12</v>
      </c>
      <c r="Y29">
        <v>12</v>
      </c>
      <c r="Z29">
        <v>12</v>
      </c>
      <c r="AB29" s="76">
        <f t="shared" si="2"/>
        <v>0</v>
      </c>
      <c r="AC29" s="76">
        <f t="shared" si="3"/>
        <v>0</v>
      </c>
      <c r="AD29" s="76">
        <f t="shared" si="4"/>
        <v>0</v>
      </c>
      <c r="AE29" s="76">
        <f t="shared" si="5"/>
        <v>0</v>
      </c>
      <c r="AF29" s="76">
        <f t="shared" si="6"/>
        <v>0</v>
      </c>
      <c r="AG29" s="76">
        <f t="shared" si="7"/>
        <v>0</v>
      </c>
      <c r="AH29" s="76">
        <f t="shared" si="8"/>
        <v>0</v>
      </c>
      <c r="AI29" s="76">
        <f t="shared" si="9"/>
        <v>0</v>
      </c>
      <c r="AJ29" s="76">
        <f t="shared" si="10"/>
        <v>0</v>
      </c>
      <c r="AK29" s="76">
        <f t="shared" si="11"/>
        <v>0</v>
      </c>
      <c r="AL29" s="76">
        <f t="shared" si="12"/>
        <v>0</v>
      </c>
      <c r="AM29" s="76">
        <f t="shared" si="13"/>
        <v>0</v>
      </c>
    </row>
    <row r="30" spans="1:39" x14ac:dyDescent="0.25">
      <c r="A30" s="65" t="s">
        <v>240</v>
      </c>
      <c r="B30" s="64">
        <v>2046</v>
      </c>
      <c r="C30" s="64">
        <v>1848</v>
      </c>
      <c r="D30" s="64">
        <v>2046</v>
      </c>
      <c r="E30" s="64">
        <v>1980</v>
      </c>
      <c r="F30" s="64">
        <v>2046</v>
      </c>
      <c r="G30" s="64">
        <v>1980</v>
      </c>
      <c r="H30" s="64">
        <v>2046</v>
      </c>
      <c r="I30" s="64">
        <v>2046</v>
      </c>
      <c r="J30" s="64">
        <v>1980</v>
      </c>
      <c r="K30" s="64">
        <v>2046</v>
      </c>
      <c r="L30" s="64">
        <v>1980</v>
      </c>
      <c r="M30" s="64">
        <v>2046</v>
      </c>
      <c r="O30">
        <v>66</v>
      </c>
      <c r="P30">
        <v>66</v>
      </c>
      <c r="Q30">
        <v>66</v>
      </c>
      <c r="R30">
        <v>66</v>
      </c>
      <c r="S30">
        <v>66</v>
      </c>
      <c r="T30">
        <v>66</v>
      </c>
      <c r="U30">
        <v>66</v>
      </c>
      <c r="V30">
        <v>66</v>
      </c>
      <c r="W30">
        <v>66</v>
      </c>
      <c r="X30">
        <v>66</v>
      </c>
      <c r="Y30">
        <v>66</v>
      </c>
      <c r="Z30">
        <v>66</v>
      </c>
      <c r="AB30" s="76">
        <f t="shared" si="2"/>
        <v>0</v>
      </c>
      <c r="AC30" s="76">
        <f t="shared" si="3"/>
        <v>0</v>
      </c>
      <c r="AD30" s="76">
        <f t="shared" si="4"/>
        <v>0</v>
      </c>
      <c r="AE30" s="76">
        <f t="shared" si="5"/>
        <v>0</v>
      </c>
      <c r="AF30" s="76">
        <f t="shared" si="6"/>
        <v>0</v>
      </c>
      <c r="AG30" s="76">
        <f t="shared" si="7"/>
        <v>0</v>
      </c>
      <c r="AH30" s="76">
        <f t="shared" si="8"/>
        <v>0</v>
      </c>
      <c r="AI30" s="76">
        <f t="shared" si="9"/>
        <v>0</v>
      </c>
      <c r="AJ30" s="76">
        <f t="shared" si="10"/>
        <v>0</v>
      </c>
      <c r="AK30" s="76">
        <f t="shared" si="11"/>
        <v>0</v>
      </c>
      <c r="AL30" s="76">
        <f t="shared" si="12"/>
        <v>0</v>
      </c>
      <c r="AM30" s="76">
        <f t="shared" si="13"/>
        <v>0</v>
      </c>
    </row>
    <row r="31" spans="1:39" x14ac:dyDescent="0.25">
      <c r="A31" s="65" t="s">
        <v>241</v>
      </c>
      <c r="B31" s="64">
        <v>341</v>
      </c>
      <c r="C31" s="64">
        <v>308</v>
      </c>
      <c r="D31" s="64">
        <v>341</v>
      </c>
      <c r="E31" s="64">
        <v>330</v>
      </c>
      <c r="F31" s="64">
        <v>341</v>
      </c>
      <c r="G31" s="64">
        <v>330</v>
      </c>
      <c r="H31" s="64">
        <v>341</v>
      </c>
      <c r="I31" s="64">
        <v>341</v>
      </c>
      <c r="J31" s="64">
        <v>330</v>
      </c>
      <c r="K31" s="64">
        <v>341</v>
      </c>
      <c r="L31" s="64">
        <v>330</v>
      </c>
      <c r="M31" s="64">
        <v>341</v>
      </c>
      <c r="O31">
        <v>11</v>
      </c>
      <c r="P31">
        <v>11</v>
      </c>
      <c r="Q31">
        <v>11</v>
      </c>
      <c r="R31">
        <v>11</v>
      </c>
      <c r="S31">
        <v>11</v>
      </c>
      <c r="T31">
        <v>11</v>
      </c>
      <c r="U31">
        <v>11</v>
      </c>
      <c r="V31">
        <v>11</v>
      </c>
      <c r="W31">
        <v>11</v>
      </c>
      <c r="X31">
        <v>11</v>
      </c>
      <c r="Y31">
        <v>11</v>
      </c>
      <c r="Z31">
        <v>11</v>
      </c>
      <c r="AB31" s="76">
        <f t="shared" si="2"/>
        <v>0</v>
      </c>
      <c r="AC31" s="76">
        <f t="shared" si="3"/>
        <v>0</v>
      </c>
      <c r="AD31" s="76">
        <f t="shared" si="4"/>
        <v>0</v>
      </c>
      <c r="AE31" s="76">
        <f t="shared" si="5"/>
        <v>0</v>
      </c>
      <c r="AF31" s="76">
        <f t="shared" si="6"/>
        <v>0</v>
      </c>
      <c r="AG31" s="76">
        <f t="shared" si="7"/>
        <v>0</v>
      </c>
      <c r="AH31" s="76">
        <f t="shared" si="8"/>
        <v>0</v>
      </c>
      <c r="AI31" s="76">
        <f t="shared" si="9"/>
        <v>0</v>
      </c>
      <c r="AJ31" s="76">
        <f t="shared" si="10"/>
        <v>0</v>
      </c>
      <c r="AK31" s="76">
        <f t="shared" si="11"/>
        <v>0</v>
      </c>
      <c r="AL31" s="76">
        <f t="shared" si="12"/>
        <v>0</v>
      </c>
      <c r="AM31" s="76">
        <f t="shared" si="13"/>
        <v>0</v>
      </c>
    </row>
    <row r="32" spans="1:39" x14ac:dyDescent="0.25">
      <c r="A32" s="66" t="s">
        <v>222</v>
      </c>
      <c r="B32" s="64">
        <v>2759</v>
      </c>
      <c r="C32" s="64">
        <v>2492</v>
      </c>
      <c r="D32" s="64">
        <v>2759</v>
      </c>
      <c r="E32" s="64">
        <v>2670</v>
      </c>
      <c r="F32" s="64">
        <v>2759</v>
      </c>
      <c r="G32" s="64">
        <v>2670</v>
      </c>
      <c r="H32" s="64">
        <v>2759</v>
      </c>
      <c r="I32" s="64">
        <v>2759</v>
      </c>
      <c r="J32" s="64">
        <v>2670</v>
      </c>
      <c r="K32" s="64">
        <v>2759</v>
      </c>
      <c r="L32" s="64">
        <v>2670</v>
      </c>
      <c r="M32" s="64">
        <v>2759</v>
      </c>
      <c r="O32">
        <v>89</v>
      </c>
      <c r="P32">
        <v>89</v>
      </c>
      <c r="Q32">
        <v>89</v>
      </c>
      <c r="R32">
        <v>89</v>
      </c>
      <c r="S32">
        <v>89</v>
      </c>
      <c r="T32">
        <v>89</v>
      </c>
      <c r="U32">
        <v>89</v>
      </c>
      <c r="V32">
        <v>89</v>
      </c>
      <c r="W32">
        <v>89</v>
      </c>
      <c r="X32">
        <v>89</v>
      </c>
      <c r="Y32">
        <v>89</v>
      </c>
      <c r="Z32">
        <v>89</v>
      </c>
      <c r="AB32" s="76">
        <f t="shared" si="2"/>
        <v>0</v>
      </c>
      <c r="AC32" s="76">
        <f t="shared" si="3"/>
        <v>0</v>
      </c>
      <c r="AD32" s="76">
        <f t="shared" si="4"/>
        <v>0</v>
      </c>
      <c r="AE32" s="76">
        <f t="shared" si="5"/>
        <v>0</v>
      </c>
      <c r="AF32" s="76">
        <f t="shared" si="6"/>
        <v>0</v>
      </c>
      <c r="AG32" s="76">
        <f t="shared" si="7"/>
        <v>0</v>
      </c>
      <c r="AH32" s="76">
        <f t="shared" si="8"/>
        <v>0</v>
      </c>
      <c r="AI32" s="76">
        <f t="shared" si="9"/>
        <v>0</v>
      </c>
      <c r="AJ32" s="76">
        <f t="shared" si="10"/>
        <v>0</v>
      </c>
      <c r="AK32" s="76">
        <f t="shared" si="11"/>
        <v>0</v>
      </c>
      <c r="AL32" s="76">
        <f t="shared" si="12"/>
        <v>0</v>
      </c>
      <c r="AM32" s="76">
        <f t="shared" si="13"/>
        <v>0</v>
      </c>
    </row>
    <row r="33" spans="1:39" x14ac:dyDescent="0.25">
      <c r="A33" s="65" t="s">
        <v>237</v>
      </c>
      <c r="B33" s="64">
        <v>1054</v>
      </c>
      <c r="C33" s="64">
        <v>980</v>
      </c>
      <c r="D33" s="64">
        <v>1116</v>
      </c>
      <c r="E33" s="64">
        <v>1110</v>
      </c>
      <c r="F33" s="64">
        <v>1147</v>
      </c>
      <c r="G33" s="64">
        <v>1110</v>
      </c>
      <c r="H33" s="64">
        <v>1147</v>
      </c>
      <c r="I33" s="64">
        <v>1147</v>
      </c>
      <c r="J33" s="64">
        <v>1110</v>
      </c>
      <c r="K33" s="64">
        <v>1147</v>
      </c>
      <c r="L33" s="64">
        <v>1110</v>
      </c>
      <c r="M33" s="64">
        <v>1147</v>
      </c>
      <c r="O33">
        <v>34</v>
      </c>
      <c r="P33">
        <v>35</v>
      </c>
      <c r="Q33">
        <v>36</v>
      </c>
      <c r="R33">
        <v>37</v>
      </c>
      <c r="S33">
        <v>37</v>
      </c>
      <c r="T33">
        <v>37</v>
      </c>
      <c r="U33">
        <v>37</v>
      </c>
      <c r="V33">
        <v>37</v>
      </c>
      <c r="W33">
        <v>37</v>
      </c>
      <c r="X33">
        <v>37</v>
      </c>
      <c r="Y33">
        <v>37</v>
      </c>
      <c r="Z33">
        <v>37</v>
      </c>
      <c r="AB33" s="76">
        <f t="shared" si="2"/>
        <v>0</v>
      </c>
      <c r="AC33" s="76">
        <f t="shared" si="3"/>
        <v>0</v>
      </c>
      <c r="AD33" s="76">
        <f t="shared" si="4"/>
        <v>0</v>
      </c>
      <c r="AE33" s="76">
        <f t="shared" si="5"/>
        <v>0</v>
      </c>
      <c r="AF33" s="76">
        <f t="shared" si="6"/>
        <v>0</v>
      </c>
      <c r="AG33" s="76">
        <f t="shared" si="7"/>
        <v>0</v>
      </c>
      <c r="AH33" s="76">
        <f t="shared" si="8"/>
        <v>0</v>
      </c>
      <c r="AI33" s="76">
        <f t="shared" si="9"/>
        <v>0</v>
      </c>
      <c r="AJ33" s="76">
        <f t="shared" si="10"/>
        <v>0</v>
      </c>
      <c r="AK33" s="76">
        <f t="shared" si="11"/>
        <v>0</v>
      </c>
      <c r="AL33" s="76">
        <f t="shared" si="12"/>
        <v>0</v>
      </c>
      <c r="AM33" s="76">
        <f t="shared" si="13"/>
        <v>0</v>
      </c>
    </row>
    <row r="34" spans="1:39" x14ac:dyDescent="0.25">
      <c r="A34" s="65" t="s">
        <v>238</v>
      </c>
      <c r="B34" s="64">
        <v>248</v>
      </c>
      <c r="C34" s="64">
        <v>224</v>
      </c>
      <c r="D34" s="64">
        <v>248</v>
      </c>
      <c r="E34" s="64">
        <v>240</v>
      </c>
      <c r="F34" s="64">
        <v>248</v>
      </c>
      <c r="G34" s="64">
        <v>240</v>
      </c>
      <c r="H34" s="64">
        <v>248</v>
      </c>
      <c r="I34" s="64">
        <v>248</v>
      </c>
      <c r="J34" s="64">
        <v>240</v>
      </c>
      <c r="K34" s="64">
        <v>248</v>
      </c>
      <c r="L34" s="64">
        <v>240</v>
      </c>
      <c r="M34" s="64">
        <v>248</v>
      </c>
      <c r="O34">
        <v>8</v>
      </c>
      <c r="P34">
        <v>8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8</v>
      </c>
      <c r="Y34">
        <v>8</v>
      </c>
      <c r="Z34">
        <v>8</v>
      </c>
      <c r="AB34" s="76">
        <f t="shared" si="2"/>
        <v>0</v>
      </c>
      <c r="AC34" s="76">
        <f t="shared" si="3"/>
        <v>0</v>
      </c>
      <c r="AD34" s="76">
        <f t="shared" si="4"/>
        <v>0</v>
      </c>
      <c r="AE34" s="76">
        <f t="shared" si="5"/>
        <v>0</v>
      </c>
      <c r="AF34" s="76">
        <f t="shared" si="6"/>
        <v>0</v>
      </c>
      <c r="AG34" s="76">
        <f t="shared" si="7"/>
        <v>0</v>
      </c>
      <c r="AH34" s="76">
        <f t="shared" si="8"/>
        <v>0</v>
      </c>
      <c r="AI34" s="76">
        <f t="shared" si="9"/>
        <v>0</v>
      </c>
      <c r="AJ34" s="76">
        <f t="shared" si="10"/>
        <v>0</v>
      </c>
      <c r="AK34" s="76">
        <f t="shared" si="11"/>
        <v>0</v>
      </c>
      <c r="AL34" s="76">
        <f t="shared" si="12"/>
        <v>0</v>
      </c>
      <c r="AM34" s="76">
        <f t="shared" si="13"/>
        <v>0</v>
      </c>
    </row>
    <row r="35" spans="1:39" x14ac:dyDescent="0.25">
      <c r="A35" s="66" t="s">
        <v>223</v>
      </c>
      <c r="B35" s="64">
        <v>1302</v>
      </c>
      <c r="C35" s="64">
        <v>1204</v>
      </c>
      <c r="D35" s="64">
        <v>1364</v>
      </c>
      <c r="E35" s="64">
        <v>1350</v>
      </c>
      <c r="F35" s="64">
        <v>1395</v>
      </c>
      <c r="G35" s="64">
        <v>1350</v>
      </c>
      <c r="H35" s="64">
        <v>1395</v>
      </c>
      <c r="I35" s="64">
        <v>1395</v>
      </c>
      <c r="J35" s="64">
        <v>1350</v>
      </c>
      <c r="K35" s="64">
        <v>1395</v>
      </c>
      <c r="L35" s="64">
        <v>1350</v>
      </c>
      <c r="M35" s="64">
        <v>1395</v>
      </c>
      <c r="O35">
        <v>42</v>
      </c>
      <c r="P35">
        <v>43</v>
      </c>
      <c r="Q35">
        <v>44</v>
      </c>
      <c r="R35">
        <v>45</v>
      </c>
      <c r="S35">
        <v>45</v>
      </c>
      <c r="T35">
        <v>45</v>
      </c>
      <c r="U35">
        <v>45</v>
      </c>
      <c r="V35">
        <v>45</v>
      </c>
      <c r="W35">
        <v>45</v>
      </c>
      <c r="X35">
        <v>45</v>
      </c>
      <c r="Y35">
        <v>45</v>
      </c>
      <c r="Z35">
        <v>45</v>
      </c>
      <c r="AB35" s="76">
        <f t="shared" si="2"/>
        <v>0</v>
      </c>
      <c r="AC35" s="76">
        <f t="shared" si="3"/>
        <v>0</v>
      </c>
      <c r="AD35" s="76">
        <f t="shared" si="4"/>
        <v>0</v>
      </c>
      <c r="AE35" s="76">
        <f t="shared" si="5"/>
        <v>0</v>
      </c>
      <c r="AF35" s="76">
        <f t="shared" si="6"/>
        <v>0</v>
      </c>
      <c r="AG35" s="76">
        <f t="shared" si="7"/>
        <v>0</v>
      </c>
      <c r="AH35" s="76">
        <f t="shared" si="8"/>
        <v>0</v>
      </c>
      <c r="AI35" s="76">
        <f t="shared" si="9"/>
        <v>0</v>
      </c>
      <c r="AJ35" s="76">
        <f t="shared" si="10"/>
        <v>0</v>
      </c>
      <c r="AK35" s="76">
        <f t="shared" si="11"/>
        <v>0</v>
      </c>
      <c r="AL35" s="76">
        <f t="shared" si="12"/>
        <v>0</v>
      </c>
      <c r="AM35" s="76">
        <f t="shared" si="13"/>
        <v>0</v>
      </c>
    </row>
    <row r="36" spans="1:39" x14ac:dyDescent="0.25">
      <c r="A36" s="66" t="s">
        <v>224</v>
      </c>
      <c r="B36" s="64">
        <v>0</v>
      </c>
      <c r="C36" s="64">
        <v>0</v>
      </c>
      <c r="D36" s="64">
        <v>0</v>
      </c>
      <c r="E36" s="64">
        <v>0</v>
      </c>
      <c r="F36" s="64">
        <v>0</v>
      </c>
      <c r="G36" s="64">
        <v>0</v>
      </c>
      <c r="H36" s="64">
        <v>0</v>
      </c>
      <c r="I36" s="64">
        <v>0</v>
      </c>
      <c r="J36" s="64">
        <v>0</v>
      </c>
      <c r="K36" s="64">
        <v>0</v>
      </c>
      <c r="L36" s="64">
        <v>0</v>
      </c>
      <c r="M36" s="64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B36" s="76">
        <f t="shared" si="2"/>
        <v>0</v>
      </c>
      <c r="AC36" s="76">
        <f t="shared" si="3"/>
        <v>0</v>
      </c>
      <c r="AD36" s="76">
        <f t="shared" si="4"/>
        <v>0</v>
      </c>
      <c r="AE36" s="76">
        <f t="shared" si="5"/>
        <v>0</v>
      </c>
      <c r="AF36" s="76">
        <f t="shared" si="6"/>
        <v>0</v>
      </c>
      <c r="AG36" s="76">
        <f t="shared" si="7"/>
        <v>0</v>
      </c>
      <c r="AH36" s="76">
        <f t="shared" si="8"/>
        <v>0</v>
      </c>
      <c r="AI36" s="76">
        <f t="shared" si="9"/>
        <v>0</v>
      </c>
      <c r="AJ36" s="76">
        <f t="shared" si="10"/>
        <v>0</v>
      </c>
      <c r="AK36" s="76">
        <f t="shared" si="11"/>
        <v>0</v>
      </c>
      <c r="AL36" s="76">
        <f t="shared" si="12"/>
        <v>0</v>
      </c>
      <c r="AM36" s="76">
        <f t="shared" si="13"/>
        <v>0</v>
      </c>
    </row>
    <row r="37" spans="1:39" x14ac:dyDescent="0.25">
      <c r="A37" s="66" t="s">
        <v>225</v>
      </c>
      <c r="B37" s="64">
        <v>0</v>
      </c>
      <c r="C37" s="64">
        <v>0</v>
      </c>
      <c r="D37" s="64">
        <v>0</v>
      </c>
      <c r="E37" s="64">
        <v>0</v>
      </c>
      <c r="F37" s="64">
        <v>0</v>
      </c>
      <c r="G37" s="64">
        <v>0</v>
      </c>
      <c r="H37" s="64">
        <v>0</v>
      </c>
      <c r="I37" s="64">
        <v>0</v>
      </c>
      <c r="J37" s="64">
        <v>0</v>
      </c>
      <c r="K37" s="64">
        <v>0</v>
      </c>
      <c r="L37" s="64">
        <v>0</v>
      </c>
      <c r="M37" s="64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B37" s="76">
        <f t="shared" si="2"/>
        <v>0</v>
      </c>
      <c r="AC37" s="76">
        <f t="shared" si="3"/>
        <v>0</v>
      </c>
      <c r="AD37" s="76">
        <f t="shared" si="4"/>
        <v>0</v>
      </c>
      <c r="AE37" s="76">
        <f t="shared" si="5"/>
        <v>0</v>
      </c>
      <c r="AF37" s="76">
        <f t="shared" si="6"/>
        <v>0</v>
      </c>
      <c r="AG37" s="76">
        <f t="shared" si="7"/>
        <v>0</v>
      </c>
      <c r="AH37" s="76">
        <f t="shared" si="8"/>
        <v>0</v>
      </c>
      <c r="AI37" s="76">
        <f t="shared" si="9"/>
        <v>0</v>
      </c>
      <c r="AJ37" s="76">
        <f t="shared" si="10"/>
        <v>0</v>
      </c>
      <c r="AK37" s="76">
        <f t="shared" si="11"/>
        <v>0</v>
      </c>
      <c r="AL37" s="76">
        <f t="shared" si="12"/>
        <v>0</v>
      </c>
      <c r="AM37" s="76">
        <f t="shared" si="13"/>
        <v>0</v>
      </c>
    </row>
    <row r="38" spans="1:39" x14ac:dyDescent="0.25">
      <c r="A38" s="65" t="s">
        <v>231</v>
      </c>
      <c r="B38" s="64">
        <v>2883</v>
      </c>
      <c r="C38" s="64">
        <v>2604</v>
      </c>
      <c r="D38" s="64">
        <v>2883</v>
      </c>
      <c r="E38" s="64">
        <v>2790</v>
      </c>
      <c r="F38" s="64">
        <v>2883</v>
      </c>
      <c r="G38" s="64">
        <v>2790</v>
      </c>
      <c r="H38" s="64">
        <v>2883</v>
      </c>
      <c r="I38" s="64">
        <v>2883</v>
      </c>
      <c r="J38" s="64">
        <v>2790</v>
      </c>
      <c r="K38" s="64">
        <v>2883</v>
      </c>
      <c r="L38" s="64">
        <v>2790</v>
      </c>
      <c r="M38" s="64">
        <v>2883</v>
      </c>
      <c r="O38">
        <v>93</v>
      </c>
      <c r="P38">
        <v>93</v>
      </c>
      <c r="Q38">
        <v>93</v>
      </c>
      <c r="R38">
        <v>93</v>
      </c>
      <c r="S38">
        <v>93</v>
      </c>
      <c r="T38">
        <v>93</v>
      </c>
      <c r="U38">
        <v>93</v>
      </c>
      <c r="V38">
        <v>93</v>
      </c>
      <c r="W38">
        <v>93</v>
      </c>
      <c r="X38">
        <v>93</v>
      </c>
      <c r="Y38">
        <v>93</v>
      </c>
      <c r="Z38">
        <v>93</v>
      </c>
      <c r="AB38" s="76">
        <f t="shared" si="2"/>
        <v>0</v>
      </c>
      <c r="AC38" s="76">
        <f t="shared" si="3"/>
        <v>0</v>
      </c>
      <c r="AD38" s="76">
        <f t="shared" si="4"/>
        <v>0</v>
      </c>
      <c r="AE38" s="76">
        <f t="shared" si="5"/>
        <v>0</v>
      </c>
      <c r="AF38" s="76">
        <f t="shared" si="6"/>
        <v>0</v>
      </c>
      <c r="AG38" s="76">
        <f t="shared" si="7"/>
        <v>0</v>
      </c>
      <c r="AH38" s="76">
        <f t="shared" si="8"/>
        <v>0</v>
      </c>
      <c r="AI38" s="76">
        <f t="shared" si="9"/>
        <v>0</v>
      </c>
      <c r="AJ38" s="76">
        <f t="shared" si="10"/>
        <v>0</v>
      </c>
      <c r="AK38" s="76">
        <f t="shared" si="11"/>
        <v>0</v>
      </c>
      <c r="AL38" s="76">
        <f t="shared" si="12"/>
        <v>0</v>
      </c>
      <c r="AM38" s="76">
        <f t="shared" si="13"/>
        <v>0</v>
      </c>
    </row>
    <row r="39" spans="1:39" x14ac:dyDescent="0.25">
      <c r="A39" s="65" t="s">
        <v>232</v>
      </c>
      <c r="B39" s="64">
        <v>1426</v>
      </c>
      <c r="C39" s="64">
        <v>1288</v>
      </c>
      <c r="D39" s="64">
        <v>1426</v>
      </c>
      <c r="E39" s="64">
        <v>1380</v>
      </c>
      <c r="F39" s="64">
        <v>1426</v>
      </c>
      <c r="G39" s="64">
        <v>1380</v>
      </c>
      <c r="H39" s="64">
        <v>1426</v>
      </c>
      <c r="I39" s="64">
        <v>1426</v>
      </c>
      <c r="J39" s="64">
        <v>1380</v>
      </c>
      <c r="K39" s="64">
        <v>1426</v>
      </c>
      <c r="L39" s="64">
        <v>1380</v>
      </c>
      <c r="M39" s="64">
        <v>1426</v>
      </c>
      <c r="O39">
        <v>46</v>
      </c>
      <c r="P39">
        <v>46</v>
      </c>
      <c r="Q39">
        <v>46</v>
      </c>
      <c r="R39">
        <v>46</v>
      </c>
      <c r="S39">
        <v>46</v>
      </c>
      <c r="T39">
        <v>46</v>
      </c>
      <c r="U39">
        <v>46</v>
      </c>
      <c r="V39">
        <v>46</v>
      </c>
      <c r="W39">
        <v>46</v>
      </c>
      <c r="X39">
        <v>46</v>
      </c>
      <c r="Y39">
        <v>46</v>
      </c>
      <c r="Z39">
        <v>46</v>
      </c>
      <c r="AB39" s="76">
        <f t="shared" si="2"/>
        <v>0</v>
      </c>
      <c r="AC39" s="76">
        <f t="shared" si="3"/>
        <v>0</v>
      </c>
      <c r="AD39" s="76">
        <f t="shared" si="4"/>
        <v>0</v>
      </c>
      <c r="AE39" s="76">
        <f t="shared" si="5"/>
        <v>0</v>
      </c>
      <c r="AF39" s="76">
        <f t="shared" si="6"/>
        <v>0</v>
      </c>
      <c r="AG39" s="76">
        <f t="shared" si="7"/>
        <v>0</v>
      </c>
      <c r="AH39" s="76">
        <f t="shared" si="8"/>
        <v>0</v>
      </c>
      <c r="AI39" s="76">
        <f t="shared" si="9"/>
        <v>0</v>
      </c>
      <c r="AJ39" s="76">
        <f t="shared" si="10"/>
        <v>0</v>
      </c>
      <c r="AK39" s="76">
        <f t="shared" si="11"/>
        <v>0</v>
      </c>
      <c r="AL39" s="76">
        <f t="shared" si="12"/>
        <v>0</v>
      </c>
      <c r="AM39" s="76">
        <f t="shared" si="13"/>
        <v>0</v>
      </c>
    </row>
    <row r="40" spans="1:39" x14ac:dyDescent="0.25">
      <c r="A40" s="65" t="s">
        <v>233</v>
      </c>
      <c r="B40" s="64">
        <v>496</v>
      </c>
      <c r="C40" s="64">
        <v>448</v>
      </c>
      <c r="D40" s="64">
        <v>496</v>
      </c>
      <c r="E40" s="64">
        <v>480</v>
      </c>
      <c r="F40" s="64">
        <v>496</v>
      </c>
      <c r="G40" s="64">
        <v>480</v>
      </c>
      <c r="H40" s="64">
        <v>496</v>
      </c>
      <c r="I40" s="64">
        <v>496</v>
      </c>
      <c r="J40" s="64">
        <v>480</v>
      </c>
      <c r="K40" s="64">
        <v>496</v>
      </c>
      <c r="L40" s="64">
        <v>480</v>
      </c>
      <c r="M40" s="64">
        <v>496</v>
      </c>
      <c r="O40">
        <v>16</v>
      </c>
      <c r="P40">
        <v>16</v>
      </c>
      <c r="Q40">
        <v>16</v>
      </c>
      <c r="R40">
        <v>16</v>
      </c>
      <c r="S40">
        <v>16</v>
      </c>
      <c r="T40">
        <v>16</v>
      </c>
      <c r="U40">
        <v>16</v>
      </c>
      <c r="V40">
        <v>16</v>
      </c>
      <c r="W40">
        <v>16</v>
      </c>
      <c r="X40">
        <v>16</v>
      </c>
      <c r="Y40">
        <v>16</v>
      </c>
      <c r="Z40">
        <v>16</v>
      </c>
      <c r="AB40" s="76">
        <f t="shared" si="2"/>
        <v>0</v>
      </c>
      <c r="AC40" s="76">
        <f t="shared" si="3"/>
        <v>0</v>
      </c>
      <c r="AD40" s="76">
        <f t="shared" si="4"/>
        <v>0</v>
      </c>
      <c r="AE40" s="76">
        <f t="shared" si="5"/>
        <v>0</v>
      </c>
      <c r="AF40" s="76">
        <f t="shared" si="6"/>
        <v>0</v>
      </c>
      <c r="AG40" s="76">
        <f t="shared" si="7"/>
        <v>0</v>
      </c>
      <c r="AH40" s="76">
        <f t="shared" si="8"/>
        <v>0</v>
      </c>
      <c r="AI40" s="76">
        <f t="shared" si="9"/>
        <v>0</v>
      </c>
      <c r="AJ40" s="76">
        <f t="shared" si="10"/>
        <v>0</v>
      </c>
      <c r="AK40" s="76">
        <f t="shared" si="11"/>
        <v>0</v>
      </c>
      <c r="AL40" s="76">
        <f t="shared" si="12"/>
        <v>0</v>
      </c>
      <c r="AM40" s="76">
        <f t="shared" si="13"/>
        <v>0</v>
      </c>
    </row>
    <row r="41" spans="1:39" x14ac:dyDescent="0.25">
      <c r="A41" s="65" t="s">
        <v>234</v>
      </c>
      <c r="B41" s="64">
        <v>2650.5</v>
      </c>
      <c r="C41" s="64">
        <v>2394</v>
      </c>
      <c r="D41" s="64">
        <v>2650.5</v>
      </c>
      <c r="E41" s="64">
        <v>2565</v>
      </c>
      <c r="F41" s="64">
        <v>2650.5</v>
      </c>
      <c r="G41" s="64">
        <v>2565</v>
      </c>
      <c r="H41" s="64">
        <v>2650.5</v>
      </c>
      <c r="I41" s="64">
        <v>2650.5</v>
      </c>
      <c r="J41" s="64">
        <v>2565</v>
      </c>
      <c r="K41" s="64">
        <v>2650.5</v>
      </c>
      <c r="L41" s="64">
        <v>2565</v>
      </c>
      <c r="M41" s="64">
        <v>2650.5</v>
      </c>
      <c r="O41">
        <v>85.5</v>
      </c>
      <c r="P41">
        <v>85.5</v>
      </c>
      <c r="Q41">
        <v>85.5</v>
      </c>
      <c r="R41">
        <v>85.5</v>
      </c>
      <c r="S41">
        <v>85.5</v>
      </c>
      <c r="T41">
        <v>85.5</v>
      </c>
      <c r="U41">
        <v>85.5</v>
      </c>
      <c r="V41">
        <v>85.5</v>
      </c>
      <c r="W41">
        <v>85.5</v>
      </c>
      <c r="X41">
        <v>85.5</v>
      </c>
      <c r="Y41">
        <v>85.5</v>
      </c>
      <c r="Z41">
        <v>85.5</v>
      </c>
      <c r="AB41" s="76">
        <f t="shared" si="2"/>
        <v>0</v>
      </c>
      <c r="AC41" s="76">
        <f t="shared" si="3"/>
        <v>0</v>
      </c>
      <c r="AD41" s="76">
        <f t="shared" si="4"/>
        <v>0</v>
      </c>
      <c r="AE41" s="76">
        <f t="shared" si="5"/>
        <v>0</v>
      </c>
      <c r="AF41" s="76">
        <f t="shared" si="6"/>
        <v>0</v>
      </c>
      <c r="AG41" s="76">
        <f t="shared" si="7"/>
        <v>0</v>
      </c>
      <c r="AH41" s="76">
        <f t="shared" si="8"/>
        <v>0</v>
      </c>
      <c r="AI41" s="76">
        <f t="shared" si="9"/>
        <v>0</v>
      </c>
      <c r="AJ41" s="76">
        <f t="shared" si="10"/>
        <v>0</v>
      </c>
      <c r="AK41" s="76">
        <f t="shared" si="11"/>
        <v>0</v>
      </c>
      <c r="AL41" s="76">
        <f t="shared" si="12"/>
        <v>0</v>
      </c>
      <c r="AM41" s="76">
        <f t="shared" si="13"/>
        <v>0</v>
      </c>
    </row>
    <row r="42" spans="1:39" x14ac:dyDescent="0.25">
      <c r="A42" s="65" t="s">
        <v>235</v>
      </c>
      <c r="B42" s="64">
        <v>4092</v>
      </c>
      <c r="C42" s="64">
        <v>3696</v>
      </c>
      <c r="D42" s="64">
        <v>4092</v>
      </c>
      <c r="E42" s="64">
        <v>3960</v>
      </c>
      <c r="F42" s="64">
        <v>4092</v>
      </c>
      <c r="G42" s="64">
        <v>3960</v>
      </c>
      <c r="H42" s="64">
        <v>4092</v>
      </c>
      <c r="I42" s="64">
        <v>4092</v>
      </c>
      <c r="J42" s="64">
        <v>3960</v>
      </c>
      <c r="K42" s="64">
        <v>4092</v>
      </c>
      <c r="L42" s="64">
        <v>3960</v>
      </c>
      <c r="M42" s="64">
        <v>4092</v>
      </c>
      <c r="O42">
        <v>132</v>
      </c>
      <c r="P42">
        <v>132</v>
      </c>
      <c r="Q42">
        <v>132</v>
      </c>
      <c r="R42">
        <v>132</v>
      </c>
      <c r="S42">
        <v>132</v>
      </c>
      <c r="T42">
        <v>132</v>
      </c>
      <c r="U42">
        <v>132</v>
      </c>
      <c r="V42">
        <v>132</v>
      </c>
      <c r="W42">
        <v>132</v>
      </c>
      <c r="X42">
        <v>132</v>
      </c>
      <c r="Y42">
        <v>132</v>
      </c>
      <c r="Z42">
        <v>132</v>
      </c>
      <c r="AB42" s="76">
        <f t="shared" si="2"/>
        <v>0</v>
      </c>
      <c r="AC42" s="76">
        <f t="shared" si="3"/>
        <v>0</v>
      </c>
      <c r="AD42" s="76">
        <f t="shared" si="4"/>
        <v>0</v>
      </c>
      <c r="AE42" s="76">
        <f t="shared" si="5"/>
        <v>0</v>
      </c>
      <c r="AF42" s="76">
        <f t="shared" si="6"/>
        <v>0</v>
      </c>
      <c r="AG42" s="76">
        <f t="shared" si="7"/>
        <v>0</v>
      </c>
      <c r="AH42" s="76">
        <f t="shared" si="8"/>
        <v>0</v>
      </c>
      <c r="AI42" s="76">
        <f t="shared" si="9"/>
        <v>0</v>
      </c>
      <c r="AJ42" s="76">
        <f t="shared" si="10"/>
        <v>0</v>
      </c>
      <c r="AK42" s="76">
        <f t="shared" si="11"/>
        <v>0</v>
      </c>
      <c r="AL42" s="76">
        <f t="shared" si="12"/>
        <v>0</v>
      </c>
      <c r="AM42" s="76">
        <f t="shared" si="13"/>
        <v>0</v>
      </c>
    </row>
    <row r="43" spans="1:39" x14ac:dyDescent="0.25">
      <c r="A43" s="65" t="s">
        <v>236</v>
      </c>
      <c r="B43" s="64">
        <v>2991.5</v>
      </c>
      <c r="C43" s="64">
        <v>2702</v>
      </c>
      <c r="D43" s="64">
        <v>2991.5</v>
      </c>
      <c r="E43" s="64">
        <v>2895</v>
      </c>
      <c r="F43" s="64">
        <v>2991.5</v>
      </c>
      <c r="G43" s="64">
        <v>2895</v>
      </c>
      <c r="H43" s="64">
        <v>2991.5</v>
      </c>
      <c r="I43" s="64">
        <v>2991.5</v>
      </c>
      <c r="J43" s="64">
        <v>2895</v>
      </c>
      <c r="K43" s="64">
        <v>2991.5</v>
      </c>
      <c r="L43" s="64">
        <v>2895</v>
      </c>
      <c r="M43" s="64">
        <v>2991.5</v>
      </c>
      <c r="O43">
        <v>96.5</v>
      </c>
      <c r="P43">
        <v>96.5</v>
      </c>
      <c r="Q43">
        <v>96.5</v>
      </c>
      <c r="R43">
        <v>96.5</v>
      </c>
      <c r="S43">
        <v>96.5</v>
      </c>
      <c r="T43">
        <v>96.5</v>
      </c>
      <c r="U43">
        <v>96.5</v>
      </c>
      <c r="V43">
        <v>96.5</v>
      </c>
      <c r="W43">
        <v>96.5</v>
      </c>
      <c r="X43">
        <v>96.5</v>
      </c>
      <c r="Y43">
        <v>96.5</v>
      </c>
      <c r="Z43">
        <v>96.5</v>
      </c>
      <c r="AB43" s="76">
        <f t="shared" si="2"/>
        <v>0</v>
      </c>
      <c r="AC43" s="76">
        <f t="shared" si="3"/>
        <v>0</v>
      </c>
      <c r="AD43" s="76">
        <f t="shared" si="4"/>
        <v>0</v>
      </c>
      <c r="AE43" s="76">
        <f t="shared" si="5"/>
        <v>0</v>
      </c>
      <c r="AF43" s="76">
        <f t="shared" si="6"/>
        <v>0</v>
      </c>
      <c r="AG43" s="76">
        <f t="shared" si="7"/>
        <v>0</v>
      </c>
      <c r="AH43" s="76">
        <f t="shared" si="8"/>
        <v>0</v>
      </c>
      <c r="AI43" s="76">
        <f t="shared" si="9"/>
        <v>0</v>
      </c>
      <c r="AJ43" s="76">
        <f t="shared" si="10"/>
        <v>0</v>
      </c>
      <c r="AK43" s="76">
        <f t="shared" si="11"/>
        <v>0</v>
      </c>
      <c r="AL43" s="76">
        <f t="shared" si="12"/>
        <v>0</v>
      </c>
      <c r="AM43" s="76">
        <f t="shared" si="13"/>
        <v>0</v>
      </c>
    </row>
    <row r="44" spans="1:39" x14ac:dyDescent="0.25">
      <c r="A44" s="65" t="s">
        <v>210</v>
      </c>
      <c r="B44" s="64">
        <v>2046</v>
      </c>
      <c r="C44" s="64">
        <v>1848</v>
      </c>
      <c r="D44" s="64">
        <v>2046</v>
      </c>
      <c r="E44" s="64">
        <v>1980</v>
      </c>
      <c r="F44" s="64">
        <v>2046</v>
      </c>
      <c r="G44" s="64">
        <v>1980</v>
      </c>
      <c r="H44" s="64">
        <v>2046</v>
      </c>
      <c r="I44" s="64">
        <v>2046</v>
      </c>
      <c r="J44" s="64">
        <v>1980</v>
      </c>
      <c r="K44" s="64">
        <v>2046</v>
      </c>
      <c r="L44" s="64">
        <v>1980</v>
      </c>
      <c r="M44" s="64">
        <v>2046</v>
      </c>
      <c r="O44">
        <v>66</v>
      </c>
      <c r="P44">
        <v>66</v>
      </c>
      <c r="Q44">
        <v>66</v>
      </c>
      <c r="R44">
        <v>66</v>
      </c>
      <c r="S44">
        <v>66</v>
      </c>
      <c r="T44">
        <v>66</v>
      </c>
      <c r="U44">
        <v>66</v>
      </c>
      <c r="V44">
        <v>66</v>
      </c>
      <c r="W44">
        <v>66</v>
      </c>
      <c r="X44">
        <v>66</v>
      </c>
      <c r="Y44">
        <v>66</v>
      </c>
      <c r="Z44">
        <v>66</v>
      </c>
      <c r="AB44" s="76">
        <f t="shared" si="2"/>
        <v>0</v>
      </c>
      <c r="AC44" s="76">
        <f t="shared" si="3"/>
        <v>0</v>
      </c>
      <c r="AD44" s="76">
        <f t="shared" si="4"/>
        <v>0</v>
      </c>
      <c r="AE44" s="76">
        <f t="shared" si="5"/>
        <v>0</v>
      </c>
      <c r="AF44" s="76">
        <f t="shared" si="6"/>
        <v>0</v>
      </c>
      <c r="AG44" s="76">
        <f t="shared" si="7"/>
        <v>0</v>
      </c>
      <c r="AH44" s="76">
        <f t="shared" si="8"/>
        <v>0</v>
      </c>
      <c r="AI44" s="76">
        <f t="shared" si="9"/>
        <v>0</v>
      </c>
      <c r="AJ44" s="76">
        <f t="shared" si="10"/>
        <v>0</v>
      </c>
      <c r="AK44" s="76">
        <f t="shared" si="11"/>
        <v>0</v>
      </c>
      <c r="AL44" s="76">
        <f t="shared" si="12"/>
        <v>0</v>
      </c>
      <c r="AM44" s="76">
        <f t="shared" si="13"/>
        <v>0</v>
      </c>
    </row>
    <row r="45" spans="1:39" x14ac:dyDescent="0.25">
      <c r="A45" s="66" t="s">
        <v>226</v>
      </c>
      <c r="B45" s="64">
        <v>16585</v>
      </c>
      <c r="C45" s="64">
        <v>14980</v>
      </c>
      <c r="D45" s="64">
        <v>16585</v>
      </c>
      <c r="E45" s="64">
        <v>16050</v>
      </c>
      <c r="F45" s="64">
        <v>16585</v>
      </c>
      <c r="G45" s="64">
        <v>16050</v>
      </c>
      <c r="H45" s="64">
        <v>16585</v>
      </c>
      <c r="I45" s="64">
        <v>16585</v>
      </c>
      <c r="J45" s="64">
        <v>16050</v>
      </c>
      <c r="K45" s="64">
        <v>16585</v>
      </c>
      <c r="L45" s="64">
        <v>16050</v>
      </c>
      <c r="M45" s="64">
        <v>16585</v>
      </c>
      <c r="O45">
        <v>535</v>
      </c>
      <c r="P45">
        <v>535</v>
      </c>
      <c r="Q45">
        <v>535</v>
      </c>
      <c r="R45">
        <v>535</v>
      </c>
      <c r="S45">
        <v>535</v>
      </c>
      <c r="T45">
        <v>535</v>
      </c>
      <c r="U45">
        <v>535</v>
      </c>
      <c r="V45">
        <v>535</v>
      </c>
      <c r="W45">
        <v>535</v>
      </c>
      <c r="X45">
        <v>535</v>
      </c>
      <c r="Y45">
        <v>535</v>
      </c>
      <c r="Z45">
        <v>535</v>
      </c>
      <c r="AB45" s="76">
        <f t="shared" si="2"/>
        <v>0</v>
      </c>
      <c r="AC45" s="76">
        <f t="shared" si="3"/>
        <v>0</v>
      </c>
      <c r="AD45" s="76">
        <f t="shared" si="4"/>
        <v>0</v>
      </c>
      <c r="AE45" s="76">
        <f t="shared" si="5"/>
        <v>0</v>
      </c>
      <c r="AF45" s="76">
        <f t="shared" si="6"/>
        <v>0</v>
      </c>
      <c r="AG45" s="76">
        <f t="shared" si="7"/>
        <v>0</v>
      </c>
      <c r="AH45" s="76">
        <f t="shared" si="8"/>
        <v>0</v>
      </c>
      <c r="AI45" s="76">
        <f t="shared" si="9"/>
        <v>0</v>
      </c>
      <c r="AJ45" s="76">
        <f t="shared" si="10"/>
        <v>0</v>
      </c>
      <c r="AK45" s="76">
        <f t="shared" si="11"/>
        <v>0</v>
      </c>
      <c r="AL45" s="76">
        <f t="shared" si="12"/>
        <v>0</v>
      </c>
      <c r="AM45" s="76">
        <f t="shared" si="13"/>
        <v>0</v>
      </c>
    </row>
    <row r="46" spans="1:39" x14ac:dyDescent="0.25">
      <c r="A46" s="65" t="s">
        <v>228</v>
      </c>
      <c r="B46" s="64">
        <v>930</v>
      </c>
      <c r="C46" s="64">
        <v>840</v>
      </c>
      <c r="D46" s="64">
        <v>930</v>
      </c>
      <c r="E46" s="64">
        <v>900</v>
      </c>
      <c r="F46" s="64">
        <v>930</v>
      </c>
      <c r="G46" s="64">
        <v>900</v>
      </c>
      <c r="H46" s="64">
        <v>930</v>
      </c>
      <c r="I46" s="64">
        <v>930</v>
      </c>
      <c r="J46" s="64">
        <v>900</v>
      </c>
      <c r="K46" s="64">
        <v>930</v>
      </c>
      <c r="L46" s="64">
        <v>900</v>
      </c>
      <c r="M46" s="64">
        <v>930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30</v>
      </c>
      <c r="X46">
        <v>30</v>
      </c>
      <c r="Y46">
        <v>30</v>
      </c>
      <c r="Z46">
        <v>30</v>
      </c>
      <c r="AB46" s="76">
        <f t="shared" si="2"/>
        <v>0</v>
      </c>
      <c r="AC46" s="76">
        <f t="shared" si="3"/>
        <v>0</v>
      </c>
      <c r="AD46" s="76">
        <f t="shared" si="4"/>
        <v>0</v>
      </c>
      <c r="AE46" s="76">
        <f t="shared" si="5"/>
        <v>0</v>
      </c>
      <c r="AF46" s="76">
        <f t="shared" si="6"/>
        <v>0</v>
      </c>
      <c r="AG46" s="76">
        <f t="shared" si="7"/>
        <v>0</v>
      </c>
      <c r="AH46" s="76">
        <f t="shared" si="8"/>
        <v>0</v>
      </c>
      <c r="AI46" s="76">
        <f t="shared" si="9"/>
        <v>0</v>
      </c>
      <c r="AJ46" s="76">
        <f t="shared" si="10"/>
        <v>0</v>
      </c>
      <c r="AK46" s="76">
        <f t="shared" si="11"/>
        <v>0</v>
      </c>
      <c r="AL46" s="76">
        <f t="shared" si="12"/>
        <v>0</v>
      </c>
      <c r="AM46" s="76">
        <f t="shared" si="13"/>
        <v>0</v>
      </c>
    </row>
    <row r="47" spans="1:39" x14ac:dyDescent="0.25">
      <c r="A47" s="65" t="s">
        <v>229</v>
      </c>
      <c r="B47" s="64">
        <v>1085</v>
      </c>
      <c r="C47" s="64">
        <v>980</v>
      </c>
      <c r="D47" s="64">
        <v>1085</v>
      </c>
      <c r="E47" s="64">
        <v>1050</v>
      </c>
      <c r="F47" s="64">
        <v>1085</v>
      </c>
      <c r="G47" s="64">
        <v>1050</v>
      </c>
      <c r="H47" s="64">
        <v>1085</v>
      </c>
      <c r="I47" s="64">
        <v>1085</v>
      </c>
      <c r="J47" s="64">
        <v>1050</v>
      </c>
      <c r="K47" s="64">
        <v>1085</v>
      </c>
      <c r="L47" s="64">
        <v>1050</v>
      </c>
      <c r="M47" s="64">
        <v>1085</v>
      </c>
      <c r="O47">
        <v>35</v>
      </c>
      <c r="P47">
        <v>35</v>
      </c>
      <c r="Q47">
        <v>35</v>
      </c>
      <c r="R47">
        <v>35</v>
      </c>
      <c r="S47">
        <v>35</v>
      </c>
      <c r="T47">
        <v>35</v>
      </c>
      <c r="U47">
        <v>35</v>
      </c>
      <c r="V47">
        <v>35</v>
      </c>
      <c r="W47">
        <v>35</v>
      </c>
      <c r="X47">
        <v>35</v>
      </c>
      <c r="Y47">
        <v>35</v>
      </c>
      <c r="Z47">
        <v>35</v>
      </c>
      <c r="AB47" s="76">
        <f t="shared" si="2"/>
        <v>0</v>
      </c>
      <c r="AC47" s="76">
        <f t="shared" si="3"/>
        <v>0</v>
      </c>
      <c r="AD47" s="76">
        <f t="shared" si="4"/>
        <v>0</v>
      </c>
      <c r="AE47" s="76">
        <f t="shared" si="5"/>
        <v>0</v>
      </c>
      <c r="AF47" s="76">
        <f t="shared" si="6"/>
        <v>0</v>
      </c>
      <c r="AG47" s="76">
        <f t="shared" si="7"/>
        <v>0</v>
      </c>
      <c r="AH47" s="76">
        <f t="shared" si="8"/>
        <v>0</v>
      </c>
      <c r="AI47" s="76">
        <f t="shared" si="9"/>
        <v>0</v>
      </c>
      <c r="AJ47" s="76">
        <f t="shared" si="10"/>
        <v>0</v>
      </c>
      <c r="AK47" s="76">
        <f t="shared" si="11"/>
        <v>0</v>
      </c>
      <c r="AL47" s="76">
        <f t="shared" si="12"/>
        <v>0</v>
      </c>
      <c r="AM47" s="76">
        <f t="shared" si="13"/>
        <v>0</v>
      </c>
    </row>
    <row r="48" spans="1:39" x14ac:dyDescent="0.25">
      <c r="A48" s="65" t="s">
        <v>230</v>
      </c>
      <c r="B48" s="64">
        <v>1147</v>
      </c>
      <c r="C48" s="64">
        <v>1036</v>
      </c>
      <c r="D48" s="64">
        <v>1147</v>
      </c>
      <c r="E48" s="64">
        <v>1110</v>
      </c>
      <c r="F48" s="64">
        <v>1147</v>
      </c>
      <c r="G48" s="64">
        <v>1110</v>
      </c>
      <c r="H48" s="64">
        <v>1147</v>
      </c>
      <c r="I48" s="64">
        <v>1147</v>
      </c>
      <c r="J48" s="64">
        <v>1110</v>
      </c>
      <c r="K48" s="64">
        <v>1147</v>
      </c>
      <c r="L48" s="64">
        <v>1110</v>
      </c>
      <c r="M48" s="64">
        <v>1147</v>
      </c>
      <c r="O48">
        <v>37</v>
      </c>
      <c r="P48">
        <v>37</v>
      </c>
      <c r="Q48">
        <v>37</v>
      </c>
      <c r="R48">
        <v>37</v>
      </c>
      <c r="S48">
        <v>37</v>
      </c>
      <c r="T48">
        <v>37</v>
      </c>
      <c r="U48">
        <v>37</v>
      </c>
      <c r="V48">
        <v>37</v>
      </c>
      <c r="W48">
        <v>37</v>
      </c>
      <c r="X48">
        <v>37</v>
      </c>
      <c r="Y48">
        <v>37</v>
      </c>
      <c r="Z48">
        <v>37</v>
      </c>
      <c r="AB48" s="76">
        <f t="shared" si="2"/>
        <v>0</v>
      </c>
      <c r="AC48" s="76">
        <f t="shared" si="3"/>
        <v>0</v>
      </c>
      <c r="AD48" s="76">
        <f t="shared" si="4"/>
        <v>0</v>
      </c>
      <c r="AE48" s="76">
        <f t="shared" si="5"/>
        <v>0</v>
      </c>
      <c r="AF48" s="76">
        <f t="shared" si="6"/>
        <v>0</v>
      </c>
      <c r="AG48" s="76">
        <f t="shared" si="7"/>
        <v>0</v>
      </c>
      <c r="AH48" s="76">
        <f t="shared" si="8"/>
        <v>0</v>
      </c>
      <c r="AI48" s="76">
        <f t="shared" si="9"/>
        <v>0</v>
      </c>
      <c r="AJ48" s="76">
        <f t="shared" si="10"/>
        <v>0</v>
      </c>
      <c r="AK48" s="76">
        <f t="shared" si="11"/>
        <v>0</v>
      </c>
      <c r="AL48" s="76">
        <f t="shared" si="12"/>
        <v>0</v>
      </c>
      <c r="AM48" s="76">
        <f t="shared" si="13"/>
        <v>0</v>
      </c>
    </row>
    <row r="49" spans="1:39" x14ac:dyDescent="0.25">
      <c r="A49" s="66" t="s">
        <v>227</v>
      </c>
      <c r="B49" s="64">
        <v>3162</v>
      </c>
      <c r="C49" s="64">
        <v>2856</v>
      </c>
      <c r="D49" s="64">
        <v>3162</v>
      </c>
      <c r="E49" s="64">
        <v>3060</v>
      </c>
      <c r="F49" s="64">
        <v>3162</v>
      </c>
      <c r="G49" s="64">
        <v>3060</v>
      </c>
      <c r="H49" s="64">
        <v>3162</v>
      </c>
      <c r="I49" s="64">
        <v>3162</v>
      </c>
      <c r="J49" s="64">
        <v>3060</v>
      </c>
      <c r="K49" s="64">
        <v>3162</v>
      </c>
      <c r="L49" s="64">
        <v>3060</v>
      </c>
      <c r="M49" s="64">
        <v>3162</v>
      </c>
      <c r="O49">
        <v>102</v>
      </c>
      <c r="P49">
        <v>102</v>
      </c>
      <c r="Q49">
        <v>102</v>
      </c>
      <c r="R49">
        <v>102</v>
      </c>
      <c r="S49">
        <v>102</v>
      </c>
      <c r="T49">
        <v>102</v>
      </c>
      <c r="U49">
        <v>102</v>
      </c>
      <c r="V49">
        <v>102</v>
      </c>
      <c r="W49">
        <v>102</v>
      </c>
      <c r="X49">
        <v>102</v>
      </c>
      <c r="Y49">
        <v>102</v>
      </c>
      <c r="Z49">
        <v>102</v>
      </c>
      <c r="AB49" s="76">
        <f t="shared" si="2"/>
        <v>0</v>
      </c>
      <c r="AC49" s="76">
        <f t="shared" si="3"/>
        <v>0</v>
      </c>
      <c r="AD49" s="76">
        <f t="shared" si="4"/>
        <v>0</v>
      </c>
      <c r="AE49" s="76">
        <f t="shared" si="5"/>
        <v>0</v>
      </c>
      <c r="AF49" s="76">
        <f t="shared" si="6"/>
        <v>0</v>
      </c>
      <c r="AG49" s="76">
        <f t="shared" si="7"/>
        <v>0</v>
      </c>
      <c r="AH49" s="76">
        <f t="shared" si="8"/>
        <v>0</v>
      </c>
      <c r="AI49" s="76">
        <f t="shared" si="9"/>
        <v>0</v>
      </c>
      <c r="AJ49" s="76">
        <f t="shared" si="10"/>
        <v>0</v>
      </c>
      <c r="AK49" s="76">
        <f t="shared" si="11"/>
        <v>0</v>
      </c>
      <c r="AL49" s="76">
        <f t="shared" si="12"/>
        <v>0</v>
      </c>
      <c r="AM49" s="76">
        <f t="shared" si="13"/>
        <v>0</v>
      </c>
    </row>
    <row r="50" spans="1:39" x14ac:dyDescent="0.25">
      <c r="A50" s="67" t="s">
        <v>218</v>
      </c>
      <c r="B50" s="64">
        <v>72214.5</v>
      </c>
      <c r="C50" s="64">
        <v>65282</v>
      </c>
      <c r="D50" s="64">
        <v>72400.5</v>
      </c>
      <c r="E50" s="64">
        <v>70155</v>
      </c>
      <c r="F50" s="64">
        <v>72586.5</v>
      </c>
      <c r="G50" s="64">
        <v>70275</v>
      </c>
      <c r="H50" s="64">
        <v>72803.5</v>
      </c>
      <c r="I50" s="64">
        <v>72834.5</v>
      </c>
      <c r="J50" s="64">
        <v>70575</v>
      </c>
      <c r="K50" s="64">
        <v>72989.5</v>
      </c>
      <c r="L50" s="64">
        <v>70725</v>
      </c>
      <c r="M50" s="64">
        <v>73113.5</v>
      </c>
      <c r="O50">
        <v>2329.5</v>
      </c>
      <c r="P50">
        <v>2331.5</v>
      </c>
      <c r="Q50">
        <v>2335.5</v>
      </c>
      <c r="R50">
        <v>2338.5</v>
      </c>
      <c r="S50">
        <v>2341.5</v>
      </c>
      <c r="T50">
        <v>2342.5</v>
      </c>
      <c r="U50">
        <v>2348.5</v>
      </c>
      <c r="V50">
        <v>2349.5</v>
      </c>
      <c r="W50">
        <v>2352.5</v>
      </c>
      <c r="X50">
        <v>2354.5</v>
      </c>
      <c r="Y50">
        <v>2357.5</v>
      </c>
      <c r="Z50">
        <v>2358.5</v>
      </c>
      <c r="AB50" s="76">
        <f t="shared" si="2"/>
        <v>0</v>
      </c>
      <c r="AC50" s="76">
        <f t="shared" si="3"/>
        <v>0</v>
      </c>
      <c r="AD50" s="76">
        <f t="shared" si="4"/>
        <v>0</v>
      </c>
      <c r="AE50" s="76">
        <f t="shared" si="5"/>
        <v>0</v>
      </c>
      <c r="AF50" s="76">
        <f t="shared" si="6"/>
        <v>0</v>
      </c>
      <c r="AG50" s="76">
        <f t="shared" si="7"/>
        <v>0</v>
      </c>
      <c r="AH50" s="76">
        <f t="shared" si="8"/>
        <v>0</v>
      </c>
      <c r="AI50" s="76">
        <f t="shared" si="9"/>
        <v>0</v>
      </c>
      <c r="AJ50" s="76">
        <f t="shared" si="10"/>
        <v>0</v>
      </c>
      <c r="AK50" s="76">
        <f t="shared" si="11"/>
        <v>0</v>
      </c>
      <c r="AL50" s="76">
        <f t="shared" si="12"/>
        <v>0</v>
      </c>
      <c r="AM50" s="76">
        <f t="shared" si="13"/>
        <v>0</v>
      </c>
    </row>
    <row r="51" spans="1:39" x14ac:dyDescent="0.25">
      <c r="A51" s="68" t="s">
        <v>215</v>
      </c>
      <c r="B51" s="64">
        <v>72214.5</v>
      </c>
      <c r="C51" s="64">
        <v>65282</v>
      </c>
      <c r="D51" s="64">
        <v>72400.5</v>
      </c>
      <c r="E51" s="64">
        <v>70155</v>
      </c>
      <c r="F51" s="64">
        <v>72586.5</v>
      </c>
      <c r="G51" s="64">
        <v>70275</v>
      </c>
      <c r="H51" s="64">
        <v>72803.5</v>
      </c>
      <c r="I51" s="64">
        <v>72834.5</v>
      </c>
      <c r="J51" s="64">
        <v>70575</v>
      </c>
      <c r="K51" s="64">
        <v>72989.5</v>
      </c>
      <c r="L51" s="64">
        <v>70725</v>
      </c>
      <c r="M51" s="64">
        <v>73113.5</v>
      </c>
      <c r="O51">
        <v>2329.5</v>
      </c>
      <c r="P51">
        <v>2331.5</v>
      </c>
      <c r="Q51">
        <v>2335.5</v>
      </c>
      <c r="R51">
        <v>2338.5</v>
      </c>
      <c r="S51">
        <v>2341.5</v>
      </c>
      <c r="T51">
        <v>2342.5</v>
      </c>
      <c r="U51">
        <v>2348.5</v>
      </c>
      <c r="V51">
        <v>2349.5</v>
      </c>
      <c r="W51">
        <v>2352.5</v>
      </c>
      <c r="X51">
        <v>2354.5</v>
      </c>
      <c r="Y51">
        <v>2357.5</v>
      </c>
      <c r="Z51">
        <v>2358.5</v>
      </c>
      <c r="AB51" s="76">
        <f t="shared" si="2"/>
        <v>0</v>
      </c>
      <c r="AC51" s="76">
        <f t="shared" si="3"/>
        <v>0</v>
      </c>
      <c r="AD51" s="76">
        <f t="shared" si="4"/>
        <v>0</v>
      </c>
      <c r="AE51" s="76">
        <f t="shared" si="5"/>
        <v>0</v>
      </c>
      <c r="AF51" s="76">
        <f t="shared" si="6"/>
        <v>0</v>
      </c>
      <c r="AG51" s="76">
        <f t="shared" si="7"/>
        <v>0</v>
      </c>
      <c r="AH51" s="76">
        <f t="shared" si="8"/>
        <v>0</v>
      </c>
      <c r="AI51" s="76">
        <f t="shared" si="9"/>
        <v>0</v>
      </c>
      <c r="AJ51" s="76">
        <f t="shared" si="10"/>
        <v>0</v>
      </c>
      <c r="AK51" s="76">
        <f t="shared" si="11"/>
        <v>0</v>
      </c>
      <c r="AL51" s="76">
        <f t="shared" si="12"/>
        <v>0</v>
      </c>
      <c r="AM51" s="76">
        <f t="shared" si="13"/>
        <v>0</v>
      </c>
    </row>
    <row r="52" spans="1:39" x14ac:dyDescent="0.25">
      <c r="A52" s="65" t="s">
        <v>261</v>
      </c>
      <c r="B52" s="64">
        <v>1488</v>
      </c>
      <c r="C52" s="64">
        <v>1344</v>
      </c>
      <c r="D52" s="64">
        <v>1488</v>
      </c>
      <c r="E52" s="64">
        <v>1440</v>
      </c>
      <c r="F52" s="64">
        <v>1488</v>
      </c>
      <c r="G52" s="64">
        <v>1440</v>
      </c>
      <c r="H52" s="64">
        <v>1488</v>
      </c>
      <c r="I52" s="64">
        <v>1488</v>
      </c>
      <c r="J52" s="64">
        <v>1440</v>
      </c>
      <c r="K52" s="64">
        <v>1488</v>
      </c>
      <c r="L52" s="64">
        <v>1440</v>
      </c>
      <c r="M52" s="64">
        <v>1488</v>
      </c>
      <c r="O52">
        <v>48</v>
      </c>
      <c r="P52">
        <v>48</v>
      </c>
      <c r="Q52">
        <v>48</v>
      </c>
      <c r="R52">
        <v>48</v>
      </c>
      <c r="S52">
        <v>48</v>
      </c>
      <c r="T52">
        <v>48</v>
      </c>
      <c r="U52">
        <v>48</v>
      </c>
      <c r="V52">
        <v>48</v>
      </c>
      <c r="W52">
        <v>48</v>
      </c>
      <c r="X52">
        <v>48</v>
      </c>
      <c r="Y52">
        <v>48</v>
      </c>
      <c r="Z52">
        <v>48</v>
      </c>
      <c r="AB52" s="76">
        <f t="shared" si="2"/>
        <v>0</v>
      </c>
      <c r="AC52" s="76">
        <f t="shared" si="3"/>
        <v>0</v>
      </c>
      <c r="AD52" s="76">
        <f t="shared" si="4"/>
        <v>0</v>
      </c>
      <c r="AE52" s="76">
        <f t="shared" si="5"/>
        <v>0</v>
      </c>
      <c r="AF52" s="76">
        <f t="shared" si="6"/>
        <v>0</v>
      </c>
      <c r="AG52" s="76">
        <f t="shared" si="7"/>
        <v>0</v>
      </c>
      <c r="AH52" s="76">
        <f t="shared" si="8"/>
        <v>0</v>
      </c>
      <c r="AI52" s="76">
        <f t="shared" si="9"/>
        <v>0</v>
      </c>
      <c r="AJ52" s="76">
        <f t="shared" si="10"/>
        <v>0</v>
      </c>
      <c r="AK52" s="76">
        <f t="shared" si="11"/>
        <v>0</v>
      </c>
      <c r="AL52" s="76">
        <f t="shared" si="12"/>
        <v>0</v>
      </c>
      <c r="AM52" s="76">
        <f t="shared" si="13"/>
        <v>0</v>
      </c>
    </row>
    <row r="53" spans="1:39" x14ac:dyDescent="0.25">
      <c r="A53" s="65" t="s">
        <v>262</v>
      </c>
      <c r="B53" s="64">
        <v>2232</v>
      </c>
      <c r="C53" s="64">
        <v>2016</v>
      </c>
      <c r="D53" s="64">
        <v>2232</v>
      </c>
      <c r="E53" s="64">
        <v>2160</v>
      </c>
      <c r="F53" s="64">
        <v>2232</v>
      </c>
      <c r="G53" s="64">
        <v>2160</v>
      </c>
      <c r="H53" s="64">
        <v>2232</v>
      </c>
      <c r="I53" s="64">
        <v>2232</v>
      </c>
      <c r="J53" s="64">
        <v>2160</v>
      </c>
      <c r="K53" s="64">
        <v>2232</v>
      </c>
      <c r="L53" s="64">
        <v>2160</v>
      </c>
      <c r="M53" s="64">
        <v>2232</v>
      </c>
      <c r="O53">
        <v>72</v>
      </c>
      <c r="P53">
        <v>72</v>
      </c>
      <c r="Q53">
        <v>72</v>
      </c>
      <c r="R53">
        <v>72</v>
      </c>
      <c r="S53">
        <v>72</v>
      </c>
      <c r="T53">
        <v>72</v>
      </c>
      <c r="U53">
        <v>72</v>
      </c>
      <c r="V53">
        <v>72</v>
      </c>
      <c r="W53">
        <v>72</v>
      </c>
      <c r="X53">
        <v>72</v>
      </c>
      <c r="Y53">
        <v>72</v>
      </c>
      <c r="Z53">
        <v>72</v>
      </c>
      <c r="AB53" s="76">
        <f t="shared" si="2"/>
        <v>0</v>
      </c>
      <c r="AC53" s="76">
        <f t="shared" si="3"/>
        <v>0</v>
      </c>
      <c r="AD53" s="76">
        <f t="shared" si="4"/>
        <v>0</v>
      </c>
      <c r="AE53" s="76">
        <f t="shared" si="5"/>
        <v>0</v>
      </c>
      <c r="AF53" s="76">
        <f t="shared" si="6"/>
        <v>0</v>
      </c>
      <c r="AG53" s="76">
        <f t="shared" si="7"/>
        <v>0</v>
      </c>
      <c r="AH53" s="76">
        <f t="shared" si="8"/>
        <v>0</v>
      </c>
      <c r="AI53" s="76">
        <f t="shared" si="9"/>
        <v>0</v>
      </c>
      <c r="AJ53" s="76">
        <f t="shared" si="10"/>
        <v>0</v>
      </c>
      <c r="AK53" s="76">
        <f t="shared" si="11"/>
        <v>0</v>
      </c>
      <c r="AL53" s="76">
        <f t="shared" si="12"/>
        <v>0</v>
      </c>
      <c r="AM53" s="76">
        <f t="shared" si="13"/>
        <v>0</v>
      </c>
    </row>
    <row r="54" spans="1:39" x14ac:dyDescent="0.25">
      <c r="A54" s="65" t="s">
        <v>263</v>
      </c>
      <c r="B54" s="64">
        <v>1095.5400000000002</v>
      </c>
      <c r="C54" s="64">
        <v>989.52</v>
      </c>
      <c r="D54" s="64">
        <v>1095.5400000000002</v>
      </c>
      <c r="E54" s="64">
        <v>1060.2</v>
      </c>
      <c r="F54" s="64">
        <v>1095.5400000000002</v>
      </c>
      <c r="G54" s="64">
        <v>1060.2</v>
      </c>
      <c r="H54" s="64">
        <v>1095.5400000000002</v>
      </c>
      <c r="I54" s="64">
        <v>1095.5400000000002</v>
      </c>
      <c r="J54" s="64">
        <v>1060.2</v>
      </c>
      <c r="K54" s="64">
        <v>1095.5400000000002</v>
      </c>
      <c r="L54" s="64">
        <v>1060.2</v>
      </c>
      <c r="M54" s="64">
        <v>1095.5400000000002</v>
      </c>
      <c r="O54">
        <v>35.340000000000003</v>
      </c>
      <c r="P54">
        <v>35.340000000000003</v>
      </c>
      <c r="Q54">
        <v>35.340000000000003</v>
      </c>
      <c r="R54">
        <v>35.340000000000003</v>
      </c>
      <c r="S54">
        <v>35.340000000000003</v>
      </c>
      <c r="T54">
        <v>35.340000000000003</v>
      </c>
      <c r="U54">
        <v>35.340000000000003</v>
      </c>
      <c r="V54">
        <v>35.340000000000003</v>
      </c>
      <c r="W54">
        <v>35.340000000000003</v>
      </c>
      <c r="X54">
        <v>35.340000000000003</v>
      </c>
      <c r="Y54">
        <v>35.340000000000003</v>
      </c>
      <c r="Z54">
        <v>35.340000000000003</v>
      </c>
      <c r="AB54" s="76">
        <f t="shared" si="2"/>
        <v>0</v>
      </c>
      <c r="AC54" s="76">
        <f t="shared" si="3"/>
        <v>0</v>
      </c>
      <c r="AD54" s="76">
        <f t="shared" si="4"/>
        <v>0</v>
      </c>
      <c r="AE54" s="76">
        <f t="shared" si="5"/>
        <v>0</v>
      </c>
      <c r="AF54" s="76">
        <f t="shared" si="6"/>
        <v>0</v>
      </c>
      <c r="AG54" s="76">
        <f t="shared" si="7"/>
        <v>0</v>
      </c>
      <c r="AH54" s="76">
        <f t="shared" si="8"/>
        <v>0</v>
      </c>
      <c r="AI54" s="76">
        <f t="shared" si="9"/>
        <v>0</v>
      </c>
      <c r="AJ54" s="76">
        <f t="shared" si="10"/>
        <v>0</v>
      </c>
      <c r="AK54" s="76">
        <f t="shared" si="11"/>
        <v>0</v>
      </c>
      <c r="AL54" s="76">
        <f t="shared" si="12"/>
        <v>0</v>
      </c>
      <c r="AM54" s="76">
        <f t="shared" si="13"/>
        <v>0</v>
      </c>
    </row>
    <row r="55" spans="1:39" x14ac:dyDescent="0.25">
      <c r="A55" s="65" t="s">
        <v>211</v>
      </c>
      <c r="B55" s="64">
        <v>0</v>
      </c>
      <c r="C55" s="64">
        <v>0</v>
      </c>
      <c r="D55" s="64">
        <v>0</v>
      </c>
      <c r="E55" s="64">
        <v>0</v>
      </c>
      <c r="F55" s="64">
        <v>0</v>
      </c>
      <c r="G55" s="64">
        <v>0</v>
      </c>
      <c r="H55" s="64">
        <v>0</v>
      </c>
      <c r="I55" s="64">
        <v>0</v>
      </c>
      <c r="J55" s="64">
        <v>0</v>
      </c>
      <c r="K55" s="64">
        <v>0</v>
      </c>
      <c r="L55" s="64">
        <v>0</v>
      </c>
      <c r="M55" s="64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B55" s="76">
        <f t="shared" si="2"/>
        <v>0</v>
      </c>
      <c r="AC55" s="76">
        <f t="shared" si="3"/>
        <v>0</v>
      </c>
      <c r="AD55" s="76">
        <f t="shared" si="4"/>
        <v>0</v>
      </c>
      <c r="AE55" s="76">
        <f t="shared" si="5"/>
        <v>0</v>
      </c>
      <c r="AF55" s="76">
        <f t="shared" si="6"/>
        <v>0</v>
      </c>
      <c r="AG55" s="76">
        <f t="shared" si="7"/>
        <v>0</v>
      </c>
      <c r="AH55" s="76">
        <f t="shared" si="8"/>
        <v>0</v>
      </c>
      <c r="AI55" s="76">
        <f t="shared" si="9"/>
        <v>0</v>
      </c>
      <c r="AJ55" s="76">
        <f t="shared" si="10"/>
        <v>0</v>
      </c>
      <c r="AK55" s="76">
        <f t="shared" si="11"/>
        <v>0</v>
      </c>
      <c r="AL55" s="76">
        <f t="shared" si="12"/>
        <v>0</v>
      </c>
      <c r="AM55" s="76">
        <f t="shared" si="13"/>
        <v>0</v>
      </c>
    </row>
    <row r="56" spans="1:39" x14ac:dyDescent="0.25">
      <c r="A56" s="66" t="s">
        <v>259</v>
      </c>
      <c r="B56" s="64">
        <v>4815.54</v>
      </c>
      <c r="C56" s="64">
        <v>4349.5200000000004</v>
      </c>
      <c r="D56" s="64">
        <v>4815.54</v>
      </c>
      <c r="E56" s="64">
        <v>4660.2</v>
      </c>
      <c r="F56" s="64">
        <v>4815.54</v>
      </c>
      <c r="G56" s="64">
        <v>4660.2</v>
      </c>
      <c r="H56" s="64">
        <v>4815.54</v>
      </c>
      <c r="I56" s="64">
        <v>4815.54</v>
      </c>
      <c r="J56" s="64">
        <v>4660.2</v>
      </c>
      <c r="K56" s="64">
        <v>4815.54</v>
      </c>
      <c r="L56" s="64">
        <v>4660.2</v>
      </c>
      <c r="M56" s="64">
        <v>4815.54</v>
      </c>
      <c r="O56">
        <v>155.34</v>
      </c>
      <c r="P56">
        <v>155.34</v>
      </c>
      <c r="Q56">
        <v>155.34</v>
      </c>
      <c r="R56">
        <v>155.34</v>
      </c>
      <c r="S56">
        <v>155.34</v>
      </c>
      <c r="T56">
        <v>155.34</v>
      </c>
      <c r="U56">
        <v>155.34</v>
      </c>
      <c r="V56">
        <v>155.34</v>
      </c>
      <c r="W56">
        <v>155.34</v>
      </c>
      <c r="X56">
        <v>155.34</v>
      </c>
      <c r="Y56">
        <v>155.34</v>
      </c>
      <c r="Z56">
        <v>155.34</v>
      </c>
      <c r="AB56" s="76">
        <f t="shared" si="2"/>
        <v>0</v>
      </c>
      <c r="AC56" s="76">
        <f t="shared" si="3"/>
        <v>0</v>
      </c>
      <c r="AD56" s="76">
        <f t="shared" si="4"/>
        <v>0</v>
      </c>
      <c r="AE56" s="76">
        <f t="shared" si="5"/>
        <v>0</v>
      </c>
      <c r="AF56" s="76">
        <f t="shared" si="6"/>
        <v>0</v>
      </c>
      <c r="AG56" s="76">
        <f t="shared" si="7"/>
        <v>0</v>
      </c>
      <c r="AH56" s="76">
        <f t="shared" si="8"/>
        <v>0</v>
      </c>
      <c r="AI56" s="76">
        <f t="shared" si="9"/>
        <v>0</v>
      </c>
      <c r="AJ56" s="76">
        <f t="shared" si="10"/>
        <v>0</v>
      </c>
      <c r="AK56" s="76">
        <f t="shared" si="11"/>
        <v>0</v>
      </c>
      <c r="AL56" s="76">
        <f t="shared" si="12"/>
        <v>0</v>
      </c>
      <c r="AM56" s="76">
        <f t="shared" si="13"/>
        <v>0</v>
      </c>
    </row>
    <row r="57" spans="1:39" x14ac:dyDescent="0.25">
      <c r="A57" s="65" t="s">
        <v>264</v>
      </c>
      <c r="B57" s="64">
        <v>1922</v>
      </c>
      <c r="C57" s="64">
        <v>1736</v>
      </c>
      <c r="D57" s="64">
        <v>1922</v>
      </c>
      <c r="E57" s="64">
        <v>1860</v>
      </c>
      <c r="F57" s="64">
        <v>1922</v>
      </c>
      <c r="G57" s="64">
        <v>1860</v>
      </c>
      <c r="H57" s="64">
        <v>1922</v>
      </c>
      <c r="I57" s="64">
        <v>1922</v>
      </c>
      <c r="J57" s="64">
        <v>1860</v>
      </c>
      <c r="K57" s="64">
        <v>1922</v>
      </c>
      <c r="L57" s="64">
        <v>1860</v>
      </c>
      <c r="M57" s="64">
        <v>1922</v>
      </c>
      <c r="O57">
        <v>62</v>
      </c>
      <c r="P57">
        <v>62</v>
      </c>
      <c r="Q57">
        <v>62</v>
      </c>
      <c r="R57">
        <v>62</v>
      </c>
      <c r="S57">
        <v>62</v>
      </c>
      <c r="T57">
        <v>62</v>
      </c>
      <c r="U57">
        <v>62</v>
      </c>
      <c r="V57">
        <v>62</v>
      </c>
      <c r="W57">
        <v>62</v>
      </c>
      <c r="X57">
        <v>62</v>
      </c>
      <c r="Y57">
        <v>62</v>
      </c>
      <c r="Z57">
        <v>62</v>
      </c>
      <c r="AB57" s="76">
        <f t="shared" si="2"/>
        <v>0</v>
      </c>
      <c r="AC57" s="76">
        <f t="shared" si="3"/>
        <v>0</v>
      </c>
      <c r="AD57" s="76">
        <f t="shared" si="4"/>
        <v>0</v>
      </c>
      <c r="AE57" s="76">
        <f t="shared" si="5"/>
        <v>0</v>
      </c>
      <c r="AF57" s="76">
        <f t="shared" si="6"/>
        <v>0</v>
      </c>
      <c r="AG57" s="76">
        <f t="shared" si="7"/>
        <v>0</v>
      </c>
      <c r="AH57" s="76">
        <f t="shared" si="8"/>
        <v>0</v>
      </c>
      <c r="AI57" s="76">
        <f t="shared" si="9"/>
        <v>0</v>
      </c>
      <c r="AJ57" s="76">
        <f t="shared" si="10"/>
        <v>0</v>
      </c>
      <c r="AK57" s="76">
        <f t="shared" si="11"/>
        <v>0</v>
      </c>
      <c r="AL57" s="76">
        <f t="shared" si="12"/>
        <v>0</v>
      </c>
      <c r="AM57" s="76">
        <f t="shared" si="13"/>
        <v>0</v>
      </c>
    </row>
    <row r="58" spans="1:39" x14ac:dyDescent="0.25">
      <c r="A58" s="65" t="s">
        <v>265</v>
      </c>
      <c r="B58" s="64">
        <v>2604</v>
      </c>
      <c r="C58" s="64">
        <v>2352</v>
      </c>
      <c r="D58" s="64">
        <v>2604</v>
      </c>
      <c r="E58" s="64">
        <v>2520</v>
      </c>
      <c r="F58" s="64">
        <v>2604</v>
      </c>
      <c r="G58" s="64">
        <v>2520</v>
      </c>
      <c r="H58" s="64">
        <v>2604</v>
      </c>
      <c r="I58" s="64">
        <v>2604</v>
      </c>
      <c r="J58" s="64">
        <v>2520</v>
      </c>
      <c r="K58" s="64">
        <v>2604</v>
      </c>
      <c r="L58" s="64">
        <v>2520</v>
      </c>
      <c r="M58" s="64">
        <v>2604</v>
      </c>
      <c r="O58">
        <v>84</v>
      </c>
      <c r="P58">
        <v>84</v>
      </c>
      <c r="Q58">
        <v>84</v>
      </c>
      <c r="R58">
        <v>84</v>
      </c>
      <c r="S58">
        <v>84</v>
      </c>
      <c r="T58">
        <v>84</v>
      </c>
      <c r="U58">
        <v>84</v>
      </c>
      <c r="V58">
        <v>84</v>
      </c>
      <c r="W58">
        <v>84</v>
      </c>
      <c r="X58">
        <v>84</v>
      </c>
      <c r="Y58">
        <v>84</v>
      </c>
      <c r="Z58">
        <v>84</v>
      </c>
      <c r="AB58" s="76">
        <f t="shared" si="2"/>
        <v>0</v>
      </c>
      <c r="AC58" s="76">
        <f t="shared" si="3"/>
        <v>0</v>
      </c>
      <c r="AD58" s="76">
        <f t="shared" si="4"/>
        <v>0</v>
      </c>
      <c r="AE58" s="76">
        <f t="shared" si="5"/>
        <v>0</v>
      </c>
      <c r="AF58" s="76">
        <f t="shared" si="6"/>
        <v>0</v>
      </c>
      <c r="AG58" s="76">
        <f t="shared" si="7"/>
        <v>0</v>
      </c>
      <c r="AH58" s="76">
        <f t="shared" si="8"/>
        <v>0</v>
      </c>
      <c r="AI58" s="76">
        <f t="shared" si="9"/>
        <v>0</v>
      </c>
      <c r="AJ58" s="76">
        <f t="shared" si="10"/>
        <v>0</v>
      </c>
      <c r="AK58" s="76">
        <f t="shared" si="11"/>
        <v>0</v>
      </c>
      <c r="AL58" s="76">
        <f t="shared" si="12"/>
        <v>0</v>
      </c>
      <c r="AM58" s="76">
        <f t="shared" si="13"/>
        <v>0</v>
      </c>
    </row>
    <row r="59" spans="1:39" x14ac:dyDescent="0.25">
      <c r="A59" s="65" t="s">
        <v>266</v>
      </c>
      <c r="B59" s="64">
        <v>263.5</v>
      </c>
      <c r="C59" s="64">
        <v>238</v>
      </c>
      <c r="D59" s="64">
        <v>263.5</v>
      </c>
      <c r="E59" s="64">
        <v>255</v>
      </c>
      <c r="F59" s="64">
        <v>263.5</v>
      </c>
      <c r="G59" s="64">
        <v>255</v>
      </c>
      <c r="H59" s="64">
        <v>263.5</v>
      </c>
      <c r="I59" s="64">
        <v>263.5</v>
      </c>
      <c r="J59" s="64">
        <v>255</v>
      </c>
      <c r="K59" s="64">
        <v>263.5</v>
      </c>
      <c r="L59" s="64">
        <v>255</v>
      </c>
      <c r="M59" s="64">
        <v>263.5</v>
      </c>
      <c r="O59">
        <v>8.5</v>
      </c>
      <c r="P59">
        <v>8.5</v>
      </c>
      <c r="Q59">
        <v>8.5</v>
      </c>
      <c r="R59">
        <v>8.5</v>
      </c>
      <c r="S59">
        <v>8.5</v>
      </c>
      <c r="T59">
        <v>8.5</v>
      </c>
      <c r="U59">
        <v>8.5</v>
      </c>
      <c r="V59">
        <v>8.5</v>
      </c>
      <c r="W59">
        <v>8.5</v>
      </c>
      <c r="X59">
        <v>8.5</v>
      </c>
      <c r="Y59">
        <v>8.5</v>
      </c>
      <c r="Z59">
        <v>8.5</v>
      </c>
      <c r="AB59" s="76">
        <f t="shared" si="2"/>
        <v>0</v>
      </c>
      <c r="AC59" s="76">
        <f t="shared" si="3"/>
        <v>0</v>
      </c>
      <c r="AD59" s="76">
        <f t="shared" si="4"/>
        <v>0</v>
      </c>
      <c r="AE59" s="76">
        <f t="shared" si="5"/>
        <v>0</v>
      </c>
      <c r="AF59" s="76">
        <f t="shared" si="6"/>
        <v>0</v>
      </c>
      <c r="AG59" s="76">
        <f t="shared" si="7"/>
        <v>0</v>
      </c>
      <c r="AH59" s="76">
        <f t="shared" si="8"/>
        <v>0</v>
      </c>
      <c r="AI59" s="76">
        <f t="shared" si="9"/>
        <v>0</v>
      </c>
      <c r="AJ59" s="76">
        <f t="shared" si="10"/>
        <v>0</v>
      </c>
      <c r="AK59" s="76">
        <f t="shared" si="11"/>
        <v>0</v>
      </c>
      <c r="AL59" s="76">
        <f t="shared" si="12"/>
        <v>0</v>
      </c>
      <c r="AM59" s="76">
        <f t="shared" si="13"/>
        <v>0</v>
      </c>
    </row>
    <row r="60" spans="1:39" x14ac:dyDescent="0.25">
      <c r="A60" s="65" t="s">
        <v>267</v>
      </c>
      <c r="B60" s="64">
        <v>480.5</v>
      </c>
      <c r="C60" s="64">
        <v>434</v>
      </c>
      <c r="D60" s="64">
        <v>480.5</v>
      </c>
      <c r="E60" s="64">
        <v>465</v>
      </c>
      <c r="F60" s="64">
        <v>480.5</v>
      </c>
      <c r="G60" s="64">
        <v>465</v>
      </c>
      <c r="H60" s="64">
        <v>480.5</v>
      </c>
      <c r="I60" s="64">
        <v>480.5</v>
      </c>
      <c r="J60" s="64">
        <v>465</v>
      </c>
      <c r="K60" s="64">
        <v>480.5</v>
      </c>
      <c r="L60" s="64">
        <v>465</v>
      </c>
      <c r="M60" s="64">
        <v>480.5</v>
      </c>
      <c r="O60">
        <v>15.5</v>
      </c>
      <c r="P60">
        <v>15.5</v>
      </c>
      <c r="Q60">
        <v>15.5</v>
      </c>
      <c r="R60">
        <v>15.5</v>
      </c>
      <c r="S60">
        <v>15.5</v>
      </c>
      <c r="T60">
        <v>15.5</v>
      </c>
      <c r="U60">
        <v>15.5</v>
      </c>
      <c r="V60">
        <v>15.5</v>
      </c>
      <c r="W60">
        <v>15.5</v>
      </c>
      <c r="X60">
        <v>15.5</v>
      </c>
      <c r="Y60">
        <v>15.5</v>
      </c>
      <c r="Z60">
        <v>15.5</v>
      </c>
      <c r="AB60" s="76">
        <f t="shared" si="2"/>
        <v>0</v>
      </c>
      <c r="AC60" s="76">
        <f t="shared" si="3"/>
        <v>0</v>
      </c>
      <c r="AD60" s="76">
        <f t="shared" si="4"/>
        <v>0</v>
      </c>
      <c r="AE60" s="76">
        <f t="shared" si="5"/>
        <v>0</v>
      </c>
      <c r="AF60" s="76">
        <f t="shared" si="6"/>
        <v>0</v>
      </c>
      <c r="AG60" s="76">
        <f t="shared" si="7"/>
        <v>0</v>
      </c>
      <c r="AH60" s="76">
        <f t="shared" si="8"/>
        <v>0</v>
      </c>
      <c r="AI60" s="76">
        <f t="shared" si="9"/>
        <v>0</v>
      </c>
      <c r="AJ60" s="76">
        <f t="shared" si="10"/>
        <v>0</v>
      </c>
      <c r="AK60" s="76">
        <f t="shared" si="11"/>
        <v>0</v>
      </c>
      <c r="AL60" s="76">
        <f t="shared" si="12"/>
        <v>0</v>
      </c>
      <c r="AM60" s="76">
        <f t="shared" si="13"/>
        <v>0</v>
      </c>
    </row>
    <row r="61" spans="1:39" x14ac:dyDescent="0.25">
      <c r="A61" s="65" t="s">
        <v>212</v>
      </c>
      <c r="B61" s="64">
        <v>1891</v>
      </c>
      <c r="C61" s="64">
        <v>1708</v>
      </c>
      <c r="D61" s="64">
        <v>1891</v>
      </c>
      <c r="E61" s="64">
        <v>1830</v>
      </c>
      <c r="F61" s="64">
        <v>1891</v>
      </c>
      <c r="G61" s="64">
        <v>1830</v>
      </c>
      <c r="H61" s="64">
        <v>1891</v>
      </c>
      <c r="I61" s="64">
        <v>1891</v>
      </c>
      <c r="J61" s="64">
        <v>1830</v>
      </c>
      <c r="K61" s="64">
        <v>1891</v>
      </c>
      <c r="L61" s="64">
        <v>1830</v>
      </c>
      <c r="M61" s="64">
        <v>1891</v>
      </c>
      <c r="O61">
        <v>61</v>
      </c>
      <c r="P61">
        <v>61</v>
      </c>
      <c r="Q61">
        <v>61</v>
      </c>
      <c r="R61">
        <v>61</v>
      </c>
      <c r="S61">
        <v>61</v>
      </c>
      <c r="T61">
        <v>61</v>
      </c>
      <c r="U61">
        <v>61</v>
      </c>
      <c r="V61">
        <v>61</v>
      </c>
      <c r="W61">
        <v>61</v>
      </c>
      <c r="X61">
        <v>61</v>
      </c>
      <c r="Y61">
        <v>61</v>
      </c>
      <c r="Z61">
        <v>61</v>
      </c>
      <c r="AB61" s="76">
        <f t="shared" si="2"/>
        <v>0</v>
      </c>
      <c r="AC61" s="76">
        <f t="shared" si="3"/>
        <v>0</v>
      </c>
      <c r="AD61" s="76">
        <f t="shared" si="4"/>
        <v>0</v>
      </c>
      <c r="AE61" s="76">
        <f t="shared" si="5"/>
        <v>0</v>
      </c>
      <c r="AF61" s="76">
        <f t="shared" si="6"/>
        <v>0</v>
      </c>
      <c r="AG61" s="76">
        <f t="shared" si="7"/>
        <v>0</v>
      </c>
      <c r="AH61" s="76">
        <f t="shared" si="8"/>
        <v>0</v>
      </c>
      <c r="AI61" s="76">
        <f t="shared" si="9"/>
        <v>0</v>
      </c>
      <c r="AJ61" s="76">
        <f t="shared" si="10"/>
        <v>0</v>
      </c>
      <c r="AK61" s="76">
        <f t="shared" si="11"/>
        <v>0</v>
      </c>
      <c r="AL61" s="76">
        <f t="shared" si="12"/>
        <v>0</v>
      </c>
      <c r="AM61" s="76">
        <f t="shared" si="13"/>
        <v>0</v>
      </c>
    </row>
    <row r="62" spans="1:39" x14ac:dyDescent="0.25">
      <c r="A62" s="66" t="s">
        <v>260</v>
      </c>
      <c r="B62" s="64">
        <v>7161</v>
      </c>
      <c r="C62" s="64">
        <v>6468</v>
      </c>
      <c r="D62" s="64">
        <v>7161</v>
      </c>
      <c r="E62" s="64">
        <v>6930</v>
      </c>
      <c r="F62" s="64">
        <v>7161</v>
      </c>
      <c r="G62" s="64">
        <v>6930</v>
      </c>
      <c r="H62" s="64">
        <v>7161</v>
      </c>
      <c r="I62" s="64">
        <v>7161</v>
      </c>
      <c r="J62" s="64">
        <v>6930</v>
      </c>
      <c r="K62" s="64">
        <v>7161</v>
      </c>
      <c r="L62" s="64">
        <v>6930</v>
      </c>
      <c r="M62" s="64">
        <v>7161</v>
      </c>
      <c r="O62">
        <v>231</v>
      </c>
      <c r="P62">
        <v>231</v>
      </c>
      <c r="Q62">
        <v>231</v>
      </c>
      <c r="R62">
        <v>231</v>
      </c>
      <c r="S62">
        <v>231</v>
      </c>
      <c r="T62">
        <v>231</v>
      </c>
      <c r="U62">
        <v>231</v>
      </c>
      <c r="V62">
        <v>231</v>
      </c>
      <c r="W62">
        <v>231</v>
      </c>
      <c r="X62">
        <v>231</v>
      </c>
      <c r="Y62">
        <v>231</v>
      </c>
      <c r="Z62">
        <v>231</v>
      </c>
      <c r="AB62" s="76">
        <f t="shared" si="2"/>
        <v>0</v>
      </c>
      <c r="AC62" s="76">
        <f t="shared" si="3"/>
        <v>0</v>
      </c>
      <c r="AD62" s="76">
        <f t="shared" si="4"/>
        <v>0</v>
      </c>
      <c r="AE62" s="76">
        <f t="shared" si="5"/>
        <v>0</v>
      </c>
      <c r="AF62" s="76">
        <f t="shared" si="6"/>
        <v>0</v>
      </c>
      <c r="AG62" s="76">
        <f t="shared" si="7"/>
        <v>0</v>
      </c>
      <c r="AH62" s="76">
        <f t="shared" si="8"/>
        <v>0</v>
      </c>
      <c r="AI62" s="76">
        <f t="shared" si="9"/>
        <v>0</v>
      </c>
      <c r="AJ62" s="76">
        <f t="shared" si="10"/>
        <v>0</v>
      </c>
      <c r="AK62" s="76">
        <f t="shared" si="11"/>
        <v>0</v>
      </c>
      <c r="AL62" s="76">
        <f t="shared" si="12"/>
        <v>0</v>
      </c>
      <c r="AM62" s="76">
        <f t="shared" si="13"/>
        <v>0</v>
      </c>
    </row>
    <row r="63" spans="1:39" x14ac:dyDescent="0.25">
      <c r="A63" s="67" t="s">
        <v>258</v>
      </c>
      <c r="B63" s="64">
        <v>11976.54</v>
      </c>
      <c r="C63" s="64">
        <v>10817.52</v>
      </c>
      <c r="D63" s="64">
        <v>11976.54</v>
      </c>
      <c r="E63" s="64">
        <v>11590.2</v>
      </c>
      <c r="F63" s="64">
        <v>11976.54</v>
      </c>
      <c r="G63" s="64">
        <v>11590.2</v>
      </c>
      <c r="H63" s="64">
        <v>11976.54</v>
      </c>
      <c r="I63" s="64">
        <v>11976.54</v>
      </c>
      <c r="J63" s="64">
        <v>11590.2</v>
      </c>
      <c r="K63" s="64">
        <v>11976.54</v>
      </c>
      <c r="L63" s="64">
        <v>11590.2</v>
      </c>
      <c r="M63" s="64">
        <v>11976.54</v>
      </c>
      <c r="O63">
        <v>386.34</v>
      </c>
      <c r="P63">
        <v>386.34</v>
      </c>
      <c r="Q63">
        <v>386.34</v>
      </c>
      <c r="R63">
        <v>386.34</v>
      </c>
      <c r="S63">
        <v>386.34</v>
      </c>
      <c r="T63">
        <v>386.34</v>
      </c>
      <c r="U63">
        <v>386.34</v>
      </c>
      <c r="V63">
        <v>386.34</v>
      </c>
      <c r="W63">
        <v>386.34</v>
      </c>
      <c r="X63">
        <v>386.34</v>
      </c>
      <c r="Y63">
        <v>386.34</v>
      </c>
      <c r="Z63">
        <v>386.34</v>
      </c>
      <c r="AB63" s="76">
        <f t="shared" si="2"/>
        <v>0</v>
      </c>
      <c r="AC63" s="76">
        <f t="shared" si="3"/>
        <v>0</v>
      </c>
      <c r="AD63" s="76">
        <f t="shared" si="4"/>
        <v>0</v>
      </c>
      <c r="AE63" s="76">
        <f t="shared" si="5"/>
        <v>0</v>
      </c>
      <c r="AF63" s="76">
        <f t="shared" si="6"/>
        <v>0</v>
      </c>
      <c r="AG63" s="76">
        <f t="shared" si="7"/>
        <v>0</v>
      </c>
      <c r="AH63" s="76">
        <f t="shared" si="8"/>
        <v>0</v>
      </c>
      <c r="AI63" s="76">
        <f t="shared" si="9"/>
        <v>0</v>
      </c>
      <c r="AJ63" s="76">
        <f t="shared" si="10"/>
        <v>0</v>
      </c>
      <c r="AK63" s="76">
        <f t="shared" si="11"/>
        <v>0</v>
      </c>
      <c r="AL63" s="76">
        <f t="shared" si="12"/>
        <v>0</v>
      </c>
      <c r="AM63" s="76">
        <f t="shared" si="13"/>
        <v>0</v>
      </c>
    </row>
    <row r="64" spans="1:39" x14ac:dyDescent="0.25">
      <c r="A64" s="68" t="s">
        <v>216</v>
      </c>
      <c r="B64" s="64">
        <v>11976.54</v>
      </c>
      <c r="C64" s="64">
        <v>10817.52</v>
      </c>
      <c r="D64" s="64">
        <v>11976.54</v>
      </c>
      <c r="E64" s="64">
        <v>11590.2</v>
      </c>
      <c r="F64" s="64">
        <v>11976.54</v>
      </c>
      <c r="G64" s="64">
        <v>11590.2</v>
      </c>
      <c r="H64" s="64">
        <v>11976.54</v>
      </c>
      <c r="I64" s="64">
        <v>11976.54</v>
      </c>
      <c r="J64" s="64">
        <v>11590.2</v>
      </c>
      <c r="K64" s="64">
        <v>11976.54</v>
      </c>
      <c r="L64" s="64">
        <v>11590.2</v>
      </c>
      <c r="M64" s="64">
        <v>11976.54</v>
      </c>
      <c r="O64">
        <v>386.34</v>
      </c>
      <c r="P64">
        <v>386.34</v>
      </c>
      <c r="Q64">
        <v>386.34</v>
      </c>
      <c r="R64">
        <v>386.34</v>
      </c>
      <c r="S64">
        <v>386.34</v>
      </c>
      <c r="T64">
        <v>386.34</v>
      </c>
      <c r="U64">
        <v>386.34</v>
      </c>
      <c r="V64">
        <v>386.34</v>
      </c>
      <c r="W64">
        <v>386.34</v>
      </c>
      <c r="X64">
        <v>386.34</v>
      </c>
      <c r="Y64">
        <v>386.34</v>
      </c>
      <c r="Z64">
        <v>386.34</v>
      </c>
      <c r="AB64" s="76">
        <f t="shared" si="2"/>
        <v>0</v>
      </c>
      <c r="AC64" s="76">
        <f t="shared" si="3"/>
        <v>0</v>
      </c>
      <c r="AD64" s="76">
        <f t="shared" si="4"/>
        <v>0</v>
      </c>
      <c r="AE64" s="76">
        <f t="shared" si="5"/>
        <v>0</v>
      </c>
      <c r="AF64" s="76">
        <f t="shared" si="6"/>
        <v>0</v>
      </c>
      <c r="AG64" s="76">
        <f t="shared" si="7"/>
        <v>0</v>
      </c>
      <c r="AH64" s="76">
        <f t="shared" si="8"/>
        <v>0</v>
      </c>
      <c r="AI64" s="76">
        <f t="shared" si="9"/>
        <v>0</v>
      </c>
      <c r="AJ64" s="76">
        <f t="shared" si="10"/>
        <v>0</v>
      </c>
      <c r="AK64" s="76">
        <f t="shared" si="11"/>
        <v>0</v>
      </c>
      <c r="AL64" s="76">
        <f t="shared" si="12"/>
        <v>0</v>
      </c>
      <c r="AM64" s="76">
        <f t="shared" si="13"/>
        <v>0</v>
      </c>
    </row>
    <row r="65" spans="1:39" x14ac:dyDescent="0.25">
      <c r="A65" s="66" t="s">
        <v>271</v>
      </c>
      <c r="B65" s="64">
        <v>1112.5899999999999</v>
      </c>
      <c r="C65" s="64">
        <v>1004.92</v>
      </c>
      <c r="D65" s="64">
        <v>1112.5899999999999</v>
      </c>
      <c r="E65" s="64">
        <v>1076.7</v>
      </c>
      <c r="F65" s="64">
        <v>1112.5899999999999</v>
      </c>
      <c r="G65" s="64">
        <v>1076.7</v>
      </c>
      <c r="H65" s="64">
        <v>1112.5899999999999</v>
      </c>
      <c r="I65" s="64">
        <v>1112.5899999999999</v>
      </c>
      <c r="J65" s="64">
        <v>1076.7</v>
      </c>
      <c r="K65" s="64">
        <v>1112.5899999999999</v>
      </c>
      <c r="L65" s="64">
        <v>1076.7</v>
      </c>
      <c r="M65" s="64">
        <v>1112.5899999999999</v>
      </c>
      <c r="O65">
        <v>35.89</v>
      </c>
      <c r="P65">
        <v>35.89</v>
      </c>
      <c r="Q65">
        <v>35.89</v>
      </c>
      <c r="R65">
        <v>35.89</v>
      </c>
      <c r="S65">
        <v>35.89</v>
      </c>
      <c r="T65">
        <v>35.89</v>
      </c>
      <c r="U65">
        <v>35.89</v>
      </c>
      <c r="V65">
        <v>35.89</v>
      </c>
      <c r="W65">
        <v>35.89</v>
      </c>
      <c r="X65">
        <v>35.89</v>
      </c>
      <c r="Y65">
        <v>35.89</v>
      </c>
      <c r="Z65">
        <v>35.89</v>
      </c>
      <c r="AB65" s="76">
        <f t="shared" si="2"/>
        <v>0</v>
      </c>
      <c r="AC65" s="76">
        <f t="shared" si="3"/>
        <v>0</v>
      </c>
      <c r="AD65" s="76">
        <f t="shared" si="4"/>
        <v>0</v>
      </c>
      <c r="AE65" s="76">
        <f t="shared" si="5"/>
        <v>0</v>
      </c>
      <c r="AF65" s="76">
        <f t="shared" si="6"/>
        <v>0</v>
      </c>
      <c r="AG65" s="76">
        <f t="shared" si="7"/>
        <v>0</v>
      </c>
      <c r="AH65" s="76">
        <f t="shared" si="8"/>
        <v>0</v>
      </c>
      <c r="AI65" s="76">
        <f t="shared" si="9"/>
        <v>0</v>
      </c>
      <c r="AJ65" s="76">
        <f t="shared" si="10"/>
        <v>0</v>
      </c>
      <c r="AK65" s="76">
        <f t="shared" si="11"/>
        <v>0</v>
      </c>
      <c r="AL65" s="76">
        <f t="shared" si="12"/>
        <v>0</v>
      </c>
      <c r="AM65" s="76">
        <f t="shared" si="13"/>
        <v>0</v>
      </c>
    </row>
    <row r="66" spans="1:39" x14ac:dyDescent="0.25">
      <c r="A66" s="66" t="s">
        <v>272</v>
      </c>
      <c r="B66" s="64">
        <v>1082.52</v>
      </c>
      <c r="C66" s="64">
        <v>977.76</v>
      </c>
      <c r="D66" s="64">
        <v>1082.52</v>
      </c>
      <c r="E66" s="64">
        <v>1047.5999999999999</v>
      </c>
      <c r="F66" s="64">
        <v>1082.52</v>
      </c>
      <c r="G66" s="64">
        <v>1047.5999999999999</v>
      </c>
      <c r="H66" s="64">
        <v>1082.52</v>
      </c>
      <c r="I66" s="64">
        <v>1082.52</v>
      </c>
      <c r="J66" s="64">
        <v>1047.5999999999999</v>
      </c>
      <c r="K66" s="64">
        <v>1082.52</v>
      </c>
      <c r="L66" s="64">
        <v>1047.5999999999999</v>
      </c>
      <c r="M66" s="64">
        <v>1082.52</v>
      </c>
      <c r="O66">
        <v>34.92</v>
      </c>
      <c r="P66">
        <v>34.92</v>
      </c>
      <c r="Q66">
        <v>34.92</v>
      </c>
      <c r="R66">
        <v>34.92</v>
      </c>
      <c r="S66">
        <v>34.92</v>
      </c>
      <c r="T66">
        <v>34.92</v>
      </c>
      <c r="U66">
        <v>34.92</v>
      </c>
      <c r="V66">
        <v>34.92</v>
      </c>
      <c r="W66">
        <v>34.92</v>
      </c>
      <c r="X66">
        <v>34.92</v>
      </c>
      <c r="Y66">
        <v>34.92</v>
      </c>
      <c r="Z66">
        <v>34.92</v>
      </c>
      <c r="AB66" s="76">
        <f t="shared" si="2"/>
        <v>0</v>
      </c>
      <c r="AC66" s="76">
        <f t="shared" si="3"/>
        <v>0</v>
      </c>
      <c r="AD66" s="76">
        <f t="shared" si="4"/>
        <v>0</v>
      </c>
      <c r="AE66" s="76">
        <f t="shared" si="5"/>
        <v>0</v>
      </c>
      <c r="AF66" s="76">
        <f t="shared" si="6"/>
        <v>0</v>
      </c>
      <c r="AG66" s="76">
        <f t="shared" si="7"/>
        <v>0</v>
      </c>
      <c r="AH66" s="76">
        <f t="shared" si="8"/>
        <v>0</v>
      </c>
      <c r="AI66" s="76">
        <f t="shared" si="9"/>
        <v>0</v>
      </c>
      <c r="AJ66" s="76">
        <f t="shared" si="10"/>
        <v>0</v>
      </c>
      <c r="AK66" s="76">
        <f t="shared" si="11"/>
        <v>0</v>
      </c>
      <c r="AL66" s="76">
        <f t="shared" si="12"/>
        <v>0</v>
      </c>
      <c r="AM66" s="76">
        <f t="shared" si="13"/>
        <v>0</v>
      </c>
    </row>
    <row r="67" spans="1:39" x14ac:dyDescent="0.25">
      <c r="A67" s="66" t="s">
        <v>274</v>
      </c>
      <c r="B67" s="64">
        <v>1116</v>
      </c>
      <c r="C67" s="64">
        <v>1031.8</v>
      </c>
      <c r="D67" s="64">
        <v>1194.74</v>
      </c>
      <c r="E67" s="64">
        <v>1191.5999999999999</v>
      </c>
      <c r="F67" s="64">
        <v>1252.0899999999999</v>
      </c>
      <c r="G67" s="64">
        <v>1224.5999999999999</v>
      </c>
      <c r="H67" s="64">
        <v>1268.52</v>
      </c>
      <c r="I67" s="64">
        <v>1268.52</v>
      </c>
      <c r="J67" s="64">
        <v>1227.5999999999999</v>
      </c>
      <c r="K67" s="64">
        <v>1268.52</v>
      </c>
      <c r="L67" s="64">
        <v>1227.5999999999999</v>
      </c>
      <c r="M67" s="64">
        <v>1268.52</v>
      </c>
      <c r="O67">
        <v>36</v>
      </c>
      <c r="P67">
        <v>36.85</v>
      </c>
      <c r="Q67">
        <v>38.54</v>
      </c>
      <c r="R67">
        <v>39.72</v>
      </c>
      <c r="S67">
        <v>40.39</v>
      </c>
      <c r="T67">
        <v>40.82</v>
      </c>
      <c r="U67">
        <v>40.92</v>
      </c>
      <c r="V67">
        <v>40.92</v>
      </c>
      <c r="W67">
        <v>40.92</v>
      </c>
      <c r="X67">
        <v>40.92</v>
      </c>
      <c r="Y67">
        <v>40.92</v>
      </c>
      <c r="Z67">
        <v>40.92</v>
      </c>
      <c r="AB67" s="76">
        <f t="shared" si="2"/>
        <v>0</v>
      </c>
      <c r="AC67" s="76">
        <f t="shared" si="3"/>
        <v>0</v>
      </c>
      <c r="AD67" s="76">
        <f t="shared" si="4"/>
        <v>0</v>
      </c>
      <c r="AE67" s="76">
        <f t="shared" si="5"/>
        <v>0</v>
      </c>
      <c r="AF67" s="76">
        <f t="shared" si="6"/>
        <v>0</v>
      </c>
      <c r="AG67" s="76">
        <f t="shared" si="7"/>
        <v>0</v>
      </c>
      <c r="AH67" s="76">
        <f t="shared" si="8"/>
        <v>0</v>
      </c>
      <c r="AI67" s="76">
        <f t="shared" si="9"/>
        <v>0</v>
      </c>
      <c r="AJ67" s="76">
        <f t="shared" si="10"/>
        <v>0</v>
      </c>
      <c r="AK67" s="76">
        <f t="shared" si="11"/>
        <v>0</v>
      </c>
      <c r="AL67" s="76">
        <f t="shared" si="12"/>
        <v>0</v>
      </c>
      <c r="AM67" s="76">
        <f t="shared" si="13"/>
        <v>0</v>
      </c>
    </row>
    <row r="68" spans="1:39" x14ac:dyDescent="0.25">
      <c r="A68" s="67" t="s">
        <v>268</v>
      </c>
      <c r="B68" s="64">
        <v>3311.1099999999997</v>
      </c>
      <c r="C68" s="64">
        <v>3014.48</v>
      </c>
      <c r="D68" s="64">
        <v>3389.8500000000004</v>
      </c>
      <c r="E68" s="64">
        <v>3315.8999999999996</v>
      </c>
      <c r="F68" s="64">
        <v>3447.2</v>
      </c>
      <c r="G68" s="64">
        <v>3348.8999999999996</v>
      </c>
      <c r="H68" s="64">
        <v>3463.63</v>
      </c>
      <c r="I68" s="64">
        <v>3463.63</v>
      </c>
      <c r="J68" s="64">
        <v>3351.9000000000005</v>
      </c>
      <c r="K68" s="64">
        <v>3463.63</v>
      </c>
      <c r="L68" s="64">
        <v>3351.9000000000005</v>
      </c>
      <c r="M68" s="64">
        <v>3463.63</v>
      </c>
      <c r="O68">
        <v>106.81</v>
      </c>
      <c r="P68">
        <v>107.66</v>
      </c>
      <c r="Q68">
        <v>109.35</v>
      </c>
      <c r="R68">
        <v>110.53</v>
      </c>
      <c r="S68">
        <v>111.2</v>
      </c>
      <c r="T68">
        <v>111.63</v>
      </c>
      <c r="U68">
        <v>111.73</v>
      </c>
      <c r="V68">
        <v>111.73</v>
      </c>
      <c r="W68">
        <v>111.73</v>
      </c>
      <c r="X68">
        <v>111.73</v>
      </c>
      <c r="Y68">
        <v>111.73</v>
      </c>
      <c r="Z68">
        <v>111.73</v>
      </c>
      <c r="AB68" s="76">
        <f t="shared" si="2"/>
        <v>0</v>
      </c>
      <c r="AC68" s="76">
        <f t="shared" si="3"/>
        <v>0</v>
      </c>
      <c r="AD68" s="76">
        <f t="shared" si="4"/>
        <v>0</v>
      </c>
      <c r="AE68" s="76">
        <f t="shared" si="5"/>
        <v>0</v>
      </c>
      <c r="AF68" s="76">
        <f t="shared" si="6"/>
        <v>0</v>
      </c>
      <c r="AG68" s="76">
        <f t="shared" si="7"/>
        <v>0</v>
      </c>
      <c r="AH68" s="76">
        <f t="shared" si="8"/>
        <v>0</v>
      </c>
      <c r="AI68" s="76">
        <f t="shared" si="9"/>
        <v>0</v>
      </c>
      <c r="AJ68" s="76">
        <f t="shared" si="10"/>
        <v>0</v>
      </c>
      <c r="AK68" s="76">
        <f t="shared" si="11"/>
        <v>0</v>
      </c>
      <c r="AL68" s="76">
        <f t="shared" si="12"/>
        <v>0</v>
      </c>
      <c r="AM68" s="76">
        <f t="shared" si="13"/>
        <v>0</v>
      </c>
    </row>
    <row r="69" spans="1:39" x14ac:dyDescent="0.25">
      <c r="A69" s="66" t="s">
        <v>275</v>
      </c>
      <c r="B69" s="64">
        <v>751.75</v>
      </c>
      <c r="C69" s="64">
        <v>679</v>
      </c>
      <c r="D69" s="64">
        <v>751.75</v>
      </c>
      <c r="E69" s="64">
        <v>727.5</v>
      </c>
      <c r="F69" s="64">
        <v>751.75</v>
      </c>
      <c r="G69" s="64">
        <v>727.5</v>
      </c>
      <c r="H69" s="64">
        <v>751.75</v>
      </c>
      <c r="I69" s="64">
        <v>751.75</v>
      </c>
      <c r="J69" s="64">
        <v>727.5</v>
      </c>
      <c r="K69" s="64">
        <v>751.75</v>
      </c>
      <c r="L69" s="64">
        <v>727.5</v>
      </c>
      <c r="M69" s="64">
        <v>751.75</v>
      </c>
      <c r="O69">
        <v>24.25</v>
      </c>
      <c r="P69">
        <v>24.25</v>
      </c>
      <c r="Q69">
        <v>24.25</v>
      </c>
      <c r="R69">
        <v>24.25</v>
      </c>
      <c r="S69">
        <v>24.25</v>
      </c>
      <c r="T69">
        <v>24.25</v>
      </c>
      <c r="U69">
        <v>24.25</v>
      </c>
      <c r="V69">
        <v>24.25</v>
      </c>
      <c r="W69">
        <v>24.25</v>
      </c>
      <c r="X69">
        <v>24.25</v>
      </c>
      <c r="Y69">
        <v>24.25</v>
      </c>
      <c r="Z69">
        <v>24.25</v>
      </c>
      <c r="AB69" s="76">
        <f t="shared" si="2"/>
        <v>0</v>
      </c>
      <c r="AC69" s="76">
        <f t="shared" si="3"/>
        <v>0</v>
      </c>
      <c r="AD69" s="76">
        <f t="shared" si="4"/>
        <v>0</v>
      </c>
      <c r="AE69" s="76">
        <f t="shared" si="5"/>
        <v>0</v>
      </c>
      <c r="AF69" s="76">
        <f t="shared" si="6"/>
        <v>0</v>
      </c>
      <c r="AG69" s="76">
        <f t="shared" si="7"/>
        <v>0</v>
      </c>
      <c r="AH69" s="76">
        <f t="shared" si="8"/>
        <v>0</v>
      </c>
      <c r="AI69" s="76">
        <f t="shared" si="9"/>
        <v>0</v>
      </c>
      <c r="AJ69" s="76">
        <f t="shared" si="10"/>
        <v>0</v>
      </c>
      <c r="AK69" s="76">
        <f t="shared" si="11"/>
        <v>0</v>
      </c>
      <c r="AL69" s="76">
        <f t="shared" si="12"/>
        <v>0</v>
      </c>
      <c r="AM69" s="76">
        <f t="shared" si="13"/>
        <v>0</v>
      </c>
    </row>
    <row r="70" spans="1:39" x14ac:dyDescent="0.25">
      <c r="A70" s="66" t="s">
        <v>277</v>
      </c>
      <c r="B70" s="64">
        <v>2049.1</v>
      </c>
      <c r="C70" s="64">
        <v>1864.7999999999995</v>
      </c>
      <c r="D70" s="64">
        <v>2083.2000000000003</v>
      </c>
      <c r="E70" s="64">
        <v>2031</v>
      </c>
      <c r="F70" s="64">
        <v>2117.2999999999997</v>
      </c>
      <c r="G70" s="64">
        <v>2064</v>
      </c>
      <c r="H70" s="64">
        <v>2148.2999999999997</v>
      </c>
      <c r="I70" s="64">
        <v>2166.9</v>
      </c>
      <c r="J70" s="64">
        <v>2112</v>
      </c>
      <c r="K70" s="64">
        <v>2197.9</v>
      </c>
      <c r="L70" s="64">
        <v>2142</v>
      </c>
      <c r="M70" s="64">
        <v>2232</v>
      </c>
      <c r="O70">
        <v>66.099999999999994</v>
      </c>
      <c r="P70">
        <v>66.599999999999994</v>
      </c>
      <c r="Q70">
        <v>67.2</v>
      </c>
      <c r="R70">
        <v>67.7</v>
      </c>
      <c r="S70">
        <v>68.3</v>
      </c>
      <c r="T70">
        <v>68.8</v>
      </c>
      <c r="U70">
        <v>69.3</v>
      </c>
      <c r="V70">
        <v>69.900000000000006</v>
      </c>
      <c r="W70">
        <v>70.400000000000006</v>
      </c>
      <c r="X70">
        <v>70.900000000000006</v>
      </c>
      <c r="Y70">
        <v>71.400000000000006</v>
      </c>
      <c r="Z70">
        <v>72</v>
      </c>
      <c r="AB70" s="76">
        <f t="shared" ref="AB70:AB75" si="14">B70/B$1-O70</f>
        <v>0</v>
      </c>
      <c r="AC70" s="76">
        <f t="shared" ref="AC70:AC75" si="15">C70/C$1-P70</f>
        <v>0</v>
      </c>
      <c r="AD70" s="76">
        <f t="shared" ref="AD70:AD75" si="16">D70/D$1-Q70</f>
        <v>0</v>
      </c>
      <c r="AE70" s="76">
        <f t="shared" ref="AE70:AE75" si="17">E70/E$1-R70</f>
        <v>0</v>
      </c>
      <c r="AF70" s="76">
        <f t="shared" ref="AF70:AF75" si="18">F70/F$1-S70</f>
        <v>0</v>
      </c>
      <c r="AG70" s="76">
        <f t="shared" ref="AG70:AG75" si="19">G70/G$1-T70</f>
        <v>0</v>
      </c>
      <c r="AH70" s="76">
        <f t="shared" ref="AH70:AH75" si="20">H70/H$1-U70</f>
        <v>0</v>
      </c>
      <c r="AI70" s="76">
        <f t="shared" ref="AI70:AI75" si="21">I70/I$1-V70</f>
        <v>0</v>
      </c>
      <c r="AJ70" s="76">
        <f t="shared" ref="AJ70:AJ75" si="22">J70/J$1-W70</f>
        <v>0</v>
      </c>
      <c r="AK70" s="76">
        <f t="shared" ref="AK70:AK75" si="23">K70/K$1-X70</f>
        <v>0</v>
      </c>
      <c r="AL70" s="76">
        <f t="shared" ref="AL70:AL75" si="24">L70/L$1-Y70</f>
        <v>0</v>
      </c>
      <c r="AM70" s="76">
        <f t="shared" ref="AM70:AM75" si="25">M70/M$1-Z70</f>
        <v>0</v>
      </c>
    </row>
    <row r="71" spans="1:39" x14ac:dyDescent="0.25">
      <c r="A71" s="67" t="s">
        <v>269</v>
      </c>
      <c r="B71" s="64">
        <v>2800.85</v>
      </c>
      <c r="C71" s="64">
        <v>2543.7999999999997</v>
      </c>
      <c r="D71" s="64">
        <v>2834.9500000000003</v>
      </c>
      <c r="E71" s="64">
        <v>2758.5</v>
      </c>
      <c r="F71" s="64">
        <v>2869.0499999999997</v>
      </c>
      <c r="G71" s="64">
        <v>2941.5</v>
      </c>
      <c r="H71" s="64">
        <v>3225.5499999999997</v>
      </c>
      <c r="I71" s="64">
        <v>3275.15</v>
      </c>
      <c r="J71" s="64">
        <v>3214.5</v>
      </c>
      <c r="K71" s="64">
        <v>3368.15</v>
      </c>
      <c r="L71" s="64">
        <v>3304.5</v>
      </c>
      <c r="M71" s="64">
        <v>3464.25</v>
      </c>
      <c r="O71">
        <v>90.35</v>
      </c>
      <c r="P71">
        <v>90.85</v>
      </c>
      <c r="Q71">
        <v>91.45</v>
      </c>
      <c r="R71">
        <v>91.95</v>
      </c>
      <c r="S71">
        <v>92.55</v>
      </c>
      <c r="T71">
        <v>98.05</v>
      </c>
      <c r="U71">
        <v>104.05</v>
      </c>
      <c r="V71">
        <v>105.65</v>
      </c>
      <c r="W71">
        <v>107.15</v>
      </c>
      <c r="X71">
        <v>108.65</v>
      </c>
      <c r="Y71">
        <v>110.15</v>
      </c>
      <c r="Z71">
        <v>111.75</v>
      </c>
      <c r="AB71" s="76">
        <f t="shared" si="14"/>
        <v>0</v>
      </c>
      <c r="AC71" s="76">
        <f t="shared" si="15"/>
        <v>0</v>
      </c>
      <c r="AD71" s="76">
        <f t="shared" si="16"/>
        <v>0</v>
      </c>
      <c r="AE71" s="76">
        <f t="shared" si="17"/>
        <v>0</v>
      </c>
      <c r="AF71" s="76">
        <f t="shared" si="18"/>
        <v>0</v>
      </c>
      <c r="AG71" s="76">
        <f t="shared" si="19"/>
        <v>0</v>
      </c>
      <c r="AH71" s="76">
        <f t="shared" si="20"/>
        <v>0</v>
      </c>
      <c r="AI71" s="76">
        <f t="shared" si="21"/>
        <v>0</v>
      </c>
      <c r="AJ71" s="76">
        <f t="shared" si="22"/>
        <v>0</v>
      </c>
      <c r="AK71" s="76">
        <f t="shared" si="23"/>
        <v>0</v>
      </c>
      <c r="AL71" s="76">
        <f t="shared" si="24"/>
        <v>0</v>
      </c>
      <c r="AM71" s="76">
        <f t="shared" si="25"/>
        <v>0</v>
      </c>
    </row>
    <row r="72" spans="1:39" x14ac:dyDescent="0.25">
      <c r="A72" s="66" t="s">
        <v>278</v>
      </c>
      <c r="B72" s="64">
        <v>1302</v>
      </c>
      <c r="C72" s="64">
        <v>1171.24</v>
      </c>
      <c r="D72" s="64">
        <v>1285.8800000000001</v>
      </c>
      <c r="E72" s="64">
        <v>1233.9000000000001</v>
      </c>
      <c r="F72" s="64">
        <v>1264.49</v>
      </c>
      <c r="G72" s="64">
        <v>1213.5</v>
      </c>
      <c r="H72" s="64">
        <v>1243.4100000000001</v>
      </c>
      <c r="I72" s="64">
        <v>1236.5899999999999</v>
      </c>
      <c r="J72" s="64">
        <v>1205.0999999999999</v>
      </c>
      <c r="K72" s="64">
        <v>1266.0400000000002</v>
      </c>
      <c r="L72" s="64">
        <v>1245</v>
      </c>
      <c r="M72" s="64">
        <v>1306.6500000000001</v>
      </c>
      <c r="O72">
        <v>42</v>
      </c>
      <c r="P72">
        <v>41.83</v>
      </c>
      <c r="Q72">
        <v>41.48</v>
      </c>
      <c r="R72">
        <v>41.13</v>
      </c>
      <c r="S72">
        <v>40.79</v>
      </c>
      <c r="T72">
        <v>40.450000000000003</v>
      </c>
      <c r="U72">
        <v>40.11</v>
      </c>
      <c r="V72">
        <v>39.89</v>
      </c>
      <c r="W72">
        <v>40.17</v>
      </c>
      <c r="X72">
        <v>40.840000000000003</v>
      </c>
      <c r="Y72">
        <v>41.5</v>
      </c>
      <c r="Z72">
        <v>42.15</v>
      </c>
      <c r="AB72" s="76">
        <f t="shared" si="14"/>
        <v>0</v>
      </c>
      <c r="AC72" s="76">
        <f t="shared" si="15"/>
        <v>0</v>
      </c>
      <c r="AD72" s="76">
        <f t="shared" si="16"/>
        <v>0</v>
      </c>
      <c r="AE72" s="76">
        <f t="shared" si="17"/>
        <v>0</v>
      </c>
      <c r="AF72" s="76">
        <f t="shared" si="18"/>
        <v>0</v>
      </c>
      <c r="AG72" s="76">
        <f t="shared" si="19"/>
        <v>0</v>
      </c>
      <c r="AH72" s="76">
        <f t="shared" si="20"/>
        <v>0</v>
      </c>
      <c r="AI72" s="76">
        <f t="shared" si="21"/>
        <v>0</v>
      </c>
      <c r="AJ72" s="76">
        <f t="shared" si="22"/>
        <v>0</v>
      </c>
      <c r="AK72" s="76">
        <f t="shared" si="23"/>
        <v>0</v>
      </c>
      <c r="AL72" s="76">
        <f t="shared" si="24"/>
        <v>0</v>
      </c>
      <c r="AM72" s="76">
        <f t="shared" si="25"/>
        <v>0</v>
      </c>
    </row>
    <row r="73" spans="1:39" x14ac:dyDescent="0.25">
      <c r="A73" s="67" t="s">
        <v>270</v>
      </c>
      <c r="B73" s="64">
        <v>1302</v>
      </c>
      <c r="C73" s="64">
        <v>1171.24</v>
      </c>
      <c r="D73" s="64">
        <v>1285.8800000000001</v>
      </c>
      <c r="E73" s="64">
        <v>1233.9000000000001</v>
      </c>
      <c r="F73" s="64">
        <v>1264.49</v>
      </c>
      <c r="G73" s="64">
        <v>1213.5</v>
      </c>
      <c r="H73" s="64">
        <v>1243.4100000000001</v>
      </c>
      <c r="I73" s="64">
        <v>1236.5899999999999</v>
      </c>
      <c r="J73" s="64">
        <v>1205.0999999999999</v>
      </c>
      <c r="K73" s="64">
        <v>1266.0400000000002</v>
      </c>
      <c r="L73" s="64">
        <v>1245</v>
      </c>
      <c r="M73" s="64">
        <v>1306.6500000000001</v>
      </c>
      <c r="O73">
        <v>42</v>
      </c>
      <c r="P73">
        <v>41.83</v>
      </c>
      <c r="Q73">
        <v>41.48</v>
      </c>
      <c r="R73">
        <v>41.13</v>
      </c>
      <c r="S73">
        <v>40.79</v>
      </c>
      <c r="T73">
        <v>40.450000000000003</v>
      </c>
      <c r="U73">
        <v>40.11</v>
      </c>
      <c r="V73">
        <v>39.89</v>
      </c>
      <c r="W73">
        <v>40.17</v>
      </c>
      <c r="X73">
        <v>40.840000000000003</v>
      </c>
      <c r="Y73">
        <v>41.5</v>
      </c>
      <c r="Z73">
        <v>42.15</v>
      </c>
      <c r="AB73" s="76">
        <f t="shared" si="14"/>
        <v>0</v>
      </c>
      <c r="AC73" s="76">
        <f t="shared" si="15"/>
        <v>0</v>
      </c>
      <c r="AD73" s="76">
        <f t="shared" si="16"/>
        <v>0</v>
      </c>
      <c r="AE73" s="76">
        <f t="shared" si="17"/>
        <v>0</v>
      </c>
      <c r="AF73" s="76">
        <f t="shared" si="18"/>
        <v>0</v>
      </c>
      <c r="AG73" s="76">
        <f t="shared" si="19"/>
        <v>0</v>
      </c>
      <c r="AH73" s="76">
        <f t="shared" si="20"/>
        <v>0</v>
      </c>
      <c r="AI73" s="76">
        <f t="shared" si="21"/>
        <v>0</v>
      </c>
      <c r="AJ73" s="76">
        <f t="shared" si="22"/>
        <v>0</v>
      </c>
      <c r="AK73" s="76">
        <f t="shared" si="23"/>
        <v>0</v>
      </c>
      <c r="AL73" s="76">
        <f t="shared" si="24"/>
        <v>0</v>
      </c>
      <c r="AM73" s="76">
        <f t="shared" si="25"/>
        <v>0</v>
      </c>
    </row>
    <row r="74" spans="1:39" x14ac:dyDescent="0.25">
      <c r="A74" s="68" t="s">
        <v>217</v>
      </c>
      <c r="B74" s="64">
        <v>7413.9599999999991</v>
      </c>
      <c r="C74" s="64">
        <v>6729.5199999999995</v>
      </c>
      <c r="D74" s="64">
        <v>7510.6800000000012</v>
      </c>
      <c r="E74" s="64">
        <v>7308.2999999999993</v>
      </c>
      <c r="F74" s="64">
        <v>7580.74</v>
      </c>
      <c r="G74" s="64">
        <v>7503.9</v>
      </c>
      <c r="H74" s="64">
        <v>7932.59</v>
      </c>
      <c r="I74" s="64">
        <v>7975.3700000000008</v>
      </c>
      <c r="J74" s="64">
        <v>7771.5000000000009</v>
      </c>
      <c r="K74" s="64">
        <v>8097.8200000000006</v>
      </c>
      <c r="L74" s="64">
        <v>7901.4000000000005</v>
      </c>
      <c r="M74" s="64">
        <v>8234.5300000000007</v>
      </c>
      <c r="O74">
        <v>239.16</v>
      </c>
      <c r="P74">
        <v>240.34000000000003</v>
      </c>
      <c r="Q74">
        <v>242.28</v>
      </c>
      <c r="R74">
        <v>243.61</v>
      </c>
      <c r="S74">
        <v>244.54</v>
      </c>
      <c r="T74">
        <v>250.13</v>
      </c>
      <c r="U74">
        <v>255.89000000000004</v>
      </c>
      <c r="V74">
        <v>257.27000000000004</v>
      </c>
      <c r="W74">
        <v>259.05</v>
      </c>
      <c r="X74">
        <v>261.22000000000003</v>
      </c>
      <c r="Y74">
        <v>263.38</v>
      </c>
      <c r="Z74">
        <v>265.63</v>
      </c>
      <c r="AB74" s="76">
        <f t="shared" si="14"/>
        <v>0</v>
      </c>
      <c r="AC74" s="76">
        <f t="shared" si="15"/>
        <v>0</v>
      </c>
      <c r="AD74" s="76">
        <f t="shared" si="16"/>
        <v>0</v>
      </c>
      <c r="AE74" s="76">
        <f t="shared" si="17"/>
        <v>0</v>
      </c>
      <c r="AF74" s="76">
        <f t="shared" si="18"/>
        <v>0</v>
      </c>
      <c r="AG74" s="76">
        <f t="shared" si="19"/>
        <v>0</v>
      </c>
      <c r="AH74" s="76">
        <f t="shared" si="20"/>
        <v>0</v>
      </c>
      <c r="AI74" s="76">
        <f t="shared" si="21"/>
        <v>0</v>
      </c>
      <c r="AJ74" s="76">
        <f t="shared" si="22"/>
        <v>0</v>
      </c>
      <c r="AK74" s="76">
        <f t="shared" si="23"/>
        <v>0</v>
      </c>
      <c r="AL74" s="76">
        <f t="shared" si="24"/>
        <v>0</v>
      </c>
      <c r="AM74" s="76">
        <f t="shared" si="25"/>
        <v>0</v>
      </c>
    </row>
    <row r="75" spans="1:39" x14ac:dyDescent="0.25">
      <c r="A75" s="43" t="s">
        <v>206</v>
      </c>
      <c r="B75" s="64">
        <v>91605</v>
      </c>
      <c r="C75" s="64">
        <v>82829.040000000008</v>
      </c>
      <c r="D75" s="64">
        <v>91887.72</v>
      </c>
      <c r="E75" s="64">
        <v>89053.499999999985</v>
      </c>
      <c r="F75" s="64">
        <v>92143.78</v>
      </c>
      <c r="G75" s="64">
        <v>89369.099999999991</v>
      </c>
      <c r="H75" s="64">
        <v>92712.63</v>
      </c>
      <c r="I75" s="64">
        <v>92786.41</v>
      </c>
      <c r="J75" s="64">
        <v>89936.7</v>
      </c>
      <c r="K75" s="64">
        <v>93063.86</v>
      </c>
      <c r="L75" s="64">
        <v>90216.6</v>
      </c>
      <c r="M75" s="64">
        <v>93324.57</v>
      </c>
      <c r="O75">
        <v>2955</v>
      </c>
      <c r="P75">
        <v>2958.18</v>
      </c>
      <c r="Q75">
        <v>2964.12</v>
      </c>
      <c r="R75">
        <v>2968.45</v>
      </c>
      <c r="S75">
        <v>2972.38</v>
      </c>
      <c r="T75">
        <v>2978.9700000000003</v>
      </c>
      <c r="U75">
        <v>2990.7300000000005</v>
      </c>
      <c r="V75">
        <v>2993.11</v>
      </c>
      <c r="W75">
        <v>2997.8900000000003</v>
      </c>
      <c r="X75">
        <v>3002.0600000000004</v>
      </c>
      <c r="Y75">
        <v>3007.2200000000003</v>
      </c>
      <c r="Z75">
        <v>3010.4700000000003</v>
      </c>
      <c r="AB75" s="76">
        <f t="shared" si="14"/>
        <v>0</v>
      </c>
      <c r="AC75" s="76">
        <f t="shared" si="15"/>
        <v>0</v>
      </c>
      <c r="AD75" s="76">
        <f t="shared" si="16"/>
        <v>0</v>
      </c>
      <c r="AE75" s="76">
        <f t="shared" si="17"/>
        <v>0</v>
      </c>
      <c r="AF75" s="76">
        <f t="shared" si="18"/>
        <v>0</v>
      </c>
      <c r="AG75" s="76">
        <f t="shared" si="19"/>
        <v>0</v>
      </c>
      <c r="AH75" s="76">
        <f t="shared" si="20"/>
        <v>0</v>
      </c>
      <c r="AI75" s="76">
        <f t="shared" si="21"/>
        <v>0</v>
      </c>
      <c r="AJ75" s="76">
        <f t="shared" si="22"/>
        <v>0</v>
      </c>
      <c r="AK75" s="76">
        <f t="shared" si="23"/>
        <v>0</v>
      </c>
      <c r="AL75" s="76">
        <f t="shared" si="24"/>
        <v>0</v>
      </c>
      <c r="AM75" s="76">
        <f t="shared" si="25"/>
        <v>0</v>
      </c>
    </row>
  </sheetData>
  <pageMargins left="0.7" right="0.7" top="0.75" bottom="0.75" header="0.3" footer="0.3"/>
  <customProperties>
    <customPr name="AdaptiveCustomXmlPartId" r:id="rId1"/>
    <customPr name="AdaptiveReportingSheetKey" r:id="rId2"/>
    <customPr name="CurrentId" r:id="rId3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8ED31-4CB8-4782-9D03-E17520421BC8}">
  <dimension ref="A1:V115"/>
  <sheetViews>
    <sheetView workbookViewId="0">
      <pane ySplit="1" topLeftCell="A2" activePane="bottomLeft" state="frozen"/>
      <selection pane="bottomLeft" activeCell="E12" sqref="E12"/>
    </sheetView>
  </sheetViews>
  <sheetFormatPr defaultRowHeight="15" x14ac:dyDescent="0.25"/>
  <cols>
    <col min="1" max="1" width="2.7109375" customWidth="1"/>
    <col min="2" max="2" width="19.5703125" bestFit="1" customWidth="1"/>
    <col min="3" max="3" width="26.42578125" bestFit="1" customWidth="1"/>
    <col min="4" max="4" width="25.42578125" bestFit="1" customWidth="1"/>
    <col min="5" max="5" width="38.5703125" bestFit="1" customWidth="1"/>
    <col min="6" max="6" width="46.85546875" bestFit="1" customWidth="1"/>
    <col min="7" max="7" width="1.7109375" customWidth="1"/>
    <col min="12" max="12" width="30.5703125" customWidth="1"/>
    <col min="13" max="13" width="19.42578125" bestFit="1" customWidth="1"/>
    <col min="14" max="15" width="15.85546875" customWidth="1"/>
    <col min="16" max="16" width="1.7109375" customWidth="1"/>
    <col min="17" max="17" width="20.28515625" bestFit="1" customWidth="1"/>
    <col min="18" max="18" width="22.42578125" bestFit="1" customWidth="1"/>
    <col min="19" max="19" width="16.85546875" bestFit="1" customWidth="1"/>
  </cols>
  <sheetData>
    <row r="1" spans="2:22" x14ac:dyDescent="0.25">
      <c r="B1" t="s">
        <v>2</v>
      </c>
      <c r="C1" t="s">
        <v>3</v>
      </c>
      <c r="D1" t="s">
        <v>4</v>
      </c>
      <c r="E1" t="s">
        <v>5</v>
      </c>
      <c r="F1" t="s">
        <v>6</v>
      </c>
      <c r="H1" t="s">
        <v>296</v>
      </c>
      <c r="I1" t="s">
        <v>297</v>
      </c>
      <c r="J1" t="s">
        <v>335</v>
      </c>
      <c r="K1" t="s">
        <v>358</v>
      </c>
      <c r="L1" t="s">
        <v>279</v>
      </c>
      <c r="M1" t="s">
        <v>282</v>
      </c>
      <c r="N1" t="s">
        <v>286</v>
      </c>
      <c r="O1" t="s">
        <v>287</v>
      </c>
      <c r="Q1" s="69" t="s">
        <v>2</v>
      </c>
      <c r="R1" s="69" t="s">
        <v>3</v>
      </c>
      <c r="S1" s="69" t="s">
        <v>282</v>
      </c>
      <c r="U1" t="s">
        <v>219</v>
      </c>
    </row>
    <row r="2" spans="2:22" x14ac:dyDescent="0.25">
      <c r="B2" t="s">
        <v>8</v>
      </c>
      <c r="C2" t="s">
        <v>20</v>
      </c>
      <c r="D2" t="s">
        <v>10</v>
      </c>
      <c r="E2" t="s">
        <v>21</v>
      </c>
      <c r="F2" t="s">
        <v>22</v>
      </c>
      <c r="H2">
        <f t="shared" ref="H2:H33" si="0">VALUE(LEFT(L2,3))</f>
        <v>100</v>
      </c>
      <c r="I2">
        <f t="shared" ref="I2:I33" si="1">VALUE(MID(L2,5,2))</f>
        <v>51</v>
      </c>
      <c r="J2" t="str">
        <f>H2&amp;"-"&amp;I2</f>
        <v>100-51</v>
      </c>
      <c r="K2" s="92" t="str">
        <f>J2&amp;M2</f>
        <v>100-51non-SNF</v>
      </c>
      <c r="L2" t="s">
        <v>257</v>
      </c>
      <c r="M2" t="s">
        <v>285</v>
      </c>
      <c r="Q2" t="s">
        <v>23</v>
      </c>
      <c r="R2" t="s">
        <v>24</v>
      </c>
      <c r="S2" t="s">
        <v>23</v>
      </c>
      <c r="U2" t="s">
        <v>220</v>
      </c>
    </row>
    <row r="3" spans="2:22" x14ac:dyDescent="0.25">
      <c r="B3" t="s">
        <v>8</v>
      </c>
      <c r="C3" t="s">
        <v>9</v>
      </c>
      <c r="D3" t="s">
        <v>10</v>
      </c>
      <c r="E3" t="s">
        <v>11</v>
      </c>
      <c r="F3" t="s">
        <v>13</v>
      </c>
      <c r="H3">
        <f t="shared" si="0"/>
        <v>100</v>
      </c>
      <c r="I3">
        <f t="shared" si="1"/>
        <v>22</v>
      </c>
      <c r="J3" t="str">
        <f t="shared" ref="J3:J43" si="2">H3&amp;"-"&amp;I3</f>
        <v>100-22</v>
      </c>
      <c r="K3" s="92" t="str">
        <f t="shared" ref="K3:K61" si="3">J3&amp;M3</f>
        <v>100-22non-SNF</v>
      </c>
      <c r="L3" t="s">
        <v>250</v>
      </c>
      <c r="M3" t="s">
        <v>285</v>
      </c>
      <c r="Q3" t="s">
        <v>66</v>
      </c>
      <c r="R3" t="s">
        <v>67</v>
      </c>
      <c r="S3" t="s">
        <v>129</v>
      </c>
      <c r="U3" t="s">
        <v>221</v>
      </c>
    </row>
    <row r="4" spans="2:22" x14ac:dyDescent="0.25">
      <c r="B4" t="s">
        <v>8</v>
      </c>
      <c r="C4" t="s">
        <v>9</v>
      </c>
      <c r="D4" t="s">
        <v>10</v>
      </c>
      <c r="E4" t="s">
        <v>11</v>
      </c>
      <c r="F4" t="s">
        <v>15</v>
      </c>
      <c r="H4">
        <f t="shared" si="0"/>
        <v>100</v>
      </c>
      <c r="I4">
        <f t="shared" si="1"/>
        <v>32</v>
      </c>
      <c r="J4" t="str">
        <f t="shared" si="2"/>
        <v>100-32</v>
      </c>
      <c r="K4" s="92" t="str">
        <f t="shared" si="3"/>
        <v>100-32non-SNF</v>
      </c>
      <c r="L4" t="s">
        <v>252</v>
      </c>
      <c r="M4" t="s">
        <v>285</v>
      </c>
      <c r="Q4" s="70" t="s">
        <v>37</v>
      </c>
      <c r="R4" s="70" t="s">
        <v>38</v>
      </c>
      <c r="S4" t="s">
        <v>89</v>
      </c>
      <c r="V4" t="s">
        <v>239</v>
      </c>
    </row>
    <row r="5" spans="2:22" x14ac:dyDescent="0.25">
      <c r="B5" t="s">
        <v>8</v>
      </c>
      <c r="C5" t="s">
        <v>9</v>
      </c>
      <c r="D5" t="s">
        <v>10</v>
      </c>
      <c r="E5" t="s">
        <v>11</v>
      </c>
      <c r="F5" t="s">
        <v>18</v>
      </c>
      <c r="H5">
        <f t="shared" si="0"/>
        <v>100</v>
      </c>
      <c r="I5">
        <f t="shared" si="1"/>
        <v>35</v>
      </c>
      <c r="J5" t="str">
        <f t="shared" si="2"/>
        <v>100-35</v>
      </c>
      <c r="K5" s="92" t="str">
        <f t="shared" si="3"/>
        <v>100-35non-SNF</v>
      </c>
      <c r="L5" t="s">
        <v>255</v>
      </c>
      <c r="M5" t="s">
        <v>285</v>
      </c>
      <c r="Q5" t="s">
        <v>45</v>
      </c>
      <c r="R5" t="s">
        <v>46</v>
      </c>
      <c r="S5" t="s">
        <v>45</v>
      </c>
      <c r="V5" t="s">
        <v>240</v>
      </c>
    </row>
    <row r="6" spans="2:22" x14ac:dyDescent="0.25">
      <c r="B6" t="s">
        <v>8</v>
      </c>
      <c r="C6" t="s">
        <v>9</v>
      </c>
      <c r="D6" t="s">
        <v>10</v>
      </c>
      <c r="E6" t="s">
        <v>11</v>
      </c>
      <c r="F6" t="s">
        <v>19</v>
      </c>
      <c r="H6">
        <f t="shared" si="0"/>
        <v>100</v>
      </c>
      <c r="I6">
        <f t="shared" si="1"/>
        <v>36</v>
      </c>
      <c r="J6" t="str">
        <f t="shared" si="2"/>
        <v>100-36</v>
      </c>
      <c r="K6" s="92" t="str">
        <f t="shared" si="3"/>
        <v>100-36non-SNF</v>
      </c>
      <c r="L6" t="s">
        <v>256</v>
      </c>
      <c r="M6" t="s">
        <v>285</v>
      </c>
      <c r="Q6" t="s">
        <v>34</v>
      </c>
      <c r="R6" t="s">
        <v>35</v>
      </c>
      <c r="S6" t="s">
        <v>133</v>
      </c>
      <c r="V6" t="s">
        <v>241</v>
      </c>
    </row>
    <row r="7" spans="2:22" x14ac:dyDescent="0.25">
      <c r="B7" t="s">
        <v>8</v>
      </c>
      <c r="C7" t="s">
        <v>9</v>
      </c>
      <c r="D7" t="s">
        <v>10</v>
      </c>
      <c r="E7" t="s">
        <v>11</v>
      </c>
      <c r="F7" t="s">
        <v>17</v>
      </c>
      <c r="H7">
        <f t="shared" si="0"/>
        <v>100</v>
      </c>
      <c r="I7">
        <f t="shared" si="1"/>
        <v>34</v>
      </c>
      <c r="J7" t="str">
        <f t="shared" si="2"/>
        <v>100-34</v>
      </c>
      <c r="K7" s="92" t="str">
        <f t="shared" si="3"/>
        <v>100-34non-SNF</v>
      </c>
      <c r="L7" t="s">
        <v>254</v>
      </c>
      <c r="M7" t="s">
        <v>285</v>
      </c>
      <c r="Q7" t="s">
        <v>8</v>
      </c>
      <c r="R7" t="s">
        <v>8</v>
      </c>
      <c r="S7" t="s">
        <v>91</v>
      </c>
      <c r="U7" t="s">
        <v>222</v>
      </c>
    </row>
    <row r="8" spans="2:22" x14ac:dyDescent="0.25">
      <c r="B8" t="s">
        <v>8</v>
      </c>
      <c r="C8" t="s">
        <v>9</v>
      </c>
      <c r="D8" t="s">
        <v>10</v>
      </c>
      <c r="E8" t="s">
        <v>11</v>
      </c>
      <c r="F8" t="s">
        <v>14</v>
      </c>
      <c r="H8">
        <f t="shared" si="0"/>
        <v>100</v>
      </c>
      <c r="I8">
        <f t="shared" si="1"/>
        <v>31</v>
      </c>
      <c r="J8" t="str">
        <f t="shared" si="2"/>
        <v>100-31</v>
      </c>
      <c r="K8" s="92" t="str">
        <f t="shared" si="3"/>
        <v>100-31non-SNF</v>
      </c>
      <c r="L8" t="s">
        <v>251</v>
      </c>
      <c r="M8" t="s">
        <v>285</v>
      </c>
      <c r="Q8" s="70" t="s">
        <v>37</v>
      </c>
      <c r="R8" s="70" t="s">
        <v>47</v>
      </c>
      <c r="S8" t="s">
        <v>89</v>
      </c>
      <c r="V8" t="s">
        <v>237</v>
      </c>
    </row>
    <row r="9" spans="2:22" x14ac:dyDescent="0.25">
      <c r="B9" t="s">
        <v>8</v>
      </c>
      <c r="C9" t="s">
        <v>9</v>
      </c>
      <c r="D9" t="s">
        <v>10</v>
      </c>
      <c r="E9" t="s">
        <v>11</v>
      </c>
      <c r="F9" t="s">
        <v>12</v>
      </c>
      <c r="H9">
        <f t="shared" si="0"/>
        <v>100</v>
      </c>
      <c r="I9">
        <f t="shared" si="1"/>
        <v>21</v>
      </c>
      <c r="J9" t="str">
        <f t="shared" si="2"/>
        <v>100-21</v>
      </c>
      <c r="K9" s="92" t="str">
        <f t="shared" si="3"/>
        <v>100-21non-SNF</v>
      </c>
      <c r="L9" t="s">
        <v>249</v>
      </c>
      <c r="M9" t="s">
        <v>285</v>
      </c>
      <c r="V9" t="s">
        <v>238</v>
      </c>
    </row>
    <row r="10" spans="2:22" x14ac:dyDescent="0.25">
      <c r="B10" t="s">
        <v>8</v>
      </c>
      <c r="C10" t="s">
        <v>9</v>
      </c>
      <c r="D10" t="s">
        <v>10</v>
      </c>
      <c r="E10" t="s">
        <v>11</v>
      </c>
      <c r="F10" t="s">
        <v>16</v>
      </c>
      <c r="H10">
        <f t="shared" si="0"/>
        <v>100</v>
      </c>
      <c r="I10">
        <f t="shared" si="1"/>
        <v>33</v>
      </c>
      <c r="J10" t="str">
        <f t="shared" si="2"/>
        <v>100-33</v>
      </c>
      <c r="K10" s="92" t="str">
        <f t="shared" si="3"/>
        <v>100-33non-SNF</v>
      </c>
      <c r="L10" t="s">
        <v>253</v>
      </c>
      <c r="M10" t="s">
        <v>285</v>
      </c>
      <c r="U10" t="s">
        <v>223</v>
      </c>
    </row>
    <row r="11" spans="2:22" x14ac:dyDescent="0.25">
      <c r="B11" t="s">
        <v>23</v>
      </c>
      <c r="C11" t="s">
        <v>24</v>
      </c>
      <c r="D11" t="s">
        <v>10</v>
      </c>
      <c r="E11" t="s">
        <v>25</v>
      </c>
      <c r="F11" t="s">
        <v>26</v>
      </c>
      <c r="H11">
        <f t="shared" si="0"/>
        <v>100</v>
      </c>
      <c r="I11">
        <f t="shared" si="1"/>
        <v>61</v>
      </c>
      <c r="J11" t="str">
        <f t="shared" si="2"/>
        <v>100-61</v>
      </c>
      <c r="K11" s="92" t="str">
        <f t="shared" si="3"/>
        <v>100-61Hospice</v>
      </c>
      <c r="L11" t="s">
        <v>199</v>
      </c>
      <c r="M11" s="34" t="str">
        <f t="shared" ref="M11:M18" si="4">VLOOKUP(B11,$Q$2:$S$8,3,0)</f>
        <v>Hospice</v>
      </c>
      <c r="U11" t="s">
        <v>226</v>
      </c>
    </row>
    <row r="12" spans="2:22" x14ac:dyDescent="0.25">
      <c r="B12" t="s">
        <v>66</v>
      </c>
      <c r="C12" t="s">
        <v>67</v>
      </c>
      <c r="D12" t="s">
        <v>10</v>
      </c>
      <c r="E12" t="s">
        <v>25</v>
      </c>
      <c r="F12" t="s">
        <v>26</v>
      </c>
      <c r="H12">
        <f t="shared" si="0"/>
        <v>100</v>
      </c>
      <c r="I12">
        <f t="shared" si="1"/>
        <v>61</v>
      </c>
      <c r="J12" t="str">
        <f t="shared" si="2"/>
        <v>100-61</v>
      </c>
      <c r="K12" s="92" t="str">
        <f t="shared" si="3"/>
        <v>100-61Insurance</v>
      </c>
      <c r="L12" t="s">
        <v>199</v>
      </c>
      <c r="M12" s="34" t="str">
        <f t="shared" si="4"/>
        <v>Insurance</v>
      </c>
      <c r="U12" t="s">
        <v>227</v>
      </c>
    </row>
    <row r="13" spans="2:22" x14ac:dyDescent="0.25">
      <c r="B13" t="s">
        <v>37</v>
      </c>
      <c r="C13" t="s">
        <v>38</v>
      </c>
      <c r="D13" t="s">
        <v>10</v>
      </c>
      <c r="E13" t="s">
        <v>25</v>
      </c>
      <c r="F13" t="s">
        <v>26</v>
      </c>
      <c r="H13">
        <f t="shared" si="0"/>
        <v>100</v>
      </c>
      <c r="I13">
        <f t="shared" si="1"/>
        <v>61</v>
      </c>
      <c r="J13" t="str">
        <f t="shared" si="2"/>
        <v>100-61</v>
      </c>
      <c r="K13" s="92" t="str">
        <f t="shared" si="3"/>
        <v>100-61Medicaid</v>
      </c>
      <c r="L13" t="s">
        <v>199</v>
      </c>
      <c r="M13" s="34" t="str">
        <f t="shared" si="4"/>
        <v>Medicaid</v>
      </c>
      <c r="U13" t="s">
        <v>259</v>
      </c>
    </row>
    <row r="14" spans="2:22" x14ac:dyDescent="0.25">
      <c r="B14" t="s">
        <v>45</v>
      </c>
      <c r="C14" t="s">
        <v>46</v>
      </c>
      <c r="D14" t="s">
        <v>10</v>
      </c>
      <c r="E14" t="s">
        <v>25</v>
      </c>
      <c r="F14" t="s">
        <v>26</v>
      </c>
      <c r="H14">
        <f t="shared" si="0"/>
        <v>100</v>
      </c>
      <c r="I14">
        <f t="shared" si="1"/>
        <v>61</v>
      </c>
      <c r="J14" t="str">
        <f t="shared" si="2"/>
        <v>100-61</v>
      </c>
      <c r="K14" s="92" t="str">
        <f t="shared" si="3"/>
        <v>100-61Medicare Advantage</v>
      </c>
      <c r="L14" t="s">
        <v>199</v>
      </c>
      <c r="M14" s="34" t="str">
        <f t="shared" si="4"/>
        <v>Medicare Advantage</v>
      </c>
      <c r="U14" t="s">
        <v>260</v>
      </c>
    </row>
    <row r="15" spans="2:22" x14ac:dyDescent="0.25">
      <c r="B15" t="s">
        <v>34</v>
      </c>
      <c r="C15" t="s">
        <v>35</v>
      </c>
      <c r="D15" t="s">
        <v>10</v>
      </c>
      <c r="E15" t="s">
        <v>25</v>
      </c>
      <c r="F15" t="s">
        <v>26</v>
      </c>
      <c r="H15">
        <f t="shared" si="0"/>
        <v>100</v>
      </c>
      <c r="I15">
        <f t="shared" si="1"/>
        <v>61</v>
      </c>
      <c r="J15" t="str">
        <f t="shared" si="2"/>
        <v>100-61</v>
      </c>
      <c r="K15" s="92" t="str">
        <f t="shared" si="3"/>
        <v>100-61Medicare A</v>
      </c>
      <c r="L15" t="s">
        <v>199</v>
      </c>
      <c r="M15" s="34" t="str">
        <f t="shared" si="4"/>
        <v>Medicare A</v>
      </c>
      <c r="V15" t="s">
        <v>271</v>
      </c>
    </row>
    <row r="16" spans="2:22" x14ac:dyDescent="0.25">
      <c r="B16" t="s">
        <v>8</v>
      </c>
      <c r="C16" t="s">
        <v>8</v>
      </c>
      <c r="D16" t="s">
        <v>10</v>
      </c>
      <c r="E16" t="s">
        <v>25</v>
      </c>
      <c r="F16" t="s">
        <v>26</v>
      </c>
      <c r="H16">
        <f t="shared" si="0"/>
        <v>100</v>
      </c>
      <c r="I16">
        <f t="shared" si="1"/>
        <v>61</v>
      </c>
      <c r="J16" t="str">
        <f t="shared" si="2"/>
        <v>100-61</v>
      </c>
      <c r="K16" s="92" t="str">
        <f t="shared" si="3"/>
        <v>100-61Private Pay</v>
      </c>
      <c r="L16" t="s">
        <v>199</v>
      </c>
      <c r="M16" s="34" t="str">
        <f t="shared" si="4"/>
        <v>Private Pay</v>
      </c>
      <c r="V16" t="s">
        <v>272</v>
      </c>
    </row>
    <row r="17" spans="2:22" x14ac:dyDescent="0.25">
      <c r="B17" s="29" t="s">
        <v>45</v>
      </c>
      <c r="C17" s="29" t="s">
        <v>46</v>
      </c>
      <c r="D17" s="29" t="s">
        <v>10</v>
      </c>
      <c r="E17" s="29" t="s">
        <v>145</v>
      </c>
      <c r="F17" s="29" t="s">
        <v>26</v>
      </c>
      <c r="H17">
        <f t="shared" si="0"/>
        <v>100</v>
      </c>
      <c r="I17">
        <f t="shared" si="1"/>
        <v>62</v>
      </c>
      <c r="J17" t="str">
        <f t="shared" si="2"/>
        <v>100-62</v>
      </c>
      <c r="K17" s="92" t="str">
        <f t="shared" si="3"/>
        <v>100-62Medicare Advantage</v>
      </c>
      <c r="L17" t="s">
        <v>207</v>
      </c>
      <c r="M17" s="34" t="str">
        <f t="shared" si="4"/>
        <v>Medicare Advantage</v>
      </c>
      <c r="V17" t="s">
        <v>273</v>
      </c>
    </row>
    <row r="18" spans="2:22" x14ac:dyDescent="0.25">
      <c r="B18" s="29" t="s">
        <v>34</v>
      </c>
      <c r="C18" s="29" t="s">
        <v>35</v>
      </c>
      <c r="D18" s="29" t="s">
        <v>10</v>
      </c>
      <c r="E18" s="29" t="s">
        <v>145</v>
      </c>
      <c r="F18" s="29" t="s">
        <v>26</v>
      </c>
      <c r="H18">
        <f t="shared" si="0"/>
        <v>100</v>
      </c>
      <c r="I18">
        <f t="shared" si="1"/>
        <v>62</v>
      </c>
      <c r="J18" t="str">
        <f t="shared" si="2"/>
        <v>100-62</v>
      </c>
      <c r="K18" s="92" t="str">
        <f t="shared" si="3"/>
        <v>100-62Medicare A</v>
      </c>
      <c r="L18" t="s">
        <v>207</v>
      </c>
      <c r="M18" s="34" t="str">
        <f t="shared" si="4"/>
        <v>Medicare A</v>
      </c>
      <c r="V18" t="s">
        <v>274</v>
      </c>
    </row>
    <row r="19" spans="2:22" x14ac:dyDescent="0.25">
      <c r="B19" t="s">
        <v>8</v>
      </c>
      <c r="C19" t="s">
        <v>20</v>
      </c>
      <c r="D19" t="s">
        <v>27</v>
      </c>
      <c r="E19" t="s">
        <v>32</v>
      </c>
      <c r="F19" t="s">
        <v>33</v>
      </c>
      <c r="H19">
        <f t="shared" si="0"/>
        <v>200</v>
      </c>
      <c r="I19">
        <f t="shared" si="1"/>
        <v>51</v>
      </c>
      <c r="J19" t="str">
        <f t="shared" si="2"/>
        <v>200-51</v>
      </c>
      <c r="K19" s="92" t="str">
        <f t="shared" si="3"/>
        <v>200-51non-SNF</v>
      </c>
      <c r="L19" t="s">
        <v>248</v>
      </c>
      <c r="M19" t="s">
        <v>285</v>
      </c>
      <c r="U19" t="s">
        <v>268</v>
      </c>
    </row>
    <row r="20" spans="2:22" x14ac:dyDescent="0.25">
      <c r="B20" t="s">
        <v>8</v>
      </c>
      <c r="C20" t="s">
        <v>9</v>
      </c>
      <c r="D20" t="s">
        <v>27</v>
      </c>
      <c r="E20" t="s">
        <v>28</v>
      </c>
      <c r="F20" t="s">
        <v>29</v>
      </c>
      <c r="H20">
        <f t="shared" si="0"/>
        <v>200</v>
      </c>
      <c r="I20">
        <f t="shared" si="1"/>
        <v>21</v>
      </c>
      <c r="J20" t="str">
        <f t="shared" si="2"/>
        <v>200-21</v>
      </c>
      <c r="K20" s="92" t="str">
        <f t="shared" si="3"/>
        <v>200-21non-SNF</v>
      </c>
      <c r="L20" t="s">
        <v>245</v>
      </c>
      <c r="M20" t="s">
        <v>285</v>
      </c>
      <c r="V20" t="s">
        <v>275</v>
      </c>
    </row>
    <row r="21" spans="2:22" x14ac:dyDescent="0.25">
      <c r="B21" t="s">
        <v>8</v>
      </c>
      <c r="C21" t="s">
        <v>9</v>
      </c>
      <c r="D21" t="s">
        <v>27</v>
      </c>
      <c r="E21" t="s">
        <v>28</v>
      </c>
      <c r="F21" t="s">
        <v>30</v>
      </c>
      <c r="H21">
        <f t="shared" si="0"/>
        <v>200</v>
      </c>
      <c r="I21">
        <f t="shared" si="1"/>
        <v>31</v>
      </c>
      <c r="J21" t="str">
        <f t="shared" si="2"/>
        <v>200-31</v>
      </c>
      <c r="K21" s="92" t="str">
        <f t="shared" si="3"/>
        <v>200-31non-SNF</v>
      </c>
      <c r="L21" t="s">
        <v>246</v>
      </c>
      <c r="M21" t="s">
        <v>285</v>
      </c>
      <c r="V21" t="s">
        <v>276</v>
      </c>
    </row>
    <row r="22" spans="2:22" x14ac:dyDescent="0.25">
      <c r="B22" t="s">
        <v>8</v>
      </c>
      <c r="C22" t="s">
        <v>9</v>
      </c>
      <c r="D22" t="s">
        <v>27</v>
      </c>
      <c r="E22" t="s">
        <v>28</v>
      </c>
      <c r="F22" t="s">
        <v>31</v>
      </c>
      <c r="H22">
        <f t="shared" si="0"/>
        <v>200</v>
      </c>
      <c r="I22">
        <f t="shared" si="1"/>
        <v>32</v>
      </c>
      <c r="J22" t="str">
        <f t="shared" si="2"/>
        <v>200-32</v>
      </c>
      <c r="K22" s="92" t="str">
        <f t="shared" si="3"/>
        <v>200-32non-SNF</v>
      </c>
      <c r="L22" t="s">
        <v>247</v>
      </c>
      <c r="M22" t="s">
        <v>285</v>
      </c>
      <c r="V22" t="s">
        <v>277</v>
      </c>
    </row>
    <row r="23" spans="2:22" x14ac:dyDescent="0.25">
      <c r="B23" t="s">
        <v>37</v>
      </c>
      <c r="C23" t="s">
        <v>38</v>
      </c>
      <c r="D23" t="s">
        <v>27</v>
      </c>
      <c r="E23" t="s">
        <v>25</v>
      </c>
      <c r="F23" t="s">
        <v>36</v>
      </c>
      <c r="H23">
        <f t="shared" si="0"/>
        <v>200</v>
      </c>
      <c r="I23">
        <f t="shared" si="1"/>
        <v>61</v>
      </c>
      <c r="J23" t="str">
        <f t="shared" si="2"/>
        <v>200-61</v>
      </c>
      <c r="K23" s="92" t="str">
        <f t="shared" si="3"/>
        <v>200-61Medicaid</v>
      </c>
      <c r="L23" t="s">
        <v>208</v>
      </c>
      <c r="M23" s="34" t="str">
        <f>VLOOKUP(B23,$Q$2:$S$8,3,0)</f>
        <v>Medicaid</v>
      </c>
      <c r="U23" t="s">
        <v>269</v>
      </c>
    </row>
    <row r="24" spans="2:22" x14ac:dyDescent="0.25">
      <c r="B24" t="s">
        <v>34</v>
      </c>
      <c r="C24" t="s">
        <v>35</v>
      </c>
      <c r="D24" t="s">
        <v>27</v>
      </c>
      <c r="E24" t="s">
        <v>25</v>
      </c>
      <c r="F24" t="s">
        <v>36</v>
      </c>
      <c r="H24">
        <f t="shared" si="0"/>
        <v>200</v>
      </c>
      <c r="I24">
        <f t="shared" si="1"/>
        <v>61</v>
      </c>
      <c r="J24" t="str">
        <f t="shared" si="2"/>
        <v>200-61</v>
      </c>
      <c r="K24" s="92" t="str">
        <f t="shared" si="3"/>
        <v>200-61Medicare A</v>
      </c>
      <c r="L24" t="s">
        <v>208</v>
      </c>
      <c r="M24" s="34" t="str">
        <f>VLOOKUP(B24,$Q$2:$S$8,3,0)</f>
        <v>Medicare A</v>
      </c>
      <c r="V24" t="s">
        <v>278</v>
      </c>
    </row>
    <row r="25" spans="2:22" x14ac:dyDescent="0.25">
      <c r="B25" t="s">
        <v>8</v>
      </c>
      <c r="C25" t="s">
        <v>8</v>
      </c>
      <c r="D25" t="s">
        <v>27</v>
      </c>
      <c r="E25" t="s">
        <v>25</v>
      </c>
      <c r="F25" t="s">
        <v>36</v>
      </c>
      <c r="H25">
        <f t="shared" si="0"/>
        <v>200</v>
      </c>
      <c r="I25">
        <f t="shared" si="1"/>
        <v>61</v>
      </c>
      <c r="J25" t="str">
        <f t="shared" si="2"/>
        <v>200-61</v>
      </c>
      <c r="K25" s="92" t="str">
        <f t="shared" si="3"/>
        <v>200-61Private Pay</v>
      </c>
      <c r="L25" t="s">
        <v>208</v>
      </c>
      <c r="M25" s="34" t="str">
        <f>VLOOKUP(B25,$Q$2:$S$8,3,0)</f>
        <v>Private Pay</v>
      </c>
      <c r="U25" t="s">
        <v>270</v>
      </c>
    </row>
    <row r="26" spans="2:22" x14ac:dyDescent="0.25">
      <c r="B26" t="s">
        <v>8</v>
      </c>
      <c r="C26" t="s">
        <v>20</v>
      </c>
      <c r="D26" t="s">
        <v>49</v>
      </c>
      <c r="E26" t="s">
        <v>56</v>
      </c>
      <c r="F26" t="s">
        <v>57</v>
      </c>
      <c r="H26">
        <f t="shared" si="0"/>
        <v>810</v>
      </c>
      <c r="I26">
        <f t="shared" si="1"/>
        <v>51</v>
      </c>
      <c r="J26" t="str">
        <f t="shared" si="2"/>
        <v>810-51</v>
      </c>
      <c r="K26" s="92" t="str">
        <f t="shared" si="3"/>
        <v>810-51non-SNF</v>
      </c>
      <c r="L26" t="s">
        <v>236</v>
      </c>
      <c r="M26" t="s">
        <v>285</v>
      </c>
    </row>
    <row r="27" spans="2:22" x14ac:dyDescent="0.25">
      <c r="B27" t="s">
        <v>8</v>
      </c>
      <c r="C27" t="s">
        <v>9</v>
      </c>
      <c r="D27" t="s">
        <v>49</v>
      </c>
      <c r="E27" t="s">
        <v>50</v>
      </c>
      <c r="F27" t="s">
        <v>53</v>
      </c>
      <c r="H27">
        <f t="shared" si="0"/>
        <v>810</v>
      </c>
      <c r="I27">
        <f t="shared" si="1"/>
        <v>31</v>
      </c>
      <c r="J27" t="str">
        <f t="shared" si="2"/>
        <v>810-31</v>
      </c>
      <c r="K27" s="92" t="str">
        <f t="shared" si="3"/>
        <v>810-31non-SNF</v>
      </c>
      <c r="L27" t="s">
        <v>233</v>
      </c>
      <c r="M27" t="s">
        <v>285</v>
      </c>
    </row>
    <row r="28" spans="2:22" x14ac:dyDescent="0.25">
      <c r="B28" t="s">
        <v>8</v>
      </c>
      <c r="C28" t="s">
        <v>9</v>
      </c>
      <c r="D28" t="s">
        <v>49</v>
      </c>
      <c r="E28" t="s">
        <v>50</v>
      </c>
      <c r="F28" t="s">
        <v>51</v>
      </c>
      <c r="H28">
        <f t="shared" si="0"/>
        <v>810</v>
      </c>
      <c r="I28">
        <f t="shared" si="1"/>
        <v>21</v>
      </c>
      <c r="J28" t="str">
        <f t="shared" si="2"/>
        <v>810-21</v>
      </c>
      <c r="K28" s="92" t="str">
        <f t="shared" si="3"/>
        <v>810-21non-SNF</v>
      </c>
      <c r="L28" t="s">
        <v>231</v>
      </c>
      <c r="M28" t="s">
        <v>285</v>
      </c>
    </row>
    <row r="29" spans="2:22" x14ac:dyDescent="0.25">
      <c r="B29" t="s">
        <v>8</v>
      </c>
      <c r="C29" t="s">
        <v>9</v>
      </c>
      <c r="D29" t="s">
        <v>49</v>
      </c>
      <c r="E29" t="s">
        <v>50</v>
      </c>
      <c r="F29" t="s">
        <v>52</v>
      </c>
      <c r="H29">
        <f t="shared" si="0"/>
        <v>810</v>
      </c>
      <c r="I29">
        <f t="shared" si="1"/>
        <v>22</v>
      </c>
      <c r="J29" t="str">
        <f t="shared" si="2"/>
        <v>810-22</v>
      </c>
      <c r="K29" s="92" t="str">
        <f t="shared" si="3"/>
        <v>810-22non-SNF</v>
      </c>
      <c r="L29" t="s">
        <v>232</v>
      </c>
      <c r="M29" t="s">
        <v>285</v>
      </c>
    </row>
    <row r="30" spans="2:22" x14ac:dyDescent="0.25">
      <c r="B30" t="s">
        <v>8</v>
      </c>
      <c r="C30" t="s">
        <v>9</v>
      </c>
      <c r="D30" t="s">
        <v>49</v>
      </c>
      <c r="E30" t="s">
        <v>50</v>
      </c>
      <c r="F30" t="s">
        <v>54</v>
      </c>
      <c r="H30">
        <f t="shared" si="0"/>
        <v>810</v>
      </c>
      <c r="I30">
        <f t="shared" si="1"/>
        <v>32</v>
      </c>
      <c r="J30" t="str">
        <f t="shared" si="2"/>
        <v>810-32</v>
      </c>
      <c r="K30" s="92" t="str">
        <f t="shared" si="3"/>
        <v>810-32non-SNF</v>
      </c>
      <c r="L30" t="s">
        <v>234</v>
      </c>
      <c r="M30" t="s">
        <v>285</v>
      </c>
    </row>
    <row r="31" spans="2:22" x14ac:dyDescent="0.25">
      <c r="B31" t="s">
        <v>8</v>
      </c>
      <c r="C31" t="s">
        <v>9</v>
      </c>
      <c r="D31" t="s">
        <v>49</v>
      </c>
      <c r="E31" t="s">
        <v>50</v>
      </c>
      <c r="F31" t="s">
        <v>55</v>
      </c>
      <c r="H31">
        <f t="shared" si="0"/>
        <v>810</v>
      </c>
      <c r="I31">
        <f t="shared" si="1"/>
        <v>33</v>
      </c>
      <c r="J31" t="str">
        <f t="shared" si="2"/>
        <v>810-33</v>
      </c>
      <c r="K31" s="92" t="str">
        <f t="shared" si="3"/>
        <v>810-33non-SNF</v>
      </c>
      <c r="L31" t="s">
        <v>235</v>
      </c>
      <c r="M31" t="s">
        <v>285</v>
      </c>
    </row>
    <row r="32" spans="2:22" x14ac:dyDescent="0.25">
      <c r="B32" t="s">
        <v>37</v>
      </c>
      <c r="C32" t="s">
        <v>47</v>
      </c>
      <c r="D32" t="s">
        <v>49</v>
      </c>
      <c r="E32" t="s">
        <v>25</v>
      </c>
      <c r="F32" t="s">
        <v>58</v>
      </c>
      <c r="H32">
        <f t="shared" si="0"/>
        <v>810</v>
      </c>
      <c r="I32">
        <f t="shared" si="1"/>
        <v>61</v>
      </c>
      <c r="J32" t="str">
        <f t="shared" si="2"/>
        <v>810-61</v>
      </c>
      <c r="K32" s="92" t="str">
        <f t="shared" si="3"/>
        <v>810-61Medicaid</v>
      </c>
      <c r="L32" t="s">
        <v>210</v>
      </c>
      <c r="M32" s="34" t="str">
        <f>VLOOKUP(B32,$Q$2:$S$8,3,0)</f>
        <v>Medicaid</v>
      </c>
    </row>
    <row r="33" spans="2:15" x14ac:dyDescent="0.25">
      <c r="B33" t="s">
        <v>45</v>
      </c>
      <c r="C33" t="s">
        <v>46</v>
      </c>
      <c r="D33" t="s">
        <v>49</v>
      </c>
      <c r="E33" t="s">
        <v>25</v>
      </c>
      <c r="F33" t="s">
        <v>58</v>
      </c>
      <c r="H33">
        <f t="shared" si="0"/>
        <v>810</v>
      </c>
      <c r="I33">
        <f t="shared" si="1"/>
        <v>61</v>
      </c>
      <c r="J33" t="str">
        <f t="shared" si="2"/>
        <v>810-61</v>
      </c>
      <c r="K33" s="92" t="str">
        <f t="shared" si="3"/>
        <v>810-61Medicare Advantage</v>
      </c>
      <c r="L33" t="s">
        <v>210</v>
      </c>
      <c r="M33" s="34" t="str">
        <f>VLOOKUP(B33,$Q$2:$S$8,3,0)</f>
        <v>Medicare Advantage</v>
      </c>
    </row>
    <row r="34" spans="2:15" x14ac:dyDescent="0.25">
      <c r="B34" t="s">
        <v>34</v>
      </c>
      <c r="C34" t="s">
        <v>35</v>
      </c>
      <c r="D34" t="s">
        <v>49</v>
      </c>
      <c r="E34" t="s">
        <v>25</v>
      </c>
      <c r="F34" t="s">
        <v>58</v>
      </c>
      <c r="H34">
        <f t="shared" ref="H34:H61" si="5">VALUE(LEFT(L34,3))</f>
        <v>810</v>
      </c>
      <c r="I34">
        <f t="shared" ref="I34:I61" si="6">VALUE(MID(L34,5,2))</f>
        <v>61</v>
      </c>
      <c r="J34" t="str">
        <f t="shared" si="2"/>
        <v>810-61</v>
      </c>
      <c r="K34" s="92" t="str">
        <f t="shared" si="3"/>
        <v>810-61Medicare A</v>
      </c>
      <c r="L34" t="s">
        <v>210</v>
      </c>
      <c r="M34" s="34" t="str">
        <f>VLOOKUP(B34,$Q$2:$S$8,3,0)</f>
        <v>Medicare A</v>
      </c>
    </row>
    <row r="35" spans="2:15" x14ac:dyDescent="0.25">
      <c r="B35" t="s">
        <v>8</v>
      </c>
      <c r="C35" t="s">
        <v>8</v>
      </c>
      <c r="D35" t="s">
        <v>49</v>
      </c>
      <c r="E35" t="s">
        <v>25</v>
      </c>
      <c r="F35" t="s">
        <v>58</v>
      </c>
      <c r="H35">
        <f t="shared" si="5"/>
        <v>810</v>
      </c>
      <c r="I35">
        <f t="shared" si="6"/>
        <v>61</v>
      </c>
      <c r="J35" t="str">
        <f t="shared" si="2"/>
        <v>810-61</v>
      </c>
      <c r="K35" s="92" t="str">
        <f t="shared" si="3"/>
        <v>810-61Private Pay</v>
      </c>
      <c r="L35" t="s">
        <v>210</v>
      </c>
      <c r="M35" s="34" t="str">
        <f>VLOOKUP(B35,$Q$2:$S$8,3,0)</f>
        <v>Private Pay</v>
      </c>
    </row>
    <row r="36" spans="2:15" x14ac:dyDescent="0.25">
      <c r="B36" t="s">
        <v>8</v>
      </c>
      <c r="C36" t="s">
        <v>20</v>
      </c>
      <c r="D36" t="s">
        <v>106</v>
      </c>
      <c r="E36" t="s">
        <v>107</v>
      </c>
      <c r="F36" t="s">
        <v>108</v>
      </c>
      <c r="H36">
        <f t="shared" si="5"/>
        <v>925</v>
      </c>
      <c r="I36">
        <f t="shared" si="6"/>
        <v>51</v>
      </c>
      <c r="J36" t="str">
        <f t="shared" si="2"/>
        <v>925-51</v>
      </c>
      <c r="K36" s="92" t="str">
        <f t="shared" si="3"/>
        <v>925-51non-SNF</v>
      </c>
      <c r="L36" t="s">
        <v>230</v>
      </c>
      <c r="M36" t="s">
        <v>285</v>
      </c>
    </row>
    <row r="37" spans="2:15" x14ac:dyDescent="0.25">
      <c r="B37" t="s">
        <v>8</v>
      </c>
      <c r="C37" t="s">
        <v>9</v>
      </c>
      <c r="D37" t="s">
        <v>106</v>
      </c>
      <c r="E37" t="s">
        <v>109</v>
      </c>
      <c r="F37" t="s">
        <v>110</v>
      </c>
      <c r="H37">
        <f t="shared" si="5"/>
        <v>925</v>
      </c>
      <c r="I37">
        <f t="shared" si="6"/>
        <v>21</v>
      </c>
      <c r="J37" t="str">
        <f t="shared" si="2"/>
        <v>925-21</v>
      </c>
      <c r="K37" s="92" t="str">
        <f t="shared" si="3"/>
        <v>925-21non-SNF</v>
      </c>
      <c r="L37" t="s">
        <v>228</v>
      </c>
      <c r="M37" t="s">
        <v>285</v>
      </c>
    </row>
    <row r="38" spans="2:15" x14ac:dyDescent="0.25">
      <c r="B38" t="s">
        <v>8</v>
      </c>
      <c r="C38" t="s">
        <v>9</v>
      </c>
      <c r="D38" t="s">
        <v>106</v>
      </c>
      <c r="E38" t="s">
        <v>109</v>
      </c>
      <c r="F38" t="s">
        <v>111</v>
      </c>
      <c r="H38">
        <f t="shared" si="5"/>
        <v>925</v>
      </c>
      <c r="I38">
        <f t="shared" si="6"/>
        <v>31</v>
      </c>
      <c r="J38" t="str">
        <f t="shared" si="2"/>
        <v>925-31</v>
      </c>
      <c r="K38" s="92" t="str">
        <f t="shared" si="3"/>
        <v>925-31non-SNF</v>
      </c>
      <c r="L38" t="s">
        <v>229</v>
      </c>
      <c r="M38" t="s">
        <v>285</v>
      </c>
    </row>
    <row r="39" spans="2:15" x14ac:dyDescent="0.25">
      <c r="B39" t="s">
        <v>8</v>
      </c>
      <c r="C39" t="s">
        <v>20</v>
      </c>
      <c r="D39" t="s">
        <v>68</v>
      </c>
      <c r="E39" t="s">
        <v>72</v>
      </c>
      <c r="F39" t="s">
        <v>73</v>
      </c>
      <c r="H39">
        <f t="shared" si="5"/>
        <v>840</v>
      </c>
      <c r="I39">
        <f t="shared" si="6"/>
        <v>51</v>
      </c>
      <c r="J39" t="str">
        <f t="shared" si="2"/>
        <v>840-51</v>
      </c>
      <c r="K39" s="92" t="str">
        <f t="shared" si="3"/>
        <v>840-51non-SNF</v>
      </c>
      <c r="L39" s="71" t="s">
        <v>284</v>
      </c>
      <c r="M39" t="s">
        <v>285</v>
      </c>
      <c r="N39" s="70" t="s">
        <v>267</v>
      </c>
      <c r="O39" t="s">
        <v>266</v>
      </c>
    </row>
    <row r="40" spans="2:15" x14ac:dyDescent="0.25">
      <c r="B40" t="s">
        <v>8</v>
      </c>
      <c r="C40" t="s">
        <v>9</v>
      </c>
      <c r="D40" t="s">
        <v>68</v>
      </c>
      <c r="E40" t="s">
        <v>69</v>
      </c>
      <c r="F40" t="s">
        <v>70</v>
      </c>
      <c r="H40">
        <f t="shared" si="5"/>
        <v>840</v>
      </c>
      <c r="I40">
        <f t="shared" si="6"/>
        <v>21</v>
      </c>
      <c r="J40" t="str">
        <f t="shared" si="2"/>
        <v>840-21</v>
      </c>
      <c r="K40" s="92" t="str">
        <f t="shared" si="3"/>
        <v>840-21non-SNF</v>
      </c>
      <c r="L40" t="s">
        <v>264</v>
      </c>
      <c r="M40" t="s">
        <v>285</v>
      </c>
    </row>
    <row r="41" spans="2:15" x14ac:dyDescent="0.25">
      <c r="B41" t="s">
        <v>8</v>
      </c>
      <c r="C41" t="s">
        <v>9</v>
      </c>
      <c r="D41" t="s">
        <v>68</v>
      </c>
      <c r="E41" t="s">
        <v>69</v>
      </c>
      <c r="F41" t="s">
        <v>71</v>
      </c>
      <c r="H41">
        <f t="shared" si="5"/>
        <v>840</v>
      </c>
      <c r="I41">
        <f t="shared" si="6"/>
        <v>31</v>
      </c>
      <c r="J41" t="str">
        <f t="shared" si="2"/>
        <v>840-31</v>
      </c>
      <c r="K41" s="92" t="str">
        <f t="shared" si="3"/>
        <v>840-31non-SNF</v>
      </c>
      <c r="L41" t="s">
        <v>265</v>
      </c>
      <c r="M41" t="s">
        <v>285</v>
      </c>
    </row>
    <row r="42" spans="2:15" x14ac:dyDescent="0.25">
      <c r="B42" t="s">
        <v>66</v>
      </c>
      <c r="C42" t="s">
        <v>67</v>
      </c>
      <c r="D42" t="s">
        <v>68</v>
      </c>
      <c r="E42" t="s">
        <v>25</v>
      </c>
      <c r="F42" t="s">
        <v>74</v>
      </c>
      <c r="H42">
        <f t="shared" si="5"/>
        <v>840</v>
      </c>
      <c r="I42">
        <f t="shared" si="6"/>
        <v>61</v>
      </c>
      <c r="J42" t="str">
        <f t="shared" si="2"/>
        <v>840-61</v>
      </c>
      <c r="K42" s="92" t="str">
        <f t="shared" si="3"/>
        <v>840-61non-SNF</v>
      </c>
      <c r="L42" t="s">
        <v>212</v>
      </c>
      <c r="M42" t="s">
        <v>285</v>
      </c>
    </row>
    <row r="43" spans="2:15" x14ac:dyDescent="0.25">
      <c r="B43" t="s">
        <v>37</v>
      </c>
      <c r="C43" t="s">
        <v>47</v>
      </c>
      <c r="D43" t="s">
        <v>68</v>
      </c>
      <c r="E43" t="s">
        <v>25</v>
      </c>
      <c r="F43" t="s">
        <v>74</v>
      </c>
      <c r="H43">
        <f t="shared" si="5"/>
        <v>840</v>
      </c>
      <c r="I43">
        <f t="shared" si="6"/>
        <v>61</v>
      </c>
      <c r="J43" t="str">
        <f t="shared" si="2"/>
        <v>840-61</v>
      </c>
      <c r="K43" s="92" t="str">
        <f t="shared" si="3"/>
        <v>840-61non-SNF</v>
      </c>
      <c r="L43" t="s">
        <v>212</v>
      </c>
      <c r="M43" t="s">
        <v>285</v>
      </c>
    </row>
    <row r="44" spans="2:15" x14ac:dyDescent="0.25">
      <c r="B44" t="s">
        <v>45</v>
      </c>
      <c r="C44" t="s">
        <v>46</v>
      </c>
      <c r="D44" t="s">
        <v>68</v>
      </c>
      <c r="E44" t="s">
        <v>25</v>
      </c>
      <c r="F44" t="s">
        <v>74</v>
      </c>
      <c r="H44">
        <f t="shared" si="5"/>
        <v>840</v>
      </c>
      <c r="I44">
        <f t="shared" si="6"/>
        <v>61</v>
      </c>
      <c r="J44" t="str">
        <f t="shared" ref="J44:J61" si="7">H44&amp;"-"&amp;I44</f>
        <v>840-61</v>
      </c>
      <c r="K44" s="92" t="str">
        <f t="shared" si="3"/>
        <v>840-61non-SNF</v>
      </c>
      <c r="L44" t="s">
        <v>212</v>
      </c>
      <c r="M44" t="s">
        <v>285</v>
      </c>
    </row>
    <row r="45" spans="2:15" x14ac:dyDescent="0.25">
      <c r="B45" t="s">
        <v>34</v>
      </c>
      <c r="C45" t="s">
        <v>35</v>
      </c>
      <c r="D45" t="s">
        <v>68</v>
      </c>
      <c r="E45" t="s">
        <v>25</v>
      </c>
      <c r="F45" t="s">
        <v>74</v>
      </c>
      <c r="H45">
        <f t="shared" si="5"/>
        <v>840</v>
      </c>
      <c r="I45">
        <f t="shared" si="6"/>
        <v>61</v>
      </c>
      <c r="J45" t="str">
        <f t="shared" si="7"/>
        <v>840-61</v>
      </c>
      <c r="K45" s="92" t="str">
        <f t="shared" si="3"/>
        <v>840-61non-SNF</v>
      </c>
      <c r="L45" t="s">
        <v>212</v>
      </c>
      <c r="M45" t="s">
        <v>285</v>
      </c>
    </row>
    <row r="46" spans="2:15" x14ac:dyDescent="0.25">
      <c r="B46" t="s">
        <v>8</v>
      </c>
      <c r="C46" t="s">
        <v>8</v>
      </c>
      <c r="D46" t="s">
        <v>68</v>
      </c>
      <c r="E46" t="s">
        <v>25</v>
      </c>
      <c r="F46" t="s">
        <v>74</v>
      </c>
      <c r="H46">
        <f t="shared" si="5"/>
        <v>840</v>
      </c>
      <c r="I46">
        <f t="shared" si="6"/>
        <v>61</v>
      </c>
      <c r="J46" t="str">
        <f t="shared" si="7"/>
        <v>840-61</v>
      </c>
      <c r="K46" s="92" t="str">
        <f t="shared" si="3"/>
        <v>840-61non-SNF</v>
      </c>
      <c r="L46" t="s">
        <v>212</v>
      </c>
      <c r="M46" t="s">
        <v>285</v>
      </c>
    </row>
    <row r="47" spans="2:15" x14ac:dyDescent="0.25">
      <c r="B47" t="s">
        <v>8</v>
      </c>
      <c r="C47" t="s">
        <v>20</v>
      </c>
      <c r="D47" t="s">
        <v>59</v>
      </c>
      <c r="E47" t="s">
        <v>63</v>
      </c>
      <c r="F47" t="s">
        <v>64</v>
      </c>
      <c r="H47">
        <f t="shared" si="5"/>
        <v>835</v>
      </c>
      <c r="I47">
        <f t="shared" si="6"/>
        <v>51</v>
      </c>
      <c r="J47" t="str">
        <f t="shared" si="7"/>
        <v>835-51</v>
      </c>
      <c r="K47" s="92" t="str">
        <f t="shared" si="3"/>
        <v>835-51non-SNF</v>
      </c>
      <c r="L47" t="s">
        <v>263</v>
      </c>
      <c r="M47" t="s">
        <v>285</v>
      </c>
    </row>
    <row r="48" spans="2:15" x14ac:dyDescent="0.25">
      <c r="B48" t="s">
        <v>8</v>
      </c>
      <c r="C48" t="s">
        <v>9</v>
      </c>
      <c r="D48" t="s">
        <v>59</v>
      </c>
      <c r="E48" t="s">
        <v>60</v>
      </c>
      <c r="F48" t="s">
        <v>61</v>
      </c>
      <c r="H48">
        <f t="shared" si="5"/>
        <v>835</v>
      </c>
      <c r="I48">
        <f t="shared" si="6"/>
        <v>21</v>
      </c>
      <c r="J48" t="str">
        <f t="shared" si="7"/>
        <v>835-21</v>
      </c>
      <c r="K48" s="92" t="str">
        <f t="shared" si="3"/>
        <v>835-21non-SNF</v>
      </c>
      <c r="L48" t="s">
        <v>261</v>
      </c>
      <c r="M48" t="s">
        <v>285</v>
      </c>
    </row>
    <row r="49" spans="1:13" x14ac:dyDescent="0.25">
      <c r="B49" t="s">
        <v>8</v>
      </c>
      <c r="C49" t="s">
        <v>9</v>
      </c>
      <c r="D49" t="s">
        <v>59</v>
      </c>
      <c r="E49" t="s">
        <v>60</v>
      </c>
      <c r="F49" t="s">
        <v>62</v>
      </c>
      <c r="H49">
        <f t="shared" si="5"/>
        <v>835</v>
      </c>
      <c r="I49">
        <f t="shared" si="6"/>
        <v>31</v>
      </c>
      <c r="J49" t="str">
        <f t="shared" si="7"/>
        <v>835-31</v>
      </c>
      <c r="K49" s="92" t="str">
        <f t="shared" si="3"/>
        <v>835-31non-SNF</v>
      </c>
      <c r="L49" t="s">
        <v>262</v>
      </c>
      <c r="M49" t="s">
        <v>285</v>
      </c>
    </row>
    <row r="50" spans="1:13" x14ac:dyDescent="0.25">
      <c r="B50" t="s">
        <v>66</v>
      </c>
      <c r="C50" t="s">
        <v>67</v>
      </c>
      <c r="D50" t="s">
        <v>59</v>
      </c>
      <c r="E50" t="s">
        <v>25</v>
      </c>
      <c r="F50" t="s">
        <v>65</v>
      </c>
      <c r="H50">
        <f t="shared" si="5"/>
        <v>835</v>
      </c>
      <c r="I50">
        <f t="shared" si="6"/>
        <v>61</v>
      </c>
      <c r="J50" t="str">
        <f t="shared" si="7"/>
        <v>835-61</v>
      </c>
      <c r="K50" s="92" t="str">
        <f t="shared" si="3"/>
        <v>835-61non-SNF</v>
      </c>
      <c r="L50" t="s">
        <v>211</v>
      </c>
      <c r="M50" t="s">
        <v>285</v>
      </c>
    </row>
    <row r="51" spans="1:13" x14ac:dyDescent="0.25">
      <c r="B51" t="s">
        <v>37</v>
      </c>
      <c r="C51" t="s">
        <v>47</v>
      </c>
      <c r="D51" t="s">
        <v>59</v>
      </c>
      <c r="E51" t="s">
        <v>25</v>
      </c>
      <c r="F51" t="s">
        <v>65</v>
      </c>
      <c r="H51">
        <f t="shared" si="5"/>
        <v>835</v>
      </c>
      <c r="I51">
        <f t="shared" si="6"/>
        <v>61</v>
      </c>
      <c r="J51" t="str">
        <f t="shared" si="7"/>
        <v>835-61</v>
      </c>
      <c r="K51" s="92" t="str">
        <f t="shared" si="3"/>
        <v>835-61non-SNF</v>
      </c>
      <c r="L51" t="s">
        <v>211</v>
      </c>
      <c r="M51" t="s">
        <v>285</v>
      </c>
    </row>
    <row r="52" spans="1:13" x14ac:dyDescent="0.25">
      <c r="B52" t="s">
        <v>45</v>
      </c>
      <c r="C52" t="s">
        <v>46</v>
      </c>
      <c r="D52" t="s">
        <v>59</v>
      </c>
      <c r="E52" t="s">
        <v>25</v>
      </c>
      <c r="F52" t="s">
        <v>65</v>
      </c>
      <c r="H52">
        <f t="shared" si="5"/>
        <v>835</v>
      </c>
      <c r="I52">
        <f t="shared" si="6"/>
        <v>61</v>
      </c>
      <c r="J52" t="str">
        <f t="shared" si="7"/>
        <v>835-61</v>
      </c>
      <c r="K52" s="92" t="str">
        <f t="shared" si="3"/>
        <v>835-61non-SNF</v>
      </c>
      <c r="L52" t="s">
        <v>211</v>
      </c>
      <c r="M52" t="s">
        <v>285</v>
      </c>
    </row>
    <row r="53" spans="1:13" x14ac:dyDescent="0.25">
      <c r="B53" t="s">
        <v>34</v>
      </c>
      <c r="C53" t="s">
        <v>35</v>
      </c>
      <c r="D53" t="s">
        <v>59</v>
      </c>
      <c r="E53" t="s">
        <v>25</v>
      </c>
      <c r="F53" t="s">
        <v>65</v>
      </c>
      <c r="H53">
        <f t="shared" si="5"/>
        <v>835</v>
      </c>
      <c r="I53">
        <f t="shared" si="6"/>
        <v>61</v>
      </c>
      <c r="J53" t="str">
        <f t="shared" si="7"/>
        <v>835-61</v>
      </c>
      <c r="K53" s="92" t="str">
        <f t="shared" si="3"/>
        <v>835-61non-SNF</v>
      </c>
      <c r="L53" t="s">
        <v>211</v>
      </c>
      <c r="M53" t="s">
        <v>285</v>
      </c>
    </row>
    <row r="54" spans="1:13" x14ac:dyDescent="0.25">
      <c r="B54" t="s">
        <v>8</v>
      </c>
      <c r="C54" t="s">
        <v>8</v>
      </c>
      <c r="D54" t="s">
        <v>59</v>
      </c>
      <c r="E54" t="s">
        <v>25</v>
      </c>
      <c r="F54" t="s">
        <v>65</v>
      </c>
      <c r="H54">
        <f t="shared" si="5"/>
        <v>835</v>
      </c>
      <c r="I54">
        <f t="shared" si="6"/>
        <v>61</v>
      </c>
      <c r="J54" t="str">
        <f t="shared" si="7"/>
        <v>835-61</v>
      </c>
      <c r="K54" s="92" t="str">
        <f t="shared" si="3"/>
        <v>835-61non-SNF</v>
      </c>
      <c r="L54" t="s">
        <v>211</v>
      </c>
      <c r="M54" t="s">
        <v>285</v>
      </c>
    </row>
    <row r="55" spans="1:13" x14ac:dyDescent="0.25">
      <c r="B55" t="s">
        <v>37</v>
      </c>
      <c r="C55" t="s">
        <v>47</v>
      </c>
      <c r="D55" t="s">
        <v>39</v>
      </c>
      <c r="E55" t="s">
        <v>25</v>
      </c>
      <c r="F55" t="s">
        <v>44</v>
      </c>
      <c r="H55">
        <f t="shared" si="5"/>
        <v>324</v>
      </c>
      <c r="I55">
        <f t="shared" si="6"/>
        <v>61</v>
      </c>
      <c r="J55" t="str">
        <f t="shared" si="7"/>
        <v>324-61</v>
      </c>
      <c r="K55" s="92" t="str">
        <f t="shared" si="3"/>
        <v>324-61non-SNF</v>
      </c>
      <c r="L55" t="s">
        <v>209</v>
      </c>
      <c r="M55" t="s">
        <v>285</v>
      </c>
    </row>
    <row r="56" spans="1:13" x14ac:dyDescent="0.25">
      <c r="B56" t="s">
        <v>45</v>
      </c>
      <c r="C56" t="s">
        <v>46</v>
      </c>
      <c r="D56" t="s">
        <v>39</v>
      </c>
      <c r="E56" t="s">
        <v>25</v>
      </c>
      <c r="F56" t="s">
        <v>44</v>
      </c>
      <c r="H56">
        <f t="shared" si="5"/>
        <v>324</v>
      </c>
      <c r="I56">
        <f t="shared" si="6"/>
        <v>61</v>
      </c>
      <c r="J56" t="str">
        <f t="shared" si="7"/>
        <v>324-61</v>
      </c>
      <c r="K56" s="92" t="str">
        <f t="shared" si="3"/>
        <v>324-61non-SNF</v>
      </c>
      <c r="L56" t="s">
        <v>209</v>
      </c>
      <c r="M56" t="s">
        <v>285</v>
      </c>
    </row>
    <row r="57" spans="1:13" x14ac:dyDescent="0.25">
      <c r="B57" t="s">
        <v>34</v>
      </c>
      <c r="C57" t="s">
        <v>35</v>
      </c>
      <c r="D57" t="s">
        <v>39</v>
      </c>
      <c r="E57" t="s">
        <v>25</v>
      </c>
      <c r="F57" t="s">
        <v>44</v>
      </c>
      <c r="H57">
        <f t="shared" si="5"/>
        <v>324</v>
      </c>
      <c r="I57">
        <f t="shared" si="6"/>
        <v>61</v>
      </c>
      <c r="J57" t="str">
        <f t="shared" si="7"/>
        <v>324-61</v>
      </c>
      <c r="K57" s="92" t="str">
        <f t="shared" si="3"/>
        <v>324-61non-SNF</v>
      </c>
      <c r="L57" t="s">
        <v>209</v>
      </c>
      <c r="M57" t="s">
        <v>285</v>
      </c>
    </row>
    <row r="58" spans="1:13" x14ac:dyDescent="0.25">
      <c r="B58" t="s">
        <v>8</v>
      </c>
      <c r="C58" t="s">
        <v>8</v>
      </c>
      <c r="D58" t="s">
        <v>39</v>
      </c>
      <c r="E58" t="s">
        <v>25</v>
      </c>
      <c r="F58" t="s">
        <v>44</v>
      </c>
      <c r="H58">
        <f t="shared" si="5"/>
        <v>324</v>
      </c>
      <c r="I58">
        <f t="shared" si="6"/>
        <v>61</v>
      </c>
      <c r="J58" t="str">
        <f t="shared" si="7"/>
        <v>324-61</v>
      </c>
      <c r="K58" s="92" t="str">
        <f t="shared" si="3"/>
        <v>324-61non-SNF</v>
      </c>
      <c r="L58" t="s">
        <v>209</v>
      </c>
      <c r="M58" t="s">
        <v>285</v>
      </c>
    </row>
    <row r="59" spans="1:13" x14ac:dyDescent="0.25">
      <c r="B59" t="s">
        <v>8</v>
      </c>
      <c r="C59" t="s">
        <v>9</v>
      </c>
      <c r="D59" t="s">
        <v>39</v>
      </c>
      <c r="E59" t="s">
        <v>40</v>
      </c>
      <c r="F59" t="s">
        <v>48</v>
      </c>
      <c r="H59">
        <f t="shared" si="5"/>
        <v>324</v>
      </c>
      <c r="I59">
        <f t="shared" si="6"/>
        <v>31</v>
      </c>
      <c r="J59" t="str">
        <f t="shared" si="7"/>
        <v>324-31</v>
      </c>
      <c r="K59" s="92" t="str">
        <f t="shared" si="3"/>
        <v>324-31non-SNF</v>
      </c>
      <c r="L59" t="s">
        <v>243</v>
      </c>
      <c r="M59" t="s">
        <v>285</v>
      </c>
    </row>
    <row r="60" spans="1:13" x14ac:dyDescent="0.25">
      <c r="B60" t="s">
        <v>8</v>
      </c>
      <c r="C60" t="s">
        <v>9</v>
      </c>
      <c r="D60" t="s">
        <v>39</v>
      </c>
      <c r="E60" t="s">
        <v>40</v>
      </c>
      <c r="F60" t="s">
        <v>41</v>
      </c>
      <c r="H60">
        <f t="shared" si="5"/>
        <v>324</v>
      </c>
      <c r="I60">
        <f t="shared" si="6"/>
        <v>21</v>
      </c>
      <c r="J60" t="str">
        <f t="shared" si="7"/>
        <v>324-21</v>
      </c>
      <c r="K60" s="92" t="str">
        <f t="shared" si="3"/>
        <v>324-21non-SNF</v>
      </c>
      <c r="L60" t="s">
        <v>242</v>
      </c>
      <c r="M60" t="s">
        <v>285</v>
      </c>
    </row>
    <row r="61" spans="1:13" x14ac:dyDescent="0.25">
      <c r="B61" t="s">
        <v>8</v>
      </c>
      <c r="C61" t="s">
        <v>20</v>
      </c>
      <c r="D61" t="s">
        <v>39</v>
      </c>
      <c r="E61" t="s">
        <v>42</v>
      </c>
      <c r="F61" t="s">
        <v>43</v>
      </c>
      <c r="H61">
        <f t="shared" si="5"/>
        <v>324</v>
      </c>
      <c r="I61">
        <f t="shared" si="6"/>
        <v>51</v>
      </c>
      <c r="J61" t="str">
        <f t="shared" si="7"/>
        <v>324-51</v>
      </c>
      <c r="K61" s="92" t="str">
        <f t="shared" si="3"/>
        <v>324-51non-SNF</v>
      </c>
      <c r="L61" t="s">
        <v>244</v>
      </c>
      <c r="M61" t="s">
        <v>285</v>
      </c>
    </row>
    <row r="63" spans="1:13" x14ac:dyDescent="0.25">
      <c r="A63" s="75" t="s">
        <v>359</v>
      </c>
    </row>
    <row r="64" spans="1:13" x14ac:dyDescent="0.25">
      <c r="B64" s="95" t="str">
        <f>_xlfn.XLOOKUP($M64,$S$2:$S$8,Q$2:Q$8)</f>
        <v>MEDICAID</v>
      </c>
      <c r="C64" s="95" t="str">
        <f>_xlfn.XLOOKUP($M64,$S$2:$S$8,R$2:R$8)</f>
        <v>MARYLAND MEDICAID</v>
      </c>
      <c r="D64" s="96" t="str">
        <f>_xlfn.XLOOKUP($J64,$J$2:$J$61,D$2:D$61)</f>
        <v>ASBURY METHODIST VILLAGE</v>
      </c>
      <c r="E64" s="96" t="str">
        <f t="shared" ref="E64:F90" si="8">_xlfn.XLOOKUP($J64,$J$2:$J$61,E$2:E$61)</f>
        <v>SKILLED NURSING - Household</v>
      </c>
      <c r="F64" s="96" t="str">
        <f t="shared" si="8"/>
        <v>AMV - WILSON HEALTH CARE CENTER</v>
      </c>
      <c r="H64">
        <f t="shared" ref="H64:H90" si="9">VALUE(LEFT(L64,3))</f>
        <v>100</v>
      </c>
      <c r="I64">
        <f t="shared" ref="I64:I90" si="10">VALUE(MID(L64,5,2))</f>
        <v>62</v>
      </c>
      <c r="J64" t="str">
        <f t="shared" ref="J64:J90" si="11">H64&amp;"-"&amp;I64</f>
        <v>100-62</v>
      </c>
      <c r="K64" s="92" t="str">
        <f t="shared" ref="K64:K90" si="12">J64&amp;M64</f>
        <v>100-62Medicaid</v>
      </c>
      <c r="L64" s="60" t="s">
        <v>207</v>
      </c>
      <c r="M64" s="43" t="s">
        <v>89</v>
      </c>
    </row>
    <row r="65" spans="2:13" x14ac:dyDescent="0.25">
      <c r="B65" s="94" t="str">
        <f>_xlfn.XLOOKUP($M65,$S$2:$S$8,Q$2:Q$8)</f>
        <v>MANAGED CARE</v>
      </c>
      <c r="C65" s="94" t="str">
        <f>_xlfn.XLOOKUP($M65,$S$2:$S$8,R$2:R$8)</f>
        <v>MGCARE LEVEL OF CARE</v>
      </c>
      <c r="D65" s="96" t="str">
        <f t="shared" ref="D65:D90" si="13">_xlfn.XLOOKUP($J65,$J$2:$J$61,D$2:D$61)</f>
        <v>ASBURY METHODIST VILLAGE</v>
      </c>
      <c r="E65" s="96" t="str">
        <f t="shared" si="8"/>
        <v>SKILLED NURSING - Household</v>
      </c>
      <c r="F65" s="96" t="str">
        <f t="shared" si="8"/>
        <v>AMV - WILSON HEALTH CARE CENTER</v>
      </c>
      <c r="H65">
        <f t="shared" si="9"/>
        <v>100</v>
      </c>
      <c r="I65">
        <f t="shared" si="10"/>
        <v>62</v>
      </c>
      <c r="J65" t="str">
        <f t="shared" si="11"/>
        <v>100-62</v>
      </c>
      <c r="K65" s="92" t="str">
        <f t="shared" si="12"/>
        <v>100-62Insurance</v>
      </c>
      <c r="L65" s="60" t="s">
        <v>207</v>
      </c>
      <c r="M65" s="43" t="s">
        <v>129</v>
      </c>
    </row>
    <row r="66" spans="2:13" x14ac:dyDescent="0.25">
      <c r="B66" s="94" t="str">
        <f t="shared" ref="B66:C90" si="14">_xlfn.XLOOKUP($M66,$S$2:$S$8,Q$2:Q$8)</f>
        <v>PRIVATE PAY</v>
      </c>
      <c r="C66" s="94" t="str">
        <f t="shared" si="14"/>
        <v>PRIVATE PAY</v>
      </c>
      <c r="D66" s="96" t="str">
        <f t="shared" si="13"/>
        <v>ASBURY METHODIST VILLAGE</v>
      </c>
      <c r="E66" s="96" t="str">
        <f t="shared" si="8"/>
        <v>SKILLED NURSING - Household</v>
      </c>
      <c r="F66" s="96" t="str">
        <f t="shared" si="8"/>
        <v>AMV - WILSON HEALTH CARE CENTER</v>
      </c>
      <c r="H66">
        <f t="shared" si="9"/>
        <v>100</v>
      </c>
      <c r="I66">
        <f t="shared" si="10"/>
        <v>62</v>
      </c>
      <c r="J66" t="str">
        <f t="shared" si="11"/>
        <v>100-62</v>
      </c>
      <c r="K66" s="92" t="str">
        <f t="shared" si="12"/>
        <v>100-62Private Pay</v>
      </c>
      <c r="L66" s="60" t="s">
        <v>207</v>
      </c>
      <c r="M66" s="43" t="s">
        <v>91</v>
      </c>
    </row>
    <row r="67" spans="2:13" x14ac:dyDescent="0.25">
      <c r="B67" s="94" t="str">
        <f t="shared" si="14"/>
        <v>Hospice</v>
      </c>
      <c r="C67" s="94" t="str">
        <f t="shared" si="14"/>
        <v>Hospice - Private Pay</v>
      </c>
      <c r="D67" s="96" t="str">
        <f t="shared" si="13"/>
        <v>ASBURY METHODIST VILLAGE</v>
      </c>
      <c r="E67" s="96" t="str">
        <f t="shared" si="8"/>
        <v>SKILLED NURSING - Household</v>
      </c>
      <c r="F67" s="96" t="str">
        <f t="shared" si="8"/>
        <v>AMV - WILSON HEALTH CARE CENTER</v>
      </c>
      <c r="H67">
        <f t="shared" si="9"/>
        <v>100</v>
      </c>
      <c r="I67">
        <f t="shared" si="10"/>
        <v>62</v>
      </c>
      <c r="J67" t="str">
        <f t="shared" si="11"/>
        <v>100-62</v>
      </c>
      <c r="K67" s="92" t="str">
        <f t="shared" si="12"/>
        <v>100-62Hospice</v>
      </c>
      <c r="L67" s="60" t="s">
        <v>207</v>
      </c>
      <c r="M67" s="43" t="s">
        <v>23</v>
      </c>
    </row>
    <row r="68" spans="2:13" x14ac:dyDescent="0.25">
      <c r="B68" s="94" t="str">
        <f t="shared" si="14"/>
        <v>Medicare Advantage</v>
      </c>
      <c r="C68" s="94" t="str">
        <f t="shared" si="14"/>
        <v>Med Adv HMO A</v>
      </c>
      <c r="D68" s="96" t="str">
        <f t="shared" si="13"/>
        <v>ASBURY SOLOMONS</v>
      </c>
      <c r="E68" s="96" t="str">
        <f t="shared" si="8"/>
        <v>SKILLED NURSING</v>
      </c>
      <c r="F68" s="96" t="str">
        <f t="shared" si="8"/>
        <v>ASBURY SOLOMONS SKILLED NURSING</v>
      </c>
      <c r="H68">
        <f t="shared" si="9"/>
        <v>200</v>
      </c>
      <c r="I68">
        <f t="shared" si="10"/>
        <v>61</v>
      </c>
      <c r="J68" t="str">
        <f t="shared" si="11"/>
        <v>200-61</v>
      </c>
      <c r="K68" s="92" t="str">
        <f t="shared" si="12"/>
        <v>200-61Medicare Advantage</v>
      </c>
      <c r="L68" s="59" t="s">
        <v>208</v>
      </c>
      <c r="M68" s="43" t="s">
        <v>45</v>
      </c>
    </row>
    <row r="69" spans="2:13" x14ac:dyDescent="0.25">
      <c r="B69" s="94" t="str">
        <f t="shared" si="14"/>
        <v>MANAGED CARE</v>
      </c>
      <c r="C69" s="94" t="str">
        <f t="shared" si="14"/>
        <v>MGCARE LEVEL OF CARE</v>
      </c>
      <c r="D69" s="96" t="str">
        <f t="shared" si="13"/>
        <v>ASBURY SOLOMONS</v>
      </c>
      <c r="E69" s="96" t="str">
        <f t="shared" si="8"/>
        <v>SKILLED NURSING</v>
      </c>
      <c r="F69" s="96" t="str">
        <f t="shared" si="8"/>
        <v>ASBURY SOLOMONS SKILLED NURSING</v>
      </c>
      <c r="H69">
        <f t="shared" si="9"/>
        <v>200</v>
      </c>
      <c r="I69">
        <f t="shared" si="10"/>
        <v>61</v>
      </c>
      <c r="J69" t="str">
        <f t="shared" si="11"/>
        <v>200-61</v>
      </c>
      <c r="K69" s="92" t="str">
        <f t="shared" si="12"/>
        <v>200-61Insurance</v>
      </c>
      <c r="L69" s="59" t="s">
        <v>208</v>
      </c>
      <c r="M69" s="43" t="s">
        <v>129</v>
      </c>
    </row>
    <row r="70" spans="2:13" x14ac:dyDescent="0.25">
      <c r="B70" s="94" t="str">
        <f t="shared" si="14"/>
        <v>Hospice</v>
      </c>
      <c r="C70" s="94" t="str">
        <f t="shared" si="14"/>
        <v>Hospice - Private Pay</v>
      </c>
      <c r="D70" s="96" t="str">
        <f t="shared" si="13"/>
        <v>ASBURY SOLOMONS</v>
      </c>
      <c r="E70" s="96" t="str">
        <f t="shared" si="8"/>
        <v>SKILLED NURSING</v>
      </c>
      <c r="F70" s="96" t="str">
        <f t="shared" si="8"/>
        <v>ASBURY SOLOMONS SKILLED NURSING</v>
      </c>
      <c r="H70">
        <f t="shared" si="9"/>
        <v>200</v>
      </c>
      <c r="I70">
        <f t="shared" si="10"/>
        <v>61</v>
      </c>
      <c r="J70" t="str">
        <f t="shared" si="11"/>
        <v>200-61</v>
      </c>
      <c r="K70" s="92" t="str">
        <f t="shared" si="12"/>
        <v>200-61Hospice</v>
      </c>
      <c r="L70" s="59" t="s">
        <v>208</v>
      </c>
      <c r="M70" s="43" t="s">
        <v>23</v>
      </c>
    </row>
    <row r="71" spans="2:13" x14ac:dyDescent="0.25">
      <c r="B71" s="94" t="str">
        <f t="shared" si="14"/>
        <v>MEDICAREA/MC HMO</v>
      </c>
      <c r="C71" s="94" t="str">
        <f t="shared" si="14"/>
        <v>MEDICARE A HIGHMARK</v>
      </c>
      <c r="D71" s="96" t="str">
        <f t="shared" si="13"/>
        <v>SPRINGHILL</v>
      </c>
      <c r="E71" s="96" t="str">
        <f t="shared" si="8"/>
        <v>SKILLED NURSING</v>
      </c>
      <c r="F71" s="96" t="str">
        <f t="shared" si="8"/>
        <v>Forest View</v>
      </c>
      <c r="H71">
        <f t="shared" si="9"/>
        <v>324</v>
      </c>
      <c r="I71">
        <f t="shared" si="10"/>
        <v>61</v>
      </c>
      <c r="J71" t="str">
        <f t="shared" si="11"/>
        <v>324-61</v>
      </c>
      <c r="K71" s="92" t="str">
        <f t="shared" si="12"/>
        <v>324-61Medicare A</v>
      </c>
      <c r="L71" s="60" t="s">
        <v>209</v>
      </c>
      <c r="M71" s="43" t="s">
        <v>133</v>
      </c>
    </row>
    <row r="72" spans="2:13" x14ac:dyDescent="0.25">
      <c r="B72" s="94" t="str">
        <f t="shared" si="14"/>
        <v>Medicare Advantage</v>
      </c>
      <c r="C72" s="94" t="str">
        <f t="shared" si="14"/>
        <v>Med Adv HMO A</v>
      </c>
      <c r="D72" s="96" t="str">
        <f t="shared" si="13"/>
        <v>SPRINGHILL</v>
      </c>
      <c r="E72" s="96" t="str">
        <f t="shared" si="8"/>
        <v>SKILLED NURSING</v>
      </c>
      <c r="F72" s="96" t="str">
        <f t="shared" si="8"/>
        <v>Forest View</v>
      </c>
      <c r="H72">
        <f t="shared" si="9"/>
        <v>324</v>
      </c>
      <c r="I72">
        <f t="shared" si="10"/>
        <v>61</v>
      </c>
      <c r="J72" t="str">
        <f t="shared" si="11"/>
        <v>324-61</v>
      </c>
      <c r="K72" s="92" t="str">
        <f t="shared" si="12"/>
        <v>324-61Medicare Advantage</v>
      </c>
      <c r="L72" s="60" t="s">
        <v>209</v>
      </c>
      <c r="M72" s="43" t="s">
        <v>45</v>
      </c>
    </row>
    <row r="73" spans="2:13" x14ac:dyDescent="0.25">
      <c r="B73" s="95" t="str">
        <f>Q8</f>
        <v>MEDICAID</v>
      </c>
      <c r="C73" s="95" t="str">
        <f>R8</f>
        <v>PA MEDICAID</v>
      </c>
      <c r="D73" s="96" t="str">
        <f t="shared" si="13"/>
        <v>SPRINGHILL</v>
      </c>
      <c r="E73" s="96" t="str">
        <f t="shared" si="8"/>
        <v>SKILLED NURSING</v>
      </c>
      <c r="F73" s="96" t="str">
        <f t="shared" si="8"/>
        <v>Forest View</v>
      </c>
      <c r="H73">
        <f t="shared" si="9"/>
        <v>324</v>
      </c>
      <c r="I73">
        <f t="shared" si="10"/>
        <v>61</v>
      </c>
      <c r="J73" t="str">
        <f t="shared" si="11"/>
        <v>324-61</v>
      </c>
      <c r="K73" s="92" t="str">
        <f t="shared" si="12"/>
        <v>324-61Medicaid</v>
      </c>
      <c r="L73" s="60" t="s">
        <v>209</v>
      </c>
      <c r="M73" s="43" t="s">
        <v>89</v>
      </c>
    </row>
    <row r="74" spans="2:13" x14ac:dyDescent="0.25">
      <c r="B74" s="94" t="str">
        <f t="shared" si="14"/>
        <v>MANAGED CARE</v>
      </c>
      <c r="C74" s="94" t="str">
        <f t="shared" si="14"/>
        <v>MGCARE LEVEL OF CARE</v>
      </c>
      <c r="D74" s="96" t="str">
        <f t="shared" si="13"/>
        <v>SPRINGHILL</v>
      </c>
      <c r="E74" s="96" t="str">
        <f t="shared" si="8"/>
        <v>SKILLED NURSING</v>
      </c>
      <c r="F74" s="96" t="str">
        <f t="shared" si="8"/>
        <v>Forest View</v>
      </c>
      <c r="H74">
        <f t="shared" si="9"/>
        <v>324</v>
      </c>
      <c r="I74">
        <f t="shared" si="10"/>
        <v>61</v>
      </c>
      <c r="J74" t="str">
        <f t="shared" si="11"/>
        <v>324-61</v>
      </c>
      <c r="K74" s="92" t="str">
        <f t="shared" si="12"/>
        <v>324-61Insurance</v>
      </c>
      <c r="L74" s="60" t="s">
        <v>209</v>
      </c>
      <c r="M74" s="43" t="s">
        <v>129</v>
      </c>
    </row>
    <row r="75" spans="2:13" x14ac:dyDescent="0.25">
      <c r="B75" s="94" t="str">
        <f t="shared" si="14"/>
        <v>PRIVATE PAY</v>
      </c>
      <c r="C75" s="94" t="str">
        <f t="shared" si="14"/>
        <v>PRIVATE PAY</v>
      </c>
      <c r="D75" s="96" t="str">
        <f t="shared" si="13"/>
        <v>SPRINGHILL</v>
      </c>
      <c r="E75" s="96" t="str">
        <f t="shared" si="8"/>
        <v>SKILLED NURSING</v>
      </c>
      <c r="F75" s="96" t="str">
        <f t="shared" si="8"/>
        <v>Forest View</v>
      </c>
      <c r="H75">
        <f t="shared" si="9"/>
        <v>324</v>
      </c>
      <c r="I75">
        <f t="shared" si="10"/>
        <v>61</v>
      </c>
      <c r="J75" t="str">
        <f t="shared" si="11"/>
        <v>324-61</v>
      </c>
      <c r="K75" s="92" t="str">
        <f t="shared" si="12"/>
        <v>324-61Private Pay</v>
      </c>
      <c r="L75" s="60" t="s">
        <v>209</v>
      </c>
      <c r="M75" s="43" t="s">
        <v>91</v>
      </c>
    </row>
    <row r="76" spans="2:13" x14ac:dyDescent="0.25">
      <c r="B76" s="94" t="str">
        <f t="shared" si="14"/>
        <v>Hospice</v>
      </c>
      <c r="C76" s="94" t="str">
        <f t="shared" si="14"/>
        <v>Hospice - Private Pay</v>
      </c>
      <c r="D76" s="96" t="str">
        <f t="shared" si="13"/>
        <v>SPRINGHILL</v>
      </c>
      <c r="E76" s="96" t="str">
        <f t="shared" si="8"/>
        <v>SKILLED NURSING</v>
      </c>
      <c r="F76" s="96" t="str">
        <f t="shared" si="8"/>
        <v>Forest View</v>
      </c>
      <c r="H76">
        <f t="shared" si="9"/>
        <v>324</v>
      </c>
      <c r="I76">
        <f t="shared" si="10"/>
        <v>61</v>
      </c>
      <c r="J76" t="str">
        <f t="shared" si="11"/>
        <v>324-61</v>
      </c>
      <c r="K76" s="92" t="str">
        <f t="shared" si="12"/>
        <v>324-61Hospice</v>
      </c>
      <c r="L76" s="60" t="s">
        <v>209</v>
      </c>
      <c r="M76" s="43" t="s">
        <v>23</v>
      </c>
    </row>
    <row r="77" spans="2:13" x14ac:dyDescent="0.25">
      <c r="B77" s="94" t="str">
        <f t="shared" si="14"/>
        <v>MANAGED CARE</v>
      </c>
      <c r="C77" s="94" t="str">
        <f t="shared" si="14"/>
        <v>MGCARE LEVEL OF CARE</v>
      </c>
      <c r="D77" s="96" t="str">
        <f t="shared" si="13"/>
        <v>BETHANY VILLAGE</v>
      </c>
      <c r="E77" s="96" t="str">
        <f t="shared" si="8"/>
        <v>SKILLED NURSING</v>
      </c>
      <c r="F77" s="96" t="str">
        <f t="shared" si="8"/>
        <v>BETHANY VILLAGE - THE OAKS</v>
      </c>
      <c r="H77">
        <f t="shared" si="9"/>
        <v>810</v>
      </c>
      <c r="I77">
        <f t="shared" si="10"/>
        <v>61</v>
      </c>
      <c r="J77" t="str">
        <f t="shared" si="11"/>
        <v>810-61</v>
      </c>
      <c r="K77" s="92" t="str">
        <f t="shared" si="12"/>
        <v>810-61Insurance</v>
      </c>
      <c r="L77" s="59" t="s">
        <v>210</v>
      </c>
      <c r="M77" s="43" t="s">
        <v>129</v>
      </c>
    </row>
    <row r="78" spans="2:13" x14ac:dyDescent="0.25">
      <c r="B78" s="94" t="str">
        <f t="shared" si="14"/>
        <v>Hospice</v>
      </c>
      <c r="C78" s="94" t="str">
        <f t="shared" si="14"/>
        <v>Hospice - Private Pay</v>
      </c>
      <c r="D78" s="96" t="str">
        <f t="shared" si="13"/>
        <v>BETHANY VILLAGE</v>
      </c>
      <c r="E78" s="96" t="str">
        <f t="shared" si="8"/>
        <v>SKILLED NURSING</v>
      </c>
      <c r="F78" s="96" t="str">
        <f t="shared" si="8"/>
        <v>BETHANY VILLAGE - THE OAKS</v>
      </c>
      <c r="H78">
        <f t="shared" si="9"/>
        <v>810</v>
      </c>
      <c r="I78">
        <f t="shared" si="10"/>
        <v>61</v>
      </c>
      <c r="J78" t="str">
        <f t="shared" si="11"/>
        <v>810-61</v>
      </c>
      <c r="K78" s="92" t="str">
        <f t="shared" si="12"/>
        <v>810-61Hospice</v>
      </c>
      <c r="L78" s="59" t="s">
        <v>210</v>
      </c>
      <c r="M78" s="43" t="s">
        <v>23</v>
      </c>
    </row>
    <row r="79" spans="2:13" x14ac:dyDescent="0.25">
      <c r="B79" s="94" t="str">
        <f t="shared" si="14"/>
        <v>MEDICAREA/MC HMO</v>
      </c>
      <c r="C79" s="94" t="str">
        <f t="shared" si="14"/>
        <v>MEDICARE A HIGHMARK</v>
      </c>
      <c r="D79" s="96" t="str">
        <f t="shared" si="13"/>
        <v>Riverwoods</v>
      </c>
      <c r="E79" s="96" t="str">
        <f t="shared" si="8"/>
        <v>SKILLED NURSING</v>
      </c>
      <c r="F79" s="96" t="str">
        <f t="shared" si="8"/>
        <v>RIVERWOODS SKILLED NURSING FACILITY</v>
      </c>
      <c r="H79">
        <f t="shared" si="9"/>
        <v>835</v>
      </c>
      <c r="I79">
        <f t="shared" si="10"/>
        <v>61</v>
      </c>
      <c r="J79" t="str">
        <f t="shared" si="11"/>
        <v>835-61</v>
      </c>
      <c r="K79" s="92" t="str">
        <f t="shared" si="12"/>
        <v>835-61Medicare A</v>
      </c>
      <c r="L79" s="60" t="s">
        <v>211</v>
      </c>
      <c r="M79" s="43" t="s">
        <v>133</v>
      </c>
    </row>
    <row r="80" spans="2:13" x14ac:dyDescent="0.25">
      <c r="B80" s="94" t="str">
        <f t="shared" si="14"/>
        <v>Medicare Advantage</v>
      </c>
      <c r="C80" s="94" t="str">
        <f t="shared" si="14"/>
        <v>Med Adv HMO A</v>
      </c>
      <c r="D80" s="96" t="str">
        <f t="shared" si="13"/>
        <v>Riverwoods</v>
      </c>
      <c r="E80" s="96" t="str">
        <f t="shared" si="8"/>
        <v>SKILLED NURSING</v>
      </c>
      <c r="F80" s="96" t="str">
        <f t="shared" si="8"/>
        <v>RIVERWOODS SKILLED NURSING FACILITY</v>
      </c>
      <c r="H80">
        <f t="shared" si="9"/>
        <v>835</v>
      </c>
      <c r="I80">
        <f t="shared" si="10"/>
        <v>61</v>
      </c>
      <c r="J80" t="str">
        <f t="shared" si="11"/>
        <v>835-61</v>
      </c>
      <c r="K80" s="92" t="str">
        <f t="shared" si="12"/>
        <v>835-61Medicare Advantage</v>
      </c>
      <c r="L80" s="60" t="s">
        <v>211</v>
      </c>
      <c r="M80" s="43" t="s">
        <v>45</v>
      </c>
    </row>
    <row r="81" spans="1:13" x14ac:dyDescent="0.25">
      <c r="B81" s="95" t="str">
        <f>Q8</f>
        <v>MEDICAID</v>
      </c>
      <c r="C81" s="95" t="str">
        <f>R8</f>
        <v>PA MEDICAID</v>
      </c>
      <c r="D81" s="96" t="str">
        <f t="shared" si="13"/>
        <v>Riverwoods</v>
      </c>
      <c r="E81" s="96" t="str">
        <f t="shared" si="8"/>
        <v>SKILLED NURSING</v>
      </c>
      <c r="F81" s="96" t="str">
        <f t="shared" si="8"/>
        <v>RIVERWOODS SKILLED NURSING FACILITY</v>
      </c>
      <c r="H81">
        <f t="shared" si="9"/>
        <v>835</v>
      </c>
      <c r="I81">
        <f t="shared" si="10"/>
        <v>61</v>
      </c>
      <c r="J81" t="str">
        <f t="shared" si="11"/>
        <v>835-61</v>
      </c>
      <c r="K81" s="92" t="str">
        <f t="shared" si="12"/>
        <v>835-61Medicaid</v>
      </c>
      <c r="L81" s="60" t="s">
        <v>211</v>
      </c>
      <c r="M81" s="43" t="s">
        <v>89</v>
      </c>
    </row>
    <row r="82" spans="1:13" x14ac:dyDescent="0.25">
      <c r="B82" s="94" t="str">
        <f t="shared" si="14"/>
        <v>MANAGED CARE</v>
      </c>
      <c r="C82" s="94" t="str">
        <f t="shared" si="14"/>
        <v>MGCARE LEVEL OF CARE</v>
      </c>
      <c r="D82" s="96" t="str">
        <f t="shared" si="13"/>
        <v>Riverwoods</v>
      </c>
      <c r="E82" s="96" t="str">
        <f t="shared" si="8"/>
        <v>SKILLED NURSING</v>
      </c>
      <c r="F82" s="96" t="str">
        <f t="shared" si="8"/>
        <v>RIVERWOODS SKILLED NURSING FACILITY</v>
      </c>
      <c r="H82">
        <f t="shared" si="9"/>
        <v>835</v>
      </c>
      <c r="I82">
        <f t="shared" si="10"/>
        <v>61</v>
      </c>
      <c r="J82" t="str">
        <f t="shared" si="11"/>
        <v>835-61</v>
      </c>
      <c r="K82" s="92" t="str">
        <f t="shared" si="12"/>
        <v>835-61Insurance</v>
      </c>
      <c r="L82" s="60" t="s">
        <v>211</v>
      </c>
      <c r="M82" s="43" t="s">
        <v>129</v>
      </c>
    </row>
    <row r="83" spans="1:13" x14ac:dyDescent="0.25">
      <c r="B83" s="94" t="str">
        <f t="shared" si="14"/>
        <v>PRIVATE PAY</v>
      </c>
      <c r="C83" s="94" t="str">
        <f t="shared" si="14"/>
        <v>PRIVATE PAY</v>
      </c>
      <c r="D83" s="96" t="str">
        <f t="shared" si="13"/>
        <v>Riverwoods</v>
      </c>
      <c r="E83" s="96" t="str">
        <f t="shared" si="8"/>
        <v>SKILLED NURSING</v>
      </c>
      <c r="F83" s="96" t="str">
        <f t="shared" si="8"/>
        <v>RIVERWOODS SKILLED NURSING FACILITY</v>
      </c>
      <c r="H83">
        <f t="shared" si="9"/>
        <v>835</v>
      </c>
      <c r="I83">
        <f t="shared" si="10"/>
        <v>61</v>
      </c>
      <c r="J83" t="str">
        <f t="shared" si="11"/>
        <v>835-61</v>
      </c>
      <c r="K83" s="92" t="str">
        <f t="shared" si="12"/>
        <v>835-61Private Pay</v>
      </c>
      <c r="L83" s="60" t="s">
        <v>211</v>
      </c>
      <c r="M83" s="43" t="s">
        <v>91</v>
      </c>
    </row>
    <row r="84" spans="1:13" x14ac:dyDescent="0.25">
      <c r="B84" s="94" t="str">
        <f t="shared" si="14"/>
        <v>Hospice</v>
      </c>
      <c r="C84" s="94" t="str">
        <f t="shared" si="14"/>
        <v>Hospice - Private Pay</v>
      </c>
      <c r="D84" s="96" t="str">
        <f t="shared" si="13"/>
        <v>Riverwoods</v>
      </c>
      <c r="E84" s="96" t="str">
        <f t="shared" si="8"/>
        <v>SKILLED NURSING</v>
      </c>
      <c r="F84" s="96" t="str">
        <f t="shared" si="8"/>
        <v>RIVERWOODS SKILLED NURSING FACILITY</v>
      </c>
      <c r="H84">
        <f t="shared" si="9"/>
        <v>835</v>
      </c>
      <c r="I84">
        <f t="shared" si="10"/>
        <v>61</v>
      </c>
      <c r="J84" t="str">
        <f t="shared" si="11"/>
        <v>835-61</v>
      </c>
      <c r="K84" s="92" t="str">
        <f t="shared" si="12"/>
        <v>835-61Hospice</v>
      </c>
      <c r="L84" s="60" t="s">
        <v>211</v>
      </c>
      <c r="M84" s="43" t="s">
        <v>23</v>
      </c>
    </row>
    <row r="85" spans="1:13" x14ac:dyDescent="0.25">
      <c r="B85" s="94" t="str">
        <f t="shared" si="14"/>
        <v>MEDICAREA/MC HMO</v>
      </c>
      <c r="C85" s="94" t="str">
        <f t="shared" si="14"/>
        <v>MEDICARE A HIGHMARK</v>
      </c>
      <c r="D85" s="96" t="str">
        <f t="shared" si="13"/>
        <v>Normandie Ridge</v>
      </c>
      <c r="E85" s="96" t="str">
        <f t="shared" si="8"/>
        <v>SKILLED NURSING</v>
      </c>
      <c r="F85" s="96" t="str">
        <f t="shared" si="8"/>
        <v>NORMANDIE RIDGE SNF</v>
      </c>
      <c r="H85">
        <f t="shared" si="9"/>
        <v>840</v>
      </c>
      <c r="I85">
        <f t="shared" si="10"/>
        <v>61</v>
      </c>
      <c r="J85" t="str">
        <f t="shared" si="11"/>
        <v>840-61</v>
      </c>
      <c r="K85" s="92" t="str">
        <f t="shared" si="12"/>
        <v>840-61Medicare A</v>
      </c>
      <c r="L85" s="59" t="s">
        <v>212</v>
      </c>
      <c r="M85" s="43" t="s">
        <v>133</v>
      </c>
    </row>
    <row r="86" spans="1:13" x14ac:dyDescent="0.25">
      <c r="B86" s="94" t="str">
        <f t="shared" si="14"/>
        <v>Medicare Advantage</v>
      </c>
      <c r="C86" s="94" t="str">
        <f t="shared" si="14"/>
        <v>Med Adv HMO A</v>
      </c>
      <c r="D86" s="96" t="str">
        <f t="shared" si="13"/>
        <v>Normandie Ridge</v>
      </c>
      <c r="E86" s="96" t="str">
        <f t="shared" si="8"/>
        <v>SKILLED NURSING</v>
      </c>
      <c r="F86" s="96" t="str">
        <f t="shared" si="8"/>
        <v>NORMANDIE RIDGE SNF</v>
      </c>
      <c r="H86">
        <f t="shared" si="9"/>
        <v>840</v>
      </c>
      <c r="I86">
        <f t="shared" si="10"/>
        <v>61</v>
      </c>
      <c r="J86" t="str">
        <f t="shared" si="11"/>
        <v>840-61</v>
      </c>
      <c r="K86" s="92" t="str">
        <f t="shared" si="12"/>
        <v>840-61Medicare Advantage</v>
      </c>
      <c r="L86" s="59" t="s">
        <v>212</v>
      </c>
      <c r="M86" s="43" t="s">
        <v>45</v>
      </c>
    </row>
    <row r="87" spans="1:13" x14ac:dyDescent="0.25">
      <c r="B87" s="95" t="str">
        <f>Q8</f>
        <v>MEDICAID</v>
      </c>
      <c r="C87" s="95" t="str">
        <f>R8</f>
        <v>PA MEDICAID</v>
      </c>
      <c r="D87" s="96" t="str">
        <f t="shared" si="13"/>
        <v>Normandie Ridge</v>
      </c>
      <c r="E87" s="96" t="str">
        <f t="shared" si="8"/>
        <v>SKILLED NURSING</v>
      </c>
      <c r="F87" s="96" t="str">
        <f t="shared" si="8"/>
        <v>NORMANDIE RIDGE SNF</v>
      </c>
      <c r="H87">
        <f t="shared" si="9"/>
        <v>840</v>
      </c>
      <c r="I87">
        <f t="shared" si="10"/>
        <v>61</v>
      </c>
      <c r="J87" t="str">
        <f t="shared" si="11"/>
        <v>840-61</v>
      </c>
      <c r="K87" s="92" t="str">
        <f t="shared" si="12"/>
        <v>840-61Medicaid</v>
      </c>
      <c r="L87" s="59" t="s">
        <v>212</v>
      </c>
      <c r="M87" s="43" t="s">
        <v>89</v>
      </c>
    </row>
    <row r="88" spans="1:13" x14ac:dyDescent="0.25">
      <c r="B88" s="94" t="str">
        <f t="shared" si="14"/>
        <v>MANAGED CARE</v>
      </c>
      <c r="C88" s="94" t="str">
        <f t="shared" si="14"/>
        <v>MGCARE LEVEL OF CARE</v>
      </c>
      <c r="D88" s="96" t="str">
        <f t="shared" si="13"/>
        <v>Normandie Ridge</v>
      </c>
      <c r="E88" s="96" t="str">
        <f t="shared" si="8"/>
        <v>SKILLED NURSING</v>
      </c>
      <c r="F88" s="96" t="str">
        <f t="shared" si="8"/>
        <v>NORMANDIE RIDGE SNF</v>
      </c>
      <c r="H88">
        <f t="shared" si="9"/>
        <v>840</v>
      </c>
      <c r="I88">
        <f t="shared" si="10"/>
        <v>61</v>
      </c>
      <c r="J88" t="str">
        <f t="shared" si="11"/>
        <v>840-61</v>
      </c>
      <c r="K88" s="92" t="str">
        <f t="shared" si="12"/>
        <v>840-61Insurance</v>
      </c>
      <c r="L88" s="59" t="s">
        <v>212</v>
      </c>
      <c r="M88" s="43" t="s">
        <v>129</v>
      </c>
    </row>
    <row r="89" spans="1:13" x14ac:dyDescent="0.25">
      <c r="B89" s="94" t="str">
        <f t="shared" si="14"/>
        <v>PRIVATE PAY</v>
      </c>
      <c r="C89" s="94" t="str">
        <f t="shared" si="14"/>
        <v>PRIVATE PAY</v>
      </c>
      <c r="D89" s="96" t="str">
        <f t="shared" si="13"/>
        <v>Normandie Ridge</v>
      </c>
      <c r="E89" s="96" t="str">
        <f t="shared" si="8"/>
        <v>SKILLED NURSING</v>
      </c>
      <c r="F89" s="96" t="str">
        <f t="shared" si="8"/>
        <v>NORMANDIE RIDGE SNF</v>
      </c>
      <c r="H89">
        <f t="shared" si="9"/>
        <v>840</v>
      </c>
      <c r="I89">
        <f t="shared" si="10"/>
        <v>61</v>
      </c>
      <c r="J89" t="str">
        <f t="shared" si="11"/>
        <v>840-61</v>
      </c>
      <c r="K89" s="92" t="str">
        <f t="shared" si="12"/>
        <v>840-61Private Pay</v>
      </c>
      <c r="L89" s="59" t="s">
        <v>212</v>
      </c>
      <c r="M89" s="43" t="s">
        <v>91</v>
      </c>
    </row>
    <row r="90" spans="1:13" x14ac:dyDescent="0.25">
      <c r="B90" s="94" t="str">
        <f t="shared" si="14"/>
        <v>Hospice</v>
      </c>
      <c r="C90" s="94" t="str">
        <f t="shared" si="14"/>
        <v>Hospice - Private Pay</v>
      </c>
      <c r="D90" s="96" t="str">
        <f t="shared" si="13"/>
        <v>Normandie Ridge</v>
      </c>
      <c r="E90" s="96" t="str">
        <f t="shared" si="8"/>
        <v>SKILLED NURSING</v>
      </c>
      <c r="F90" s="96" t="str">
        <f t="shared" si="8"/>
        <v>NORMANDIE RIDGE SNF</v>
      </c>
      <c r="H90">
        <f t="shared" si="9"/>
        <v>840</v>
      </c>
      <c r="I90">
        <f t="shared" si="10"/>
        <v>61</v>
      </c>
      <c r="J90" t="str">
        <f t="shared" si="11"/>
        <v>840-61</v>
      </c>
      <c r="K90" s="92" t="str">
        <f t="shared" si="12"/>
        <v>840-61Hospice</v>
      </c>
      <c r="L90" s="59" t="s">
        <v>212</v>
      </c>
      <c r="M90" s="43" t="s">
        <v>23</v>
      </c>
    </row>
    <row r="92" spans="1:13" x14ac:dyDescent="0.25">
      <c r="A92" s="75" t="s">
        <v>336</v>
      </c>
    </row>
    <row r="93" spans="1:13" x14ac:dyDescent="0.25">
      <c r="B93" t="s">
        <v>8</v>
      </c>
      <c r="C93" t="s">
        <v>20</v>
      </c>
      <c r="D93" t="s">
        <v>93</v>
      </c>
      <c r="E93" t="s">
        <v>98</v>
      </c>
      <c r="F93" t="s">
        <v>99</v>
      </c>
      <c r="H93" t="e">
        <f t="shared" ref="H93:H115" si="15">VALUE(LEFT(L93,3))</f>
        <v>#VALUE!</v>
      </c>
      <c r="I93" t="e">
        <f t="shared" ref="I93:I115" si="16">VALUE(MID(L93,5,2))</f>
        <v>#VALUE!</v>
      </c>
      <c r="J93" t="e">
        <f t="shared" ref="J93:J115" si="17">H93&amp;"-"&amp;I93</f>
        <v>#VALUE!</v>
      </c>
      <c r="L93" t="s">
        <v>283</v>
      </c>
      <c r="M93" t="s">
        <v>285</v>
      </c>
    </row>
    <row r="94" spans="1:13" x14ac:dyDescent="0.25">
      <c r="B94" t="s">
        <v>8</v>
      </c>
      <c r="C94" t="s">
        <v>9</v>
      </c>
      <c r="D94" t="s">
        <v>93</v>
      </c>
      <c r="E94" t="s">
        <v>94</v>
      </c>
      <c r="F94" t="s">
        <v>101</v>
      </c>
      <c r="H94" t="e">
        <f t="shared" si="15"/>
        <v>#VALUE!</v>
      </c>
      <c r="I94" t="e">
        <f t="shared" si="16"/>
        <v>#VALUE!</v>
      </c>
      <c r="J94" t="e">
        <f t="shared" si="17"/>
        <v>#VALUE!</v>
      </c>
      <c r="L94" t="s">
        <v>283</v>
      </c>
      <c r="M94" t="s">
        <v>285</v>
      </c>
    </row>
    <row r="95" spans="1:13" x14ac:dyDescent="0.25">
      <c r="B95" t="s">
        <v>8</v>
      </c>
      <c r="C95" t="s">
        <v>9</v>
      </c>
      <c r="D95" t="s">
        <v>93</v>
      </c>
      <c r="E95" t="s">
        <v>94</v>
      </c>
      <c r="F95" t="s">
        <v>95</v>
      </c>
      <c r="H95" t="e">
        <f t="shared" si="15"/>
        <v>#VALUE!</v>
      </c>
      <c r="I95" t="e">
        <f t="shared" si="16"/>
        <v>#VALUE!</v>
      </c>
      <c r="J95" t="e">
        <f t="shared" si="17"/>
        <v>#VALUE!</v>
      </c>
      <c r="L95" t="s">
        <v>283</v>
      </c>
      <c r="M95" t="s">
        <v>285</v>
      </c>
    </row>
    <row r="96" spans="1:13" x14ac:dyDescent="0.25">
      <c r="B96" t="s">
        <v>8</v>
      </c>
      <c r="C96" t="s">
        <v>9</v>
      </c>
      <c r="D96" t="s">
        <v>93</v>
      </c>
      <c r="E96" t="s">
        <v>96</v>
      </c>
      <c r="F96" t="s">
        <v>97</v>
      </c>
      <c r="H96" t="e">
        <f t="shared" si="15"/>
        <v>#VALUE!</v>
      </c>
      <c r="I96" t="e">
        <f t="shared" si="16"/>
        <v>#VALUE!</v>
      </c>
      <c r="J96" t="e">
        <f t="shared" si="17"/>
        <v>#VALUE!</v>
      </c>
      <c r="L96" t="s">
        <v>283</v>
      </c>
      <c r="M96" t="s">
        <v>285</v>
      </c>
    </row>
    <row r="97" spans="2:13" x14ac:dyDescent="0.25">
      <c r="B97" t="s">
        <v>45</v>
      </c>
      <c r="C97" t="s">
        <v>46</v>
      </c>
      <c r="D97" t="s">
        <v>93</v>
      </c>
      <c r="E97" t="s">
        <v>87</v>
      </c>
      <c r="F97" s="29" t="s">
        <v>100</v>
      </c>
      <c r="H97" t="e">
        <f t="shared" si="15"/>
        <v>#VALUE!</v>
      </c>
      <c r="I97" t="e">
        <f t="shared" si="16"/>
        <v>#VALUE!</v>
      </c>
      <c r="J97" t="e">
        <f t="shared" si="17"/>
        <v>#VALUE!</v>
      </c>
      <c r="L97" t="s">
        <v>283</v>
      </c>
      <c r="M97" t="s">
        <v>285</v>
      </c>
    </row>
    <row r="98" spans="2:13" x14ac:dyDescent="0.25">
      <c r="B98" t="s">
        <v>85</v>
      </c>
      <c r="C98" t="s">
        <v>86</v>
      </c>
      <c r="D98" t="s">
        <v>93</v>
      </c>
      <c r="E98" t="s">
        <v>87</v>
      </c>
      <c r="F98" s="29" t="s">
        <v>100</v>
      </c>
      <c r="H98" t="e">
        <f t="shared" si="15"/>
        <v>#VALUE!</v>
      </c>
      <c r="I98" t="e">
        <f t="shared" si="16"/>
        <v>#VALUE!</v>
      </c>
      <c r="J98" t="e">
        <f t="shared" si="17"/>
        <v>#VALUE!</v>
      </c>
      <c r="L98" t="s">
        <v>283</v>
      </c>
      <c r="M98" t="s">
        <v>285</v>
      </c>
    </row>
    <row r="99" spans="2:13" x14ac:dyDescent="0.25">
      <c r="B99" t="s">
        <v>91</v>
      </c>
      <c r="C99" t="s">
        <v>91</v>
      </c>
      <c r="D99" t="s">
        <v>93</v>
      </c>
      <c r="E99" t="s">
        <v>87</v>
      </c>
      <c r="F99" s="29" t="s">
        <v>100</v>
      </c>
      <c r="H99" t="e">
        <f t="shared" si="15"/>
        <v>#VALUE!</v>
      </c>
      <c r="I99" t="e">
        <f t="shared" si="16"/>
        <v>#VALUE!</v>
      </c>
      <c r="J99" t="e">
        <f t="shared" si="17"/>
        <v>#VALUE!</v>
      </c>
      <c r="L99" t="s">
        <v>283</v>
      </c>
      <c r="M99" t="s">
        <v>285</v>
      </c>
    </row>
    <row r="100" spans="2:13" x14ac:dyDescent="0.25">
      <c r="B100" t="s">
        <v>45</v>
      </c>
      <c r="C100" t="s">
        <v>46</v>
      </c>
      <c r="D100" t="s">
        <v>93</v>
      </c>
      <c r="E100" t="s">
        <v>87</v>
      </c>
      <c r="F100" t="s">
        <v>102</v>
      </c>
      <c r="H100" t="e">
        <f t="shared" si="15"/>
        <v>#VALUE!</v>
      </c>
      <c r="I100" t="e">
        <f t="shared" si="16"/>
        <v>#VALUE!</v>
      </c>
      <c r="J100" t="e">
        <f t="shared" si="17"/>
        <v>#VALUE!</v>
      </c>
      <c r="L100" t="s">
        <v>283</v>
      </c>
      <c r="M100" t="s">
        <v>285</v>
      </c>
    </row>
    <row r="101" spans="2:13" x14ac:dyDescent="0.25">
      <c r="B101" t="s">
        <v>85</v>
      </c>
      <c r="C101" t="s">
        <v>86</v>
      </c>
      <c r="D101" t="s">
        <v>93</v>
      </c>
      <c r="E101" t="s">
        <v>87</v>
      </c>
      <c r="F101" t="s">
        <v>102</v>
      </c>
      <c r="H101" t="e">
        <f t="shared" si="15"/>
        <v>#VALUE!</v>
      </c>
      <c r="I101" t="e">
        <f t="shared" si="16"/>
        <v>#VALUE!</v>
      </c>
      <c r="J101" t="e">
        <f t="shared" si="17"/>
        <v>#VALUE!</v>
      </c>
      <c r="L101" t="s">
        <v>283</v>
      </c>
      <c r="M101" t="s">
        <v>285</v>
      </c>
    </row>
    <row r="102" spans="2:13" x14ac:dyDescent="0.25">
      <c r="B102" t="s">
        <v>91</v>
      </c>
      <c r="C102" t="s">
        <v>91</v>
      </c>
      <c r="D102" t="s">
        <v>93</v>
      </c>
      <c r="E102" t="s">
        <v>87</v>
      </c>
      <c r="F102" t="s">
        <v>102</v>
      </c>
      <c r="H102" t="e">
        <f t="shared" si="15"/>
        <v>#VALUE!</v>
      </c>
      <c r="I102" t="e">
        <f t="shared" si="16"/>
        <v>#VALUE!</v>
      </c>
      <c r="J102" t="e">
        <f t="shared" si="17"/>
        <v>#VALUE!</v>
      </c>
      <c r="L102" t="s">
        <v>283</v>
      </c>
      <c r="M102" t="s">
        <v>285</v>
      </c>
    </row>
    <row r="103" spans="2:13" x14ac:dyDescent="0.25">
      <c r="B103" t="s">
        <v>8</v>
      </c>
      <c r="C103" t="s">
        <v>20</v>
      </c>
      <c r="D103" t="s">
        <v>75</v>
      </c>
      <c r="E103" t="s">
        <v>81</v>
      </c>
      <c r="F103" t="s">
        <v>82</v>
      </c>
      <c r="H103" t="e">
        <f t="shared" si="15"/>
        <v>#VALUE!</v>
      </c>
      <c r="I103" t="e">
        <f t="shared" si="16"/>
        <v>#VALUE!</v>
      </c>
      <c r="J103" t="e">
        <f t="shared" si="17"/>
        <v>#VALUE!</v>
      </c>
      <c r="L103" t="s">
        <v>283</v>
      </c>
      <c r="M103" t="s">
        <v>285</v>
      </c>
    </row>
    <row r="104" spans="2:13" x14ac:dyDescent="0.25">
      <c r="B104" t="s">
        <v>8</v>
      </c>
      <c r="C104" t="s">
        <v>20</v>
      </c>
      <c r="D104" t="s">
        <v>75</v>
      </c>
      <c r="E104" t="s">
        <v>81</v>
      </c>
      <c r="F104" t="s">
        <v>83</v>
      </c>
      <c r="H104" t="e">
        <f t="shared" si="15"/>
        <v>#VALUE!</v>
      </c>
      <c r="I104" t="e">
        <f t="shared" si="16"/>
        <v>#VALUE!</v>
      </c>
      <c r="J104" t="e">
        <f t="shared" si="17"/>
        <v>#VALUE!</v>
      </c>
      <c r="L104" t="s">
        <v>283</v>
      </c>
      <c r="M104" t="s">
        <v>285</v>
      </c>
    </row>
    <row r="105" spans="2:13" x14ac:dyDescent="0.25">
      <c r="B105" t="s">
        <v>8</v>
      </c>
      <c r="C105" t="s">
        <v>20</v>
      </c>
      <c r="D105" t="s">
        <v>75</v>
      </c>
      <c r="E105" t="s">
        <v>81</v>
      </c>
      <c r="F105" t="s">
        <v>84</v>
      </c>
      <c r="H105" t="e">
        <f t="shared" si="15"/>
        <v>#VALUE!</v>
      </c>
      <c r="I105" t="e">
        <f t="shared" si="16"/>
        <v>#VALUE!</v>
      </c>
      <c r="J105" t="e">
        <f t="shared" si="17"/>
        <v>#VALUE!</v>
      </c>
      <c r="L105" t="s">
        <v>283</v>
      </c>
      <c r="M105" t="s">
        <v>285</v>
      </c>
    </row>
    <row r="106" spans="2:13" x14ac:dyDescent="0.25">
      <c r="B106" s="18" t="s">
        <v>8</v>
      </c>
      <c r="C106" s="18" t="s">
        <v>9</v>
      </c>
      <c r="D106" s="18" t="s">
        <v>75</v>
      </c>
      <c r="E106" s="18" t="s">
        <v>76</v>
      </c>
      <c r="F106" s="18" t="s">
        <v>79</v>
      </c>
      <c r="H106" t="e">
        <f t="shared" si="15"/>
        <v>#VALUE!</v>
      </c>
      <c r="I106" t="e">
        <f t="shared" si="16"/>
        <v>#VALUE!</v>
      </c>
      <c r="J106" t="e">
        <f t="shared" si="17"/>
        <v>#VALUE!</v>
      </c>
      <c r="L106" t="s">
        <v>283</v>
      </c>
      <c r="M106" t="s">
        <v>285</v>
      </c>
    </row>
    <row r="107" spans="2:13" x14ac:dyDescent="0.25">
      <c r="B107" t="s">
        <v>8</v>
      </c>
      <c r="C107" t="s">
        <v>9</v>
      </c>
      <c r="D107" t="s">
        <v>75</v>
      </c>
      <c r="E107" t="s">
        <v>76</v>
      </c>
      <c r="F107" t="s">
        <v>77</v>
      </c>
      <c r="H107" t="e">
        <f t="shared" si="15"/>
        <v>#VALUE!</v>
      </c>
      <c r="I107" t="e">
        <f t="shared" si="16"/>
        <v>#VALUE!</v>
      </c>
      <c r="J107" t="e">
        <f t="shared" si="17"/>
        <v>#VALUE!</v>
      </c>
      <c r="L107" t="s">
        <v>283</v>
      </c>
      <c r="M107" t="s">
        <v>285</v>
      </c>
    </row>
    <row r="108" spans="2:13" x14ac:dyDescent="0.25">
      <c r="B108" t="s">
        <v>8</v>
      </c>
      <c r="C108" t="s">
        <v>9</v>
      </c>
      <c r="D108" t="s">
        <v>75</v>
      </c>
      <c r="E108" t="s">
        <v>76</v>
      </c>
      <c r="F108" t="s">
        <v>80</v>
      </c>
      <c r="H108" t="e">
        <f t="shared" si="15"/>
        <v>#VALUE!</v>
      </c>
      <c r="I108" t="e">
        <f t="shared" si="16"/>
        <v>#VALUE!</v>
      </c>
      <c r="J108" t="e">
        <f t="shared" si="17"/>
        <v>#VALUE!</v>
      </c>
      <c r="L108" t="s">
        <v>283</v>
      </c>
      <c r="M108" t="s">
        <v>285</v>
      </c>
    </row>
    <row r="109" spans="2:13" x14ac:dyDescent="0.25">
      <c r="B109" t="s">
        <v>8</v>
      </c>
      <c r="C109" t="s">
        <v>9</v>
      </c>
      <c r="D109" t="s">
        <v>75</v>
      </c>
      <c r="E109" t="s">
        <v>76</v>
      </c>
      <c r="F109" t="s">
        <v>78</v>
      </c>
      <c r="H109" t="e">
        <f t="shared" si="15"/>
        <v>#VALUE!</v>
      </c>
      <c r="I109" t="e">
        <f t="shared" si="16"/>
        <v>#VALUE!</v>
      </c>
      <c r="J109" t="e">
        <f t="shared" si="17"/>
        <v>#VALUE!</v>
      </c>
      <c r="L109" t="s">
        <v>283</v>
      </c>
      <c r="M109" t="s">
        <v>285</v>
      </c>
    </row>
    <row r="110" spans="2:13" x14ac:dyDescent="0.25">
      <c r="B110" t="s">
        <v>66</v>
      </c>
      <c r="C110" t="s">
        <v>67</v>
      </c>
      <c r="D110" t="s">
        <v>75</v>
      </c>
      <c r="E110" t="s">
        <v>87</v>
      </c>
      <c r="F110" t="s">
        <v>88</v>
      </c>
      <c r="H110" t="e">
        <f t="shared" si="15"/>
        <v>#VALUE!</v>
      </c>
      <c r="I110" t="e">
        <f t="shared" si="16"/>
        <v>#VALUE!</v>
      </c>
      <c r="J110" t="e">
        <f t="shared" si="17"/>
        <v>#VALUE!</v>
      </c>
      <c r="L110" t="s">
        <v>283</v>
      </c>
      <c r="M110" t="s">
        <v>285</v>
      </c>
    </row>
    <row r="111" spans="2:13" x14ac:dyDescent="0.25">
      <c r="B111" s="18" t="s">
        <v>89</v>
      </c>
      <c r="C111" s="18" t="s">
        <v>90</v>
      </c>
      <c r="D111" s="18" t="s">
        <v>75</v>
      </c>
      <c r="E111" s="18" t="s">
        <v>87</v>
      </c>
      <c r="F111" s="18" t="s">
        <v>88</v>
      </c>
      <c r="H111" t="e">
        <f t="shared" si="15"/>
        <v>#VALUE!</v>
      </c>
      <c r="I111" t="e">
        <f t="shared" si="16"/>
        <v>#VALUE!</v>
      </c>
      <c r="J111" t="e">
        <f t="shared" si="17"/>
        <v>#VALUE!</v>
      </c>
      <c r="L111" t="s">
        <v>283</v>
      </c>
      <c r="M111" t="s">
        <v>285</v>
      </c>
    </row>
    <row r="112" spans="2:13" x14ac:dyDescent="0.25">
      <c r="B112" t="s">
        <v>45</v>
      </c>
      <c r="C112" t="s">
        <v>46</v>
      </c>
      <c r="D112" t="s">
        <v>75</v>
      </c>
      <c r="E112" t="s">
        <v>87</v>
      </c>
      <c r="F112" t="s">
        <v>88</v>
      </c>
      <c r="H112" t="e">
        <f t="shared" si="15"/>
        <v>#VALUE!</v>
      </c>
      <c r="I112" t="e">
        <f t="shared" si="16"/>
        <v>#VALUE!</v>
      </c>
      <c r="J112" t="e">
        <f t="shared" si="17"/>
        <v>#VALUE!</v>
      </c>
      <c r="L112" t="s">
        <v>283</v>
      </c>
      <c r="M112" t="s">
        <v>285</v>
      </c>
    </row>
    <row r="113" spans="2:13" x14ac:dyDescent="0.25">
      <c r="B113" t="s">
        <v>85</v>
      </c>
      <c r="C113" t="s">
        <v>86</v>
      </c>
      <c r="D113" t="s">
        <v>75</v>
      </c>
      <c r="E113" t="s">
        <v>87</v>
      </c>
      <c r="F113" t="s">
        <v>88</v>
      </c>
      <c r="H113" t="e">
        <f t="shared" si="15"/>
        <v>#VALUE!</v>
      </c>
      <c r="I113" t="e">
        <f t="shared" si="16"/>
        <v>#VALUE!</v>
      </c>
      <c r="J113" t="e">
        <f t="shared" si="17"/>
        <v>#VALUE!</v>
      </c>
      <c r="L113" t="s">
        <v>283</v>
      </c>
      <c r="M113" t="s">
        <v>285</v>
      </c>
    </row>
    <row r="114" spans="2:13" x14ac:dyDescent="0.25">
      <c r="B114" t="s">
        <v>91</v>
      </c>
      <c r="C114" t="s">
        <v>91</v>
      </c>
      <c r="D114" t="s">
        <v>75</v>
      </c>
      <c r="E114" t="s">
        <v>87</v>
      </c>
      <c r="F114" t="s">
        <v>88</v>
      </c>
      <c r="H114" t="e">
        <f t="shared" si="15"/>
        <v>#VALUE!</v>
      </c>
      <c r="I114" t="e">
        <f t="shared" si="16"/>
        <v>#VALUE!</v>
      </c>
      <c r="J114" t="e">
        <f t="shared" si="17"/>
        <v>#VALUE!</v>
      </c>
      <c r="L114" t="s">
        <v>283</v>
      </c>
      <c r="M114" t="s">
        <v>285</v>
      </c>
    </row>
    <row r="115" spans="2:13" x14ac:dyDescent="0.25">
      <c r="B115" t="s">
        <v>91</v>
      </c>
      <c r="C115" t="s">
        <v>91</v>
      </c>
      <c r="D115" t="s">
        <v>75</v>
      </c>
      <c r="E115" t="s">
        <v>87</v>
      </c>
      <c r="F115" t="s">
        <v>92</v>
      </c>
      <c r="H115" t="e">
        <f t="shared" si="15"/>
        <v>#VALUE!</v>
      </c>
      <c r="I115" t="e">
        <f t="shared" si="16"/>
        <v>#VALUE!</v>
      </c>
      <c r="J115" t="e">
        <f t="shared" si="17"/>
        <v>#VALUE!</v>
      </c>
      <c r="L115" t="s">
        <v>283</v>
      </c>
      <c r="M115" t="s">
        <v>285</v>
      </c>
    </row>
  </sheetData>
  <autoFilter ref="B1:M61" xr:uid="{D568ED31-4CB8-4782-9D03-E17520421BC8}"/>
  <sortState xmlns:xlrd2="http://schemas.microsoft.com/office/spreadsheetml/2017/richdata2" ref="B2:F61">
    <sortCondition ref="D2:D61"/>
    <sortCondition ref="E2:E61"/>
    <sortCondition ref="F2:F61"/>
    <sortCondition ref="B2:B61"/>
    <sortCondition ref="C2:C6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79D4D-D8D7-4C69-BB29-0B4F01EE666B}">
  <dimension ref="A1:J50"/>
  <sheetViews>
    <sheetView workbookViewId="0">
      <selection activeCell="C5" sqref="C5"/>
    </sheetView>
  </sheetViews>
  <sheetFormatPr defaultRowHeight="12.75" x14ac:dyDescent="0.2"/>
  <cols>
    <col min="1" max="1" width="22" style="48" bestFit="1" customWidth="1"/>
    <col min="2" max="2" width="13.7109375" style="48" customWidth="1"/>
    <col min="3" max="7" width="9.140625" style="48"/>
    <col min="8" max="8" width="1.7109375" style="48" customWidth="1"/>
    <col min="9" max="16384" width="9.140625" style="48"/>
  </cols>
  <sheetData>
    <row r="1" spans="1:10" x14ac:dyDescent="0.2">
      <c r="A1" s="44" t="s">
        <v>159</v>
      </c>
      <c r="B1" s="45"/>
      <c r="C1" s="46" t="s">
        <v>160</v>
      </c>
      <c r="D1" s="47"/>
      <c r="E1" s="47"/>
      <c r="F1" s="47"/>
      <c r="G1" s="47"/>
      <c r="I1" s="49" t="s">
        <v>161</v>
      </c>
      <c r="J1" s="50"/>
    </row>
    <row r="2" spans="1:10" ht="43.9" customHeight="1" x14ac:dyDescent="0.2">
      <c r="A2" s="51"/>
      <c r="B2" s="52" t="s">
        <v>162</v>
      </c>
      <c r="C2" s="53" t="s">
        <v>163</v>
      </c>
      <c r="D2" s="53" t="s">
        <v>164</v>
      </c>
      <c r="E2" s="53" t="s">
        <v>165</v>
      </c>
      <c r="F2" s="53" t="s">
        <v>166</v>
      </c>
      <c r="G2" s="53" t="s">
        <v>167</v>
      </c>
      <c r="I2" s="53" t="s">
        <v>164</v>
      </c>
      <c r="J2" s="53" t="s">
        <v>165</v>
      </c>
    </row>
    <row r="3" spans="1:10" x14ac:dyDescent="0.2">
      <c r="A3" s="54" t="s">
        <v>168</v>
      </c>
      <c r="B3" s="55">
        <v>31</v>
      </c>
      <c r="C3" s="48">
        <f t="shared" ref="C3:C38" si="0">VALUE(RIGHT(A3,4))</f>
        <v>2022</v>
      </c>
      <c r="D3" s="48" t="str">
        <f t="shared" ref="D3:D38" si="1">LEFT(A3,3)</f>
        <v>Jan</v>
      </c>
      <c r="E3" s="48">
        <f>VLOOKUP(D3,$I$3:$J$14,2,0)</f>
        <v>1</v>
      </c>
      <c r="F3" s="56">
        <f>DATE(C3,E3,1)</f>
        <v>44562</v>
      </c>
      <c r="G3" s="56" t="str">
        <f>D3&amp;"-"&amp;C3</f>
        <v>Jan-2022</v>
      </c>
      <c r="I3" s="48" t="s">
        <v>112</v>
      </c>
      <c r="J3" s="48">
        <v>1</v>
      </c>
    </row>
    <row r="4" spans="1:10" x14ac:dyDescent="0.2">
      <c r="A4" s="54" t="s">
        <v>169</v>
      </c>
      <c r="B4" s="55">
        <v>28</v>
      </c>
      <c r="C4" s="48">
        <f t="shared" si="0"/>
        <v>2022</v>
      </c>
      <c r="D4" s="48" t="str">
        <f t="shared" si="1"/>
        <v>Feb</v>
      </c>
      <c r="E4" s="48">
        <f t="shared" ref="E4:E38" si="2">VLOOKUP(D4,$I$3:$J$14,2,0)</f>
        <v>2</v>
      </c>
      <c r="F4" s="56">
        <f t="shared" ref="F4:F38" si="3">DATE(C4,E4,1)</f>
        <v>44593</v>
      </c>
      <c r="G4" s="56" t="str">
        <f t="shared" ref="G4:G38" si="4">D4&amp;"-"&amp;C4</f>
        <v>Feb-2022</v>
      </c>
      <c r="I4" s="48" t="s">
        <v>113</v>
      </c>
      <c r="J4" s="48">
        <f>J3+1</f>
        <v>2</v>
      </c>
    </row>
    <row r="5" spans="1:10" x14ac:dyDescent="0.2">
      <c r="A5" s="54" t="s">
        <v>170</v>
      </c>
      <c r="B5" s="55">
        <v>31</v>
      </c>
      <c r="C5" s="48">
        <f t="shared" si="0"/>
        <v>2022</v>
      </c>
      <c r="D5" s="48" t="str">
        <f t="shared" si="1"/>
        <v>Mar</v>
      </c>
      <c r="E5" s="48">
        <f t="shared" si="2"/>
        <v>3</v>
      </c>
      <c r="F5" s="56">
        <f t="shared" si="3"/>
        <v>44621</v>
      </c>
      <c r="G5" s="56" t="str">
        <f t="shared" si="4"/>
        <v>Mar-2022</v>
      </c>
      <c r="I5" s="48" t="s">
        <v>171</v>
      </c>
      <c r="J5" s="48">
        <f t="shared" ref="J5:J14" si="5">J4+1</f>
        <v>3</v>
      </c>
    </row>
    <row r="6" spans="1:10" x14ac:dyDescent="0.2">
      <c r="A6" s="54" t="s">
        <v>172</v>
      </c>
      <c r="B6" s="55">
        <v>30</v>
      </c>
      <c r="C6" s="48">
        <f t="shared" si="0"/>
        <v>2022</v>
      </c>
      <c r="D6" s="48" t="str">
        <f t="shared" si="1"/>
        <v>Apr</v>
      </c>
      <c r="E6" s="48">
        <f t="shared" si="2"/>
        <v>4</v>
      </c>
      <c r="F6" s="56">
        <f t="shared" si="3"/>
        <v>44652</v>
      </c>
      <c r="G6" s="56" t="str">
        <f t="shared" si="4"/>
        <v>Apr-2022</v>
      </c>
      <c r="I6" s="48" t="s">
        <v>173</v>
      </c>
      <c r="J6" s="48">
        <f t="shared" si="5"/>
        <v>4</v>
      </c>
    </row>
    <row r="7" spans="1:10" x14ac:dyDescent="0.2">
      <c r="A7" s="54" t="s">
        <v>174</v>
      </c>
      <c r="B7" s="55">
        <v>31</v>
      </c>
      <c r="C7" s="48">
        <f t="shared" si="0"/>
        <v>2022</v>
      </c>
      <c r="D7" s="48" t="str">
        <f t="shared" si="1"/>
        <v>May</v>
      </c>
      <c r="E7" s="48">
        <f t="shared" si="2"/>
        <v>5</v>
      </c>
      <c r="F7" s="56">
        <f t="shared" si="3"/>
        <v>44682</v>
      </c>
      <c r="G7" s="56" t="str">
        <f t="shared" si="4"/>
        <v>May-2022</v>
      </c>
      <c r="I7" s="48" t="s">
        <v>116</v>
      </c>
      <c r="J7" s="48">
        <f t="shared" si="5"/>
        <v>5</v>
      </c>
    </row>
    <row r="8" spans="1:10" x14ac:dyDescent="0.2">
      <c r="A8" s="54" t="s">
        <v>175</v>
      </c>
      <c r="B8" s="55">
        <v>30</v>
      </c>
      <c r="C8" s="48">
        <f t="shared" si="0"/>
        <v>2022</v>
      </c>
      <c r="D8" s="48" t="str">
        <f t="shared" si="1"/>
        <v>Jun</v>
      </c>
      <c r="E8" s="48">
        <f t="shared" si="2"/>
        <v>6</v>
      </c>
      <c r="F8" s="56">
        <f t="shared" si="3"/>
        <v>44713</v>
      </c>
      <c r="G8" s="56" t="str">
        <f t="shared" si="4"/>
        <v>Jun-2022</v>
      </c>
      <c r="I8" s="48" t="s">
        <v>176</v>
      </c>
      <c r="J8" s="48">
        <f t="shared" si="5"/>
        <v>6</v>
      </c>
    </row>
    <row r="9" spans="1:10" x14ac:dyDescent="0.2">
      <c r="A9" s="54" t="s">
        <v>177</v>
      </c>
      <c r="B9" s="55">
        <v>31</v>
      </c>
      <c r="C9" s="48">
        <f t="shared" si="0"/>
        <v>2022</v>
      </c>
      <c r="D9" s="48" t="str">
        <f t="shared" si="1"/>
        <v>Jul</v>
      </c>
      <c r="E9" s="48">
        <f t="shared" si="2"/>
        <v>7</v>
      </c>
      <c r="F9" s="56">
        <f t="shared" si="3"/>
        <v>44743</v>
      </c>
      <c r="G9" s="56" t="str">
        <f t="shared" si="4"/>
        <v>Jul-2022</v>
      </c>
      <c r="I9" s="48" t="s">
        <v>178</v>
      </c>
      <c r="J9" s="48">
        <f t="shared" si="5"/>
        <v>7</v>
      </c>
    </row>
    <row r="10" spans="1:10" x14ac:dyDescent="0.2">
      <c r="A10" s="54" t="s">
        <v>179</v>
      </c>
      <c r="B10" s="55">
        <v>31</v>
      </c>
      <c r="C10" s="48">
        <f t="shared" si="0"/>
        <v>2022</v>
      </c>
      <c r="D10" s="48" t="str">
        <f t="shared" si="1"/>
        <v>Aug</v>
      </c>
      <c r="E10" s="48">
        <f t="shared" si="2"/>
        <v>8</v>
      </c>
      <c r="F10" s="56">
        <f t="shared" si="3"/>
        <v>44774</v>
      </c>
      <c r="G10" s="56" t="str">
        <f t="shared" si="4"/>
        <v>Aug-2022</v>
      </c>
      <c r="I10" s="48" t="s">
        <v>180</v>
      </c>
      <c r="J10" s="48">
        <f t="shared" si="5"/>
        <v>8</v>
      </c>
    </row>
    <row r="11" spans="1:10" x14ac:dyDescent="0.2">
      <c r="A11" s="54" t="s">
        <v>181</v>
      </c>
      <c r="B11" s="55">
        <v>30</v>
      </c>
      <c r="C11" s="48">
        <f t="shared" si="0"/>
        <v>2022</v>
      </c>
      <c r="D11" s="48" t="str">
        <f t="shared" si="1"/>
        <v>Sep</v>
      </c>
      <c r="E11" s="48">
        <f t="shared" si="2"/>
        <v>9</v>
      </c>
      <c r="F11" s="56">
        <f t="shared" si="3"/>
        <v>44805</v>
      </c>
      <c r="G11" s="56" t="str">
        <f t="shared" si="4"/>
        <v>Sep-2022</v>
      </c>
      <c r="I11" s="48" t="s">
        <v>182</v>
      </c>
      <c r="J11" s="48">
        <f t="shared" si="5"/>
        <v>9</v>
      </c>
    </row>
    <row r="12" spans="1:10" x14ac:dyDescent="0.2">
      <c r="A12" s="54" t="s">
        <v>183</v>
      </c>
      <c r="B12" s="55">
        <v>31</v>
      </c>
      <c r="C12" s="48">
        <f t="shared" si="0"/>
        <v>2022</v>
      </c>
      <c r="D12" s="48" t="str">
        <f t="shared" si="1"/>
        <v>Oct</v>
      </c>
      <c r="E12" s="48">
        <f t="shared" si="2"/>
        <v>10</v>
      </c>
      <c r="F12" s="56">
        <f t="shared" si="3"/>
        <v>44835</v>
      </c>
      <c r="G12" s="56" t="str">
        <f t="shared" si="4"/>
        <v>Oct-2022</v>
      </c>
      <c r="I12" s="48" t="s">
        <v>121</v>
      </c>
      <c r="J12" s="48">
        <f t="shared" si="5"/>
        <v>10</v>
      </c>
    </row>
    <row r="13" spans="1:10" x14ac:dyDescent="0.2">
      <c r="A13" s="54" t="s">
        <v>184</v>
      </c>
      <c r="B13" s="55">
        <v>30</v>
      </c>
      <c r="C13" s="48">
        <f t="shared" si="0"/>
        <v>2022</v>
      </c>
      <c r="D13" s="48" t="str">
        <f t="shared" si="1"/>
        <v>Nov</v>
      </c>
      <c r="E13" s="48">
        <f t="shared" si="2"/>
        <v>11</v>
      </c>
      <c r="F13" s="56">
        <f t="shared" si="3"/>
        <v>44866</v>
      </c>
      <c r="G13" s="56" t="str">
        <f t="shared" si="4"/>
        <v>Nov-2022</v>
      </c>
      <c r="I13" s="48" t="s">
        <v>122</v>
      </c>
      <c r="J13" s="48">
        <f t="shared" si="5"/>
        <v>11</v>
      </c>
    </row>
    <row r="14" spans="1:10" x14ac:dyDescent="0.2">
      <c r="A14" s="54" t="s">
        <v>185</v>
      </c>
      <c r="B14" s="55">
        <v>31</v>
      </c>
      <c r="C14" s="48">
        <f t="shared" si="0"/>
        <v>2022</v>
      </c>
      <c r="D14" s="48" t="str">
        <f t="shared" si="1"/>
        <v>Dec</v>
      </c>
      <c r="E14" s="48">
        <f t="shared" si="2"/>
        <v>12</v>
      </c>
      <c r="F14" s="56">
        <f t="shared" si="3"/>
        <v>44896</v>
      </c>
      <c r="G14" s="56" t="str">
        <f t="shared" si="4"/>
        <v>Dec-2022</v>
      </c>
      <c r="I14" s="48" t="s">
        <v>123</v>
      </c>
      <c r="J14" s="48">
        <f t="shared" si="5"/>
        <v>12</v>
      </c>
    </row>
    <row r="15" spans="1:10" x14ac:dyDescent="0.2">
      <c r="A15" s="54" t="s">
        <v>186</v>
      </c>
      <c r="B15" s="55">
        <v>31</v>
      </c>
      <c r="C15" s="48">
        <f t="shared" si="0"/>
        <v>2023</v>
      </c>
      <c r="D15" s="48" t="str">
        <f t="shared" si="1"/>
        <v>Jan</v>
      </c>
      <c r="E15" s="48">
        <f t="shared" si="2"/>
        <v>1</v>
      </c>
      <c r="F15" s="56">
        <f t="shared" si="3"/>
        <v>44927</v>
      </c>
      <c r="G15" s="56" t="str">
        <f t="shared" si="4"/>
        <v>Jan-2023</v>
      </c>
    </row>
    <row r="16" spans="1:10" x14ac:dyDescent="0.2">
      <c r="A16" s="54" t="s">
        <v>187</v>
      </c>
      <c r="B16" s="55">
        <v>28</v>
      </c>
      <c r="C16" s="48">
        <f t="shared" si="0"/>
        <v>2023</v>
      </c>
      <c r="D16" s="48" t="str">
        <f t="shared" si="1"/>
        <v>Feb</v>
      </c>
      <c r="E16" s="48">
        <f t="shared" si="2"/>
        <v>2</v>
      </c>
      <c r="F16" s="56">
        <f t="shared" si="3"/>
        <v>44958</v>
      </c>
      <c r="G16" s="56" t="str">
        <f t="shared" si="4"/>
        <v>Feb-2023</v>
      </c>
    </row>
    <row r="17" spans="1:7" x14ac:dyDescent="0.2">
      <c r="A17" s="54" t="s">
        <v>188</v>
      </c>
      <c r="B17" s="55">
        <v>31</v>
      </c>
      <c r="C17" s="48">
        <f t="shared" si="0"/>
        <v>2023</v>
      </c>
      <c r="D17" s="48" t="str">
        <f t="shared" si="1"/>
        <v>Mar</v>
      </c>
      <c r="E17" s="48">
        <f t="shared" si="2"/>
        <v>3</v>
      </c>
      <c r="F17" s="56">
        <f t="shared" si="3"/>
        <v>44986</v>
      </c>
      <c r="G17" s="56" t="str">
        <f t="shared" si="4"/>
        <v>Mar-2023</v>
      </c>
    </row>
    <row r="18" spans="1:7" x14ac:dyDescent="0.2">
      <c r="A18" s="54" t="s">
        <v>189</v>
      </c>
      <c r="B18" s="55">
        <v>30</v>
      </c>
      <c r="C18" s="48">
        <f t="shared" si="0"/>
        <v>2023</v>
      </c>
      <c r="D18" s="48" t="str">
        <f t="shared" si="1"/>
        <v>Apr</v>
      </c>
      <c r="E18" s="48">
        <f t="shared" si="2"/>
        <v>4</v>
      </c>
      <c r="F18" s="56">
        <f t="shared" si="3"/>
        <v>45017</v>
      </c>
      <c r="G18" s="56" t="str">
        <f t="shared" si="4"/>
        <v>Apr-2023</v>
      </c>
    </row>
    <row r="19" spans="1:7" x14ac:dyDescent="0.2">
      <c r="A19" s="54" t="s">
        <v>190</v>
      </c>
      <c r="B19" s="55">
        <v>31</v>
      </c>
      <c r="C19" s="48">
        <f t="shared" si="0"/>
        <v>2023</v>
      </c>
      <c r="D19" s="48" t="str">
        <f t="shared" si="1"/>
        <v>May</v>
      </c>
      <c r="E19" s="48">
        <f t="shared" si="2"/>
        <v>5</v>
      </c>
      <c r="F19" s="56">
        <f t="shared" si="3"/>
        <v>45047</v>
      </c>
      <c r="G19" s="56" t="str">
        <f t="shared" si="4"/>
        <v>May-2023</v>
      </c>
    </row>
    <row r="20" spans="1:7" x14ac:dyDescent="0.2">
      <c r="A20" s="54" t="s">
        <v>191</v>
      </c>
      <c r="B20" s="55">
        <v>30</v>
      </c>
      <c r="C20" s="48">
        <f t="shared" si="0"/>
        <v>2023</v>
      </c>
      <c r="D20" s="48" t="str">
        <f t="shared" si="1"/>
        <v>Jun</v>
      </c>
      <c r="E20" s="48">
        <f t="shared" si="2"/>
        <v>6</v>
      </c>
      <c r="F20" s="56">
        <f t="shared" si="3"/>
        <v>45078</v>
      </c>
      <c r="G20" s="56" t="str">
        <f t="shared" si="4"/>
        <v>Jun-2023</v>
      </c>
    </row>
    <row r="21" spans="1:7" x14ac:dyDescent="0.2">
      <c r="A21" s="54" t="s">
        <v>192</v>
      </c>
      <c r="B21" s="55">
        <v>31</v>
      </c>
      <c r="C21" s="48">
        <f t="shared" si="0"/>
        <v>2023</v>
      </c>
      <c r="D21" s="48" t="str">
        <f t="shared" si="1"/>
        <v>Jul</v>
      </c>
      <c r="E21" s="48">
        <f t="shared" si="2"/>
        <v>7</v>
      </c>
      <c r="F21" s="56">
        <f t="shared" si="3"/>
        <v>45108</v>
      </c>
      <c r="G21" s="56" t="str">
        <f t="shared" si="4"/>
        <v>Jul-2023</v>
      </c>
    </row>
    <row r="22" spans="1:7" x14ac:dyDescent="0.2">
      <c r="A22" s="54" t="s">
        <v>193</v>
      </c>
      <c r="B22" s="55">
        <v>31</v>
      </c>
      <c r="C22" s="48">
        <f t="shared" si="0"/>
        <v>2023</v>
      </c>
      <c r="D22" s="48" t="str">
        <f t="shared" si="1"/>
        <v>Aug</v>
      </c>
      <c r="E22" s="48">
        <f t="shared" si="2"/>
        <v>8</v>
      </c>
      <c r="F22" s="56">
        <f t="shared" si="3"/>
        <v>45139</v>
      </c>
      <c r="G22" s="56" t="str">
        <f t="shared" si="4"/>
        <v>Aug-2023</v>
      </c>
    </row>
    <row r="23" spans="1:7" x14ac:dyDescent="0.2">
      <c r="A23" s="54" t="s">
        <v>194</v>
      </c>
      <c r="B23" s="55">
        <v>30</v>
      </c>
      <c r="C23" s="48">
        <f t="shared" si="0"/>
        <v>2023</v>
      </c>
      <c r="D23" s="48" t="str">
        <f t="shared" si="1"/>
        <v>Sep</v>
      </c>
      <c r="E23" s="48">
        <f t="shared" si="2"/>
        <v>9</v>
      </c>
      <c r="F23" s="56">
        <f t="shared" si="3"/>
        <v>45170</v>
      </c>
      <c r="G23" s="56" t="str">
        <f t="shared" si="4"/>
        <v>Sep-2023</v>
      </c>
    </row>
    <row r="24" spans="1:7" x14ac:dyDescent="0.2">
      <c r="A24" s="54" t="s">
        <v>195</v>
      </c>
      <c r="B24" s="55">
        <v>31</v>
      </c>
      <c r="C24" s="48">
        <f t="shared" si="0"/>
        <v>2023</v>
      </c>
      <c r="D24" s="48" t="str">
        <f t="shared" si="1"/>
        <v>Oct</v>
      </c>
      <c r="E24" s="48">
        <f t="shared" si="2"/>
        <v>10</v>
      </c>
      <c r="F24" s="56">
        <f t="shared" si="3"/>
        <v>45200</v>
      </c>
      <c r="G24" s="56" t="str">
        <f t="shared" si="4"/>
        <v>Oct-2023</v>
      </c>
    </row>
    <row r="25" spans="1:7" x14ac:dyDescent="0.2">
      <c r="A25" s="54" t="s">
        <v>196</v>
      </c>
      <c r="B25" s="55">
        <v>30</v>
      </c>
      <c r="C25" s="48">
        <f t="shared" si="0"/>
        <v>2023</v>
      </c>
      <c r="D25" s="48" t="str">
        <f t="shared" si="1"/>
        <v>Nov</v>
      </c>
      <c r="E25" s="48">
        <f t="shared" si="2"/>
        <v>11</v>
      </c>
      <c r="F25" s="56">
        <f t="shared" si="3"/>
        <v>45231</v>
      </c>
      <c r="G25" s="56" t="str">
        <f t="shared" si="4"/>
        <v>Nov-2023</v>
      </c>
    </row>
    <row r="26" spans="1:7" x14ac:dyDescent="0.2">
      <c r="A26" s="54" t="s">
        <v>197</v>
      </c>
      <c r="B26" s="55">
        <v>31</v>
      </c>
      <c r="C26" s="48">
        <f t="shared" si="0"/>
        <v>2023</v>
      </c>
      <c r="D26" s="48" t="str">
        <f t="shared" si="1"/>
        <v>Dec</v>
      </c>
      <c r="E26" s="48">
        <f t="shared" si="2"/>
        <v>12</v>
      </c>
      <c r="F26" s="56">
        <f t="shared" si="3"/>
        <v>45261</v>
      </c>
      <c r="G26" s="56" t="str">
        <f t="shared" si="4"/>
        <v>Dec-2023</v>
      </c>
    </row>
    <row r="27" spans="1:7" x14ac:dyDescent="0.2">
      <c r="A27" s="54" t="s">
        <v>147</v>
      </c>
      <c r="B27" s="55">
        <v>31</v>
      </c>
      <c r="C27" s="48">
        <f t="shared" si="0"/>
        <v>2024</v>
      </c>
      <c r="D27" s="48" t="str">
        <f t="shared" si="1"/>
        <v>Jan</v>
      </c>
      <c r="E27" s="48">
        <f t="shared" si="2"/>
        <v>1</v>
      </c>
      <c r="F27" s="56">
        <f t="shared" si="3"/>
        <v>45292</v>
      </c>
      <c r="G27" s="56" t="str">
        <f t="shared" si="4"/>
        <v>Jan-2024</v>
      </c>
    </row>
    <row r="28" spans="1:7" x14ac:dyDescent="0.2">
      <c r="A28" s="54" t="s">
        <v>148</v>
      </c>
      <c r="B28" s="55">
        <v>29</v>
      </c>
      <c r="C28" s="48">
        <f t="shared" si="0"/>
        <v>2024</v>
      </c>
      <c r="D28" s="48" t="str">
        <f t="shared" si="1"/>
        <v>Feb</v>
      </c>
      <c r="E28" s="48">
        <f t="shared" si="2"/>
        <v>2</v>
      </c>
      <c r="F28" s="56">
        <f t="shared" si="3"/>
        <v>45323</v>
      </c>
      <c r="G28" s="56" t="str">
        <f t="shared" si="4"/>
        <v>Feb-2024</v>
      </c>
    </row>
    <row r="29" spans="1:7" x14ac:dyDescent="0.2">
      <c r="A29" s="54" t="s">
        <v>149</v>
      </c>
      <c r="B29" s="55">
        <v>31</v>
      </c>
      <c r="C29" s="48">
        <f t="shared" si="0"/>
        <v>2024</v>
      </c>
      <c r="D29" s="48" t="str">
        <f t="shared" si="1"/>
        <v>Mar</v>
      </c>
      <c r="E29" s="48">
        <f t="shared" si="2"/>
        <v>3</v>
      </c>
      <c r="F29" s="56">
        <f t="shared" si="3"/>
        <v>45352</v>
      </c>
      <c r="G29" s="56" t="str">
        <f t="shared" si="4"/>
        <v>Mar-2024</v>
      </c>
    </row>
    <row r="30" spans="1:7" x14ac:dyDescent="0.2">
      <c r="A30" s="54" t="s">
        <v>150</v>
      </c>
      <c r="B30" s="55">
        <v>30</v>
      </c>
      <c r="C30" s="48">
        <f t="shared" si="0"/>
        <v>2024</v>
      </c>
      <c r="D30" s="48" t="str">
        <f t="shared" si="1"/>
        <v>Apr</v>
      </c>
      <c r="E30" s="48">
        <f t="shared" si="2"/>
        <v>4</v>
      </c>
      <c r="F30" s="56">
        <f t="shared" si="3"/>
        <v>45383</v>
      </c>
      <c r="G30" s="56" t="str">
        <f t="shared" si="4"/>
        <v>Apr-2024</v>
      </c>
    </row>
    <row r="31" spans="1:7" x14ac:dyDescent="0.2">
      <c r="A31" s="54" t="s">
        <v>151</v>
      </c>
      <c r="B31" s="55">
        <v>31</v>
      </c>
      <c r="C31" s="48">
        <f t="shared" si="0"/>
        <v>2024</v>
      </c>
      <c r="D31" s="48" t="str">
        <f t="shared" si="1"/>
        <v>May</v>
      </c>
      <c r="E31" s="48">
        <f t="shared" si="2"/>
        <v>5</v>
      </c>
      <c r="F31" s="56">
        <f t="shared" si="3"/>
        <v>45413</v>
      </c>
      <c r="G31" s="56" t="str">
        <f t="shared" si="4"/>
        <v>May-2024</v>
      </c>
    </row>
    <row r="32" spans="1:7" x14ac:dyDescent="0.2">
      <c r="A32" s="54" t="s">
        <v>152</v>
      </c>
      <c r="B32" s="55">
        <v>30</v>
      </c>
      <c r="C32" s="48">
        <f t="shared" si="0"/>
        <v>2024</v>
      </c>
      <c r="D32" s="48" t="str">
        <f t="shared" si="1"/>
        <v>Jun</v>
      </c>
      <c r="E32" s="48">
        <f t="shared" si="2"/>
        <v>6</v>
      </c>
      <c r="F32" s="56">
        <f t="shared" si="3"/>
        <v>45444</v>
      </c>
      <c r="G32" s="56" t="str">
        <f t="shared" si="4"/>
        <v>Jun-2024</v>
      </c>
    </row>
    <row r="33" spans="1:7" x14ac:dyDescent="0.2">
      <c r="A33" s="54" t="s">
        <v>153</v>
      </c>
      <c r="B33" s="55">
        <v>31</v>
      </c>
      <c r="C33" s="48">
        <f t="shared" si="0"/>
        <v>2024</v>
      </c>
      <c r="D33" s="48" t="str">
        <f t="shared" si="1"/>
        <v>Jul</v>
      </c>
      <c r="E33" s="48">
        <f t="shared" si="2"/>
        <v>7</v>
      </c>
      <c r="F33" s="56">
        <f t="shared" si="3"/>
        <v>45474</v>
      </c>
      <c r="G33" s="56" t="str">
        <f t="shared" si="4"/>
        <v>Jul-2024</v>
      </c>
    </row>
    <row r="34" spans="1:7" x14ac:dyDescent="0.2">
      <c r="A34" s="54" t="s">
        <v>154</v>
      </c>
      <c r="B34" s="55">
        <v>31</v>
      </c>
      <c r="C34" s="48">
        <f t="shared" si="0"/>
        <v>2024</v>
      </c>
      <c r="D34" s="48" t="str">
        <f t="shared" si="1"/>
        <v>Aug</v>
      </c>
      <c r="E34" s="48">
        <f t="shared" si="2"/>
        <v>8</v>
      </c>
      <c r="F34" s="56">
        <f t="shared" si="3"/>
        <v>45505</v>
      </c>
      <c r="G34" s="56" t="str">
        <f t="shared" si="4"/>
        <v>Aug-2024</v>
      </c>
    </row>
    <row r="35" spans="1:7" x14ac:dyDescent="0.2">
      <c r="A35" s="54" t="s">
        <v>155</v>
      </c>
      <c r="B35" s="55">
        <v>30</v>
      </c>
      <c r="C35" s="48">
        <f t="shared" si="0"/>
        <v>2024</v>
      </c>
      <c r="D35" s="48" t="str">
        <f t="shared" si="1"/>
        <v>Sep</v>
      </c>
      <c r="E35" s="48">
        <f t="shared" si="2"/>
        <v>9</v>
      </c>
      <c r="F35" s="56">
        <f t="shared" si="3"/>
        <v>45536</v>
      </c>
      <c r="G35" s="56" t="str">
        <f t="shared" si="4"/>
        <v>Sep-2024</v>
      </c>
    </row>
    <row r="36" spans="1:7" x14ac:dyDescent="0.2">
      <c r="A36" s="54" t="s">
        <v>156</v>
      </c>
      <c r="B36" s="55">
        <v>31</v>
      </c>
      <c r="C36" s="48">
        <f t="shared" si="0"/>
        <v>2024</v>
      </c>
      <c r="D36" s="48" t="str">
        <f t="shared" si="1"/>
        <v>Oct</v>
      </c>
      <c r="E36" s="48">
        <f t="shared" si="2"/>
        <v>10</v>
      </c>
      <c r="F36" s="56">
        <f t="shared" si="3"/>
        <v>45566</v>
      </c>
      <c r="G36" s="56" t="str">
        <f t="shared" si="4"/>
        <v>Oct-2024</v>
      </c>
    </row>
    <row r="37" spans="1:7" x14ac:dyDescent="0.2">
      <c r="A37" s="54" t="s">
        <v>157</v>
      </c>
      <c r="B37" s="55">
        <v>30</v>
      </c>
      <c r="C37" s="48">
        <f t="shared" si="0"/>
        <v>2024</v>
      </c>
      <c r="D37" s="48" t="str">
        <f t="shared" si="1"/>
        <v>Nov</v>
      </c>
      <c r="E37" s="48">
        <f t="shared" si="2"/>
        <v>11</v>
      </c>
      <c r="F37" s="56">
        <f t="shared" si="3"/>
        <v>45597</v>
      </c>
      <c r="G37" s="56" t="str">
        <f t="shared" si="4"/>
        <v>Nov-2024</v>
      </c>
    </row>
    <row r="38" spans="1:7" x14ac:dyDescent="0.2">
      <c r="A38" s="54" t="s">
        <v>158</v>
      </c>
      <c r="B38" s="55">
        <v>31</v>
      </c>
      <c r="C38" s="48">
        <f t="shared" si="0"/>
        <v>2024</v>
      </c>
      <c r="D38" s="48" t="str">
        <f t="shared" si="1"/>
        <v>Dec</v>
      </c>
      <c r="E38" s="48">
        <f t="shared" si="2"/>
        <v>12</v>
      </c>
      <c r="F38" s="56">
        <f t="shared" si="3"/>
        <v>45627</v>
      </c>
      <c r="G38" s="56" t="str">
        <f t="shared" si="4"/>
        <v>Dec-2024</v>
      </c>
    </row>
    <row r="39" spans="1:7" x14ac:dyDescent="0.2">
      <c r="A39" s="54" t="s">
        <v>367</v>
      </c>
      <c r="B39" s="55">
        <v>31</v>
      </c>
      <c r="C39" s="48">
        <f t="shared" ref="C39:C50" si="6">VALUE(RIGHT(A39,4))</f>
        <v>2025</v>
      </c>
      <c r="D39" s="48" t="str">
        <f t="shared" ref="D39:D50" si="7">LEFT(A39,3)</f>
        <v>Jan</v>
      </c>
      <c r="E39" s="48">
        <f t="shared" ref="E39:E50" si="8">VLOOKUP(D39,$I$3:$J$14,2,0)</f>
        <v>1</v>
      </c>
      <c r="F39" s="56">
        <f t="shared" ref="F39:F50" si="9">DATE(C39,E39,1)</f>
        <v>45658</v>
      </c>
      <c r="G39" s="56" t="str">
        <f t="shared" ref="G39:G50" si="10">D39&amp;"-"&amp;C39</f>
        <v>Jan-2025</v>
      </c>
    </row>
    <row r="40" spans="1:7" x14ac:dyDescent="0.2">
      <c r="A40" s="54" t="s">
        <v>368</v>
      </c>
      <c r="B40" s="55">
        <v>28</v>
      </c>
      <c r="C40" s="48">
        <f t="shared" si="6"/>
        <v>2025</v>
      </c>
      <c r="D40" s="48" t="str">
        <f t="shared" si="7"/>
        <v>Feb</v>
      </c>
      <c r="E40" s="48">
        <f t="shared" si="8"/>
        <v>2</v>
      </c>
      <c r="F40" s="56">
        <f t="shared" si="9"/>
        <v>45689</v>
      </c>
      <c r="G40" s="56" t="str">
        <f t="shared" si="10"/>
        <v>Feb-2025</v>
      </c>
    </row>
    <row r="41" spans="1:7" x14ac:dyDescent="0.2">
      <c r="A41" s="54" t="s">
        <v>369</v>
      </c>
      <c r="B41" s="55">
        <v>31</v>
      </c>
      <c r="C41" s="48">
        <f t="shared" si="6"/>
        <v>2025</v>
      </c>
      <c r="D41" s="48" t="str">
        <f t="shared" si="7"/>
        <v>Mar</v>
      </c>
      <c r="E41" s="48">
        <f t="shared" si="8"/>
        <v>3</v>
      </c>
      <c r="F41" s="56">
        <f t="shared" si="9"/>
        <v>45717</v>
      </c>
      <c r="G41" s="56" t="str">
        <f t="shared" si="10"/>
        <v>Mar-2025</v>
      </c>
    </row>
    <row r="42" spans="1:7" x14ac:dyDescent="0.2">
      <c r="A42" s="54" t="s">
        <v>370</v>
      </c>
      <c r="B42" s="55">
        <v>30</v>
      </c>
      <c r="C42" s="48">
        <f t="shared" si="6"/>
        <v>2025</v>
      </c>
      <c r="D42" s="48" t="str">
        <f t="shared" si="7"/>
        <v>Apr</v>
      </c>
      <c r="E42" s="48">
        <f t="shared" si="8"/>
        <v>4</v>
      </c>
      <c r="F42" s="56">
        <f t="shared" si="9"/>
        <v>45748</v>
      </c>
      <c r="G42" s="56" t="str">
        <f t="shared" si="10"/>
        <v>Apr-2025</v>
      </c>
    </row>
    <row r="43" spans="1:7" x14ac:dyDescent="0.2">
      <c r="A43" s="54" t="s">
        <v>371</v>
      </c>
      <c r="B43" s="55">
        <v>31</v>
      </c>
      <c r="C43" s="48">
        <f t="shared" si="6"/>
        <v>2025</v>
      </c>
      <c r="D43" s="48" t="str">
        <f t="shared" si="7"/>
        <v>May</v>
      </c>
      <c r="E43" s="48">
        <f t="shared" si="8"/>
        <v>5</v>
      </c>
      <c r="F43" s="56">
        <f t="shared" si="9"/>
        <v>45778</v>
      </c>
      <c r="G43" s="56" t="str">
        <f t="shared" si="10"/>
        <v>May-2025</v>
      </c>
    </row>
    <row r="44" spans="1:7" x14ac:dyDescent="0.2">
      <c r="A44" s="54" t="s">
        <v>372</v>
      </c>
      <c r="B44" s="55">
        <v>30</v>
      </c>
      <c r="C44" s="48">
        <f t="shared" si="6"/>
        <v>2025</v>
      </c>
      <c r="D44" s="48" t="str">
        <f t="shared" si="7"/>
        <v>Jun</v>
      </c>
      <c r="E44" s="48">
        <f t="shared" si="8"/>
        <v>6</v>
      </c>
      <c r="F44" s="56">
        <f t="shared" si="9"/>
        <v>45809</v>
      </c>
      <c r="G44" s="56" t="str">
        <f t="shared" si="10"/>
        <v>Jun-2025</v>
      </c>
    </row>
    <row r="45" spans="1:7" x14ac:dyDescent="0.2">
      <c r="A45" s="54" t="s">
        <v>373</v>
      </c>
      <c r="B45" s="55">
        <v>31</v>
      </c>
      <c r="C45" s="48">
        <f t="shared" si="6"/>
        <v>2025</v>
      </c>
      <c r="D45" s="48" t="str">
        <f t="shared" si="7"/>
        <v>Jul</v>
      </c>
      <c r="E45" s="48">
        <f t="shared" si="8"/>
        <v>7</v>
      </c>
      <c r="F45" s="56">
        <f t="shared" si="9"/>
        <v>45839</v>
      </c>
      <c r="G45" s="56" t="str">
        <f t="shared" si="10"/>
        <v>Jul-2025</v>
      </c>
    </row>
    <row r="46" spans="1:7" x14ac:dyDescent="0.2">
      <c r="A46" s="54" t="s">
        <v>374</v>
      </c>
      <c r="B46" s="55">
        <v>31</v>
      </c>
      <c r="C46" s="48">
        <f t="shared" si="6"/>
        <v>2025</v>
      </c>
      <c r="D46" s="48" t="str">
        <f t="shared" si="7"/>
        <v>Aug</v>
      </c>
      <c r="E46" s="48">
        <f t="shared" si="8"/>
        <v>8</v>
      </c>
      <c r="F46" s="56">
        <f t="shared" si="9"/>
        <v>45870</v>
      </c>
      <c r="G46" s="56" t="str">
        <f t="shared" si="10"/>
        <v>Aug-2025</v>
      </c>
    </row>
    <row r="47" spans="1:7" x14ac:dyDescent="0.2">
      <c r="A47" s="54" t="s">
        <v>375</v>
      </c>
      <c r="B47" s="55">
        <v>30</v>
      </c>
      <c r="C47" s="48">
        <f t="shared" si="6"/>
        <v>2025</v>
      </c>
      <c r="D47" s="48" t="str">
        <f t="shared" si="7"/>
        <v>Sep</v>
      </c>
      <c r="E47" s="48">
        <f t="shared" si="8"/>
        <v>9</v>
      </c>
      <c r="F47" s="56">
        <f t="shared" si="9"/>
        <v>45901</v>
      </c>
      <c r="G47" s="56" t="str">
        <f t="shared" si="10"/>
        <v>Sep-2025</v>
      </c>
    </row>
    <row r="48" spans="1:7" x14ac:dyDescent="0.2">
      <c r="A48" s="54" t="s">
        <v>376</v>
      </c>
      <c r="B48" s="55">
        <v>31</v>
      </c>
      <c r="C48" s="48">
        <f t="shared" si="6"/>
        <v>2025</v>
      </c>
      <c r="D48" s="48" t="str">
        <f t="shared" si="7"/>
        <v>Oct</v>
      </c>
      <c r="E48" s="48">
        <f t="shared" si="8"/>
        <v>10</v>
      </c>
      <c r="F48" s="56">
        <f t="shared" si="9"/>
        <v>45931</v>
      </c>
      <c r="G48" s="56" t="str">
        <f t="shared" si="10"/>
        <v>Oct-2025</v>
      </c>
    </row>
    <row r="49" spans="1:7" x14ac:dyDescent="0.2">
      <c r="A49" s="54" t="s">
        <v>377</v>
      </c>
      <c r="B49" s="55">
        <v>30</v>
      </c>
      <c r="C49" s="48">
        <f t="shared" si="6"/>
        <v>2025</v>
      </c>
      <c r="D49" s="48" t="str">
        <f t="shared" si="7"/>
        <v>Nov</v>
      </c>
      <c r="E49" s="48">
        <f t="shared" si="8"/>
        <v>11</v>
      </c>
      <c r="F49" s="56">
        <f t="shared" si="9"/>
        <v>45962</v>
      </c>
      <c r="G49" s="56" t="str">
        <f t="shared" si="10"/>
        <v>Nov-2025</v>
      </c>
    </row>
    <row r="50" spans="1:7" x14ac:dyDescent="0.2">
      <c r="A50" s="57" t="s">
        <v>378</v>
      </c>
      <c r="B50" s="58">
        <v>31</v>
      </c>
      <c r="C50" s="48">
        <f t="shared" si="6"/>
        <v>2025</v>
      </c>
      <c r="D50" s="48" t="str">
        <f t="shared" si="7"/>
        <v>Dec</v>
      </c>
      <c r="E50" s="48">
        <f t="shared" si="8"/>
        <v>12</v>
      </c>
      <c r="F50" s="56">
        <f t="shared" si="9"/>
        <v>45992</v>
      </c>
      <c r="G50" s="56" t="str">
        <f t="shared" si="10"/>
        <v>Dec-2025</v>
      </c>
    </row>
  </sheetData>
  <pageMargins left="0.7" right="0.7" top="0.75" bottom="0.75" header="0.3" footer="0.3"/>
  <pageSetup orientation="portrait" verticalDpi="0" r:id="rId1"/>
  <customProperties>
    <customPr name="AdaptiveCustomXmlPartId" r:id="rId2"/>
    <customPr name="AdaptiveReportingSheetKey" r:id="rId3"/>
    <customPr name="CurrentId" r:id="rId4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5730A-54D1-4372-94BE-C34070EA6AAC}">
  <sheetPr>
    <tabColor theme="0" tint="-0.14999847407452621"/>
  </sheetPr>
  <dimension ref="A1"/>
  <sheetViews>
    <sheetView topLeftCell="A3" workbookViewId="0">
      <selection activeCell="E40" sqref="E40:F41"/>
    </sheetView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B1AC3-0F13-4CBE-8942-F84F0FDE9B43}">
  <sheetPr>
    <tabColor rgb="FFFFFF00"/>
  </sheetPr>
  <dimension ref="A1:AB246"/>
  <sheetViews>
    <sheetView zoomScale="80" zoomScaleNormal="80" workbookViewId="0">
      <pane xSplit="5" ySplit="2" topLeftCell="L96" activePane="bottomRight" state="frozen"/>
      <selection activeCell="A161" sqref="A161"/>
      <selection pane="topRight" activeCell="A161" sqref="A161"/>
      <selection pane="bottomLeft" activeCell="A161" sqref="A161"/>
      <selection pane="bottomRight" activeCell="L116" sqref="L116"/>
    </sheetView>
  </sheetViews>
  <sheetFormatPr defaultRowHeight="15" x14ac:dyDescent="0.25"/>
  <cols>
    <col min="1" max="1" width="11.85546875" bestFit="1" customWidth="1"/>
    <col min="2" max="2" width="10.85546875" bestFit="1" customWidth="1"/>
    <col min="3" max="3" width="19.5703125" bestFit="1" customWidth="1"/>
    <col min="4" max="4" width="26.42578125" bestFit="1" customWidth="1"/>
    <col min="5" max="5" width="25.42578125" bestFit="1" customWidth="1"/>
    <col min="6" max="6" width="38.5703125" bestFit="1" customWidth="1"/>
    <col min="7" max="7" width="46.85546875" bestFit="1" customWidth="1"/>
    <col min="8" max="8" width="14.140625" bestFit="1" customWidth="1"/>
    <col min="9" max="20" width="9.42578125" bestFit="1" customWidth="1"/>
    <col min="21" max="21" width="10.140625" bestFit="1" customWidth="1"/>
    <col min="24" max="24" width="18.140625" customWidth="1"/>
    <col min="25" max="25" width="15.85546875" bestFit="1" customWidth="1"/>
  </cols>
  <sheetData>
    <row r="1" spans="1:26" x14ac:dyDescent="0.25">
      <c r="I1" s="2" t="s">
        <v>112</v>
      </c>
      <c r="J1" s="2" t="s">
        <v>113</v>
      </c>
      <c r="K1" s="2" t="s">
        <v>114</v>
      </c>
      <c r="L1" s="2" t="s">
        <v>115</v>
      </c>
      <c r="M1" s="2" t="s">
        <v>116</v>
      </c>
      <c r="N1" s="2" t="s">
        <v>117</v>
      </c>
      <c r="O1" s="2" t="s">
        <v>118</v>
      </c>
      <c r="P1" s="2" t="s">
        <v>119</v>
      </c>
      <c r="Q1" s="2" t="s">
        <v>120</v>
      </c>
      <c r="R1" s="2" t="s">
        <v>121</v>
      </c>
      <c r="S1" s="2" t="s">
        <v>122</v>
      </c>
      <c r="T1" s="2" t="s">
        <v>123</v>
      </c>
    </row>
    <row r="2" spans="1:2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3">
        <v>31</v>
      </c>
      <c r="J2" s="3">
        <v>28</v>
      </c>
      <c r="K2" s="3">
        <v>31</v>
      </c>
      <c r="L2" s="3">
        <v>30</v>
      </c>
      <c r="M2" s="3">
        <v>31</v>
      </c>
      <c r="N2" s="3">
        <v>30</v>
      </c>
      <c r="O2" s="3">
        <v>31</v>
      </c>
      <c r="P2" s="3">
        <v>31</v>
      </c>
      <c r="Q2" s="3">
        <v>30</v>
      </c>
      <c r="R2" s="3">
        <v>31</v>
      </c>
      <c r="S2" s="3">
        <v>30</v>
      </c>
      <c r="T2" s="3">
        <v>31</v>
      </c>
      <c r="U2" s="3">
        <f>SUBTOTAL(9,I2:T2)</f>
        <v>365</v>
      </c>
      <c r="V2" s="106" t="s">
        <v>132</v>
      </c>
      <c r="W2" s="106"/>
      <c r="X2" s="105" t="s">
        <v>131</v>
      </c>
      <c r="Y2" s="105"/>
      <c r="Z2" s="105"/>
    </row>
    <row r="3" spans="1:26" x14ac:dyDescent="0.25">
      <c r="A3" s="1">
        <v>44927</v>
      </c>
      <c r="B3" s="1">
        <v>45291</v>
      </c>
      <c r="C3" t="s">
        <v>8</v>
      </c>
      <c r="D3" t="s">
        <v>9</v>
      </c>
      <c r="E3" t="s">
        <v>10</v>
      </c>
      <c r="F3" t="s">
        <v>11</v>
      </c>
      <c r="G3" t="s">
        <v>13</v>
      </c>
      <c r="H3">
        <v>42.14</v>
      </c>
      <c r="I3" s="5">
        <f>$H3*I$2</f>
        <v>1306.3399999999999</v>
      </c>
      <c r="J3" s="5">
        <f t="shared" ref="J3:T3" si="0">$H3*J$2</f>
        <v>1179.92</v>
      </c>
      <c r="K3" s="5">
        <f t="shared" si="0"/>
        <v>1306.3399999999999</v>
      </c>
      <c r="L3" s="5">
        <f t="shared" si="0"/>
        <v>1264.2</v>
      </c>
      <c r="M3" s="5">
        <f t="shared" si="0"/>
        <v>1306.3399999999999</v>
      </c>
      <c r="N3" s="5">
        <f t="shared" si="0"/>
        <v>1264.2</v>
      </c>
      <c r="O3" s="5">
        <f t="shared" si="0"/>
        <v>1306.3399999999999</v>
      </c>
      <c r="P3" s="5">
        <f t="shared" si="0"/>
        <v>1306.3399999999999</v>
      </c>
      <c r="Q3" s="5">
        <f t="shared" si="0"/>
        <v>1264.2</v>
      </c>
      <c r="R3" s="5">
        <f t="shared" si="0"/>
        <v>1306.3399999999999</v>
      </c>
      <c r="S3" s="5">
        <f t="shared" si="0"/>
        <v>1264.2</v>
      </c>
      <c r="T3" s="5">
        <f t="shared" si="0"/>
        <v>1306.3399999999999</v>
      </c>
      <c r="U3" s="5">
        <f>SUBTOTAL(9,I3:T3)</f>
        <v>15381.100000000002</v>
      </c>
      <c r="V3" s="6">
        <f>U3</f>
        <v>15381.100000000002</v>
      </c>
      <c r="W3" s="7">
        <f>V3/365</f>
        <v>42.140000000000008</v>
      </c>
      <c r="X3" s="28">
        <v>42.14</v>
      </c>
      <c r="Y3" s="7">
        <f>X3-W3</f>
        <v>0</v>
      </c>
    </row>
    <row r="4" spans="1:26" x14ac:dyDescent="0.25">
      <c r="A4" s="1">
        <v>44927</v>
      </c>
      <c r="B4" s="1">
        <v>44957</v>
      </c>
      <c r="C4" t="s">
        <v>8</v>
      </c>
      <c r="D4" t="s">
        <v>9</v>
      </c>
      <c r="E4" t="s">
        <v>10</v>
      </c>
      <c r="F4" t="s">
        <v>11</v>
      </c>
      <c r="G4" t="s">
        <v>15</v>
      </c>
      <c r="H4">
        <v>165</v>
      </c>
      <c r="I4" s="5">
        <f>$H4*I$2</f>
        <v>5115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>
        <f t="shared" ref="U4:U67" si="1">SUBTOTAL(9,I4:T4)</f>
        <v>5115</v>
      </c>
      <c r="V4" s="7"/>
    </row>
    <row r="5" spans="1:26" x14ac:dyDescent="0.25">
      <c r="A5" s="1">
        <v>44958</v>
      </c>
      <c r="B5" s="1">
        <v>44985</v>
      </c>
      <c r="C5" t="s">
        <v>8</v>
      </c>
      <c r="D5" t="s">
        <v>9</v>
      </c>
      <c r="E5" t="s">
        <v>10</v>
      </c>
      <c r="F5" t="s">
        <v>11</v>
      </c>
      <c r="G5" t="s">
        <v>15</v>
      </c>
      <c r="H5">
        <v>165</v>
      </c>
      <c r="I5" s="5"/>
      <c r="J5" s="5">
        <f>$H5*J$2</f>
        <v>4620</v>
      </c>
      <c r="K5" s="5"/>
      <c r="L5" s="5"/>
      <c r="M5" s="5"/>
      <c r="N5" s="5"/>
      <c r="O5" s="5"/>
      <c r="P5" s="5"/>
      <c r="Q5" s="5"/>
      <c r="R5" s="5"/>
      <c r="S5" s="5"/>
      <c r="T5" s="5"/>
      <c r="U5" s="5">
        <f t="shared" si="1"/>
        <v>4620</v>
      </c>
      <c r="V5" s="7"/>
    </row>
    <row r="6" spans="1:26" x14ac:dyDescent="0.25">
      <c r="A6" s="1">
        <v>44986</v>
      </c>
      <c r="B6" s="1">
        <v>45016</v>
      </c>
      <c r="C6" t="s">
        <v>8</v>
      </c>
      <c r="D6" t="s">
        <v>9</v>
      </c>
      <c r="E6" t="s">
        <v>10</v>
      </c>
      <c r="F6" t="s">
        <v>11</v>
      </c>
      <c r="G6" t="s">
        <v>15</v>
      </c>
      <c r="H6">
        <v>165.5</v>
      </c>
      <c r="I6" s="5"/>
      <c r="J6" s="5"/>
      <c r="K6" s="5">
        <f>$H6*K$2</f>
        <v>5130.5</v>
      </c>
      <c r="L6" s="5"/>
      <c r="M6" s="5"/>
      <c r="N6" s="5"/>
      <c r="O6" s="5"/>
      <c r="P6" s="5"/>
      <c r="Q6" s="5"/>
      <c r="R6" s="5"/>
      <c r="S6" s="5"/>
      <c r="T6" s="5"/>
      <c r="U6" s="5">
        <f t="shared" si="1"/>
        <v>5130.5</v>
      </c>
      <c r="V6" s="7"/>
    </row>
    <row r="7" spans="1:26" x14ac:dyDescent="0.25">
      <c r="A7" s="1">
        <v>45017</v>
      </c>
      <c r="B7" s="1">
        <v>45046</v>
      </c>
      <c r="C7" t="s">
        <v>8</v>
      </c>
      <c r="D7" t="s">
        <v>9</v>
      </c>
      <c r="E7" t="s">
        <v>10</v>
      </c>
      <c r="F7" t="s">
        <v>11</v>
      </c>
      <c r="G7" t="s">
        <v>15</v>
      </c>
      <c r="H7">
        <v>166.5</v>
      </c>
      <c r="I7" s="5"/>
      <c r="J7" s="5"/>
      <c r="K7" s="5"/>
      <c r="L7" s="5">
        <f>$H7*L$2</f>
        <v>4995</v>
      </c>
      <c r="M7" s="5"/>
      <c r="N7" s="5"/>
      <c r="O7" s="5"/>
      <c r="P7" s="5"/>
      <c r="Q7" s="5"/>
      <c r="R7" s="5"/>
      <c r="S7" s="5"/>
      <c r="T7" s="5"/>
      <c r="U7" s="5">
        <f t="shared" si="1"/>
        <v>4995</v>
      </c>
      <c r="V7" s="7"/>
    </row>
    <row r="8" spans="1:26" x14ac:dyDescent="0.25">
      <c r="A8" s="1">
        <v>45047</v>
      </c>
      <c r="B8" s="1">
        <v>45077</v>
      </c>
      <c r="C8" t="s">
        <v>8</v>
      </c>
      <c r="D8" t="s">
        <v>9</v>
      </c>
      <c r="E8" t="s">
        <v>10</v>
      </c>
      <c r="F8" t="s">
        <v>11</v>
      </c>
      <c r="G8" t="s">
        <v>15</v>
      </c>
      <c r="H8">
        <v>167.5</v>
      </c>
      <c r="I8" s="5"/>
      <c r="J8" s="5"/>
      <c r="K8" s="5"/>
      <c r="L8" s="5"/>
      <c r="M8" s="5">
        <f>$H8*M$2</f>
        <v>5192.5</v>
      </c>
      <c r="N8" s="5"/>
      <c r="O8" s="5"/>
      <c r="P8" s="5"/>
      <c r="Q8" s="5"/>
      <c r="R8" s="5"/>
      <c r="S8" s="5"/>
      <c r="T8" s="5"/>
      <c r="U8" s="5">
        <f t="shared" si="1"/>
        <v>5192.5</v>
      </c>
      <c r="V8" s="7"/>
    </row>
    <row r="9" spans="1:26" x14ac:dyDescent="0.25">
      <c r="A9" s="1">
        <v>45078</v>
      </c>
      <c r="B9" s="1">
        <v>45107</v>
      </c>
      <c r="C9" t="s">
        <v>8</v>
      </c>
      <c r="D9" t="s">
        <v>9</v>
      </c>
      <c r="E9" t="s">
        <v>10</v>
      </c>
      <c r="F9" t="s">
        <v>11</v>
      </c>
      <c r="G9" t="s">
        <v>15</v>
      </c>
      <c r="H9">
        <v>168</v>
      </c>
      <c r="I9" s="5"/>
      <c r="J9" s="5"/>
      <c r="K9" s="5"/>
      <c r="L9" s="5"/>
      <c r="M9" s="5"/>
      <c r="N9" s="5">
        <f>$H9*N$2</f>
        <v>5040</v>
      </c>
      <c r="O9" s="5"/>
      <c r="P9" s="5"/>
      <c r="Q9" s="5"/>
      <c r="R9" s="5"/>
      <c r="S9" s="5"/>
      <c r="T9" s="5"/>
      <c r="U9" s="5">
        <f t="shared" si="1"/>
        <v>5040</v>
      </c>
      <c r="V9" s="7"/>
    </row>
    <row r="10" spans="1:26" x14ac:dyDescent="0.25">
      <c r="A10" s="1">
        <v>45108</v>
      </c>
      <c r="B10" s="1">
        <v>45138</v>
      </c>
      <c r="C10" t="s">
        <v>8</v>
      </c>
      <c r="D10" t="s">
        <v>9</v>
      </c>
      <c r="E10" t="s">
        <v>10</v>
      </c>
      <c r="F10" t="s">
        <v>11</v>
      </c>
      <c r="G10" t="s">
        <v>15</v>
      </c>
      <c r="H10">
        <v>168.5</v>
      </c>
      <c r="I10" s="5"/>
      <c r="J10" s="5"/>
      <c r="K10" s="5"/>
      <c r="L10" s="5"/>
      <c r="M10" s="5"/>
      <c r="N10" s="5"/>
      <c r="O10" s="5">
        <f>$H10*O$2</f>
        <v>5223.5</v>
      </c>
      <c r="P10" s="5"/>
      <c r="Q10" s="5"/>
      <c r="R10" s="5"/>
      <c r="S10" s="5"/>
      <c r="T10" s="5"/>
      <c r="U10" s="5">
        <f t="shared" si="1"/>
        <v>5223.5</v>
      </c>
      <c r="V10" s="7"/>
    </row>
    <row r="11" spans="1:26" x14ac:dyDescent="0.25">
      <c r="A11" s="1">
        <v>45139</v>
      </c>
      <c r="B11" s="1">
        <v>45169</v>
      </c>
      <c r="C11" t="s">
        <v>8</v>
      </c>
      <c r="D11" t="s">
        <v>9</v>
      </c>
      <c r="E11" t="s">
        <v>10</v>
      </c>
      <c r="F11" t="s">
        <v>11</v>
      </c>
      <c r="G11" t="s">
        <v>15</v>
      </c>
      <c r="H11">
        <v>169</v>
      </c>
      <c r="I11" s="5"/>
      <c r="J11" s="5"/>
      <c r="K11" s="5"/>
      <c r="L11" s="5"/>
      <c r="M11" s="5"/>
      <c r="N11" s="5"/>
      <c r="O11" s="5"/>
      <c r="P11" s="5">
        <f>$H11*P$2</f>
        <v>5239</v>
      </c>
      <c r="Q11" s="5"/>
      <c r="R11" s="5"/>
      <c r="S11" s="5"/>
      <c r="T11" s="5"/>
      <c r="U11" s="5">
        <f t="shared" si="1"/>
        <v>5239</v>
      </c>
      <c r="V11" s="7"/>
    </row>
    <row r="12" spans="1:26" x14ac:dyDescent="0.25">
      <c r="A12" s="1">
        <v>45170</v>
      </c>
      <c r="B12" s="1">
        <v>45199</v>
      </c>
      <c r="C12" t="s">
        <v>8</v>
      </c>
      <c r="D12" t="s">
        <v>9</v>
      </c>
      <c r="E12" t="s">
        <v>10</v>
      </c>
      <c r="F12" t="s">
        <v>11</v>
      </c>
      <c r="G12" t="s">
        <v>15</v>
      </c>
      <c r="H12">
        <v>170</v>
      </c>
      <c r="I12" s="5"/>
      <c r="J12" s="5"/>
      <c r="K12" s="5"/>
      <c r="L12" s="5"/>
      <c r="M12" s="5"/>
      <c r="N12" s="5"/>
      <c r="O12" s="5"/>
      <c r="P12" s="5"/>
      <c r="Q12" s="5">
        <f>$H12*Q$2</f>
        <v>5100</v>
      </c>
      <c r="R12" s="5"/>
      <c r="S12" s="5"/>
      <c r="T12" s="5"/>
      <c r="U12" s="5">
        <f t="shared" si="1"/>
        <v>5100</v>
      </c>
      <c r="V12" s="7"/>
    </row>
    <row r="13" spans="1:26" x14ac:dyDescent="0.25">
      <c r="A13" s="1">
        <v>45200</v>
      </c>
      <c r="B13" s="1">
        <v>45230</v>
      </c>
      <c r="C13" t="s">
        <v>8</v>
      </c>
      <c r="D13" t="s">
        <v>9</v>
      </c>
      <c r="E13" t="s">
        <v>10</v>
      </c>
      <c r="F13" t="s">
        <v>11</v>
      </c>
      <c r="G13" t="s">
        <v>15</v>
      </c>
      <c r="H13">
        <v>171</v>
      </c>
      <c r="I13" s="5"/>
      <c r="J13" s="5"/>
      <c r="K13" s="5"/>
      <c r="L13" s="5"/>
      <c r="M13" s="5"/>
      <c r="N13" s="5"/>
      <c r="O13" s="5"/>
      <c r="P13" s="5"/>
      <c r="Q13" s="5"/>
      <c r="R13" s="5">
        <f>$H13*R$2</f>
        <v>5301</v>
      </c>
      <c r="S13" s="5"/>
      <c r="T13" s="5"/>
      <c r="U13" s="5">
        <f t="shared" si="1"/>
        <v>5301</v>
      </c>
      <c r="V13" s="7"/>
    </row>
    <row r="14" spans="1:26" x14ac:dyDescent="0.25">
      <c r="A14" s="1">
        <v>45231</v>
      </c>
      <c r="B14" s="1">
        <v>45260</v>
      </c>
      <c r="C14" t="s">
        <v>8</v>
      </c>
      <c r="D14" t="s">
        <v>9</v>
      </c>
      <c r="E14" t="s">
        <v>10</v>
      </c>
      <c r="F14" t="s">
        <v>11</v>
      </c>
      <c r="G14" t="s">
        <v>15</v>
      </c>
      <c r="H14">
        <v>171.5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>$H14*S$2</f>
        <v>5145</v>
      </c>
      <c r="T14" s="5"/>
      <c r="U14" s="5">
        <f t="shared" si="1"/>
        <v>5145</v>
      </c>
      <c r="V14" s="7"/>
      <c r="W14" s="7"/>
      <c r="Y14" s="7"/>
    </row>
    <row r="15" spans="1:26" x14ac:dyDescent="0.25">
      <c r="A15" s="1">
        <v>45261</v>
      </c>
      <c r="B15" s="1">
        <v>45291</v>
      </c>
      <c r="C15" t="s">
        <v>8</v>
      </c>
      <c r="D15" t="s">
        <v>9</v>
      </c>
      <c r="E15" t="s">
        <v>10</v>
      </c>
      <c r="F15" t="s">
        <v>11</v>
      </c>
      <c r="G15" t="s">
        <v>15</v>
      </c>
      <c r="H15">
        <v>172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f t="shared" ref="T15" si="2">$H15*T$2</f>
        <v>5332</v>
      </c>
      <c r="U15" s="5">
        <f t="shared" si="1"/>
        <v>5332</v>
      </c>
      <c r="V15" s="6">
        <f>SUM(U4:U15)</f>
        <v>61433.5</v>
      </c>
      <c r="W15" s="7">
        <f>V15/365</f>
        <v>168.31095890410958</v>
      </c>
      <c r="X15" s="28">
        <v>168.31095890410958</v>
      </c>
      <c r="Y15" s="7">
        <f>X15-W15</f>
        <v>0</v>
      </c>
    </row>
    <row r="16" spans="1:26" x14ac:dyDescent="0.25">
      <c r="A16" s="1">
        <v>44927</v>
      </c>
      <c r="B16" s="1">
        <v>44957</v>
      </c>
      <c r="C16" t="s">
        <v>8</v>
      </c>
      <c r="D16" t="s">
        <v>9</v>
      </c>
      <c r="E16" t="s">
        <v>10</v>
      </c>
      <c r="F16" t="s">
        <v>11</v>
      </c>
      <c r="G16" t="s">
        <v>18</v>
      </c>
      <c r="H16">
        <v>101</v>
      </c>
      <c r="I16" s="5">
        <f>$H16*I$2</f>
        <v>3131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f t="shared" si="1"/>
        <v>3131</v>
      </c>
    </row>
    <row r="17" spans="1:25" x14ac:dyDescent="0.25">
      <c r="A17" s="1">
        <v>44958</v>
      </c>
      <c r="B17" s="1">
        <v>44985</v>
      </c>
      <c r="C17" t="s">
        <v>8</v>
      </c>
      <c r="D17" t="s">
        <v>9</v>
      </c>
      <c r="E17" t="s">
        <v>10</v>
      </c>
      <c r="F17" t="s">
        <v>11</v>
      </c>
      <c r="G17" t="s">
        <v>18</v>
      </c>
      <c r="H17">
        <v>101</v>
      </c>
      <c r="I17" s="5"/>
      <c r="J17" s="5">
        <f>$H17*J$2</f>
        <v>2828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>
        <f t="shared" si="1"/>
        <v>2828</v>
      </c>
    </row>
    <row r="18" spans="1:25" x14ac:dyDescent="0.25">
      <c r="A18" s="1">
        <v>44986</v>
      </c>
      <c r="B18" s="1">
        <v>45016</v>
      </c>
      <c r="C18" t="s">
        <v>8</v>
      </c>
      <c r="D18" t="s">
        <v>9</v>
      </c>
      <c r="E18" t="s">
        <v>10</v>
      </c>
      <c r="F18" t="s">
        <v>11</v>
      </c>
      <c r="G18" t="s">
        <v>18</v>
      </c>
      <c r="H18">
        <v>101.5</v>
      </c>
      <c r="I18" s="5"/>
      <c r="J18" s="5"/>
      <c r="K18" s="5">
        <f>$H18*K$2</f>
        <v>3146.5</v>
      </c>
      <c r="L18" s="5"/>
      <c r="M18" s="5"/>
      <c r="N18" s="5"/>
      <c r="O18" s="5"/>
      <c r="P18" s="5"/>
      <c r="Q18" s="5"/>
      <c r="R18" s="5"/>
      <c r="S18" s="5"/>
      <c r="T18" s="5"/>
      <c r="U18" s="5">
        <f t="shared" si="1"/>
        <v>3146.5</v>
      </c>
    </row>
    <row r="19" spans="1:25" x14ac:dyDescent="0.25">
      <c r="A19" s="1">
        <v>45017</v>
      </c>
      <c r="B19" s="1">
        <v>45046</v>
      </c>
      <c r="C19" t="s">
        <v>8</v>
      </c>
      <c r="D19" t="s">
        <v>9</v>
      </c>
      <c r="E19" t="s">
        <v>10</v>
      </c>
      <c r="F19" t="s">
        <v>11</v>
      </c>
      <c r="G19" t="s">
        <v>18</v>
      </c>
      <c r="H19">
        <v>102</v>
      </c>
      <c r="I19" s="5"/>
      <c r="J19" s="5"/>
      <c r="K19" s="5"/>
      <c r="L19" s="5">
        <f>$H19*L$2</f>
        <v>3060</v>
      </c>
      <c r="M19" s="5"/>
      <c r="N19" s="5"/>
      <c r="O19" s="5"/>
      <c r="P19" s="5"/>
      <c r="Q19" s="5"/>
      <c r="R19" s="5"/>
      <c r="S19" s="5"/>
      <c r="T19" s="5"/>
      <c r="U19" s="5">
        <f t="shared" si="1"/>
        <v>3060</v>
      </c>
    </row>
    <row r="20" spans="1:25" x14ac:dyDescent="0.25">
      <c r="A20" s="1">
        <v>45047</v>
      </c>
      <c r="B20" s="1">
        <v>45077</v>
      </c>
      <c r="C20" t="s">
        <v>8</v>
      </c>
      <c r="D20" t="s">
        <v>9</v>
      </c>
      <c r="E20" t="s">
        <v>10</v>
      </c>
      <c r="F20" t="s">
        <v>11</v>
      </c>
      <c r="G20" t="s">
        <v>18</v>
      </c>
      <c r="H20">
        <v>102.5</v>
      </c>
      <c r="I20" s="5"/>
      <c r="J20" s="5"/>
      <c r="K20" s="5"/>
      <c r="L20" s="5"/>
      <c r="M20" s="5">
        <f>$H20*M$2</f>
        <v>3177.5</v>
      </c>
      <c r="N20" s="5"/>
      <c r="O20" s="5"/>
      <c r="P20" s="5"/>
      <c r="Q20" s="5"/>
      <c r="R20" s="5"/>
      <c r="S20" s="5"/>
      <c r="T20" s="5"/>
      <c r="U20" s="5">
        <f t="shared" si="1"/>
        <v>3177.5</v>
      </c>
    </row>
    <row r="21" spans="1:25" x14ac:dyDescent="0.25">
      <c r="A21" s="1">
        <v>45078</v>
      </c>
      <c r="B21" s="1">
        <v>45107</v>
      </c>
      <c r="C21" t="s">
        <v>8</v>
      </c>
      <c r="D21" t="s">
        <v>9</v>
      </c>
      <c r="E21" t="s">
        <v>10</v>
      </c>
      <c r="F21" t="s">
        <v>11</v>
      </c>
      <c r="G21" t="s">
        <v>18</v>
      </c>
      <c r="H21">
        <v>103</v>
      </c>
      <c r="I21" s="5"/>
      <c r="J21" s="5"/>
      <c r="K21" s="5"/>
      <c r="L21" s="5"/>
      <c r="M21" s="5"/>
      <c r="N21" s="5">
        <f>$H21*N$2</f>
        <v>3090</v>
      </c>
      <c r="O21" s="5"/>
      <c r="P21" s="5"/>
      <c r="Q21" s="5"/>
      <c r="R21" s="5"/>
      <c r="S21" s="5"/>
      <c r="T21" s="5"/>
      <c r="U21" s="5">
        <f t="shared" si="1"/>
        <v>3090</v>
      </c>
    </row>
    <row r="22" spans="1:25" x14ac:dyDescent="0.25">
      <c r="A22" s="1">
        <v>45108</v>
      </c>
      <c r="B22" s="1">
        <v>45138</v>
      </c>
      <c r="C22" t="s">
        <v>8</v>
      </c>
      <c r="D22" t="s">
        <v>9</v>
      </c>
      <c r="E22" t="s">
        <v>10</v>
      </c>
      <c r="F22" t="s">
        <v>11</v>
      </c>
      <c r="G22" t="s">
        <v>18</v>
      </c>
      <c r="H22">
        <v>103.5</v>
      </c>
      <c r="I22" s="5"/>
      <c r="J22" s="5"/>
      <c r="K22" s="5"/>
      <c r="L22" s="5"/>
      <c r="M22" s="5"/>
      <c r="N22" s="5"/>
      <c r="O22" s="5">
        <f>$H22*O$2</f>
        <v>3208.5</v>
      </c>
      <c r="P22" s="5"/>
      <c r="Q22" s="5"/>
      <c r="R22" s="5"/>
      <c r="S22" s="5"/>
      <c r="T22" s="5"/>
      <c r="U22" s="5">
        <f t="shared" si="1"/>
        <v>3208.5</v>
      </c>
    </row>
    <row r="23" spans="1:25" x14ac:dyDescent="0.25">
      <c r="A23" s="1">
        <v>45139</v>
      </c>
      <c r="B23" s="1">
        <v>45169</v>
      </c>
      <c r="C23" t="s">
        <v>8</v>
      </c>
      <c r="D23" t="s">
        <v>9</v>
      </c>
      <c r="E23" t="s">
        <v>10</v>
      </c>
      <c r="F23" t="s">
        <v>11</v>
      </c>
      <c r="G23" t="s">
        <v>18</v>
      </c>
      <c r="H23">
        <v>103.5</v>
      </c>
      <c r="I23" s="5"/>
      <c r="J23" s="5"/>
      <c r="K23" s="5"/>
      <c r="L23" s="5"/>
      <c r="M23" s="5"/>
      <c r="N23" s="5"/>
      <c r="O23" s="5"/>
      <c r="P23" s="5">
        <f>$H23*P$2</f>
        <v>3208.5</v>
      </c>
      <c r="Q23" s="5"/>
      <c r="R23" s="5"/>
      <c r="S23" s="5"/>
      <c r="T23" s="5"/>
      <c r="U23" s="5">
        <f t="shared" si="1"/>
        <v>3208.5</v>
      </c>
    </row>
    <row r="24" spans="1:25" x14ac:dyDescent="0.25">
      <c r="A24" s="1">
        <v>45170</v>
      </c>
      <c r="B24" s="1">
        <v>45199</v>
      </c>
      <c r="C24" t="s">
        <v>8</v>
      </c>
      <c r="D24" t="s">
        <v>9</v>
      </c>
      <c r="E24" t="s">
        <v>10</v>
      </c>
      <c r="F24" t="s">
        <v>11</v>
      </c>
      <c r="G24" t="s">
        <v>18</v>
      </c>
      <c r="H24">
        <v>103.5</v>
      </c>
      <c r="I24" s="5"/>
      <c r="J24" s="5"/>
      <c r="K24" s="5"/>
      <c r="L24" s="5"/>
      <c r="M24" s="5"/>
      <c r="N24" s="5"/>
      <c r="O24" s="5"/>
      <c r="P24" s="5"/>
      <c r="Q24" s="5">
        <f>$H24*Q$2</f>
        <v>3105</v>
      </c>
      <c r="R24" s="5"/>
      <c r="S24" s="5"/>
      <c r="T24" s="5"/>
      <c r="U24" s="5">
        <f t="shared" si="1"/>
        <v>3105</v>
      </c>
    </row>
    <row r="25" spans="1:25" x14ac:dyDescent="0.25">
      <c r="A25" s="1">
        <v>45200</v>
      </c>
      <c r="B25" s="1">
        <v>45230</v>
      </c>
      <c r="C25" t="s">
        <v>8</v>
      </c>
      <c r="D25" t="s">
        <v>9</v>
      </c>
      <c r="E25" t="s">
        <v>10</v>
      </c>
      <c r="F25" t="s">
        <v>11</v>
      </c>
      <c r="G25" t="s">
        <v>18</v>
      </c>
      <c r="H25">
        <v>104</v>
      </c>
      <c r="I25" s="5"/>
      <c r="J25" s="5"/>
      <c r="K25" s="5"/>
      <c r="L25" s="5"/>
      <c r="M25" s="5"/>
      <c r="N25" s="5"/>
      <c r="O25" s="5"/>
      <c r="P25" s="5"/>
      <c r="Q25" s="5"/>
      <c r="R25" s="5">
        <f>$H25*R$2</f>
        <v>3224</v>
      </c>
      <c r="S25" s="5"/>
      <c r="T25" s="5"/>
      <c r="U25" s="5">
        <f t="shared" si="1"/>
        <v>3224</v>
      </c>
    </row>
    <row r="26" spans="1:25" x14ac:dyDescent="0.25">
      <c r="A26" s="1">
        <v>45231</v>
      </c>
      <c r="B26" s="1">
        <v>45260</v>
      </c>
      <c r="C26" t="s">
        <v>8</v>
      </c>
      <c r="D26" t="s">
        <v>9</v>
      </c>
      <c r="E26" t="s">
        <v>10</v>
      </c>
      <c r="F26" t="s">
        <v>11</v>
      </c>
      <c r="G26" t="s">
        <v>18</v>
      </c>
      <c r="H26">
        <v>104.5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>
        <f>$H26*S$2</f>
        <v>3135</v>
      </c>
      <c r="T26" s="5"/>
      <c r="U26" s="5">
        <f t="shared" si="1"/>
        <v>3135</v>
      </c>
    </row>
    <row r="27" spans="1:25" x14ac:dyDescent="0.25">
      <c r="A27" s="1">
        <v>45261</v>
      </c>
      <c r="B27" s="1">
        <v>45291</v>
      </c>
      <c r="C27" t="s">
        <v>8</v>
      </c>
      <c r="D27" t="s">
        <v>9</v>
      </c>
      <c r="E27" t="s">
        <v>10</v>
      </c>
      <c r="F27" t="s">
        <v>11</v>
      </c>
      <c r="G27" t="s">
        <v>18</v>
      </c>
      <c r="H27">
        <v>105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f t="shared" ref="T27" si="3">$H27*T$2</f>
        <v>3255</v>
      </c>
      <c r="U27" s="5">
        <f t="shared" si="1"/>
        <v>3255</v>
      </c>
      <c r="V27" s="6">
        <f>SUM(U16:U27)</f>
        <v>37569</v>
      </c>
      <c r="W27" s="7">
        <f>V27/365</f>
        <v>102.92876712328767</v>
      </c>
      <c r="X27" s="28">
        <v>102.92876712328767</v>
      </c>
      <c r="Y27" s="7">
        <f>X27-W27</f>
        <v>0</v>
      </c>
    </row>
    <row r="28" spans="1:25" x14ac:dyDescent="0.25">
      <c r="A28" s="1">
        <v>44927</v>
      </c>
      <c r="B28" s="1">
        <v>44957</v>
      </c>
      <c r="C28" t="s">
        <v>8</v>
      </c>
      <c r="D28" t="s">
        <v>9</v>
      </c>
      <c r="E28" t="s">
        <v>10</v>
      </c>
      <c r="F28" t="s">
        <v>11</v>
      </c>
      <c r="G28" t="s">
        <v>19</v>
      </c>
      <c r="H28">
        <v>87</v>
      </c>
      <c r="I28" s="5">
        <f>$H28*I$2</f>
        <v>2697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f t="shared" si="1"/>
        <v>2697</v>
      </c>
    </row>
    <row r="29" spans="1:25" x14ac:dyDescent="0.25">
      <c r="A29" s="1">
        <v>44958</v>
      </c>
      <c r="B29" s="1">
        <v>44985</v>
      </c>
      <c r="C29" t="s">
        <v>8</v>
      </c>
      <c r="D29" t="s">
        <v>9</v>
      </c>
      <c r="E29" t="s">
        <v>10</v>
      </c>
      <c r="F29" t="s">
        <v>11</v>
      </c>
      <c r="G29" t="s">
        <v>19</v>
      </c>
      <c r="H29">
        <v>87</v>
      </c>
      <c r="I29" s="5"/>
      <c r="J29" s="5">
        <f>$H29*J$2</f>
        <v>2436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>
        <f t="shared" si="1"/>
        <v>2436</v>
      </c>
    </row>
    <row r="30" spans="1:25" x14ac:dyDescent="0.25">
      <c r="A30" s="1">
        <v>44986</v>
      </c>
      <c r="B30" s="1">
        <v>45016</v>
      </c>
      <c r="C30" t="s">
        <v>8</v>
      </c>
      <c r="D30" t="s">
        <v>9</v>
      </c>
      <c r="E30" t="s">
        <v>10</v>
      </c>
      <c r="F30" t="s">
        <v>11</v>
      </c>
      <c r="G30" t="s">
        <v>19</v>
      </c>
      <c r="H30">
        <v>88</v>
      </c>
      <c r="I30" s="5"/>
      <c r="J30" s="5"/>
      <c r="K30" s="5">
        <f>$H30*K$2</f>
        <v>2728</v>
      </c>
      <c r="L30" s="5"/>
      <c r="M30" s="5"/>
      <c r="N30" s="5"/>
      <c r="O30" s="5"/>
      <c r="P30" s="5"/>
      <c r="Q30" s="5"/>
      <c r="R30" s="5"/>
      <c r="S30" s="5"/>
      <c r="T30" s="5"/>
      <c r="U30" s="5">
        <f t="shared" si="1"/>
        <v>2728</v>
      </c>
    </row>
    <row r="31" spans="1:25" x14ac:dyDescent="0.25">
      <c r="A31" s="1">
        <v>45017</v>
      </c>
      <c r="B31" s="1">
        <v>45046</v>
      </c>
      <c r="C31" t="s">
        <v>8</v>
      </c>
      <c r="D31" t="s">
        <v>9</v>
      </c>
      <c r="E31" t="s">
        <v>10</v>
      </c>
      <c r="F31" t="s">
        <v>11</v>
      </c>
      <c r="G31" t="s">
        <v>19</v>
      </c>
      <c r="H31">
        <v>89</v>
      </c>
      <c r="I31" s="5"/>
      <c r="J31" s="5"/>
      <c r="K31" s="5"/>
      <c r="L31" s="5">
        <f>$H31*L$2</f>
        <v>2670</v>
      </c>
      <c r="M31" s="5"/>
      <c r="N31" s="5"/>
      <c r="O31" s="5"/>
      <c r="P31" s="5"/>
      <c r="Q31" s="5"/>
      <c r="R31" s="5"/>
      <c r="S31" s="5"/>
      <c r="T31" s="5"/>
      <c r="U31" s="5">
        <f t="shared" si="1"/>
        <v>2670</v>
      </c>
    </row>
    <row r="32" spans="1:25" x14ac:dyDescent="0.25">
      <c r="A32" s="1">
        <v>45047</v>
      </c>
      <c r="B32" s="1">
        <v>45077</v>
      </c>
      <c r="C32" t="s">
        <v>8</v>
      </c>
      <c r="D32" t="s">
        <v>9</v>
      </c>
      <c r="E32" t="s">
        <v>10</v>
      </c>
      <c r="F32" t="s">
        <v>11</v>
      </c>
      <c r="G32" t="s">
        <v>19</v>
      </c>
      <c r="H32">
        <v>90</v>
      </c>
      <c r="I32" s="5"/>
      <c r="J32" s="5"/>
      <c r="K32" s="5"/>
      <c r="L32" s="5"/>
      <c r="M32" s="5">
        <f>$H32*M$2</f>
        <v>2790</v>
      </c>
      <c r="N32" s="5"/>
      <c r="O32" s="5"/>
      <c r="P32" s="5"/>
      <c r="Q32" s="5"/>
      <c r="R32" s="5"/>
      <c r="S32" s="5"/>
      <c r="T32" s="5"/>
      <c r="U32" s="5">
        <f t="shared" si="1"/>
        <v>2790</v>
      </c>
    </row>
    <row r="33" spans="1:25" x14ac:dyDescent="0.25">
      <c r="A33" s="1">
        <v>45078</v>
      </c>
      <c r="B33" s="1">
        <v>45107</v>
      </c>
      <c r="C33" t="s">
        <v>8</v>
      </c>
      <c r="D33" t="s">
        <v>9</v>
      </c>
      <c r="E33" t="s">
        <v>10</v>
      </c>
      <c r="F33" t="s">
        <v>11</v>
      </c>
      <c r="G33" t="s">
        <v>19</v>
      </c>
      <c r="H33">
        <v>90</v>
      </c>
      <c r="I33" s="5"/>
      <c r="J33" s="5"/>
      <c r="K33" s="5"/>
      <c r="L33" s="5"/>
      <c r="M33" s="5"/>
      <c r="N33" s="5">
        <f>$H33*N$2</f>
        <v>2700</v>
      </c>
      <c r="O33" s="5"/>
      <c r="P33" s="5"/>
      <c r="Q33" s="5"/>
      <c r="R33" s="5"/>
      <c r="S33" s="5"/>
      <c r="T33" s="5"/>
      <c r="U33" s="5">
        <f t="shared" si="1"/>
        <v>2700</v>
      </c>
    </row>
    <row r="34" spans="1:25" x14ac:dyDescent="0.25">
      <c r="A34" s="1">
        <v>45108</v>
      </c>
      <c r="B34" s="1">
        <v>45138</v>
      </c>
      <c r="C34" t="s">
        <v>8</v>
      </c>
      <c r="D34" t="s">
        <v>9</v>
      </c>
      <c r="E34" t="s">
        <v>10</v>
      </c>
      <c r="F34" t="s">
        <v>11</v>
      </c>
      <c r="G34" t="s">
        <v>19</v>
      </c>
      <c r="H34">
        <v>90</v>
      </c>
      <c r="I34" s="5"/>
      <c r="J34" s="5"/>
      <c r="K34" s="5"/>
      <c r="L34" s="5"/>
      <c r="M34" s="5"/>
      <c r="N34" s="5"/>
      <c r="O34" s="5">
        <f>$H34*O$2</f>
        <v>2790</v>
      </c>
      <c r="P34" s="5"/>
      <c r="Q34" s="5"/>
      <c r="R34" s="5"/>
      <c r="S34" s="5"/>
      <c r="T34" s="5"/>
      <c r="U34" s="5">
        <f t="shared" si="1"/>
        <v>2790</v>
      </c>
    </row>
    <row r="35" spans="1:25" x14ac:dyDescent="0.25">
      <c r="A35" s="1">
        <v>45139</v>
      </c>
      <c r="B35" s="1">
        <v>45169</v>
      </c>
      <c r="C35" t="s">
        <v>8</v>
      </c>
      <c r="D35" t="s">
        <v>9</v>
      </c>
      <c r="E35" t="s">
        <v>10</v>
      </c>
      <c r="F35" t="s">
        <v>11</v>
      </c>
      <c r="G35" t="s">
        <v>19</v>
      </c>
      <c r="H35">
        <v>90</v>
      </c>
      <c r="I35" s="5"/>
      <c r="J35" s="5"/>
      <c r="K35" s="5"/>
      <c r="L35" s="5"/>
      <c r="M35" s="5"/>
      <c r="N35" s="5"/>
      <c r="O35" s="5"/>
      <c r="P35" s="5">
        <f>$H35*P$2</f>
        <v>2790</v>
      </c>
      <c r="Q35" s="5"/>
      <c r="R35" s="5"/>
      <c r="S35" s="5"/>
      <c r="T35" s="5"/>
      <c r="U35" s="5">
        <f t="shared" si="1"/>
        <v>2790</v>
      </c>
    </row>
    <row r="36" spans="1:25" x14ac:dyDescent="0.25">
      <c r="A36" s="1">
        <v>45170</v>
      </c>
      <c r="B36" s="1">
        <v>45199</v>
      </c>
      <c r="C36" t="s">
        <v>8</v>
      </c>
      <c r="D36" t="s">
        <v>9</v>
      </c>
      <c r="E36" t="s">
        <v>10</v>
      </c>
      <c r="F36" t="s">
        <v>11</v>
      </c>
      <c r="G36" t="s">
        <v>19</v>
      </c>
      <c r="H36">
        <v>92</v>
      </c>
      <c r="I36" s="5"/>
      <c r="J36" s="5"/>
      <c r="K36" s="5"/>
      <c r="L36" s="5"/>
      <c r="M36" s="5"/>
      <c r="N36" s="5"/>
      <c r="O36" s="5"/>
      <c r="P36" s="5"/>
      <c r="Q36" s="5">
        <f>$H36*Q$2</f>
        <v>2760</v>
      </c>
      <c r="R36" s="5"/>
      <c r="S36" s="5"/>
      <c r="T36" s="5"/>
      <c r="U36" s="5">
        <f t="shared" si="1"/>
        <v>2760</v>
      </c>
    </row>
    <row r="37" spans="1:25" x14ac:dyDescent="0.25">
      <c r="A37" s="1">
        <v>45200</v>
      </c>
      <c r="B37" s="1">
        <v>45230</v>
      </c>
      <c r="C37" t="s">
        <v>8</v>
      </c>
      <c r="D37" t="s">
        <v>9</v>
      </c>
      <c r="E37" t="s">
        <v>10</v>
      </c>
      <c r="F37" t="s">
        <v>11</v>
      </c>
      <c r="G37" t="s">
        <v>19</v>
      </c>
      <c r="H37">
        <v>93</v>
      </c>
      <c r="I37" s="5"/>
      <c r="J37" s="5"/>
      <c r="K37" s="5"/>
      <c r="L37" s="5"/>
      <c r="M37" s="5"/>
      <c r="N37" s="5"/>
      <c r="O37" s="5"/>
      <c r="P37" s="5"/>
      <c r="Q37" s="5"/>
      <c r="R37" s="5">
        <f>$H37*R$2</f>
        <v>2883</v>
      </c>
      <c r="S37" s="5"/>
      <c r="T37" s="5"/>
      <c r="U37" s="5">
        <f t="shared" si="1"/>
        <v>2883</v>
      </c>
    </row>
    <row r="38" spans="1:25" x14ac:dyDescent="0.25">
      <c r="A38" s="1">
        <v>45231</v>
      </c>
      <c r="B38" s="1">
        <v>45260</v>
      </c>
      <c r="C38" t="s">
        <v>8</v>
      </c>
      <c r="D38" t="s">
        <v>9</v>
      </c>
      <c r="E38" t="s">
        <v>10</v>
      </c>
      <c r="F38" t="s">
        <v>11</v>
      </c>
      <c r="G38" t="s">
        <v>19</v>
      </c>
      <c r="H38">
        <v>93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>
        <f>$H38*S$2</f>
        <v>2790</v>
      </c>
      <c r="T38" s="5"/>
      <c r="U38" s="5">
        <f t="shared" si="1"/>
        <v>2790</v>
      </c>
    </row>
    <row r="39" spans="1:25" x14ac:dyDescent="0.25">
      <c r="A39" s="1">
        <v>45261</v>
      </c>
      <c r="B39" s="1">
        <v>45291</v>
      </c>
      <c r="C39" t="s">
        <v>8</v>
      </c>
      <c r="D39" t="s">
        <v>9</v>
      </c>
      <c r="E39" t="s">
        <v>10</v>
      </c>
      <c r="F39" t="s">
        <v>11</v>
      </c>
      <c r="G39" t="s">
        <v>19</v>
      </c>
      <c r="H39">
        <v>93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>
        <f t="shared" ref="T39" si="4">$H39*T$2</f>
        <v>2883</v>
      </c>
      <c r="U39" s="5">
        <f t="shared" si="1"/>
        <v>2883</v>
      </c>
      <c r="V39" s="6">
        <f>SUM(U28:U39)</f>
        <v>32917</v>
      </c>
      <c r="W39" s="7">
        <f>V39/365</f>
        <v>90.183561643835617</v>
      </c>
      <c r="X39" s="28">
        <v>90.183561643835617</v>
      </c>
      <c r="Y39" s="7">
        <f>X39-W39</f>
        <v>0</v>
      </c>
    </row>
    <row r="40" spans="1:25" x14ac:dyDescent="0.25">
      <c r="A40" s="1">
        <v>44927</v>
      </c>
      <c r="B40" s="1">
        <v>44957</v>
      </c>
      <c r="C40" t="s">
        <v>8</v>
      </c>
      <c r="D40" t="s">
        <v>9</v>
      </c>
      <c r="E40" t="s">
        <v>10</v>
      </c>
      <c r="F40" t="s">
        <v>11</v>
      </c>
      <c r="G40" t="s">
        <v>17</v>
      </c>
      <c r="H40">
        <v>54</v>
      </c>
      <c r="I40" s="5">
        <f>$H40*I$2</f>
        <v>1674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f t="shared" si="1"/>
        <v>1674</v>
      </c>
    </row>
    <row r="41" spans="1:25" x14ac:dyDescent="0.25">
      <c r="A41" s="1">
        <v>44958</v>
      </c>
      <c r="B41" s="1">
        <v>44985</v>
      </c>
      <c r="C41" t="s">
        <v>8</v>
      </c>
      <c r="D41" t="s">
        <v>9</v>
      </c>
      <c r="E41" t="s">
        <v>10</v>
      </c>
      <c r="F41" t="s">
        <v>11</v>
      </c>
      <c r="G41" t="s">
        <v>17</v>
      </c>
      <c r="H41">
        <v>54.5</v>
      </c>
      <c r="I41" s="5"/>
      <c r="J41" s="5">
        <f>$H41*J$2</f>
        <v>1526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f t="shared" si="1"/>
        <v>1526</v>
      </c>
    </row>
    <row r="42" spans="1:25" x14ac:dyDescent="0.25">
      <c r="A42" s="1">
        <v>44986</v>
      </c>
      <c r="B42" s="1">
        <v>45016</v>
      </c>
      <c r="C42" t="s">
        <v>8</v>
      </c>
      <c r="D42" t="s">
        <v>9</v>
      </c>
      <c r="E42" t="s">
        <v>10</v>
      </c>
      <c r="F42" t="s">
        <v>11</v>
      </c>
      <c r="G42" t="s">
        <v>17</v>
      </c>
      <c r="H42">
        <v>55</v>
      </c>
      <c r="I42" s="5"/>
      <c r="J42" s="5"/>
      <c r="K42" s="5">
        <f>$H42*K$2</f>
        <v>1705</v>
      </c>
      <c r="L42" s="5"/>
      <c r="M42" s="5"/>
      <c r="N42" s="5"/>
      <c r="O42" s="5"/>
      <c r="P42" s="5"/>
      <c r="Q42" s="5"/>
      <c r="R42" s="5"/>
      <c r="S42" s="5"/>
      <c r="T42" s="5"/>
      <c r="U42" s="5">
        <f t="shared" si="1"/>
        <v>1705</v>
      </c>
    </row>
    <row r="43" spans="1:25" x14ac:dyDescent="0.25">
      <c r="A43" s="1">
        <v>45017</v>
      </c>
      <c r="B43" s="1">
        <v>45046</v>
      </c>
      <c r="C43" t="s">
        <v>8</v>
      </c>
      <c r="D43" t="s">
        <v>9</v>
      </c>
      <c r="E43" t="s">
        <v>10</v>
      </c>
      <c r="F43" t="s">
        <v>11</v>
      </c>
      <c r="G43" t="s">
        <v>17</v>
      </c>
      <c r="H43">
        <v>55.5</v>
      </c>
      <c r="I43" s="5"/>
      <c r="J43" s="5"/>
      <c r="K43" s="5"/>
      <c r="L43" s="5">
        <f>$H43*L$2</f>
        <v>1665</v>
      </c>
      <c r="M43" s="5"/>
      <c r="N43" s="5"/>
      <c r="O43" s="5"/>
      <c r="P43" s="5"/>
      <c r="Q43" s="5"/>
      <c r="R43" s="5"/>
      <c r="S43" s="5"/>
      <c r="T43" s="5"/>
      <c r="U43" s="5">
        <f t="shared" si="1"/>
        <v>1665</v>
      </c>
    </row>
    <row r="44" spans="1:25" x14ac:dyDescent="0.25">
      <c r="A44" s="1">
        <v>45047</v>
      </c>
      <c r="B44" s="1">
        <v>45077</v>
      </c>
      <c r="C44" t="s">
        <v>8</v>
      </c>
      <c r="D44" t="s">
        <v>9</v>
      </c>
      <c r="E44" t="s">
        <v>10</v>
      </c>
      <c r="F44" t="s">
        <v>11</v>
      </c>
      <c r="G44" t="s">
        <v>17</v>
      </c>
      <c r="H44">
        <v>56</v>
      </c>
      <c r="I44" s="5"/>
      <c r="J44" s="5"/>
      <c r="K44" s="5"/>
      <c r="L44" s="5"/>
      <c r="M44" s="5">
        <f>$H44*M$2</f>
        <v>1736</v>
      </c>
      <c r="N44" s="5"/>
      <c r="O44" s="5"/>
      <c r="P44" s="5"/>
      <c r="Q44" s="5"/>
      <c r="R44" s="5"/>
      <c r="S44" s="5"/>
      <c r="T44" s="5"/>
      <c r="U44" s="5">
        <f t="shared" si="1"/>
        <v>1736</v>
      </c>
    </row>
    <row r="45" spans="1:25" x14ac:dyDescent="0.25">
      <c r="A45" s="1">
        <v>45078</v>
      </c>
      <c r="B45" s="1">
        <v>45107</v>
      </c>
      <c r="C45" t="s">
        <v>8</v>
      </c>
      <c r="D45" t="s">
        <v>9</v>
      </c>
      <c r="E45" t="s">
        <v>10</v>
      </c>
      <c r="F45" t="s">
        <v>11</v>
      </c>
      <c r="G45" t="s">
        <v>17</v>
      </c>
      <c r="H45">
        <v>56.5</v>
      </c>
      <c r="I45" s="5"/>
      <c r="J45" s="5"/>
      <c r="K45" s="5"/>
      <c r="L45" s="5"/>
      <c r="M45" s="5"/>
      <c r="N45" s="5">
        <f>$H45*N$2</f>
        <v>1695</v>
      </c>
      <c r="O45" s="5"/>
      <c r="P45" s="5"/>
      <c r="Q45" s="5"/>
      <c r="R45" s="5"/>
      <c r="S45" s="5"/>
      <c r="T45" s="5"/>
      <c r="U45" s="5">
        <f t="shared" si="1"/>
        <v>1695</v>
      </c>
    </row>
    <row r="46" spans="1:25" x14ac:dyDescent="0.25">
      <c r="A46" s="1">
        <v>45108</v>
      </c>
      <c r="B46" s="1">
        <v>45138</v>
      </c>
      <c r="C46" t="s">
        <v>8</v>
      </c>
      <c r="D46" t="s">
        <v>9</v>
      </c>
      <c r="E46" t="s">
        <v>10</v>
      </c>
      <c r="F46" t="s">
        <v>11</v>
      </c>
      <c r="G46" t="s">
        <v>17</v>
      </c>
      <c r="H46">
        <v>57</v>
      </c>
      <c r="I46" s="5"/>
      <c r="J46" s="5"/>
      <c r="K46" s="5"/>
      <c r="L46" s="5"/>
      <c r="M46" s="5"/>
      <c r="N46" s="5"/>
      <c r="O46" s="5">
        <f>$H46*O$2</f>
        <v>1767</v>
      </c>
      <c r="P46" s="5"/>
      <c r="Q46" s="5"/>
      <c r="R46" s="5"/>
      <c r="S46" s="5"/>
      <c r="T46" s="5"/>
      <c r="U46" s="5">
        <f t="shared" si="1"/>
        <v>1767</v>
      </c>
    </row>
    <row r="47" spans="1:25" x14ac:dyDescent="0.25">
      <c r="A47" s="1">
        <v>45139</v>
      </c>
      <c r="B47" s="1">
        <v>45169</v>
      </c>
      <c r="C47" t="s">
        <v>8</v>
      </c>
      <c r="D47" t="s">
        <v>9</v>
      </c>
      <c r="E47" t="s">
        <v>10</v>
      </c>
      <c r="F47" t="s">
        <v>11</v>
      </c>
      <c r="G47" t="s">
        <v>17</v>
      </c>
      <c r="H47">
        <v>57.5</v>
      </c>
      <c r="I47" s="5"/>
      <c r="J47" s="5"/>
      <c r="K47" s="5"/>
      <c r="L47" s="5"/>
      <c r="M47" s="5"/>
      <c r="N47" s="5"/>
      <c r="O47" s="5"/>
      <c r="P47" s="5">
        <f>$H47*P$2</f>
        <v>1782.5</v>
      </c>
      <c r="Q47" s="5"/>
      <c r="R47" s="5"/>
      <c r="S47" s="5"/>
      <c r="T47" s="5"/>
      <c r="U47" s="5">
        <f t="shared" si="1"/>
        <v>1782.5</v>
      </c>
    </row>
    <row r="48" spans="1:25" x14ac:dyDescent="0.25">
      <c r="A48" s="1">
        <v>45170</v>
      </c>
      <c r="B48" s="1">
        <v>45199</v>
      </c>
      <c r="C48" t="s">
        <v>8</v>
      </c>
      <c r="D48" t="s">
        <v>9</v>
      </c>
      <c r="E48" t="s">
        <v>10</v>
      </c>
      <c r="F48" t="s">
        <v>11</v>
      </c>
      <c r="G48" t="s">
        <v>17</v>
      </c>
      <c r="H48">
        <v>58</v>
      </c>
      <c r="I48" s="5"/>
      <c r="J48" s="5"/>
      <c r="K48" s="5"/>
      <c r="L48" s="5"/>
      <c r="M48" s="5"/>
      <c r="N48" s="5"/>
      <c r="O48" s="5"/>
      <c r="P48" s="5"/>
      <c r="Q48" s="5">
        <f>$H48*Q$2</f>
        <v>1740</v>
      </c>
      <c r="R48" s="5"/>
      <c r="S48" s="5"/>
      <c r="T48" s="5"/>
      <c r="U48" s="5">
        <f t="shared" si="1"/>
        <v>1740</v>
      </c>
    </row>
    <row r="49" spans="1:25" x14ac:dyDescent="0.25">
      <c r="A49" s="1">
        <v>45200</v>
      </c>
      <c r="B49" s="1">
        <v>45230</v>
      </c>
      <c r="C49" t="s">
        <v>8</v>
      </c>
      <c r="D49" t="s">
        <v>9</v>
      </c>
      <c r="E49" t="s">
        <v>10</v>
      </c>
      <c r="F49" t="s">
        <v>11</v>
      </c>
      <c r="G49" t="s">
        <v>17</v>
      </c>
      <c r="H49">
        <v>58</v>
      </c>
      <c r="I49" s="5"/>
      <c r="J49" s="5"/>
      <c r="K49" s="5"/>
      <c r="L49" s="5"/>
      <c r="M49" s="5"/>
      <c r="N49" s="5"/>
      <c r="O49" s="5"/>
      <c r="P49" s="5"/>
      <c r="Q49" s="5"/>
      <c r="R49" s="5">
        <f>$H49*R$2</f>
        <v>1798</v>
      </c>
      <c r="S49" s="5"/>
      <c r="T49" s="5"/>
      <c r="U49" s="5">
        <f t="shared" si="1"/>
        <v>1798</v>
      </c>
    </row>
    <row r="50" spans="1:25" x14ac:dyDescent="0.25">
      <c r="A50" s="1">
        <v>45231</v>
      </c>
      <c r="B50" s="1">
        <v>45260</v>
      </c>
      <c r="C50" t="s">
        <v>8</v>
      </c>
      <c r="D50" t="s">
        <v>9</v>
      </c>
      <c r="E50" t="s">
        <v>10</v>
      </c>
      <c r="F50" t="s">
        <v>11</v>
      </c>
      <c r="G50" t="s">
        <v>17</v>
      </c>
      <c r="H50">
        <v>58.5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>
        <f>$H50*S$2</f>
        <v>1755</v>
      </c>
      <c r="T50" s="5"/>
      <c r="U50" s="5">
        <f t="shared" si="1"/>
        <v>1755</v>
      </c>
    </row>
    <row r="51" spans="1:25" x14ac:dyDescent="0.25">
      <c r="A51" s="1">
        <v>45261</v>
      </c>
      <c r="B51" s="1">
        <v>45291</v>
      </c>
      <c r="C51" t="s">
        <v>8</v>
      </c>
      <c r="D51" t="s">
        <v>9</v>
      </c>
      <c r="E51" t="s">
        <v>10</v>
      </c>
      <c r="F51" t="s">
        <v>11</v>
      </c>
      <c r="G51" t="s">
        <v>17</v>
      </c>
      <c r="H51">
        <v>59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>
        <f t="shared" ref="T51" si="5">$H51*T$2</f>
        <v>1829</v>
      </c>
      <c r="U51" s="5">
        <f t="shared" si="1"/>
        <v>1829</v>
      </c>
      <c r="V51" s="6">
        <f>SUM(U40:U51)</f>
        <v>20672.5</v>
      </c>
      <c r="W51" s="7">
        <f>V51/365</f>
        <v>56.636986301369866</v>
      </c>
      <c r="X51" s="28">
        <v>56.636986301369859</v>
      </c>
      <c r="Y51" s="7">
        <f>X51-W51</f>
        <v>0</v>
      </c>
    </row>
    <row r="52" spans="1:25" x14ac:dyDescent="0.25">
      <c r="A52" s="1">
        <v>44927</v>
      </c>
      <c r="B52" s="1">
        <v>44957</v>
      </c>
      <c r="C52" t="s">
        <v>8</v>
      </c>
      <c r="D52" t="s">
        <v>9</v>
      </c>
      <c r="E52" t="s">
        <v>10</v>
      </c>
      <c r="F52" t="s">
        <v>11</v>
      </c>
      <c r="G52" t="s">
        <v>14</v>
      </c>
      <c r="H52">
        <v>75</v>
      </c>
      <c r="I52" s="5">
        <f>$H52*I$2</f>
        <v>2325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>
        <f t="shared" si="1"/>
        <v>2325</v>
      </c>
    </row>
    <row r="53" spans="1:25" x14ac:dyDescent="0.25">
      <c r="A53" s="1">
        <v>44958</v>
      </c>
      <c r="B53" s="1">
        <v>44985</v>
      </c>
      <c r="C53" t="s">
        <v>8</v>
      </c>
      <c r="D53" t="s">
        <v>9</v>
      </c>
      <c r="E53" t="s">
        <v>10</v>
      </c>
      <c r="F53" t="s">
        <v>11</v>
      </c>
      <c r="G53" t="s">
        <v>14</v>
      </c>
      <c r="H53">
        <v>75</v>
      </c>
      <c r="I53" s="5"/>
      <c r="J53" s="5">
        <f>$H53*J$2</f>
        <v>2100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>
        <f t="shared" si="1"/>
        <v>2100</v>
      </c>
    </row>
    <row r="54" spans="1:25" x14ac:dyDescent="0.25">
      <c r="A54" s="1">
        <v>44986</v>
      </c>
      <c r="B54" s="1">
        <v>45016</v>
      </c>
      <c r="C54" t="s">
        <v>8</v>
      </c>
      <c r="D54" t="s">
        <v>9</v>
      </c>
      <c r="E54" t="s">
        <v>10</v>
      </c>
      <c r="F54" t="s">
        <v>11</v>
      </c>
      <c r="G54" t="s">
        <v>14</v>
      </c>
      <c r="H54">
        <v>75</v>
      </c>
      <c r="I54" s="5"/>
      <c r="J54" s="5"/>
      <c r="K54" s="5">
        <f>$H54*K$2</f>
        <v>2325</v>
      </c>
      <c r="L54" s="5"/>
      <c r="M54" s="5"/>
      <c r="N54" s="5"/>
      <c r="O54" s="5"/>
      <c r="P54" s="5"/>
      <c r="Q54" s="5"/>
      <c r="R54" s="5"/>
      <c r="S54" s="5"/>
      <c r="T54" s="5"/>
      <c r="U54" s="5">
        <f t="shared" si="1"/>
        <v>2325</v>
      </c>
    </row>
    <row r="55" spans="1:25" x14ac:dyDescent="0.25">
      <c r="A55" s="1">
        <v>45017</v>
      </c>
      <c r="B55" s="1">
        <v>45046</v>
      </c>
      <c r="C55" t="s">
        <v>8</v>
      </c>
      <c r="D55" t="s">
        <v>9</v>
      </c>
      <c r="E55" t="s">
        <v>10</v>
      </c>
      <c r="F55" t="s">
        <v>11</v>
      </c>
      <c r="G55" t="s">
        <v>14</v>
      </c>
      <c r="H55">
        <v>76</v>
      </c>
      <c r="I55" s="5"/>
      <c r="J55" s="5"/>
      <c r="K55" s="5"/>
      <c r="L55" s="5">
        <f>$H55*L$2</f>
        <v>2280</v>
      </c>
      <c r="M55" s="5"/>
      <c r="N55" s="5"/>
      <c r="O55" s="5"/>
      <c r="P55" s="5"/>
      <c r="Q55" s="5"/>
      <c r="R55" s="5"/>
      <c r="S55" s="5"/>
      <c r="T55" s="5"/>
      <c r="U55" s="5">
        <f t="shared" si="1"/>
        <v>2280</v>
      </c>
    </row>
    <row r="56" spans="1:25" x14ac:dyDescent="0.25">
      <c r="A56" s="1">
        <v>45047</v>
      </c>
      <c r="B56" s="1">
        <v>45077</v>
      </c>
      <c r="C56" t="s">
        <v>8</v>
      </c>
      <c r="D56" t="s">
        <v>9</v>
      </c>
      <c r="E56" t="s">
        <v>10</v>
      </c>
      <c r="F56" t="s">
        <v>11</v>
      </c>
      <c r="G56" t="s">
        <v>14</v>
      </c>
      <c r="H56">
        <v>77</v>
      </c>
      <c r="I56" s="5"/>
      <c r="J56" s="5"/>
      <c r="K56" s="5"/>
      <c r="L56" s="5"/>
      <c r="M56" s="5">
        <f>$H56*M$2</f>
        <v>2387</v>
      </c>
      <c r="N56" s="5"/>
      <c r="O56" s="5"/>
      <c r="P56" s="5"/>
      <c r="Q56" s="5"/>
      <c r="R56" s="5"/>
      <c r="S56" s="5"/>
      <c r="T56" s="5"/>
      <c r="U56" s="5">
        <f t="shared" si="1"/>
        <v>2387</v>
      </c>
    </row>
    <row r="57" spans="1:25" x14ac:dyDescent="0.25">
      <c r="A57" s="1">
        <v>45078</v>
      </c>
      <c r="B57" s="1">
        <v>45107</v>
      </c>
      <c r="C57" t="s">
        <v>8</v>
      </c>
      <c r="D57" t="s">
        <v>9</v>
      </c>
      <c r="E57" t="s">
        <v>10</v>
      </c>
      <c r="F57" t="s">
        <v>11</v>
      </c>
      <c r="G57" t="s">
        <v>14</v>
      </c>
      <c r="H57">
        <v>77</v>
      </c>
      <c r="I57" s="5"/>
      <c r="J57" s="5"/>
      <c r="K57" s="5"/>
      <c r="L57" s="5"/>
      <c r="M57" s="5"/>
      <c r="N57" s="5">
        <f>$H57*N$2</f>
        <v>2310</v>
      </c>
      <c r="O57" s="5"/>
      <c r="P57" s="5"/>
      <c r="Q57" s="5"/>
      <c r="R57" s="5"/>
      <c r="S57" s="5"/>
      <c r="T57" s="5"/>
      <c r="U57" s="5">
        <f t="shared" si="1"/>
        <v>2310</v>
      </c>
    </row>
    <row r="58" spans="1:25" x14ac:dyDescent="0.25">
      <c r="A58" s="1">
        <v>45108</v>
      </c>
      <c r="B58" s="1">
        <v>45138</v>
      </c>
      <c r="C58" t="s">
        <v>8</v>
      </c>
      <c r="D58" t="s">
        <v>9</v>
      </c>
      <c r="E58" t="s">
        <v>10</v>
      </c>
      <c r="F58" t="s">
        <v>11</v>
      </c>
      <c r="G58" t="s">
        <v>14</v>
      </c>
      <c r="H58">
        <v>77</v>
      </c>
      <c r="I58" s="5"/>
      <c r="J58" s="5"/>
      <c r="K58" s="5"/>
      <c r="L58" s="5"/>
      <c r="M58" s="5"/>
      <c r="N58" s="5"/>
      <c r="O58" s="5">
        <f>$H58*O$2</f>
        <v>2387</v>
      </c>
      <c r="P58" s="5"/>
      <c r="Q58" s="5"/>
      <c r="R58" s="5"/>
      <c r="S58" s="5"/>
      <c r="T58" s="5"/>
      <c r="U58" s="5">
        <f t="shared" si="1"/>
        <v>2387</v>
      </c>
    </row>
    <row r="59" spans="1:25" x14ac:dyDescent="0.25">
      <c r="A59" s="1">
        <v>45139</v>
      </c>
      <c r="B59" s="1">
        <v>45169</v>
      </c>
      <c r="C59" t="s">
        <v>8</v>
      </c>
      <c r="D59" t="s">
        <v>9</v>
      </c>
      <c r="E59" t="s">
        <v>10</v>
      </c>
      <c r="F59" t="s">
        <v>11</v>
      </c>
      <c r="G59" t="s">
        <v>14</v>
      </c>
      <c r="H59">
        <v>77</v>
      </c>
      <c r="I59" s="5"/>
      <c r="J59" s="5"/>
      <c r="K59" s="5"/>
      <c r="L59" s="5"/>
      <c r="M59" s="5"/>
      <c r="N59" s="5"/>
      <c r="O59" s="5"/>
      <c r="P59" s="5">
        <f>$H59*P$2</f>
        <v>2387</v>
      </c>
      <c r="Q59" s="5"/>
      <c r="R59" s="5"/>
      <c r="S59" s="5"/>
      <c r="T59" s="5"/>
      <c r="U59" s="5">
        <f t="shared" si="1"/>
        <v>2387</v>
      </c>
    </row>
    <row r="60" spans="1:25" x14ac:dyDescent="0.25">
      <c r="A60" s="1">
        <v>45170</v>
      </c>
      <c r="B60" s="1">
        <v>45199</v>
      </c>
      <c r="C60" t="s">
        <v>8</v>
      </c>
      <c r="D60" t="s">
        <v>9</v>
      </c>
      <c r="E60" t="s">
        <v>10</v>
      </c>
      <c r="F60" t="s">
        <v>11</v>
      </c>
      <c r="G60" t="s">
        <v>14</v>
      </c>
      <c r="H60">
        <v>78</v>
      </c>
      <c r="I60" s="5"/>
      <c r="J60" s="5"/>
      <c r="K60" s="5"/>
      <c r="L60" s="5"/>
      <c r="M60" s="5"/>
      <c r="N60" s="5"/>
      <c r="O60" s="5"/>
      <c r="P60" s="5"/>
      <c r="Q60" s="5">
        <f>$H60*Q$2</f>
        <v>2340</v>
      </c>
      <c r="R60" s="5"/>
      <c r="S60" s="5"/>
      <c r="T60" s="5"/>
      <c r="U60" s="5">
        <f t="shared" si="1"/>
        <v>2340</v>
      </c>
    </row>
    <row r="61" spans="1:25" x14ac:dyDescent="0.25">
      <c r="A61" s="1">
        <v>45200</v>
      </c>
      <c r="B61" s="1">
        <v>45230</v>
      </c>
      <c r="C61" t="s">
        <v>8</v>
      </c>
      <c r="D61" t="s">
        <v>9</v>
      </c>
      <c r="E61" t="s">
        <v>10</v>
      </c>
      <c r="F61" t="s">
        <v>11</v>
      </c>
      <c r="G61" t="s">
        <v>14</v>
      </c>
      <c r="H61">
        <v>79</v>
      </c>
      <c r="I61" s="5"/>
      <c r="J61" s="5"/>
      <c r="K61" s="5"/>
      <c r="L61" s="5"/>
      <c r="M61" s="5"/>
      <c r="N61" s="5"/>
      <c r="O61" s="5"/>
      <c r="P61" s="5"/>
      <c r="Q61" s="5"/>
      <c r="R61" s="5">
        <f>$H61*R$2</f>
        <v>2449</v>
      </c>
      <c r="S61" s="5"/>
      <c r="T61" s="5"/>
      <c r="U61" s="5">
        <f t="shared" si="1"/>
        <v>2449</v>
      </c>
    </row>
    <row r="62" spans="1:25" x14ac:dyDescent="0.25">
      <c r="A62" s="1">
        <v>45231</v>
      </c>
      <c r="B62" s="1">
        <v>45260</v>
      </c>
      <c r="C62" t="s">
        <v>8</v>
      </c>
      <c r="D62" t="s">
        <v>9</v>
      </c>
      <c r="E62" t="s">
        <v>10</v>
      </c>
      <c r="F62" t="s">
        <v>11</v>
      </c>
      <c r="G62" t="s">
        <v>14</v>
      </c>
      <c r="H62">
        <v>79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>
        <f>$H62*S$2</f>
        <v>2370</v>
      </c>
      <c r="T62" s="5"/>
      <c r="U62" s="5">
        <f t="shared" si="1"/>
        <v>2370</v>
      </c>
    </row>
    <row r="63" spans="1:25" x14ac:dyDescent="0.25">
      <c r="A63" s="1">
        <v>45261</v>
      </c>
      <c r="B63" s="1">
        <v>45291</v>
      </c>
      <c r="C63" t="s">
        <v>8</v>
      </c>
      <c r="D63" t="s">
        <v>9</v>
      </c>
      <c r="E63" t="s">
        <v>10</v>
      </c>
      <c r="F63" t="s">
        <v>11</v>
      </c>
      <c r="G63" t="s">
        <v>14</v>
      </c>
      <c r="H63">
        <v>79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f t="shared" ref="T63" si="6">$H63*T$2</f>
        <v>2449</v>
      </c>
      <c r="U63" s="5">
        <f t="shared" si="1"/>
        <v>2449</v>
      </c>
      <c r="V63" s="6">
        <f>SUM(U52:U63)</f>
        <v>28109</v>
      </c>
      <c r="W63" s="7">
        <f>V63/365</f>
        <v>77.010958904109586</v>
      </c>
      <c r="X63" s="28">
        <v>77.010958904109572</v>
      </c>
      <c r="Y63" s="7">
        <f>X63-W63</f>
        <v>0</v>
      </c>
    </row>
    <row r="64" spans="1:25" x14ac:dyDescent="0.25">
      <c r="A64" s="1">
        <v>44927</v>
      </c>
      <c r="B64" s="1">
        <v>45291</v>
      </c>
      <c r="C64" t="s">
        <v>8</v>
      </c>
      <c r="D64" t="s">
        <v>9</v>
      </c>
      <c r="E64" t="s">
        <v>10</v>
      </c>
      <c r="F64" t="s">
        <v>11</v>
      </c>
      <c r="G64" t="s">
        <v>12</v>
      </c>
      <c r="H64">
        <v>72.8</v>
      </c>
      <c r="I64" s="5">
        <f t="shared" ref="I64:T64" si="7">$H64*I$2</f>
        <v>2256.7999999999997</v>
      </c>
      <c r="J64" s="5">
        <f t="shared" si="7"/>
        <v>2038.3999999999999</v>
      </c>
      <c r="K64" s="5">
        <f t="shared" si="7"/>
        <v>2256.7999999999997</v>
      </c>
      <c r="L64" s="5">
        <f t="shared" si="7"/>
        <v>2184</v>
      </c>
      <c r="M64" s="5">
        <f t="shared" si="7"/>
        <v>2256.7999999999997</v>
      </c>
      <c r="N64" s="5">
        <f t="shared" si="7"/>
        <v>2184</v>
      </c>
      <c r="O64" s="5">
        <f t="shared" si="7"/>
        <v>2256.7999999999997</v>
      </c>
      <c r="P64" s="5">
        <f t="shared" si="7"/>
        <v>2256.7999999999997</v>
      </c>
      <c r="Q64" s="5">
        <f t="shared" si="7"/>
        <v>2184</v>
      </c>
      <c r="R64" s="5">
        <f t="shared" si="7"/>
        <v>2256.7999999999997</v>
      </c>
      <c r="S64" s="5">
        <f t="shared" si="7"/>
        <v>2184</v>
      </c>
      <c r="T64" s="5">
        <f t="shared" si="7"/>
        <v>2256.7999999999997</v>
      </c>
      <c r="U64" s="5">
        <f t="shared" si="1"/>
        <v>26571.999999999996</v>
      </c>
      <c r="V64" s="6">
        <f>U64</f>
        <v>26571.999999999996</v>
      </c>
      <c r="W64" s="7">
        <f>V64/365</f>
        <v>72.799999999999983</v>
      </c>
      <c r="X64" s="28">
        <v>72.8</v>
      </c>
      <c r="Y64" s="7">
        <f>X64-W64</f>
        <v>0</v>
      </c>
    </row>
    <row r="65" spans="1:26" x14ac:dyDescent="0.25">
      <c r="A65" s="1">
        <v>44927</v>
      </c>
      <c r="B65" s="1">
        <v>44957</v>
      </c>
      <c r="C65" t="s">
        <v>8</v>
      </c>
      <c r="D65" t="s">
        <v>9</v>
      </c>
      <c r="E65" t="s">
        <v>10</v>
      </c>
      <c r="F65" t="s">
        <v>11</v>
      </c>
      <c r="G65" t="s">
        <v>16</v>
      </c>
      <c r="H65">
        <v>84</v>
      </c>
      <c r="I65" s="5">
        <f>$H65*I$2</f>
        <v>2604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>
        <f t="shared" si="1"/>
        <v>2604</v>
      </c>
    </row>
    <row r="66" spans="1:26" x14ac:dyDescent="0.25">
      <c r="A66" s="1">
        <v>44958</v>
      </c>
      <c r="B66" s="1">
        <v>44985</v>
      </c>
      <c r="C66" t="s">
        <v>8</v>
      </c>
      <c r="D66" t="s">
        <v>9</v>
      </c>
      <c r="E66" t="s">
        <v>10</v>
      </c>
      <c r="F66" t="s">
        <v>11</v>
      </c>
      <c r="G66" t="s">
        <v>16</v>
      </c>
      <c r="H66">
        <v>84.5</v>
      </c>
      <c r="I66" s="5"/>
      <c r="J66" s="5">
        <f>$H66*J$2</f>
        <v>2366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f t="shared" si="1"/>
        <v>2366</v>
      </c>
    </row>
    <row r="67" spans="1:26" x14ac:dyDescent="0.25">
      <c r="A67" s="1">
        <v>44986</v>
      </c>
      <c r="B67" s="1">
        <v>45016</v>
      </c>
      <c r="C67" t="s">
        <v>8</v>
      </c>
      <c r="D67" t="s">
        <v>9</v>
      </c>
      <c r="E67" t="s">
        <v>10</v>
      </c>
      <c r="F67" t="s">
        <v>11</v>
      </c>
      <c r="G67" t="s">
        <v>16</v>
      </c>
      <c r="H67">
        <v>85.5</v>
      </c>
      <c r="I67" s="5"/>
      <c r="J67" s="5"/>
      <c r="K67" s="5">
        <f>$H67*K$2</f>
        <v>2650.5</v>
      </c>
      <c r="L67" s="5"/>
      <c r="M67" s="5"/>
      <c r="N67" s="5"/>
      <c r="O67" s="5"/>
      <c r="P67" s="5"/>
      <c r="Q67" s="5"/>
      <c r="R67" s="5"/>
      <c r="S67" s="5"/>
      <c r="T67" s="5"/>
      <c r="U67" s="5">
        <f t="shared" si="1"/>
        <v>2650.5</v>
      </c>
    </row>
    <row r="68" spans="1:26" x14ac:dyDescent="0.25">
      <c r="A68" s="1">
        <v>45017</v>
      </c>
      <c r="B68" s="1">
        <v>45046</v>
      </c>
      <c r="C68" t="s">
        <v>8</v>
      </c>
      <c r="D68" t="s">
        <v>9</v>
      </c>
      <c r="E68" t="s">
        <v>10</v>
      </c>
      <c r="F68" t="s">
        <v>11</v>
      </c>
      <c r="G68" t="s">
        <v>16</v>
      </c>
      <c r="H68">
        <v>86</v>
      </c>
      <c r="I68" s="5"/>
      <c r="J68" s="5"/>
      <c r="K68" s="5"/>
      <c r="L68" s="5">
        <f>$H68*L$2</f>
        <v>2580</v>
      </c>
      <c r="M68" s="5"/>
      <c r="N68" s="5"/>
      <c r="O68" s="5"/>
      <c r="P68" s="5"/>
      <c r="Q68" s="5"/>
      <c r="R68" s="5"/>
      <c r="S68" s="5"/>
      <c r="T68" s="5"/>
      <c r="U68" s="5">
        <f t="shared" ref="U68:U91" si="8">SUBTOTAL(9,I68:T68)</f>
        <v>2580</v>
      </c>
    </row>
    <row r="69" spans="1:26" x14ac:dyDescent="0.25">
      <c r="A69" s="1">
        <v>45047</v>
      </c>
      <c r="B69" s="1">
        <v>45077</v>
      </c>
      <c r="C69" t="s">
        <v>8</v>
      </c>
      <c r="D69" t="s">
        <v>9</v>
      </c>
      <c r="E69" t="s">
        <v>10</v>
      </c>
      <c r="F69" t="s">
        <v>11</v>
      </c>
      <c r="G69" t="s">
        <v>16</v>
      </c>
      <c r="H69">
        <v>87</v>
      </c>
      <c r="I69" s="5"/>
      <c r="J69" s="5"/>
      <c r="K69" s="5"/>
      <c r="L69" s="5"/>
      <c r="M69" s="5">
        <f>$H69*M$2</f>
        <v>2697</v>
      </c>
      <c r="N69" s="5"/>
      <c r="O69" s="5"/>
      <c r="P69" s="5"/>
      <c r="Q69" s="5"/>
      <c r="R69" s="5"/>
      <c r="S69" s="5"/>
      <c r="T69" s="5"/>
      <c r="U69" s="5">
        <f t="shared" si="8"/>
        <v>2697</v>
      </c>
    </row>
    <row r="70" spans="1:26" x14ac:dyDescent="0.25">
      <c r="A70" s="1">
        <v>45078</v>
      </c>
      <c r="B70" s="1">
        <v>45107</v>
      </c>
      <c r="C70" t="s">
        <v>8</v>
      </c>
      <c r="D70" t="s">
        <v>9</v>
      </c>
      <c r="E70" t="s">
        <v>10</v>
      </c>
      <c r="F70" t="s">
        <v>11</v>
      </c>
      <c r="G70" t="s">
        <v>16</v>
      </c>
      <c r="H70">
        <v>88.5</v>
      </c>
      <c r="I70" s="5"/>
      <c r="J70" s="5"/>
      <c r="K70" s="5"/>
      <c r="L70" s="5"/>
      <c r="M70" s="5"/>
      <c r="N70" s="5">
        <f>$H70*N$2</f>
        <v>2655</v>
      </c>
      <c r="O70" s="5"/>
      <c r="P70" s="5"/>
      <c r="Q70" s="5"/>
      <c r="R70" s="5"/>
      <c r="S70" s="5"/>
      <c r="T70" s="5"/>
      <c r="U70" s="5">
        <f t="shared" si="8"/>
        <v>2655</v>
      </c>
    </row>
    <row r="71" spans="1:26" x14ac:dyDescent="0.25">
      <c r="A71" s="1">
        <v>45108</v>
      </c>
      <c r="B71" s="1">
        <v>45138</v>
      </c>
      <c r="C71" t="s">
        <v>8</v>
      </c>
      <c r="D71" t="s">
        <v>9</v>
      </c>
      <c r="E71" t="s">
        <v>10</v>
      </c>
      <c r="F71" t="s">
        <v>11</v>
      </c>
      <c r="G71" t="s">
        <v>16</v>
      </c>
      <c r="H71">
        <v>89.5</v>
      </c>
      <c r="I71" s="5"/>
      <c r="J71" s="5"/>
      <c r="K71" s="5"/>
      <c r="L71" s="5"/>
      <c r="M71" s="5"/>
      <c r="N71" s="5"/>
      <c r="O71" s="5">
        <f>$H71*O$2</f>
        <v>2774.5</v>
      </c>
      <c r="P71" s="5"/>
      <c r="Q71" s="5"/>
      <c r="R71" s="5"/>
      <c r="S71" s="5"/>
      <c r="T71" s="5"/>
      <c r="U71" s="5">
        <f t="shared" si="8"/>
        <v>2774.5</v>
      </c>
    </row>
    <row r="72" spans="1:26" x14ac:dyDescent="0.25">
      <c r="A72" s="1">
        <v>45139</v>
      </c>
      <c r="B72" s="1">
        <v>45169</v>
      </c>
      <c r="C72" t="s">
        <v>8</v>
      </c>
      <c r="D72" t="s">
        <v>9</v>
      </c>
      <c r="E72" t="s">
        <v>10</v>
      </c>
      <c r="F72" t="s">
        <v>11</v>
      </c>
      <c r="G72" t="s">
        <v>16</v>
      </c>
      <c r="H72">
        <v>90</v>
      </c>
      <c r="I72" s="5"/>
      <c r="J72" s="5"/>
      <c r="K72" s="5"/>
      <c r="L72" s="5"/>
      <c r="M72" s="5"/>
      <c r="N72" s="5"/>
      <c r="O72" s="5"/>
      <c r="P72" s="5">
        <f>$H72*P$2</f>
        <v>2790</v>
      </c>
      <c r="Q72" s="5"/>
      <c r="R72" s="5"/>
      <c r="S72" s="5"/>
      <c r="T72" s="5"/>
      <c r="U72" s="5">
        <f t="shared" si="8"/>
        <v>2790</v>
      </c>
    </row>
    <row r="73" spans="1:26" x14ac:dyDescent="0.25">
      <c r="A73" s="1">
        <v>45170</v>
      </c>
      <c r="B73" s="1">
        <v>45199</v>
      </c>
      <c r="C73" t="s">
        <v>8</v>
      </c>
      <c r="D73" t="s">
        <v>9</v>
      </c>
      <c r="E73" t="s">
        <v>10</v>
      </c>
      <c r="F73" t="s">
        <v>11</v>
      </c>
      <c r="G73" t="s">
        <v>16</v>
      </c>
      <c r="H73">
        <v>90.5</v>
      </c>
      <c r="I73" s="5"/>
      <c r="J73" s="5"/>
      <c r="K73" s="5"/>
      <c r="L73" s="5"/>
      <c r="M73" s="5"/>
      <c r="N73" s="5"/>
      <c r="O73" s="5"/>
      <c r="P73" s="5"/>
      <c r="Q73" s="5">
        <f>$H73*Q$2</f>
        <v>2715</v>
      </c>
      <c r="R73" s="5"/>
      <c r="S73" s="5"/>
      <c r="T73" s="5"/>
      <c r="U73" s="5">
        <f t="shared" si="8"/>
        <v>2715</v>
      </c>
    </row>
    <row r="74" spans="1:26" x14ac:dyDescent="0.25">
      <c r="A74" s="1">
        <v>45200</v>
      </c>
      <c r="B74" s="1">
        <v>45230</v>
      </c>
      <c r="C74" t="s">
        <v>8</v>
      </c>
      <c r="D74" t="s">
        <v>9</v>
      </c>
      <c r="E74" t="s">
        <v>10</v>
      </c>
      <c r="F74" t="s">
        <v>11</v>
      </c>
      <c r="G74" t="s">
        <v>16</v>
      </c>
      <c r="H74">
        <v>91.5</v>
      </c>
      <c r="I74" s="5"/>
      <c r="J74" s="5"/>
      <c r="K74" s="5"/>
      <c r="L74" s="5"/>
      <c r="M74" s="5"/>
      <c r="N74" s="5"/>
      <c r="O74" s="5"/>
      <c r="P74" s="5"/>
      <c r="Q74" s="5"/>
      <c r="R74" s="5">
        <f>$H74*R$2</f>
        <v>2836.5</v>
      </c>
      <c r="S74" s="5"/>
      <c r="T74" s="5"/>
      <c r="U74" s="5">
        <f t="shared" si="8"/>
        <v>2836.5</v>
      </c>
    </row>
    <row r="75" spans="1:26" x14ac:dyDescent="0.25">
      <c r="A75" s="1">
        <v>45231</v>
      </c>
      <c r="B75" s="1">
        <v>45260</v>
      </c>
      <c r="C75" t="s">
        <v>8</v>
      </c>
      <c r="D75" t="s">
        <v>9</v>
      </c>
      <c r="E75" t="s">
        <v>10</v>
      </c>
      <c r="F75" t="s">
        <v>11</v>
      </c>
      <c r="G75" t="s">
        <v>16</v>
      </c>
      <c r="H75">
        <v>92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>
        <f>$H75*S$2</f>
        <v>2760</v>
      </c>
      <c r="T75" s="5"/>
      <c r="U75" s="5">
        <f t="shared" si="8"/>
        <v>2760</v>
      </c>
      <c r="X75" s="12" t="s">
        <v>126</v>
      </c>
      <c r="Y75" s="12" t="s">
        <v>124</v>
      </c>
      <c r="Z75" s="12" t="s">
        <v>125</v>
      </c>
    </row>
    <row r="76" spans="1:26" x14ac:dyDescent="0.25">
      <c r="A76" s="1">
        <v>45261</v>
      </c>
      <c r="B76" s="1">
        <v>45291</v>
      </c>
      <c r="C76" t="s">
        <v>8</v>
      </c>
      <c r="D76" t="s">
        <v>9</v>
      </c>
      <c r="E76" t="s">
        <v>10</v>
      </c>
      <c r="F76" t="s">
        <v>11</v>
      </c>
      <c r="G76" t="s">
        <v>16</v>
      </c>
      <c r="H76">
        <v>92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f t="shared" ref="T76" si="9">$H76*T$2</f>
        <v>2852</v>
      </c>
      <c r="U76" s="5">
        <f t="shared" si="8"/>
        <v>2852</v>
      </c>
      <c r="V76" s="6">
        <f>SUM(U65:U76)</f>
        <v>32280.5</v>
      </c>
      <c r="W76" s="7">
        <f>V76/365</f>
        <v>88.439726027397256</v>
      </c>
      <c r="X76" s="10">
        <f>W3+W15+W27+W39+W51+W63+W64+W76</f>
        <v>698.45095890410948</v>
      </c>
      <c r="Y76" s="28">
        <v>698.45095890410948</v>
      </c>
      <c r="Z76" s="7">
        <f>X76-Y76</f>
        <v>0</v>
      </c>
    </row>
    <row r="77" spans="1:26" x14ac:dyDescent="0.25">
      <c r="A77" s="1">
        <v>44927</v>
      </c>
      <c r="B77" s="1">
        <v>44957</v>
      </c>
      <c r="C77" t="s">
        <v>8</v>
      </c>
      <c r="D77" t="s">
        <v>20</v>
      </c>
      <c r="E77" t="s">
        <v>10</v>
      </c>
      <c r="F77" t="s">
        <v>21</v>
      </c>
      <c r="G77" t="s">
        <v>22</v>
      </c>
      <c r="H77">
        <v>115</v>
      </c>
      <c r="I77" s="5">
        <f>$H77*I$2</f>
        <v>3565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f t="shared" si="8"/>
        <v>3565</v>
      </c>
    </row>
    <row r="78" spans="1:26" x14ac:dyDescent="0.25">
      <c r="A78" s="1">
        <v>44958</v>
      </c>
      <c r="B78" s="1">
        <v>44985</v>
      </c>
      <c r="C78" t="s">
        <v>8</v>
      </c>
      <c r="D78" t="s">
        <v>20</v>
      </c>
      <c r="E78" t="s">
        <v>10</v>
      </c>
      <c r="F78" t="s">
        <v>21</v>
      </c>
      <c r="G78" t="s">
        <v>22</v>
      </c>
      <c r="H78">
        <v>118</v>
      </c>
      <c r="I78" s="5"/>
      <c r="J78" s="5">
        <f>$H78*J$2</f>
        <v>3304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f t="shared" si="8"/>
        <v>3304</v>
      </c>
    </row>
    <row r="79" spans="1:26" x14ac:dyDescent="0.25">
      <c r="A79" s="1">
        <v>44986</v>
      </c>
      <c r="B79" s="1">
        <v>45016</v>
      </c>
      <c r="C79" t="s">
        <v>8</v>
      </c>
      <c r="D79" t="s">
        <v>20</v>
      </c>
      <c r="E79" t="s">
        <v>10</v>
      </c>
      <c r="F79" t="s">
        <v>21</v>
      </c>
      <c r="G79" t="s">
        <v>22</v>
      </c>
      <c r="H79">
        <v>120.5</v>
      </c>
      <c r="I79" s="5"/>
      <c r="J79" s="5"/>
      <c r="K79" s="5">
        <f>$H79*K$2</f>
        <v>3735.5</v>
      </c>
      <c r="L79" s="5"/>
      <c r="M79" s="5"/>
      <c r="N79" s="5"/>
      <c r="O79" s="5"/>
      <c r="P79" s="5"/>
      <c r="Q79" s="5"/>
      <c r="R79" s="5"/>
      <c r="S79" s="5"/>
      <c r="T79" s="5"/>
      <c r="U79" s="5">
        <f t="shared" si="8"/>
        <v>3735.5</v>
      </c>
    </row>
    <row r="80" spans="1:26" x14ac:dyDescent="0.25">
      <c r="A80" s="1">
        <v>45017</v>
      </c>
      <c r="B80" s="1">
        <v>45046</v>
      </c>
      <c r="C80" t="s">
        <v>8</v>
      </c>
      <c r="D80" t="s">
        <v>20</v>
      </c>
      <c r="E80" t="s">
        <v>10</v>
      </c>
      <c r="F80" t="s">
        <v>21</v>
      </c>
      <c r="G80" t="s">
        <v>22</v>
      </c>
      <c r="H80">
        <v>122.5</v>
      </c>
      <c r="I80" s="5"/>
      <c r="J80" s="5"/>
      <c r="K80" s="5"/>
      <c r="L80" s="5">
        <f>$H80*L$2</f>
        <v>3675</v>
      </c>
      <c r="M80" s="5"/>
      <c r="N80" s="5"/>
      <c r="O80" s="5"/>
      <c r="P80" s="5"/>
      <c r="Q80" s="5"/>
      <c r="R80" s="5"/>
      <c r="S80" s="5"/>
      <c r="T80" s="5"/>
      <c r="U80" s="5">
        <f t="shared" si="8"/>
        <v>3675</v>
      </c>
    </row>
    <row r="81" spans="1:26" x14ac:dyDescent="0.25">
      <c r="A81" s="1">
        <v>45047</v>
      </c>
      <c r="B81" s="1">
        <v>45077</v>
      </c>
      <c r="C81" t="s">
        <v>8</v>
      </c>
      <c r="D81" t="s">
        <v>20</v>
      </c>
      <c r="E81" t="s">
        <v>10</v>
      </c>
      <c r="F81" t="s">
        <v>21</v>
      </c>
      <c r="G81" t="s">
        <v>22</v>
      </c>
      <c r="H81">
        <v>126</v>
      </c>
      <c r="I81" s="5"/>
      <c r="J81" s="5"/>
      <c r="K81" s="5"/>
      <c r="L81" s="5"/>
      <c r="M81" s="5">
        <f>$H81*M$2</f>
        <v>3906</v>
      </c>
      <c r="N81" s="5"/>
      <c r="O81" s="5"/>
      <c r="P81" s="5"/>
      <c r="Q81" s="5"/>
      <c r="R81" s="5"/>
      <c r="S81" s="5"/>
      <c r="T81" s="5"/>
      <c r="U81" s="5">
        <f t="shared" si="8"/>
        <v>3906</v>
      </c>
    </row>
    <row r="82" spans="1:26" x14ac:dyDescent="0.25">
      <c r="A82" s="1">
        <v>45078</v>
      </c>
      <c r="B82" s="1">
        <v>45107</v>
      </c>
      <c r="C82" t="s">
        <v>8</v>
      </c>
      <c r="D82" t="s">
        <v>20</v>
      </c>
      <c r="E82" t="s">
        <v>10</v>
      </c>
      <c r="F82" t="s">
        <v>21</v>
      </c>
      <c r="G82" t="s">
        <v>22</v>
      </c>
      <c r="H82">
        <v>127</v>
      </c>
      <c r="I82" s="5"/>
      <c r="J82" s="5"/>
      <c r="K82" s="5"/>
      <c r="L82" s="5"/>
      <c r="M82" s="5"/>
      <c r="N82" s="5">
        <f>$H82*N$2</f>
        <v>3810</v>
      </c>
      <c r="O82" s="5"/>
      <c r="P82" s="5"/>
      <c r="Q82" s="5"/>
      <c r="R82" s="5"/>
      <c r="S82" s="5"/>
      <c r="T82" s="5"/>
      <c r="U82" s="5">
        <f t="shared" si="8"/>
        <v>3810</v>
      </c>
    </row>
    <row r="83" spans="1:26" x14ac:dyDescent="0.25">
      <c r="A83" s="1">
        <v>45108</v>
      </c>
      <c r="B83" s="1">
        <v>45138</v>
      </c>
      <c r="C83" t="s">
        <v>8</v>
      </c>
      <c r="D83" t="s">
        <v>20</v>
      </c>
      <c r="E83" t="s">
        <v>10</v>
      </c>
      <c r="F83" t="s">
        <v>21</v>
      </c>
      <c r="G83" t="s">
        <v>22</v>
      </c>
      <c r="H83">
        <v>128</v>
      </c>
      <c r="I83" s="5"/>
      <c r="J83" s="5"/>
      <c r="K83" s="5"/>
      <c r="L83" s="5"/>
      <c r="M83" s="5"/>
      <c r="N83" s="5"/>
      <c r="O83" s="5">
        <f>$H83*O$2</f>
        <v>3968</v>
      </c>
      <c r="P83" s="5"/>
      <c r="Q83" s="5"/>
      <c r="R83" s="5"/>
      <c r="S83" s="5"/>
      <c r="T83" s="5"/>
      <c r="U83" s="5">
        <f t="shared" si="8"/>
        <v>3968</v>
      </c>
    </row>
    <row r="84" spans="1:26" x14ac:dyDescent="0.25">
      <c r="A84" s="1">
        <v>45139</v>
      </c>
      <c r="B84" s="1">
        <v>45169</v>
      </c>
      <c r="C84" t="s">
        <v>8</v>
      </c>
      <c r="D84" t="s">
        <v>20</v>
      </c>
      <c r="E84" t="s">
        <v>10</v>
      </c>
      <c r="F84" t="s">
        <v>21</v>
      </c>
      <c r="G84" t="s">
        <v>22</v>
      </c>
      <c r="H84">
        <v>127</v>
      </c>
      <c r="I84" s="5"/>
      <c r="J84" s="5"/>
      <c r="K84" s="5"/>
      <c r="L84" s="5"/>
      <c r="M84" s="5"/>
      <c r="N84" s="5"/>
      <c r="O84" s="5"/>
      <c r="P84" s="5">
        <f>$H84*P$2</f>
        <v>3937</v>
      </c>
      <c r="Q84" s="5"/>
      <c r="R84" s="5"/>
      <c r="S84" s="5"/>
      <c r="T84" s="5"/>
      <c r="U84" s="5">
        <f t="shared" si="8"/>
        <v>3937</v>
      </c>
    </row>
    <row r="85" spans="1:26" x14ac:dyDescent="0.25">
      <c r="A85" s="1">
        <v>45170</v>
      </c>
      <c r="B85" s="1">
        <v>45199</v>
      </c>
      <c r="C85" t="s">
        <v>8</v>
      </c>
      <c r="D85" t="s">
        <v>20</v>
      </c>
      <c r="E85" t="s">
        <v>10</v>
      </c>
      <c r="F85" t="s">
        <v>21</v>
      </c>
      <c r="G85" t="s">
        <v>22</v>
      </c>
      <c r="H85">
        <v>128</v>
      </c>
      <c r="I85" s="5"/>
      <c r="J85" s="5"/>
      <c r="K85" s="5"/>
      <c r="L85" s="5"/>
      <c r="M85" s="5"/>
      <c r="N85" s="5"/>
      <c r="O85" s="5"/>
      <c r="P85" s="5"/>
      <c r="Q85" s="5">
        <f>$H85*Q$2</f>
        <v>3840</v>
      </c>
      <c r="R85" s="5"/>
      <c r="S85" s="5"/>
      <c r="T85" s="5"/>
      <c r="U85" s="5">
        <f t="shared" si="8"/>
        <v>3840</v>
      </c>
    </row>
    <row r="86" spans="1:26" x14ac:dyDescent="0.25">
      <c r="A86" s="1">
        <v>45200</v>
      </c>
      <c r="B86" s="1">
        <v>45230</v>
      </c>
      <c r="C86" t="s">
        <v>8</v>
      </c>
      <c r="D86" t="s">
        <v>20</v>
      </c>
      <c r="E86" t="s">
        <v>10</v>
      </c>
      <c r="F86" t="s">
        <v>21</v>
      </c>
      <c r="G86" t="s">
        <v>22</v>
      </c>
      <c r="H86">
        <v>129</v>
      </c>
      <c r="I86" s="5"/>
      <c r="J86" s="5"/>
      <c r="K86" s="5"/>
      <c r="L86" s="5"/>
      <c r="M86" s="5"/>
      <c r="N86" s="5"/>
      <c r="O86" s="5"/>
      <c r="P86" s="5"/>
      <c r="Q86" s="5"/>
      <c r="R86" s="5">
        <f>$H86*R$2</f>
        <v>3999</v>
      </c>
      <c r="S86" s="5"/>
      <c r="T86" s="5"/>
      <c r="U86" s="5">
        <f t="shared" si="8"/>
        <v>3999</v>
      </c>
    </row>
    <row r="87" spans="1:26" x14ac:dyDescent="0.25">
      <c r="A87" s="1">
        <v>45231</v>
      </c>
      <c r="B87" s="1">
        <v>45260</v>
      </c>
      <c r="C87" t="s">
        <v>8</v>
      </c>
      <c r="D87" t="s">
        <v>20</v>
      </c>
      <c r="E87" t="s">
        <v>10</v>
      </c>
      <c r="F87" t="s">
        <v>21</v>
      </c>
      <c r="G87" t="s">
        <v>22</v>
      </c>
      <c r="H87">
        <v>129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>
        <f>$H87*S$2</f>
        <v>3870</v>
      </c>
      <c r="T87" s="5"/>
      <c r="U87" s="5">
        <f t="shared" si="8"/>
        <v>3870</v>
      </c>
      <c r="Y87" s="13" t="s">
        <v>124</v>
      </c>
      <c r="Z87" s="13" t="s">
        <v>125</v>
      </c>
    </row>
    <row r="88" spans="1:26" x14ac:dyDescent="0.25">
      <c r="A88" s="1">
        <v>45261</v>
      </c>
      <c r="B88" s="1">
        <v>45291</v>
      </c>
      <c r="C88" t="s">
        <v>8</v>
      </c>
      <c r="D88" t="s">
        <v>20</v>
      </c>
      <c r="E88" t="s">
        <v>10</v>
      </c>
      <c r="F88" t="s">
        <v>21</v>
      </c>
      <c r="G88" t="s">
        <v>22</v>
      </c>
      <c r="H88">
        <v>129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f t="shared" ref="T88" si="10">$H88*T$2</f>
        <v>3999</v>
      </c>
      <c r="U88" s="5">
        <f t="shared" si="8"/>
        <v>3999</v>
      </c>
      <c r="V88" s="6">
        <f>SUM(U77:U88)</f>
        <v>45608.5</v>
      </c>
      <c r="W88" s="7">
        <f t="shared" ref="W88:W96" si="11">V88/365</f>
        <v>124.95479452054795</v>
      </c>
      <c r="X88" s="14" t="s">
        <v>127</v>
      </c>
      <c r="Y88" s="28">
        <v>124.95479452054794</v>
      </c>
      <c r="Z88" s="7">
        <f t="shared" ref="Z88:Z96" si="12">Y88-W88</f>
        <v>0</v>
      </c>
    </row>
    <row r="89" spans="1:26" x14ac:dyDescent="0.25">
      <c r="A89" s="1">
        <v>44927</v>
      </c>
      <c r="B89" s="1">
        <v>45291</v>
      </c>
      <c r="C89" t="s">
        <v>23</v>
      </c>
      <c r="D89" t="s">
        <v>24</v>
      </c>
      <c r="E89" t="s">
        <v>10</v>
      </c>
      <c r="F89" t="s">
        <v>25</v>
      </c>
      <c r="G89" t="s">
        <v>26</v>
      </c>
      <c r="H89">
        <v>2.1714611111111117</v>
      </c>
      <c r="I89" s="5">
        <f t="shared" ref="I89:I96" si="13">$H89*I$2</f>
        <v>67.315294444444461</v>
      </c>
      <c r="J89" s="5">
        <f t="shared" ref="J89:T96" si="14">$H89*J$2</f>
        <v>60.800911111111127</v>
      </c>
      <c r="K89" s="5">
        <f t="shared" si="14"/>
        <v>67.315294444444461</v>
      </c>
      <c r="L89" s="5">
        <f t="shared" si="14"/>
        <v>65.143833333333347</v>
      </c>
      <c r="M89" s="5">
        <f t="shared" si="14"/>
        <v>67.315294444444461</v>
      </c>
      <c r="N89" s="5">
        <f t="shared" si="14"/>
        <v>65.143833333333347</v>
      </c>
      <c r="O89" s="5">
        <f t="shared" si="14"/>
        <v>67.315294444444461</v>
      </c>
      <c r="P89" s="5">
        <f t="shared" si="14"/>
        <v>67.315294444444461</v>
      </c>
      <c r="Q89" s="5">
        <f t="shared" si="14"/>
        <v>65.143833333333347</v>
      </c>
      <c r="R89" s="5">
        <f t="shared" si="14"/>
        <v>67.315294444444461</v>
      </c>
      <c r="S89" s="5">
        <f t="shared" si="14"/>
        <v>65.143833333333347</v>
      </c>
      <c r="T89" s="5">
        <f t="shared" si="14"/>
        <v>67.315294444444461</v>
      </c>
      <c r="U89" s="5">
        <f t="shared" si="8"/>
        <v>792.58330555555574</v>
      </c>
      <c r="V89" s="6">
        <f t="shared" ref="V89:V96" si="15">SUM(U89:U89)</f>
        <v>792.58330555555574</v>
      </c>
      <c r="W89" s="7">
        <f t="shared" si="11"/>
        <v>2.1714611111111117</v>
      </c>
      <c r="X89" s="14" t="s">
        <v>23</v>
      </c>
      <c r="Y89" s="11">
        <v>2.1714611111111117</v>
      </c>
      <c r="Z89" s="7">
        <f t="shared" si="12"/>
        <v>0</v>
      </c>
    </row>
    <row r="90" spans="1:26" x14ac:dyDescent="0.25">
      <c r="A90" s="1">
        <v>44927</v>
      </c>
      <c r="B90" s="1">
        <v>45291</v>
      </c>
      <c r="C90" t="s">
        <v>37</v>
      </c>
      <c r="D90" t="s">
        <v>38</v>
      </c>
      <c r="E90" t="s">
        <v>10</v>
      </c>
      <c r="F90" t="s">
        <v>25</v>
      </c>
      <c r="G90" t="s">
        <v>26</v>
      </c>
      <c r="H90">
        <v>91.191627777777796</v>
      </c>
      <c r="I90" s="5">
        <f t="shared" si="13"/>
        <v>2826.9404611111117</v>
      </c>
      <c r="J90" s="5">
        <f t="shared" si="14"/>
        <v>2553.3655777777785</v>
      </c>
      <c r="K90" s="5">
        <f t="shared" si="14"/>
        <v>2826.9404611111117</v>
      </c>
      <c r="L90" s="5">
        <f t="shared" si="14"/>
        <v>2735.748833333334</v>
      </c>
      <c r="M90" s="5">
        <f t="shared" si="14"/>
        <v>2826.9404611111117</v>
      </c>
      <c r="N90" s="5">
        <f t="shared" si="14"/>
        <v>2735.748833333334</v>
      </c>
      <c r="O90" s="5">
        <f t="shared" si="14"/>
        <v>2826.9404611111117</v>
      </c>
      <c r="P90" s="5">
        <f t="shared" si="14"/>
        <v>2826.9404611111117</v>
      </c>
      <c r="Q90" s="5">
        <f t="shared" si="14"/>
        <v>2735.748833333334</v>
      </c>
      <c r="R90" s="5">
        <f t="shared" si="14"/>
        <v>2826.9404611111117</v>
      </c>
      <c r="S90" s="5">
        <f t="shared" si="14"/>
        <v>2735.748833333334</v>
      </c>
      <c r="T90" s="5">
        <f t="shared" si="14"/>
        <v>2826.9404611111117</v>
      </c>
      <c r="U90" s="5">
        <f t="shared" si="8"/>
        <v>33284.944138888903</v>
      </c>
      <c r="V90" s="6">
        <f t="shared" si="15"/>
        <v>33284.944138888903</v>
      </c>
      <c r="W90" s="7">
        <f t="shared" si="11"/>
        <v>91.191627777777811</v>
      </c>
      <c r="X90" s="14" t="s">
        <v>89</v>
      </c>
      <c r="Y90" s="11">
        <v>91.191627777777796</v>
      </c>
      <c r="Z90" s="7">
        <f t="shared" si="12"/>
        <v>0</v>
      </c>
    </row>
    <row r="91" spans="1:26" x14ac:dyDescent="0.25">
      <c r="A91" s="1">
        <v>44927</v>
      </c>
      <c r="B91" s="1">
        <v>45291</v>
      </c>
      <c r="C91" t="s">
        <v>45</v>
      </c>
      <c r="D91" t="s">
        <v>46</v>
      </c>
      <c r="E91" t="s">
        <v>10</v>
      </c>
      <c r="F91" t="s">
        <v>25</v>
      </c>
      <c r="G91" t="s">
        <v>26</v>
      </c>
      <c r="H91">
        <v>0.40287777777777123</v>
      </c>
      <c r="I91" s="5">
        <f t="shared" si="13"/>
        <v>12.489211111110908</v>
      </c>
      <c r="J91" s="5">
        <f t="shared" si="14"/>
        <v>11.280577777777594</v>
      </c>
      <c r="K91" s="5">
        <f t="shared" si="14"/>
        <v>12.489211111110908</v>
      </c>
      <c r="L91" s="5">
        <f t="shared" si="14"/>
        <v>12.086333333333137</v>
      </c>
      <c r="M91" s="5">
        <f t="shared" si="14"/>
        <v>12.489211111110908</v>
      </c>
      <c r="N91" s="5">
        <f t="shared" si="14"/>
        <v>12.086333333333137</v>
      </c>
      <c r="O91" s="5">
        <f t="shared" si="14"/>
        <v>12.489211111110908</v>
      </c>
      <c r="P91" s="5">
        <f t="shared" si="14"/>
        <v>12.489211111110908</v>
      </c>
      <c r="Q91" s="5">
        <f t="shared" si="14"/>
        <v>12.086333333333137</v>
      </c>
      <c r="R91" s="5">
        <f t="shared" si="14"/>
        <v>12.489211111110908</v>
      </c>
      <c r="S91" s="5">
        <f t="shared" si="14"/>
        <v>12.086333333333137</v>
      </c>
      <c r="T91" s="5">
        <f t="shared" si="14"/>
        <v>12.489211111110908</v>
      </c>
      <c r="U91" s="5">
        <f t="shared" si="8"/>
        <v>147.05038888888646</v>
      </c>
      <c r="V91" s="6">
        <f t="shared" si="15"/>
        <v>147.05038888888646</v>
      </c>
      <c r="W91" s="7">
        <f t="shared" si="11"/>
        <v>0.40287777777777112</v>
      </c>
      <c r="X91" s="14" t="s">
        <v>45</v>
      </c>
      <c r="Y91" s="11">
        <v>0.40287777777777123</v>
      </c>
      <c r="Z91" s="7">
        <f t="shared" si="12"/>
        <v>0</v>
      </c>
    </row>
    <row r="92" spans="1:26" x14ac:dyDescent="0.25">
      <c r="A92" s="1">
        <v>44927</v>
      </c>
      <c r="B92" s="1">
        <v>45291</v>
      </c>
      <c r="C92" t="s">
        <v>34</v>
      </c>
      <c r="D92" t="s">
        <v>35</v>
      </c>
      <c r="E92" t="s">
        <v>10</v>
      </c>
      <c r="F92" t="s">
        <v>25</v>
      </c>
      <c r="G92" t="s">
        <v>26</v>
      </c>
      <c r="H92">
        <v>9.8211083333333349</v>
      </c>
      <c r="I92" s="5">
        <f t="shared" si="13"/>
        <v>304.4543583333334</v>
      </c>
      <c r="J92" s="5">
        <f t="shared" si="14"/>
        <v>274.99103333333335</v>
      </c>
      <c r="K92" s="5">
        <f t="shared" si="14"/>
        <v>304.4543583333334</v>
      </c>
      <c r="L92" s="5">
        <f t="shared" si="14"/>
        <v>294.63325000000003</v>
      </c>
      <c r="M92" s="5">
        <f t="shared" si="14"/>
        <v>304.4543583333334</v>
      </c>
      <c r="N92" s="5">
        <f t="shared" si="14"/>
        <v>294.63325000000003</v>
      </c>
      <c r="O92" s="5">
        <f t="shared" si="14"/>
        <v>304.4543583333334</v>
      </c>
      <c r="P92" s="5">
        <f t="shared" si="14"/>
        <v>304.4543583333334</v>
      </c>
      <c r="Q92" s="5">
        <f t="shared" si="14"/>
        <v>294.63325000000003</v>
      </c>
      <c r="R92" s="5">
        <f t="shared" si="14"/>
        <v>304.4543583333334</v>
      </c>
      <c r="S92" s="5">
        <f t="shared" si="14"/>
        <v>294.63325000000003</v>
      </c>
      <c r="T92" s="5">
        <f t="shared" si="14"/>
        <v>304.4543583333334</v>
      </c>
      <c r="U92" s="5">
        <f t="shared" ref="U92:U131" si="16">SUBTOTAL(9,I92:T92)</f>
        <v>3584.704541666667</v>
      </c>
      <c r="V92" s="6">
        <f t="shared" si="15"/>
        <v>3584.704541666667</v>
      </c>
      <c r="W92" s="7">
        <f t="shared" si="11"/>
        <v>9.8211083333333349</v>
      </c>
      <c r="X92" s="14" t="s">
        <v>128</v>
      </c>
      <c r="Y92" s="11">
        <v>9.8211083333333349</v>
      </c>
      <c r="Z92" s="7">
        <f t="shared" si="12"/>
        <v>0</v>
      </c>
    </row>
    <row r="93" spans="1:26" x14ac:dyDescent="0.25">
      <c r="A93" s="1">
        <v>44927</v>
      </c>
      <c r="B93" s="1">
        <v>45291</v>
      </c>
      <c r="C93" t="s">
        <v>66</v>
      </c>
      <c r="D93" t="s">
        <v>67</v>
      </c>
      <c r="E93" t="s">
        <v>10</v>
      </c>
      <c r="F93" t="s">
        <v>25</v>
      </c>
      <c r="G93" t="s">
        <v>26</v>
      </c>
      <c r="H93">
        <v>1.6161194444444509</v>
      </c>
      <c r="I93" s="5">
        <f t="shared" si="13"/>
        <v>50.099702777777978</v>
      </c>
      <c r="J93" s="5">
        <f t="shared" si="14"/>
        <v>45.251344444444626</v>
      </c>
      <c r="K93" s="5">
        <f t="shared" si="14"/>
        <v>50.099702777777978</v>
      </c>
      <c r="L93" s="5">
        <f t="shared" si="14"/>
        <v>48.483583333333527</v>
      </c>
      <c r="M93" s="5">
        <f t="shared" si="14"/>
        <v>50.099702777777978</v>
      </c>
      <c r="N93" s="5">
        <f t="shared" si="14"/>
        <v>48.483583333333527</v>
      </c>
      <c r="O93" s="5">
        <f t="shared" si="14"/>
        <v>50.099702777777978</v>
      </c>
      <c r="P93" s="5">
        <f t="shared" si="14"/>
        <v>50.099702777777978</v>
      </c>
      <c r="Q93" s="5">
        <f t="shared" si="14"/>
        <v>48.483583333333527</v>
      </c>
      <c r="R93" s="5">
        <f t="shared" si="14"/>
        <v>50.099702777777978</v>
      </c>
      <c r="S93" s="5">
        <f t="shared" si="14"/>
        <v>48.483583333333527</v>
      </c>
      <c r="T93" s="5">
        <f t="shared" si="14"/>
        <v>50.099702777777978</v>
      </c>
      <c r="U93" s="5">
        <f t="shared" si="16"/>
        <v>589.88359722222458</v>
      </c>
      <c r="V93" s="6">
        <f t="shared" si="15"/>
        <v>589.88359722222458</v>
      </c>
      <c r="W93" s="7">
        <f t="shared" si="11"/>
        <v>1.6161194444444509</v>
      </c>
      <c r="X93" s="14" t="s">
        <v>129</v>
      </c>
      <c r="Y93" s="11">
        <v>1.6161194444444509</v>
      </c>
      <c r="Z93" s="7">
        <f t="shared" si="12"/>
        <v>0</v>
      </c>
    </row>
    <row r="94" spans="1:26" x14ac:dyDescent="0.25">
      <c r="A94" s="1">
        <v>44927</v>
      </c>
      <c r="B94" s="1">
        <v>45291</v>
      </c>
      <c r="C94" t="s">
        <v>8</v>
      </c>
      <c r="D94" t="s">
        <v>8</v>
      </c>
      <c r="E94" t="s">
        <v>10</v>
      </c>
      <c r="F94" t="s">
        <v>25</v>
      </c>
      <c r="G94" t="s">
        <v>26</v>
      </c>
      <c r="H94">
        <v>38.507361111111109</v>
      </c>
      <c r="I94" s="5">
        <f t="shared" si="13"/>
        <v>1193.7281944444444</v>
      </c>
      <c r="J94" s="5">
        <f t="shared" si="14"/>
        <v>1078.2061111111111</v>
      </c>
      <c r="K94" s="5">
        <f t="shared" si="14"/>
        <v>1193.7281944444444</v>
      </c>
      <c r="L94" s="5">
        <f t="shared" si="14"/>
        <v>1155.2208333333333</v>
      </c>
      <c r="M94" s="5">
        <f t="shared" si="14"/>
        <v>1193.7281944444444</v>
      </c>
      <c r="N94" s="5">
        <f t="shared" si="14"/>
        <v>1155.2208333333333</v>
      </c>
      <c r="O94" s="5">
        <f t="shared" si="14"/>
        <v>1193.7281944444444</v>
      </c>
      <c r="P94" s="5">
        <f t="shared" si="14"/>
        <v>1193.7281944444444</v>
      </c>
      <c r="Q94" s="5">
        <f t="shared" si="14"/>
        <v>1155.2208333333333</v>
      </c>
      <c r="R94" s="5">
        <f t="shared" si="14"/>
        <v>1193.7281944444444</v>
      </c>
      <c r="S94" s="5">
        <f t="shared" si="14"/>
        <v>1155.2208333333333</v>
      </c>
      <c r="T94" s="5">
        <f t="shared" si="14"/>
        <v>1193.7281944444444</v>
      </c>
      <c r="U94" s="5">
        <f t="shared" si="16"/>
        <v>14055.186805555551</v>
      </c>
      <c r="V94" s="6">
        <f t="shared" si="15"/>
        <v>14055.186805555551</v>
      </c>
      <c r="W94" s="7">
        <f t="shared" si="11"/>
        <v>38.507361111111102</v>
      </c>
      <c r="X94" s="14" t="s">
        <v>130</v>
      </c>
      <c r="Y94" s="11">
        <v>38.507361111111109</v>
      </c>
      <c r="Z94" s="4">
        <f t="shared" si="12"/>
        <v>0</v>
      </c>
    </row>
    <row r="95" spans="1:26" x14ac:dyDescent="0.25">
      <c r="A95" s="30">
        <v>44927</v>
      </c>
      <c r="B95" s="30">
        <v>45291</v>
      </c>
      <c r="C95" s="29" t="s">
        <v>45</v>
      </c>
      <c r="D95" s="29" t="s">
        <v>46</v>
      </c>
      <c r="E95" s="29" t="s">
        <v>10</v>
      </c>
      <c r="F95" s="29" t="s">
        <v>145</v>
      </c>
      <c r="G95" s="29" t="s">
        <v>26</v>
      </c>
      <c r="H95">
        <v>6.9160000000000004</v>
      </c>
      <c r="I95" s="5">
        <f t="shared" si="13"/>
        <v>214.39600000000002</v>
      </c>
      <c r="J95" s="5">
        <f t="shared" si="14"/>
        <v>193.64800000000002</v>
      </c>
      <c r="K95" s="5">
        <f t="shared" si="14"/>
        <v>214.39600000000002</v>
      </c>
      <c r="L95" s="5">
        <f t="shared" si="14"/>
        <v>207.48000000000002</v>
      </c>
      <c r="M95" s="5">
        <f t="shared" si="14"/>
        <v>214.39600000000002</v>
      </c>
      <c r="N95" s="5">
        <f t="shared" si="14"/>
        <v>207.48000000000002</v>
      </c>
      <c r="O95" s="5">
        <f t="shared" si="14"/>
        <v>214.39600000000002</v>
      </c>
      <c r="P95" s="5">
        <f t="shared" si="14"/>
        <v>214.39600000000002</v>
      </c>
      <c r="Q95" s="5">
        <f t="shared" si="14"/>
        <v>207.48000000000002</v>
      </c>
      <c r="R95" s="5">
        <f t="shared" si="14"/>
        <v>214.39600000000002</v>
      </c>
      <c r="S95" s="5">
        <f t="shared" si="14"/>
        <v>207.48000000000002</v>
      </c>
      <c r="T95" s="5">
        <f t="shared" si="14"/>
        <v>214.39600000000002</v>
      </c>
      <c r="U95" s="5">
        <f t="shared" si="16"/>
        <v>2524.34</v>
      </c>
      <c r="V95" s="6">
        <f t="shared" si="15"/>
        <v>2524.34</v>
      </c>
      <c r="W95" s="7">
        <f t="shared" si="11"/>
        <v>6.9160000000000004</v>
      </c>
      <c r="X95" s="14" t="s">
        <v>45</v>
      </c>
      <c r="Y95" s="11">
        <v>6.9160000000000004</v>
      </c>
      <c r="Z95" s="7">
        <f t="shared" si="12"/>
        <v>0</v>
      </c>
    </row>
    <row r="96" spans="1:26" x14ac:dyDescent="0.25">
      <c r="A96" s="30">
        <v>44927</v>
      </c>
      <c r="B96" s="30">
        <v>45291</v>
      </c>
      <c r="C96" s="29" t="s">
        <v>34</v>
      </c>
      <c r="D96" s="29" t="s">
        <v>35</v>
      </c>
      <c r="E96" s="29" t="s">
        <v>10</v>
      </c>
      <c r="F96" s="29" t="s">
        <v>145</v>
      </c>
      <c r="G96" s="29" t="s">
        <v>26</v>
      </c>
      <c r="H96">
        <v>27.664000000000001</v>
      </c>
      <c r="I96" s="5">
        <f t="shared" si="13"/>
        <v>857.58400000000006</v>
      </c>
      <c r="J96" s="5">
        <f t="shared" si="14"/>
        <v>774.5920000000001</v>
      </c>
      <c r="K96" s="5">
        <f t="shared" si="14"/>
        <v>857.58400000000006</v>
      </c>
      <c r="L96" s="5">
        <f t="shared" si="14"/>
        <v>829.92000000000007</v>
      </c>
      <c r="M96" s="5">
        <f t="shared" si="14"/>
        <v>857.58400000000006</v>
      </c>
      <c r="N96" s="5">
        <f t="shared" si="14"/>
        <v>829.92000000000007</v>
      </c>
      <c r="O96" s="5">
        <f t="shared" si="14"/>
        <v>857.58400000000006</v>
      </c>
      <c r="P96" s="5">
        <f t="shared" si="14"/>
        <v>857.58400000000006</v>
      </c>
      <c r="Q96" s="5">
        <f t="shared" si="14"/>
        <v>829.92000000000007</v>
      </c>
      <c r="R96" s="5">
        <f t="shared" si="14"/>
        <v>857.58400000000006</v>
      </c>
      <c r="S96" s="5">
        <f t="shared" si="14"/>
        <v>829.92000000000007</v>
      </c>
      <c r="T96" s="5">
        <f t="shared" si="14"/>
        <v>857.58400000000006</v>
      </c>
      <c r="U96" s="5">
        <f t="shared" ref="U96" si="17">SUBTOTAL(9,I96:T96)</f>
        <v>10097.36</v>
      </c>
      <c r="V96" s="6">
        <f t="shared" si="15"/>
        <v>10097.36</v>
      </c>
      <c r="W96" s="7">
        <f t="shared" si="11"/>
        <v>27.664000000000001</v>
      </c>
      <c r="X96" s="14" t="s">
        <v>128</v>
      </c>
      <c r="Y96" s="15">
        <v>27.664000000000001</v>
      </c>
      <c r="Z96" s="7">
        <f t="shared" si="12"/>
        <v>0</v>
      </c>
    </row>
    <row r="97" spans="1:28" x14ac:dyDescent="0.25">
      <c r="A97" s="1"/>
      <c r="B97" s="1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spans="1:28" x14ac:dyDescent="0.25">
      <c r="A98" s="1">
        <v>44927</v>
      </c>
      <c r="B98" s="1">
        <v>45291</v>
      </c>
      <c r="C98" t="s">
        <v>8</v>
      </c>
      <c r="D98" t="s">
        <v>9</v>
      </c>
      <c r="E98" t="s">
        <v>27</v>
      </c>
      <c r="F98" t="s">
        <v>28</v>
      </c>
      <c r="G98" t="s">
        <v>29</v>
      </c>
      <c r="H98">
        <v>69.84</v>
      </c>
      <c r="I98" s="5">
        <f t="shared" ref="I98:T104" si="18">$H98*I$2</f>
        <v>2165.04</v>
      </c>
      <c r="J98" s="5">
        <f t="shared" si="18"/>
        <v>1955.52</v>
      </c>
      <c r="K98" s="5">
        <f t="shared" si="18"/>
        <v>2165.04</v>
      </c>
      <c r="L98" s="5">
        <f t="shared" si="18"/>
        <v>2095.2000000000003</v>
      </c>
      <c r="M98" s="5">
        <f t="shared" si="18"/>
        <v>2165.04</v>
      </c>
      <c r="N98" s="5">
        <f t="shared" si="18"/>
        <v>2095.2000000000003</v>
      </c>
      <c r="O98" s="5">
        <f t="shared" si="18"/>
        <v>2165.04</v>
      </c>
      <c r="P98" s="5">
        <f t="shared" si="18"/>
        <v>2165.04</v>
      </c>
      <c r="Q98" s="5">
        <f t="shared" si="18"/>
        <v>2095.2000000000003</v>
      </c>
      <c r="R98" s="5">
        <f t="shared" si="18"/>
        <v>2165.04</v>
      </c>
      <c r="S98" s="5">
        <f t="shared" si="18"/>
        <v>2095.2000000000003</v>
      </c>
      <c r="T98" s="5">
        <f t="shared" si="18"/>
        <v>2165.04</v>
      </c>
      <c r="U98" s="5">
        <f t="shared" si="16"/>
        <v>25491.600000000006</v>
      </c>
      <c r="V98" s="6">
        <f>U98</f>
        <v>25491.600000000006</v>
      </c>
      <c r="W98" s="26">
        <f>V98/365</f>
        <v>69.840000000000018</v>
      </c>
      <c r="AA98" s="27" t="s">
        <v>139</v>
      </c>
      <c r="AB98" s="27"/>
    </row>
    <row r="99" spans="1:28" x14ac:dyDescent="0.25">
      <c r="A99" s="1">
        <v>44927</v>
      </c>
      <c r="B99" s="1">
        <v>45291</v>
      </c>
      <c r="C99" t="s">
        <v>8</v>
      </c>
      <c r="D99" t="s">
        <v>9</v>
      </c>
      <c r="E99" t="s">
        <v>27</v>
      </c>
      <c r="F99" t="s">
        <v>28</v>
      </c>
      <c r="G99" t="s">
        <v>30</v>
      </c>
      <c r="H99">
        <v>131</v>
      </c>
      <c r="I99" s="5">
        <f t="shared" si="18"/>
        <v>4061</v>
      </c>
      <c r="J99" s="5">
        <f t="shared" si="18"/>
        <v>3668</v>
      </c>
      <c r="K99" s="5">
        <f t="shared" si="18"/>
        <v>4061</v>
      </c>
      <c r="L99" s="5">
        <f t="shared" si="18"/>
        <v>3930</v>
      </c>
      <c r="M99" s="5">
        <f t="shared" si="18"/>
        <v>4061</v>
      </c>
      <c r="N99" s="5">
        <f t="shared" si="18"/>
        <v>3930</v>
      </c>
      <c r="O99" s="5">
        <f t="shared" si="18"/>
        <v>4061</v>
      </c>
      <c r="P99" s="5">
        <f t="shared" si="18"/>
        <v>4061</v>
      </c>
      <c r="Q99" s="5">
        <f t="shared" si="18"/>
        <v>3930</v>
      </c>
      <c r="R99" s="5">
        <f t="shared" si="18"/>
        <v>4061</v>
      </c>
      <c r="S99" s="5">
        <f t="shared" si="18"/>
        <v>3930</v>
      </c>
      <c r="T99" s="5">
        <f t="shared" si="18"/>
        <v>4061</v>
      </c>
      <c r="U99" s="5">
        <f t="shared" si="16"/>
        <v>47815</v>
      </c>
      <c r="V99" s="6">
        <f>U99</f>
        <v>47815</v>
      </c>
      <c r="W99" s="26">
        <f>V99/365</f>
        <v>131</v>
      </c>
      <c r="Y99" s="12" t="s">
        <v>124</v>
      </c>
      <c r="Z99" s="12" t="s">
        <v>125</v>
      </c>
    </row>
    <row r="100" spans="1:28" x14ac:dyDescent="0.25">
      <c r="A100" s="1">
        <v>44927</v>
      </c>
      <c r="B100" s="1">
        <v>45291</v>
      </c>
      <c r="C100" t="s">
        <v>8</v>
      </c>
      <c r="D100" t="s">
        <v>9</v>
      </c>
      <c r="E100" t="s">
        <v>27</v>
      </c>
      <c r="F100" t="s">
        <v>28</v>
      </c>
      <c r="G100" t="s">
        <v>31</v>
      </c>
      <c r="H100">
        <v>82.56</v>
      </c>
      <c r="I100" s="5">
        <f t="shared" si="18"/>
        <v>2559.36</v>
      </c>
      <c r="J100" s="5">
        <f t="shared" si="18"/>
        <v>2311.6800000000003</v>
      </c>
      <c r="K100" s="5">
        <f t="shared" si="18"/>
        <v>2559.36</v>
      </c>
      <c r="L100" s="5">
        <f t="shared" si="18"/>
        <v>2476.8000000000002</v>
      </c>
      <c r="M100" s="5">
        <f t="shared" si="18"/>
        <v>2559.36</v>
      </c>
      <c r="N100" s="5">
        <f t="shared" si="18"/>
        <v>2476.8000000000002</v>
      </c>
      <c r="O100" s="5">
        <f t="shared" si="18"/>
        <v>2559.36</v>
      </c>
      <c r="P100" s="5">
        <f t="shared" si="18"/>
        <v>2559.36</v>
      </c>
      <c r="Q100" s="5">
        <f t="shared" si="18"/>
        <v>2476.8000000000002</v>
      </c>
      <c r="R100" s="5">
        <f t="shared" si="18"/>
        <v>2559.36</v>
      </c>
      <c r="S100" s="5">
        <f t="shared" si="18"/>
        <v>2476.8000000000002</v>
      </c>
      <c r="T100" s="5">
        <f t="shared" si="18"/>
        <v>2559.36</v>
      </c>
      <c r="U100" s="5">
        <f t="shared" si="16"/>
        <v>30134.400000000001</v>
      </c>
      <c r="V100" s="6">
        <f t="shared" ref="V100:V101" si="19">U100</f>
        <v>30134.400000000001</v>
      </c>
      <c r="W100" s="26">
        <f t="shared" ref="W100:W103" si="20">V100/365</f>
        <v>82.56</v>
      </c>
      <c r="X100" s="7">
        <f>W98+W99+W100</f>
        <v>283.40000000000003</v>
      </c>
      <c r="Y100" s="11">
        <v>283.39999999999998</v>
      </c>
      <c r="Z100" s="7">
        <f>Y100-X100</f>
        <v>0</v>
      </c>
    </row>
    <row r="101" spans="1:28" x14ac:dyDescent="0.25">
      <c r="A101" s="1">
        <v>44927</v>
      </c>
      <c r="B101" s="1">
        <v>45291</v>
      </c>
      <c r="C101" t="s">
        <v>8</v>
      </c>
      <c r="D101" t="s">
        <v>20</v>
      </c>
      <c r="E101" t="s">
        <v>27</v>
      </c>
      <c r="F101" t="s">
        <v>32</v>
      </c>
      <c r="G101" t="s">
        <v>33</v>
      </c>
      <c r="H101">
        <v>23.52</v>
      </c>
      <c r="I101" s="5">
        <f t="shared" si="18"/>
        <v>729.12</v>
      </c>
      <c r="J101" s="5">
        <f t="shared" si="18"/>
        <v>658.56</v>
      </c>
      <c r="K101" s="5">
        <f t="shared" si="18"/>
        <v>729.12</v>
      </c>
      <c r="L101" s="5">
        <f t="shared" si="18"/>
        <v>705.6</v>
      </c>
      <c r="M101" s="5">
        <f t="shared" si="18"/>
        <v>729.12</v>
      </c>
      <c r="N101" s="5">
        <f t="shared" si="18"/>
        <v>705.6</v>
      </c>
      <c r="O101" s="5">
        <f t="shared" si="18"/>
        <v>729.12</v>
      </c>
      <c r="P101" s="5">
        <f t="shared" si="18"/>
        <v>729.12</v>
      </c>
      <c r="Q101" s="5">
        <f t="shared" si="18"/>
        <v>705.6</v>
      </c>
      <c r="R101" s="5">
        <f t="shared" si="18"/>
        <v>729.12</v>
      </c>
      <c r="S101" s="5">
        <f t="shared" si="18"/>
        <v>705.6</v>
      </c>
      <c r="T101" s="5">
        <f t="shared" si="18"/>
        <v>729.12</v>
      </c>
      <c r="U101" s="5">
        <f t="shared" si="16"/>
        <v>8584.8000000000011</v>
      </c>
      <c r="V101" s="6">
        <f t="shared" si="19"/>
        <v>8584.8000000000011</v>
      </c>
      <c r="W101" s="7">
        <f t="shared" si="20"/>
        <v>23.520000000000003</v>
      </c>
      <c r="X101" s="14" t="s">
        <v>127</v>
      </c>
      <c r="Y101" s="11">
        <v>23.52</v>
      </c>
      <c r="Z101" s="7">
        <f>Y101-W101</f>
        <v>0</v>
      </c>
    </row>
    <row r="102" spans="1:28" x14ac:dyDescent="0.25">
      <c r="A102" s="1">
        <v>44927</v>
      </c>
      <c r="B102" s="1">
        <v>45291</v>
      </c>
      <c r="C102" t="s">
        <v>37</v>
      </c>
      <c r="D102" t="s">
        <v>38</v>
      </c>
      <c r="E102" t="s">
        <v>27</v>
      </c>
      <c r="F102" t="s">
        <v>25</v>
      </c>
      <c r="G102" t="s">
        <v>36</v>
      </c>
      <c r="H102">
        <v>13</v>
      </c>
      <c r="I102" s="5">
        <f t="shared" si="18"/>
        <v>403</v>
      </c>
      <c r="J102" s="5">
        <f t="shared" si="18"/>
        <v>364</v>
      </c>
      <c r="K102" s="5">
        <f t="shared" si="18"/>
        <v>403</v>
      </c>
      <c r="L102" s="5">
        <f t="shared" si="18"/>
        <v>390</v>
      </c>
      <c r="M102" s="5">
        <f t="shared" si="18"/>
        <v>403</v>
      </c>
      <c r="N102" s="5">
        <f t="shared" si="18"/>
        <v>390</v>
      </c>
      <c r="O102" s="5">
        <f t="shared" si="18"/>
        <v>403</v>
      </c>
      <c r="P102" s="5">
        <f t="shared" si="18"/>
        <v>403</v>
      </c>
      <c r="Q102" s="5">
        <f t="shared" si="18"/>
        <v>390</v>
      </c>
      <c r="R102" s="5">
        <f t="shared" si="18"/>
        <v>403</v>
      </c>
      <c r="S102" s="5">
        <f t="shared" si="18"/>
        <v>390</v>
      </c>
      <c r="T102" s="5">
        <f t="shared" si="18"/>
        <v>403</v>
      </c>
      <c r="U102" s="5">
        <f t="shared" si="16"/>
        <v>4745</v>
      </c>
      <c r="V102" s="6">
        <f>U102</f>
        <v>4745</v>
      </c>
      <c r="W102" s="7">
        <f>V102/365</f>
        <v>13</v>
      </c>
      <c r="X102" s="14" t="s">
        <v>89</v>
      </c>
      <c r="Y102" s="11">
        <v>13</v>
      </c>
      <c r="Z102" s="7">
        <f t="shared" ref="Z102:Z104" si="21">Y102-W102</f>
        <v>0</v>
      </c>
    </row>
    <row r="103" spans="1:28" x14ac:dyDescent="0.25">
      <c r="A103" s="1">
        <v>44927</v>
      </c>
      <c r="B103" s="1">
        <v>45291</v>
      </c>
      <c r="C103" t="s">
        <v>34</v>
      </c>
      <c r="D103" t="s">
        <v>35</v>
      </c>
      <c r="E103" t="s">
        <v>27</v>
      </c>
      <c r="F103" t="s">
        <v>25</v>
      </c>
      <c r="G103" t="s">
        <v>36</v>
      </c>
      <c r="H103">
        <v>5.4</v>
      </c>
      <c r="I103" s="5">
        <f t="shared" si="18"/>
        <v>167.4</v>
      </c>
      <c r="J103" s="5">
        <f t="shared" si="18"/>
        <v>151.20000000000002</v>
      </c>
      <c r="K103" s="5">
        <f t="shared" si="18"/>
        <v>167.4</v>
      </c>
      <c r="L103" s="5">
        <f t="shared" si="18"/>
        <v>162</v>
      </c>
      <c r="M103" s="5">
        <f t="shared" si="18"/>
        <v>167.4</v>
      </c>
      <c r="N103" s="5">
        <f t="shared" si="18"/>
        <v>162</v>
      </c>
      <c r="O103" s="5">
        <f t="shared" si="18"/>
        <v>167.4</v>
      </c>
      <c r="P103" s="5">
        <f t="shared" si="18"/>
        <v>167.4</v>
      </c>
      <c r="Q103" s="5">
        <f t="shared" si="18"/>
        <v>162</v>
      </c>
      <c r="R103" s="5">
        <f t="shared" si="18"/>
        <v>167.4</v>
      </c>
      <c r="S103" s="5">
        <f t="shared" si="18"/>
        <v>162</v>
      </c>
      <c r="T103" s="5">
        <f t="shared" si="18"/>
        <v>167.4</v>
      </c>
      <c r="U103" s="5">
        <f t="shared" si="16"/>
        <v>1971.0000000000002</v>
      </c>
      <c r="V103" s="6">
        <f>U103</f>
        <v>1971.0000000000002</v>
      </c>
      <c r="W103" s="7">
        <f t="shared" si="20"/>
        <v>5.4</v>
      </c>
      <c r="X103" s="14" t="s">
        <v>133</v>
      </c>
      <c r="Y103" s="11">
        <v>5.4</v>
      </c>
      <c r="Z103" s="7">
        <f t="shared" si="21"/>
        <v>0</v>
      </c>
    </row>
    <row r="104" spans="1:28" x14ac:dyDescent="0.25">
      <c r="A104" s="1">
        <v>44927</v>
      </c>
      <c r="B104" s="1">
        <v>45291</v>
      </c>
      <c r="C104" t="s">
        <v>8</v>
      </c>
      <c r="D104" t="s">
        <v>8</v>
      </c>
      <c r="E104" t="s">
        <v>27</v>
      </c>
      <c r="F104" t="s">
        <v>25</v>
      </c>
      <c r="G104" t="s">
        <v>36</v>
      </c>
      <c r="H104">
        <v>25.200000000000003</v>
      </c>
      <c r="I104" s="5">
        <f t="shared" si="18"/>
        <v>781.2</v>
      </c>
      <c r="J104" s="5">
        <f t="shared" si="18"/>
        <v>705.60000000000014</v>
      </c>
      <c r="K104" s="5">
        <f t="shared" si="18"/>
        <v>781.2</v>
      </c>
      <c r="L104" s="5">
        <f t="shared" si="18"/>
        <v>756.00000000000011</v>
      </c>
      <c r="M104" s="5">
        <f t="shared" si="18"/>
        <v>781.2</v>
      </c>
      <c r="N104" s="5">
        <f t="shared" si="18"/>
        <v>756.00000000000011</v>
      </c>
      <c r="O104" s="5">
        <f t="shared" si="18"/>
        <v>781.2</v>
      </c>
      <c r="P104" s="5">
        <f t="shared" si="18"/>
        <v>781.2</v>
      </c>
      <c r="Q104" s="5">
        <f t="shared" si="18"/>
        <v>756.00000000000011</v>
      </c>
      <c r="R104" s="5">
        <f t="shared" si="18"/>
        <v>781.2</v>
      </c>
      <c r="S104" s="5">
        <f t="shared" si="18"/>
        <v>756.00000000000011</v>
      </c>
      <c r="T104" s="5">
        <f t="shared" si="18"/>
        <v>781.2</v>
      </c>
      <c r="U104" s="5">
        <f t="shared" si="16"/>
        <v>9198</v>
      </c>
      <c r="V104" s="6">
        <f>U104</f>
        <v>9198</v>
      </c>
      <c r="W104" s="7">
        <f>V104/365</f>
        <v>25.2</v>
      </c>
      <c r="X104" s="14" t="s">
        <v>130</v>
      </c>
      <c r="Y104" s="11">
        <v>25.200000000000003</v>
      </c>
      <c r="Z104" s="7">
        <f t="shared" si="21"/>
        <v>0</v>
      </c>
    </row>
    <row r="105" spans="1:28" x14ac:dyDescent="0.25">
      <c r="A105" s="1"/>
      <c r="B105" s="1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spans="1:28" x14ac:dyDescent="0.25">
      <c r="A106" s="1">
        <v>44927</v>
      </c>
      <c r="B106" s="1">
        <v>45291</v>
      </c>
      <c r="C106" t="s">
        <v>8</v>
      </c>
      <c r="D106" t="s">
        <v>9</v>
      </c>
      <c r="E106" t="s">
        <v>39</v>
      </c>
      <c r="F106" t="s">
        <v>40</v>
      </c>
      <c r="G106" t="s">
        <v>48</v>
      </c>
      <c r="H106">
        <v>117.5</v>
      </c>
      <c r="I106" s="5">
        <f t="shared" ref="I106:T112" si="22">$H106*I$2</f>
        <v>3642.5</v>
      </c>
      <c r="J106" s="5">
        <f t="shared" si="22"/>
        <v>3290</v>
      </c>
      <c r="K106" s="5">
        <f t="shared" si="22"/>
        <v>3642.5</v>
      </c>
      <c r="L106" s="5">
        <f t="shared" si="22"/>
        <v>3525</v>
      </c>
      <c r="M106" s="5">
        <f t="shared" si="22"/>
        <v>3642.5</v>
      </c>
      <c r="N106" s="5">
        <f t="shared" si="22"/>
        <v>3525</v>
      </c>
      <c r="O106" s="5">
        <f t="shared" si="22"/>
        <v>3642.5</v>
      </c>
      <c r="P106" s="5">
        <f t="shared" si="22"/>
        <v>3642.5</v>
      </c>
      <c r="Q106" s="5">
        <f t="shared" si="22"/>
        <v>3525</v>
      </c>
      <c r="R106" s="5">
        <f t="shared" si="22"/>
        <v>3642.5</v>
      </c>
      <c r="S106" s="5">
        <f t="shared" si="22"/>
        <v>3525</v>
      </c>
      <c r="T106" s="5">
        <f t="shared" si="22"/>
        <v>3642.5</v>
      </c>
      <c r="U106" s="5">
        <f t="shared" si="16"/>
        <v>42887.5</v>
      </c>
      <c r="V106" s="6">
        <f t="shared" ref="V106:V112" si="23">U106</f>
        <v>42887.5</v>
      </c>
      <c r="W106" s="26">
        <f t="shared" ref="W106:W111" si="24">V106/365</f>
        <v>117.5</v>
      </c>
      <c r="Y106" s="12" t="s">
        <v>124</v>
      </c>
      <c r="Z106" s="12" t="s">
        <v>125</v>
      </c>
    </row>
    <row r="107" spans="1:28" x14ac:dyDescent="0.25">
      <c r="A107" s="1">
        <v>44927</v>
      </c>
      <c r="B107" s="1">
        <v>45291</v>
      </c>
      <c r="C107" t="s">
        <v>8</v>
      </c>
      <c r="D107" t="s">
        <v>9</v>
      </c>
      <c r="E107" t="s">
        <v>39</v>
      </c>
      <c r="F107" t="s">
        <v>40</v>
      </c>
      <c r="G107" t="s">
        <v>41</v>
      </c>
      <c r="H107">
        <v>35</v>
      </c>
      <c r="I107" s="5">
        <f t="shared" si="22"/>
        <v>1085</v>
      </c>
      <c r="J107" s="5">
        <f t="shared" si="22"/>
        <v>980</v>
      </c>
      <c r="K107" s="5">
        <f t="shared" si="22"/>
        <v>1085</v>
      </c>
      <c r="L107" s="5">
        <f t="shared" si="22"/>
        <v>1050</v>
      </c>
      <c r="M107" s="5">
        <f t="shared" si="22"/>
        <v>1085</v>
      </c>
      <c r="N107" s="5">
        <f t="shared" si="22"/>
        <v>1050</v>
      </c>
      <c r="O107" s="5">
        <f t="shared" si="22"/>
        <v>1085</v>
      </c>
      <c r="P107" s="5">
        <f t="shared" si="22"/>
        <v>1085</v>
      </c>
      <c r="Q107" s="5">
        <f t="shared" si="22"/>
        <v>1050</v>
      </c>
      <c r="R107" s="5">
        <f t="shared" si="22"/>
        <v>1085</v>
      </c>
      <c r="S107" s="5">
        <f t="shared" si="22"/>
        <v>1050</v>
      </c>
      <c r="T107" s="5">
        <f t="shared" si="22"/>
        <v>1085</v>
      </c>
      <c r="U107" s="5">
        <f t="shared" si="16"/>
        <v>12775</v>
      </c>
      <c r="V107" s="6">
        <f t="shared" si="23"/>
        <v>12775</v>
      </c>
      <c r="W107" s="26">
        <f t="shared" si="24"/>
        <v>35</v>
      </c>
      <c r="X107" s="7">
        <f>W106+W107</f>
        <v>152.5</v>
      </c>
      <c r="Y107" s="11">
        <v>152.5</v>
      </c>
      <c r="Z107" s="7">
        <f>Y107-X107</f>
        <v>0</v>
      </c>
    </row>
    <row r="108" spans="1:28" x14ac:dyDescent="0.25">
      <c r="A108" s="1">
        <v>44927</v>
      </c>
      <c r="B108" s="1">
        <v>45291</v>
      </c>
      <c r="C108" t="s">
        <v>8</v>
      </c>
      <c r="D108" t="s">
        <v>20</v>
      </c>
      <c r="E108" t="s">
        <v>39</v>
      </c>
      <c r="F108" t="s">
        <v>42</v>
      </c>
      <c r="G108" t="s">
        <v>43</v>
      </c>
      <c r="H108">
        <v>32.550000000000004</v>
      </c>
      <c r="I108" s="5">
        <f t="shared" si="22"/>
        <v>1009.0500000000002</v>
      </c>
      <c r="J108" s="5">
        <f t="shared" si="22"/>
        <v>911.40000000000009</v>
      </c>
      <c r="K108" s="5">
        <f t="shared" si="22"/>
        <v>1009.0500000000002</v>
      </c>
      <c r="L108" s="5">
        <f t="shared" si="22"/>
        <v>976.50000000000011</v>
      </c>
      <c r="M108" s="5">
        <f t="shared" si="22"/>
        <v>1009.0500000000002</v>
      </c>
      <c r="N108" s="5">
        <f t="shared" si="22"/>
        <v>976.50000000000011</v>
      </c>
      <c r="O108" s="5">
        <f t="shared" si="22"/>
        <v>1009.0500000000002</v>
      </c>
      <c r="P108" s="5">
        <f t="shared" si="22"/>
        <v>1009.0500000000002</v>
      </c>
      <c r="Q108" s="5">
        <f t="shared" si="22"/>
        <v>976.50000000000011</v>
      </c>
      <c r="R108" s="5">
        <f t="shared" si="22"/>
        <v>1009.0500000000002</v>
      </c>
      <c r="S108" s="5">
        <f t="shared" si="22"/>
        <v>976.50000000000011</v>
      </c>
      <c r="T108" s="5">
        <f t="shared" si="22"/>
        <v>1009.0500000000002</v>
      </c>
      <c r="U108" s="5">
        <f t="shared" si="16"/>
        <v>11880.75</v>
      </c>
      <c r="V108" s="6">
        <f t="shared" si="23"/>
        <v>11880.75</v>
      </c>
      <c r="W108" s="7">
        <f t="shared" si="24"/>
        <v>32.549999999999997</v>
      </c>
      <c r="X108" s="14" t="s">
        <v>127</v>
      </c>
      <c r="Y108" s="11">
        <v>32.550000000000004</v>
      </c>
      <c r="Z108" s="7">
        <f>Y108-W108</f>
        <v>0</v>
      </c>
    </row>
    <row r="109" spans="1:28" x14ac:dyDescent="0.25">
      <c r="A109" s="1">
        <v>44927</v>
      </c>
      <c r="B109" s="1">
        <v>45291</v>
      </c>
      <c r="C109" t="s">
        <v>45</v>
      </c>
      <c r="D109" t="s">
        <v>46</v>
      </c>
      <c r="E109" t="s">
        <v>39</v>
      </c>
      <c r="F109" t="s">
        <v>25</v>
      </c>
      <c r="G109" t="s">
        <v>44</v>
      </c>
      <c r="H109">
        <v>2</v>
      </c>
      <c r="I109" s="5">
        <f t="shared" si="22"/>
        <v>62</v>
      </c>
      <c r="J109" s="5">
        <f t="shared" si="22"/>
        <v>56</v>
      </c>
      <c r="K109" s="5">
        <f t="shared" si="22"/>
        <v>62</v>
      </c>
      <c r="L109" s="5">
        <f t="shared" si="22"/>
        <v>60</v>
      </c>
      <c r="M109" s="5">
        <f t="shared" si="22"/>
        <v>62</v>
      </c>
      <c r="N109" s="5">
        <f t="shared" si="22"/>
        <v>60</v>
      </c>
      <c r="O109" s="5">
        <f t="shared" si="22"/>
        <v>62</v>
      </c>
      <c r="P109" s="5">
        <f t="shared" si="22"/>
        <v>62</v>
      </c>
      <c r="Q109" s="5">
        <f t="shared" si="22"/>
        <v>60</v>
      </c>
      <c r="R109" s="5">
        <f t="shared" si="22"/>
        <v>62</v>
      </c>
      <c r="S109" s="5">
        <f t="shared" si="22"/>
        <v>60</v>
      </c>
      <c r="T109" s="5">
        <f t="shared" si="22"/>
        <v>62</v>
      </c>
      <c r="U109" s="5">
        <f t="shared" si="16"/>
        <v>730</v>
      </c>
      <c r="V109" s="6">
        <f t="shared" si="23"/>
        <v>730</v>
      </c>
      <c r="W109" s="7">
        <f t="shared" si="24"/>
        <v>2</v>
      </c>
      <c r="X109" s="14" t="s">
        <v>45</v>
      </c>
      <c r="Y109" s="11">
        <v>2</v>
      </c>
      <c r="Z109" s="7">
        <f t="shared" ref="Z109:Z112" si="25">Y109-W109</f>
        <v>0</v>
      </c>
    </row>
    <row r="110" spans="1:28" x14ac:dyDescent="0.25">
      <c r="A110" s="1">
        <v>44927</v>
      </c>
      <c r="B110" s="1">
        <v>45291</v>
      </c>
      <c r="C110" t="s">
        <v>34</v>
      </c>
      <c r="D110" t="s">
        <v>35</v>
      </c>
      <c r="E110" t="s">
        <v>39</v>
      </c>
      <c r="F110" t="s">
        <v>25</v>
      </c>
      <c r="G110" t="s">
        <v>44</v>
      </c>
      <c r="H110">
        <v>4</v>
      </c>
      <c r="I110" s="5">
        <f t="shared" si="22"/>
        <v>124</v>
      </c>
      <c r="J110" s="5">
        <f t="shared" si="22"/>
        <v>112</v>
      </c>
      <c r="K110" s="5">
        <f t="shared" si="22"/>
        <v>124</v>
      </c>
      <c r="L110" s="5">
        <f t="shared" si="22"/>
        <v>120</v>
      </c>
      <c r="M110" s="5">
        <f t="shared" si="22"/>
        <v>124</v>
      </c>
      <c r="N110" s="5">
        <f t="shared" si="22"/>
        <v>120</v>
      </c>
      <c r="O110" s="5">
        <f t="shared" si="22"/>
        <v>124</v>
      </c>
      <c r="P110" s="5">
        <f t="shared" si="22"/>
        <v>124</v>
      </c>
      <c r="Q110" s="5">
        <f t="shared" si="22"/>
        <v>120</v>
      </c>
      <c r="R110" s="5">
        <f t="shared" si="22"/>
        <v>124</v>
      </c>
      <c r="S110" s="5">
        <f t="shared" si="22"/>
        <v>120</v>
      </c>
      <c r="T110" s="5">
        <f t="shared" si="22"/>
        <v>124</v>
      </c>
      <c r="U110" s="5">
        <f t="shared" si="16"/>
        <v>1460</v>
      </c>
      <c r="V110" s="6">
        <f t="shared" si="23"/>
        <v>1460</v>
      </c>
      <c r="W110" s="7">
        <f t="shared" si="24"/>
        <v>4</v>
      </c>
      <c r="X110" s="14" t="s">
        <v>133</v>
      </c>
      <c r="Y110" s="11">
        <v>4</v>
      </c>
      <c r="Z110" s="7">
        <f t="shared" si="25"/>
        <v>0</v>
      </c>
    </row>
    <row r="111" spans="1:28" x14ac:dyDescent="0.25">
      <c r="A111" s="1">
        <v>44927</v>
      </c>
      <c r="B111" s="1">
        <v>45291</v>
      </c>
      <c r="C111" t="s">
        <v>37</v>
      </c>
      <c r="D111" t="s">
        <v>47</v>
      </c>
      <c r="E111" t="s">
        <v>39</v>
      </c>
      <c r="F111" t="s">
        <v>25</v>
      </c>
      <c r="G111" t="s">
        <v>44</v>
      </c>
      <c r="H111">
        <v>24</v>
      </c>
      <c r="I111" s="5">
        <f t="shared" si="22"/>
        <v>744</v>
      </c>
      <c r="J111" s="5">
        <f t="shared" si="22"/>
        <v>672</v>
      </c>
      <c r="K111" s="5">
        <f t="shared" si="22"/>
        <v>744</v>
      </c>
      <c r="L111" s="5">
        <f t="shared" si="22"/>
        <v>720</v>
      </c>
      <c r="M111" s="5">
        <f t="shared" si="22"/>
        <v>744</v>
      </c>
      <c r="N111" s="5">
        <f t="shared" si="22"/>
        <v>720</v>
      </c>
      <c r="O111" s="5">
        <f t="shared" si="22"/>
        <v>744</v>
      </c>
      <c r="P111" s="5">
        <f t="shared" si="22"/>
        <v>744</v>
      </c>
      <c r="Q111" s="5">
        <f t="shared" si="22"/>
        <v>720</v>
      </c>
      <c r="R111" s="5">
        <f t="shared" si="22"/>
        <v>744</v>
      </c>
      <c r="S111" s="5">
        <f t="shared" si="22"/>
        <v>720</v>
      </c>
      <c r="T111" s="5">
        <f t="shared" si="22"/>
        <v>744</v>
      </c>
      <c r="U111" s="5">
        <f t="shared" si="16"/>
        <v>8760</v>
      </c>
      <c r="V111" s="6">
        <f t="shared" si="23"/>
        <v>8760</v>
      </c>
      <c r="W111" s="7">
        <f t="shared" si="24"/>
        <v>24</v>
      </c>
      <c r="X111" s="14" t="s">
        <v>89</v>
      </c>
      <c r="Y111" s="11">
        <v>24</v>
      </c>
      <c r="Z111" s="7">
        <f t="shared" si="25"/>
        <v>0</v>
      </c>
    </row>
    <row r="112" spans="1:28" x14ac:dyDescent="0.25">
      <c r="A112" s="1">
        <v>44927</v>
      </c>
      <c r="B112" s="1">
        <v>45291</v>
      </c>
      <c r="C112" t="s">
        <v>8</v>
      </c>
      <c r="D112" t="s">
        <v>8</v>
      </c>
      <c r="E112" t="s">
        <v>39</v>
      </c>
      <c r="F112" t="s">
        <v>25</v>
      </c>
      <c r="G112" t="s">
        <v>44</v>
      </c>
      <c r="H112">
        <v>40.5</v>
      </c>
      <c r="I112" s="5">
        <f t="shared" si="22"/>
        <v>1255.5</v>
      </c>
      <c r="J112" s="5">
        <f t="shared" si="22"/>
        <v>1134</v>
      </c>
      <c r="K112" s="5">
        <f t="shared" si="22"/>
        <v>1255.5</v>
      </c>
      <c r="L112" s="5">
        <f t="shared" si="22"/>
        <v>1215</v>
      </c>
      <c r="M112" s="5">
        <f t="shared" si="22"/>
        <v>1255.5</v>
      </c>
      <c r="N112" s="5">
        <f t="shared" si="22"/>
        <v>1215</v>
      </c>
      <c r="O112" s="5">
        <f t="shared" si="22"/>
        <v>1255.5</v>
      </c>
      <c r="P112" s="5">
        <f t="shared" si="22"/>
        <v>1255.5</v>
      </c>
      <c r="Q112" s="5">
        <f t="shared" si="22"/>
        <v>1215</v>
      </c>
      <c r="R112" s="5">
        <f t="shared" si="22"/>
        <v>1255.5</v>
      </c>
      <c r="S112" s="5">
        <f t="shared" si="22"/>
        <v>1215</v>
      </c>
      <c r="T112" s="5">
        <f t="shared" si="22"/>
        <v>1255.5</v>
      </c>
      <c r="U112" s="5">
        <f t="shared" si="16"/>
        <v>14782.5</v>
      </c>
      <c r="V112" s="6">
        <f t="shared" si="23"/>
        <v>14782.5</v>
      </c>
      <c r="W112" s="7">
        <f>V112/365</f>
        <v>40.5</v>
      </c>
      <c r="X112" s="14" t="s">
        <v>130</v>
      </c>
      <c r="Y112" s="11">
        <v>40.5</v>
      </c>
      <c r="Z112" s="7">
        <f t="shared" si="25"/>
        <v>0</v>
      </c>
    </row>
    <row r="113" spans="1:26" x14ac:dyDescent="0.25">
      <c r="A113" s="1"/>
      <c r="B113" s="1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spans="1:26" x14ac:dyDescent="0.25">
      <c r="A114" s="1">
        <v>44927</v>
      </c>
      <c r="B114" s="1">
        <v>44957</v>
      </c>
      <c r="C114" t="s">
        <v>8</v>
      </c>
      <c r="D114" t="s">
        <v>9</v>
      </c>
      <c r="E114" t="s">
        <v>93</v>
      </c>
      <c r="F114" t="s">
        <v>94</v>
      </c>
      <c r="G114" t="s">
        <v>101</v>
      </c>
      <c r="H114">
        <v>69</v>
      </c>
      <c r="I114" s="5">
        <f>$H114*I$2</f>
        <v>2139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>
        <f t="shared" si="16"/>
        <v>2139</v>
      </c>
    </row>
    <row r="115" spans="1:26" x14ac:dyDescent="0.25">
      <c r="A115" s="1">
        <v>44958</v>
      </c>
      <c r="B115" s="1">
        <v>44985</v>
      </c>
      <c r="C115" t="s">
        <v>8</v>
      </c>
      <c r="D115" t="s">
        <v>9</v>
      </c>
      <c r="E115" t="s">
        <v>93</v>
      </c>
      <c r="F115" t="s">
        <v>94</v>
      </c>
      <c r="G115" t="s">
        <v>101</v>
      </c>
      <c r="H115">
        <v>70</v>
      </c>
      <c r="I115" s="5"/>
      <c r="J115" s="5">
        <f>$H115*J$2</f>
        <v>1960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>
        <f t="shared" si="16"/>
        <v>1960</v>
      </c>
    </row>
    <row r="116" spans="1:26" x14ac:dyDescent="0.25">
      <c r="A116" s="1">
        <v>44986</v>
      </c>
      <c r="B116" s="1">
        <v>45016</v>
      </c>
      <c r="C116" t="s">
        <v>8</v>
      </c>
      <c r="D116" t="s">
        <v>9</v>
      </c>
      <c r="E116" t="s">
        <v>93</v>
      </c>
      <c r="F116" t="s">
        <v>94</v>
      </c>
      <c r="G116" t="s">
        <v>101</v>
      </c>
      <c r="H116">
        <v>71</v>
      </c>
      <c r="I116" s="5"/>
      <c r="J116" s="5"/>
      <c r="K116" s="5">
        <f>$H116*K$2</f>
        <v>2201</v>
      </c>
      <c r="L116" s="5"/>
      <c r="M116" s="5"/>
      <c r="N116" s="5"/>
      <c r="O116" s="5"/>
      <c r="P116" s="5"/>
      <c r="Q116" s="5"/>
      <c r="R116" s="5"/>
      <c r="S116" s="5"/>
      <c r="T116" s="5"/>
      <c r="U116" s="5">
        <f t="shared" si="16"/>
        <v>2201</v>
      </c>
    </row>
    <row r="117" spans="1:26" x14ac:dyDescent="0.25">
      <c r="A117" s="1">
        <v>45017</v>
      </c>
      <c r="B117" s="1">
        <v>45046</v>
      </c>
      <c r="C117" t="s">
        <v>8</v>
      </c>
      <c r="D117" t="s">
        <v>9</v>
      </c>
      <c r="E117" t="s">
        <v>93</v>
      </c>
      <c r="F117" t="s">
        <v>94</v>
      </c>
      <c r="G117" t="s">
        <v>101</v>
      </c>
      <c r="H117">
        <v>72</v>
      </c>
      <c r="I117" s="5"/>
      <c r="J117" s="5"/>
      <c r="K117" s="5"/>
      <c r="L117" s="5">
        <f>$H117*L$2</f>
        <v>2160</v>
      </c>
      <c r="M117" s="5"/>
      <c r="N117" s="5"/>
      <c r="O117" s="5"/>
      <c r="P117" s="5"/>
      <c r="Q117" s="5"/>
      <c r="R117" s="5"/>
      <c r="S117" s="5"/>
      <c r="T117" s="5"/>
      <c r="U117" s="5">
        <f t="shared" si="16"/>
        <v>2160</v>
      </c>
    </row>
    <row r="118" spans="1:26" x14ac:dyDescent="0.25">
      <c r="A118" s="1">
        <v>45047</v>
      </c>
      <c r="B118" s="1">
        <v>45077</v>
      </c>
      <c r="C118" t="s">
        <v>8</v>
      </c>
      <c r="D118" t="s">
        <v>9</v>
      </c>
      <c r="E118" t="s">
        <v>93</v>
      </c>
      <c r="F118" t="s">
        <v>94</v>
      </c>
      <c r="G118" t="s">
        <v>101</v>
      </c>
      <c r="H118">
        <v>73</v>
      </c>
      <c r="I118" s="5"/>
      <c r="J118" s="5"/>
      <c r="K118" s="5"/>
      <c r="L118" s="5"/>
      <c r="M118" s="5">
        <f>$H118*M$2</f>
        <v>2263</v>
      </c>
      <c r="N118" s="5"/>
      <c r="O118" s="5"/>
      <c r="P118" s="5"/>
      <c r="Q118" s="5"/>
      <c r="R118" s="5"/>
      <c r="S118" s="5"/>
      <c r="T118" s="5"/>
      <c r="U118" s="5">
        <f t="shared" si="16"/>
        <v>2263</v>
      </c>
    </row>
    <row r="119" spans="1:26" x14ac:dyDescent="0.25">
      <c r="A119" s="1">
        <v>45078</v>
      </c>
      <c r="B119" s="1">
        <v>45107</v>
      </c>
      <c r="C119" t="s">
        <v>8</v>
      </c>
      <c r="D119" t="s">
        <v>9</v>
      </c>
      <c r="E119" t="s">
        <v>93</v>
      </c>
      <c r="F119" t="s">
        <v>94</v>
      </c>
      <c r="G119" t="s">
        <v>101</v>
      </c>
      <c r="H119">
        <v>74</v>
      </c>
      <c r="I119" s="5"/>
      <c r="J119" s="5"/>
      <c r="K119" s="5"/>
      <c r="L119" s="5"/>
      <c r="M119" s="5"/>
      <c r="N119" s="5">
        <f>$H119*N$2</f>
        <v>2220</v>
      </c>
      <c r="O119" s="5"/>
      <c r="P119" s="5"/>
      <c r="Q119" s="5"/>
      <c r="R119" s="5"/>
      <c r="S119" s="5"/>
      <c r="T119" s="5"/>
      <c r="U119" s="5">
        <f t="shared" si="16"/>
        <v>2220</v>
      </c>
    </row>
    <row r="120" spans="1:26" x14ac:dyDescent="0.25">
      <c r="A120" s="1">
        <v>45108</v>
      </c>
      <c r="B120" s="1">
        <v>45138</v>
      </c>
      <c r="C120" t="s">
        <v>8</v>
      </c>
      <c r="D120" t="s">
        <v>9</v>
      </c>
      <c r="E120" t="s">
        <v>93</v>
      </c>
      <c r="F120" t="s">
        <v>94</v>
      </c>
      <c r="G120" t="s">
        <v>101</v>
      </c>
      <c r="H120">
        <v>75</v>
      </c>
      <c r="I120" s="5"/>
      <c r="J120" s="5"/>
      <c r="K120" s="5"/>
      <c r="L120" s="5"/>
      <c r="M120" s="5"/>
      <c r="N120" s="5"/>
      <c r="O120" s="5">
        <f>$H120*O$2</f>
        <v>2325</v>
      </c>
      <c r="P120" s="5"/>
      <c r="Q120" s="5"/>
      <c r="R120" s="5"/>
      <c r="S120" s="5"/>
      <c r="T120" s="5"/>
      <c r="U120" s="5">
        <f t="shared" si="16"/>
        <v>2325</v>
      </c>
    </row>
    <row r="121" spans="1:26" x14ac:dyDescent="0.25">
      <c r="A121" s="1">
        <v>45139</v>
      </c>
      <c r="B121" s="1">
        <v>45169</v>
      </c>
      <c r="C121" t="s">
        <v>8</v>
      </c>
      <c r="D121" t="s">
        <v>9</v>
      </c>
      <c r="E121" t="s">
        <v>93</v>
      </c>
      <c r="F121" t="s">
        <v>94</v>
      </c>
      <c r="G121" t="s">
        <v>101</v>
      </c>
      <c r="H121">
        <v>75</v>
      </c>
      <c r="I121" s="5"/>
      <c r="J121" s="5"/>
      <c r="K121" s="5"/>
      <c r="L121" s="5"/>
      <c r="M121" s="5"/>
      <c r="N121" s="5"/>
      <c r="O121" s="5"/>
      <c r="P121" s="5">
        <f>$H121*P$2</f>
        <v>2325</v>
      </c>
      <c r="Q121" s="5"/>
      <c r="R121" s="5"/>
      <c r="S121" s="5"/>
      <c r="T121" s="5"/>
      <c r="U121" s="5">
        <f t="shared" si="16"/>
        <v>2325</v>
      </c>
    </row>
    <row r="122" spans="1:26" x14ac:dyDescent="0.25">
      <c r="A122" s="1">
        <v>45170</v>
      </c>
      <c r="B122" s="1">
        <v>45199</v>
      </c>
      <c r="C122" t="s">
        <v>8</v>
      </c>
      <c r="D122" t="s">
        <v>9</v>
      </c>
      <c r="E122" t="s">
        <v>93</v>
      </c>
      <c r="F122" t="s">
        <v>94</v>
      </c>
      <c r="G122" t="s">
        <v>101</v>
      </c>
      <c r="H122">
        <v>75</v>
      </c>
      <c r="I122" s="5"/>
      <c r="J122" s="5"/>
      <c r="K122" s="5"/>
      <c r="L122" s="5"/>
      <c r="M122" s="5"/>
      <c r="N122" s="5"/>
      <c r="O122" s="5"/>
      <c r="P122" s="5"/>
      <c r="Q122" s="5">
        <f>$H122*Q$2</f>
        <v>2250</v>
      </c>
      <c r="R122" s="5"/>
      <c r="S122" s="5"/>
      <c r="T122" s="5"/>
      <c r="U122" s="5">
        <f t="shared" si="16"/>
        <v>2250</v>
      </c>
    </row>
    <row r="123" spans="1:26" x14ac:dyDescent="0.25">
      <c r="A123" s="1">
        <v>45200</v>
      </c>
      <c r="B123" s="1">
        <v>45230</v>
      </c>
      <c r="C123" t="s">
        <v>8</v>
      </c>
      <c r="D123" t="s">
        <v>9</v>
      </c>
      <c r="E123" t="s">
        <v>93</v>
      </c>
      <c r="F123" t="s">
        <v>94</v>
      </c>
      <c r="G123" t="s">
        <v>101</v>
      </c>
      <c r="H123">
        <v>75</v>
      </c>
      <c r="I123" s="5"/>
      <c r="J123" s="5"/>
      <c r="K123" s="5"/>
      <c r="L123" s="5"/>
      <c r="M123" s="5"/>
      <c r="N123" s="5"/>
      <c r="O123" s="5"/>
      <c r="P123" s="5"/>
      <c r="Q123" s="5"/>
      <c r="R123" s="5">
        <f>$H123*R$2</f>
        <v>2325</v>
      </c>
      <c r="S123" s="5"/>
      <c r="T123" s="5"/>
      <c r="U123" s="5">
        <f t="shared" si="16"/>
        <v>2325</v>
      </c>
    </row>
    <row r="124" spans="1:26" x14ac:dyDescent="0.25">
      <c r="A124" s="1">
        <v>45231</v>
      </c>
      <c r="B124" s="1">
        <v>45260</v>
      </c>
      <c r="C124" t="s">
        <v>8</v>
      </c>
      <c r="D124" t="s">
        <v>9</v>
      </c>
      <c r="E124" t="s">
        <v>93</v>
      </c>
      <c r="F124" t="s">
        <v>94</v>
      </c>
      <c r="G124" t="s">
        <v>101</v>
      </c>
      <c r="H124">
        <v>75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>
        <f>$H124*S$2</f>
        <v>2250</v>
      </c>
      <c r="T124" s="5"/>
      <c r="U124" s="5">
        <f t="shared" si="16"/>
        <v>2250</v>
      </c>
    </row>
    <row r="125" spans="1:26" x14ac:dyDescent="0.25">
      <c r="A125" s="1">
        <v>45261</v>
      </c>
      <c r="B125" s="1">
        <v>45291</v>
      </c>
      <c r="C125" t="s">
        <v>8</v>
      </c>
      <c r="D125" t="s">
        <v>9</v>
      </c>
      <c r="E125" t="s">
        <v>93</v>
      </c>
      <c r="F125" t="s">
        <v>94</v>
      </c>
      <c r="G125" t="s">
        <v>101</v>
      </c>
      <c r="H125">
        <v>75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>
        <f t="shared" ref="T125" si="26">$H125*T$2</f>
        <v>2325</v>
      </c>
      <c r="U125" s="5">
        <f t="shared" si="16"/>
        <v>2325</v>
      </c>
      <c r="V125" s="6">
        <f>SUM(U114:U125)</f>
        <v>26743</v>
      </c>
      <c r="W125" s="26">
        <f>V125/365</f>
        <v>73.268493150684932</v>
      </c>
    </row>
    <row r="126" spans="1:26" x14ac:dyDescent="0.25">
      <c r="A126" s="1">
        <v>44927</v>
      </c>
      <c r="B126" s="1">
        <v>45291</v>
      </c>
      <c r="C126" t="s">
        <v>8</v>
      </c>
      <c r="D126" t="s">
        <v>9</v>
      </c>
      <c r="E126" t="s">
        <v>93</v>
      </c>
      <c r="F126" t="s">
        <v>96</v>
      </c>
      <c r="G126" t="s">
        <v>97</v>
      </c>
      <c r="H126">
        <v>0</v>
      </c>
      <c r="I126" s="5">
        <f t="shared" ref="I126:T128" si="27">$H126*I$2</f>
        <v>0</v>
      </c>
      <c r="J126" s="5">
        <f t="shared" si="27"/>
        <v>0</v>
      </c>
      <c r="K126" s="5">
        <f t="shared" si="27"/>
        <v>0</v>
      </c>
      <c r="L126" s="5">
        <f t="shared" si="27"/>
        <v>0</v>
      </c>
      <c r="M126" s="5">
        <f t="shared" si="27"/>
        <v>0</v>
      </c>
      <c r="N126" s="5">
        <f t="shared" si="27"/>
        <v>0</v>
      </c>
      <c r="O126" s="5">
        <f t="shared" si="27"/>
        <v>0</v>
      </c>
      <c r="P126" s="5">
        <f t="shared" si="27"/>
        <v>0</v>
      </c>
      <c r="Q126" s="5">
        <f t="shared" si="27"/>
        <v>0</v>
      </c>
      <c r="R126" s="5">
        <f t="shared" si="27"/>
        <v>0</v>
      </c>
      <c r="S126" s="5">
        <f t="shared" si="27"/>
        <v>0</v>
      </c>
      <c r="T126" s="5">
        <f t="shared" si="27"/>
        <v>0</v>
      </c>
      <c r="U126" s="5">
        <f t="shared" si="16"/>
        <v>0</v>
      </c>
      <c r="Y126" s="12" t="s">
        <v>124</v>
      </c>
      <c r="Z126" s="12" t="s">
        <v>125</v>
      </c>
    </row>
    <row r="127" spans="1:26" x14ac:dyDescent="0.25">
      <c r="A127" s="1">
        <v>44927</v>
      </c>
      <c r="B127" s="1">
        <v>45291</v>
      </c>
      <c r="C127" t="s">
        <v>8</v>
      </c>
      <c r="D127" t="s">
        <v>9</v>
      </c>
      <c r="E127" t="s">
        <v>93</v>
      </c>
      <c r="F127" t="s">
        <v>94</v>
      </c>
      <c r="G127" t="s">
        <v>95</v>
      </c>
      <c r="H127">
        <v>24.25</v>
      </c>
      <c r="I127" s="5">
        <f t="shared" si="27"/>
        <v>751.75</v>
      </c>
      <c r="J127" s="5">
        <f t="shared" si="27"/>
        <v>679</v>
      </c>
      <c r="K127" s="5">
        <f t="shared" si="27"/>
        <v>751.75</v>
      </c>
      <c r="L127" s="5">
        <f t="shared" si="27"/>
        <v>727.5</v>
      </c>
      <c r="M127" s="5">
        <f t="shared" si="27"/>
        <v>751.75</v>
      </c>
      <c r="N127" s="5">
        <f t="shared" si="27"/>
        <v>727.5</v>
      </c>
      <c r="O127" s="5">
        <f t="shared" si="27"/>
        <v>751.75</v>
      </c>
      <c r="P127" s="5">
        <f t="shared" si="27"/>
        <v>751.75</v>
      </c>
      <c r="Q127" s="5">
        <f t="shared" si="27"/>
        <v>727.5</v>
      </c>
      <c r="R127" s="5">
        <f t="shared" si="27"/>
        <v>751.75</v>
      </c>
      <c r="S127" s="5">
        <f t="shared" si="27"/>
        <v>727.5</v>
      </c>
      <c r="T127" s="5">
        <f t="shared" si="27"/>
        <v>751.75</v>
      </c>
      <c r="U127" s="5">
        <f t="shared" si="16"/>
        <v>8851.25</v>
      </c>
      <c r="V127" s="6">
        <f>U127</f>
        <v>8851.25</v>
      </c>
      <c r="W127" s="26">
        <f>V127/365</f>
        <v>24.25</v>
      </c>
      <c r="X127" s="7">
        <f>W125+W127</f>
        <v>97.518493150684932</v>
      </c>
      <c r="Y127" s="11">
        <v>97.518493150684932</v>
      </c>
      <c r="Z127" s="7">
        <f>Y127-X127</f>
        <v>0</v>
      </c>
    </row>
    <row r="128" spans="1:26" x14ac:dyDescent="0.25">
      <c r="A128" s="1">
        <v>44927</v>
      </c>
      <c r="B128" s="1">
        <v>45291</v>
      </c>
      <c r="C128" t="s">
        <v>8</v>
      </c>
      <c r="D128" t="s">
        <v>20</v>
      </c>
      <c r="E128" t="s">
        <v>93</v>
      </c>
      <c r="F128" t="s">
        <v>98</v>
      </c>
      <c r="G128" t="s">
        <v>99</v>
      </c>
      <c r="H128">
        <v>44.1</v>
      </c>
      <c r="I128" s="5">
        <f t="shared" si="27"/>
        <v>1367.1000000000001</v>
      </c>
      <c r="J128" s="5">
        <f t="shared" si="27"/>
        <v>1234.8</v>
      </c>
      <c r="K128" s="5">
        <f t="shared" si="27"/>
        <v>1367.1000000000001</v>
      </c>
      <c r="L128" s="5">
        <f t="shared" si="27"/>
        <v>1323</v>
      </c>
      <c r="M128" s="5">
        <f t="shared" si="27"/>
        <v>1367.1000000000001</v>
      </c>
      <c r="N128" s="5">
        <f t="shared" si="27"/>
        <v>1323</v>
      </c>
      <c r="O128" s="5">
        <f t="shared" si="27"/>
        <v>1367.1000000000001</v>
      </c>
      <c r="P128" s="5">
        <f t="shared" si="27"/>
        <v>1367.1000000000001</v>
      </c>
      <c r="Q128" s="5">
        <f t="shared" si="27"/>
        <v>1323</v>
      </c>
      <c r="R128" s="5">
        <f t="shared" si="27"/>
        <v>1367.1000000000001</v>
      </c>
      <c r="S128" s="5">
        <f t="shared" si="27"/>
        <v>1323</v>
      </c>
      <c r="T128" s="5">
        <f t="shared" si="27"/>
        <v>1367.1000000000001</v>
      </c>
      <c r="U128" s="5">
        <f t="shared" si="16"/>
        <v>16096.500000000002</v>
      </c>
      <c r="V128" s="6">
        <f>U128</f>
        <v>16096.500000000002</v>
      </c>
      <c r="W128" s="7">
        <f>V128/365</f>
        <v>44.100000000000009</v>
      </c>
      <c r="X128" s="14" t="s">
        <v>127</v>
      </c>
    </row>
    <row r="129" spans="1:26" x14ac:dyDescent="0.25">
      <c r="A129" s="1">
        <v>44927</v>
      </c>
      <c r="B129" s="1">
        <v>44957</v>
      </c>
      <c r="C129" t="s">
        <v>45</v>
      </c>
      <c r="D129" t="s">
        <v>46</v>
      </c>
      <c r="E129" t="s">
        <v>93</v>
      </c>
      <c r="F129" t="s">
        <v>87</v>
      </c>
      <c r="G129" t="s">
        <v>102</v>
      </c>
      <c r="H129">
        <v>14.010400000000001</v>
      </c>
      <c r="I129" s="5">
        <f>$H129*I$2</f>
        <v>434.32240000000002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>
        <f t="shared" si="16"/>
        <v>434.32240000000002</v>
      </c>
    </row>
    <row r="130" spans="1:26" x14ac:dyDescent="0.25">
      <c r="A130" s="1">
        <v>44958</v>
      </c>
      <c r="B130" s="1">
        <v>44985</v>
      </c>
      <c r="C130" t="s">
        <v>45</v>
      </c>
      <c r="D130" t="s">
        <v>46</v>
      </c>
      <c r="E130" t="s">
        <v>93</v>
      </c>
      <c r="F130" t="s">
        <v>87</v>
      </c>
      <c r="G130" t="s">
        <v>102</v>
      </c>
      <c r="H130">
        <v>14.7768</v>
      </c>
      <c r="I130" s="5"/>
      <c r="J130" s="5">
        <f>$H130*J$2</f>
        <v>413.75040000000001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>
        <f t="shared" si="16"/>
        <v>413.75040000000001</v>
      </c>
    </row>
    <row r="131" spans="1:26" x14ac:dyDescent="0.25">
      <c r="A131" s="1">
        <v>44986</v>
      </c>
      <c r="B131" s="1">
        <v>45016</v>
      </c>
      <c r="C131" t="s">
        <v>45</v>
      </c>
      <c r="D131" t="s">
        <v>46</v>
      </c>
      <c r="E131" t="s">
        <v>93</v>
      </c>
      <c r="F131" t="s">
        <v>87</v>
      </c>
      <c r="G131" t="s">
        <v>102</v>
      </c>
      <c r="H131">
        <v>15.543200000000002</v>
      </c>
      <c r="I131" s="5"/>
      <c r="J131" s="5"/>
      <c r="K131" s="5">
        <f>$H131*K$2</f>
        <v>481.83920000000006</v>
      </c>
      <c r="L131" s="5"/>
      <c r="M131" s="5"/>
      <c r="N131" s="5"/>
      <c r="O131" s="5"/>
      <c r="P131" s="5"/>
      <c r="Q131" s="5"/>
      <c r="R131" s="5"/>
      <c r="S131" s="5"/>
      <c r="T131" s="5"/>
      <c r="U131" s="5">
        <f t="shared" si="16"/>
        <v>481.83920000000006</v>
      </c>
    </row>
    <row r="132" spans="1:26" x14ac:dyDescent="0.25">
      <c r="A132" s="1">
        <v>45017</v>
      </c>
      <c r="B132" s="1">
        <v>45046</v>
      </c>
      <c r="C132" t="s">
        <v>45</v>
      </c>
      <c r="D132" t="s">
        <v>46</v>
      </c>
      <c r="E132" t="s">
        <v>93</v>
      </c>
      <c r="F132" t="s">
        <v>87</v>
      </c>
      <c r="G132" t="s">
        <v>102</v>
      </c>
      <c r="H132">
        <v>15.926400000000005</v>
      </c>
      <c r="I132" s="5"/>
      <c r="J132" s="5"/>
      <c r="K132" s="5"/>
      <c r="L132" s="5">
        <f>$H132*L$2</f>
        <v>477.79200000000014</v>
      </c>
      <c r="M132" s="5"/>
      <c r="N132" s="5"/>
      <c r="O132" s="5"/>
      <c r="P132" s="5"/>
      <c r="Q132" s="5"/>
      <c r="R132" s="5"/>
      <c r="S132" s="5"/>
      <c r="T132" s="5"/>
      <c r="U132" s="5">
        <f t="shared" ref="U132:U208" si="28">SUBTOTAL(9,I132:T132)</f>
        <v>477.79200000000014</v>
      </c>
    </row>
    <row r="133" spans="1:26" x14ac:dyDescent="0.25">
      <c r="A133" s="1">
        <v>45047</v>
      </c>
      <c r="B133" s="1">
        <v>45077</v>
      </c>
      <c r="C133" t="s">
        <v>45</v>
      </c>
      <c r="D133" t="s">
        <v>46</v>
      </c>
      <c r="E133" t="s">
        <v>93</v>
      </c>
      <c r="F133" t="s">
        <v>87</v>
      </c>
      <c r="G133" t="s">
        <v>102</v>
      </c>
      <c r="H133">
        <v>16.309600000000003</v>
      </c>
      <c r="I133" s="5"/>
      <c r="J133" s="5"/>
      <c r="K133" s="5"/>
      <c r="L133" s="5"/>
      <c r="M133" s="5">
        <f>$H133*M$2</f>
        <v>505.59760000000011</v>
      </c>
      <c r="N133" s="5"/>
      <c r="O133" s="5"/>
      <c r="P133" s="5"/>
      <c r="Q133" s="5"/>
      <c r="R133" s="5"/>
      <c r="S133" s="5"/>
      <c r="T133" s="5"/>
      <c r="U133" s="5">
        <f t="shared" si="28"/>
        <v>505.59760000000011</v>
      </c>
    </row>
    <row r="134" spans="1:26" x14ac:dyDescent="0.25">
      <c r="A134" s="1">
        <v>45078</v>
      </c>
      <c r="B134" s="1">
        <v>45107</v>
      </c>
      <c r="C134" t="s">
        <v>45</v>
      </c>
      <c r="D134" t="s">
        <v>46</v>
      </c>
      <c r="E134" t="s">
        <v>93</v>
      </c>
      <c r="F134" t="s">
        <v>87</v>
      </c>
      <c r="G134" t="s">
        <v>102</v>
      </c>
      <c r="H134">
        <v>16.692800000000002</v>
      </c>
      <c r="I134" s="5"/>
      <c r="J134" s="5"/>
      <c r="K134" s="5"/>
      <c r="L134" s="5"/>
      <c r="M134" s="5"/>
      <c r="N134" s="5">
        <f>$H134*N$2</f>
        <v>500.78400000000005</v>
      </c>
      <c r="O134" s="5"/>
      <c r="P134" s="5"/>
      <c r="Q134" s="5"/>
      <c r="R134" s="5"/>
      <c r="S134" s="5"/>
      <c r="T134" s="5"/>
      <c r="U134" s="5">
        <f t="shared" si="28"/>
        <v>500.78400000000005</v>
      </c>
    </row>
    <row r="135" spans="1:26" x14ac:dyDescent="0.25">
      <c r="A135" s="1">
        <v>45108</v>
      </c>
      <c r="B135" s="1">
        <v>45138</v>
      </c>
      <c r="C135" t="s">
        <v>45</v>
      </c>
      <c r="D135" t="s">
        <v>46</v>
      </c>
      <c r="E135" t="s">
        <v>93</v>
      </c>
      <c r="F135" t="s">
        <v>87</v>
      </c>
      <c r="G135" t="s">
        <v>102</v>
      </c>
      <c r="H135">
        <v>17.076000000000001</v>
      </c>
      <c r="I135" s="5"/>
      <c r="J135" s="5"/>
      <c r="K135" s="5"/>
      <c r="L135" s="5"/>
      <c r="M135" s="5"/>
      <c r="N135" s="5"/>
      <c r="O135" s="5">
        <f>$H135*O$2</f>
        <v>529.35599999999999</v>
      </c>
      <c r="P135" s="5"/>
      <c r="Q135" s="5"/>
      <c r="R135" s="5"/>
      <c r="S135" s="5"/>
      <c r="T135" s="5"/>
      <c r="U135" s="5">
        <f t="shared" si="28"/>
        <v>529.35599999999999</v>
      </c>
    </row>
    <row r="136" spans="1:26" x14ac:dyDescent="0.25">
      <c r="A136" s="1">
        <v>45139</v>
      </c>
      <c r="B136" s="1">
        <v>45169</v>
      </c>
      <c r="C136" t="s">
        <v>45</v>
      </c>
      <c r="D136" t="s">
        <v>46</v>
      </c>
      <c r="E136" t="s">
        <v>93</v>
      </c>
      <c r="F136" t="s">
        <v>87</v>
      </c>
      <c r="G136" t="s">
        <v>102</v>
      </c>
      <c r="H136">
        <v>17.459200000000003</v>
      </c>
      <c r="I136" s="5"/>
      <c r="J136" s="5"/>
      <c r="K136" s="5"/>
      <c r="L136" s="5"/>
      <c r="M136" s="5"/>
      <c r="N136" s="5"/>
      <c r="O136" s="5"/>
      <c r="P136" s="5">
        <f>$H136*P$2</f>
        <v>541.23520000000008</v>
      </c>
      <c r="Q136" s="5"/>
      <c r="R136" s="5"/>
      <c r="S136" s="5"/>
      <c r="T136" s="5"/>
      <c r="U136" s="5">
        <f t="shared" si="28"/>
        <v>541.23520000000008</v>
      </c>
    </row>
    <row r="137" spans="1:26" x14ac:dyDescent="0.25">
      <c r="A137" s="1">
        <v>45170</v>
      </c>
      <c r="B137" s="1">
        <v>45199</v>
      </c>
      <c r="C137" t="s">
        <v>45</v>
      </c>
      <c r="D137" t="s">
        <v>46</v>
      </c>
      <c r="E137" t="s">
        <v>93</v>
      </c>
      <c r="F137" t="s">
        <v>87</v>
      </c>
      <c r="G137" t="s">
        <v>102</v>
      </c>
      <c r="H137">
        <v>17.842400000000001</v>
      </c>
      <c r="I137" s="5"/>
      <c r="J137" s="5"/>
      <c r="K137" s="5"/>
      <c r="L137" s="5"/>
      <c r="M137" s="5"/>
      <c r="N137" s="5"/>
      <c r="O137" s="5"/>
      <c r="P137" s="5"/>
      <c r="Q137" s="5">
        <f>$H137*Q$2</f>
        <v>535.27200000000005</v>
      </c>
      <c r="R137" s="5"/>
      <c r="S137" s="5"/>
      <c r="T137" s="5"/>
      <c r="U137" s="5">
        <f t="shared" si="28"/>
        <v>535.27200000000005</v>
      </c>
    </row>
    <row r="138" spans="1:26" x14ac:dyDescent="0.25">
      <c r="A138" s="1">
        <v>45200</v>
      </c>
      <c r="B138" s="1">
        <v>45230</v>
      </c>
      <c r="C138" t="s">
        <v>45</v>
      </c>
      <c r="D138" t="s">
        <v>46</v>
      </c>
      <c r="E138" t="s">
        <v>93</v>
      </c>
      <c r="F138" t="s">
        <v>87</v>
      </c>
      <c r="G138" t="s">
        <v>102</v>
      </c>
      <c r="H138">
        <v>18.225600000000004</v>
      </c>
      <c r="I138" s="5"/>
      <c r="J138" s="5"/>
      <c r="K138" s="5"/>
      <c r="L138" s="5"/>
      <c r="M138" s="5"/>
      <c r="N138" s="5"/>
      <c r="O138" s="5"/>
      <c r="P138" s="5"/>
      <c r="Q138" s="5"/>
      <c r="R138" s="5">
        <f>$H138*R$2</f>
        <v>564.99360000000013</v>
      </c>
      <c r="S138" s="5"/>
      <c r="T138" s="5"/>
      <c r="U138" s="5">
        <f t="shared" si="28"/>
        <v>564.99360000000013</v>
      </c>
    </row>
    <row r="139" spans="1:26" x14ac:dyDescent="0.25">
      <c r="A139" s="1">
        <v>45231</v>
      </c>
      <c r="B139" s="1">
        <v>45260</v>
      </c>
      <c r="C139" t="s">
        <v>45</v>
      </c>
      <c r="D139" t="s">
        <v>46</v>
      </c>
      <c r="E139" t="s">
        <v>93</v>
      </c>
      <c r="F139" t="s">
        <v>87</v>
      </c>
      <c r="G139" t="s">
        <v>102</v>
      </c>
      <c r="H139">
        <v>18.608800000000006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>
        <f>$H139*S$2</f>
        <v>558.26400000000012</v>
      </c>
      <c r="T139" s="5"/>
      <c r="U139" s="5">
        <f t="shared" si="28"/>
        <v>558.26400000000012</v>
      </c>
      <c r="Y139" s="12" t="s">
        <v>124</v>
      </c>
      <c r="Z139" s="12" t="s">
        <v>125</v>
      </c>
    </row>
    <row r="140" spans="1:26" x14ac:dyDescent="0.25">
      <c r="A140" s="1">
        <v>45261</v>
      </c>
      <c r="B140" s="1">
        <v>45291</v>
      </c>
      <c r="C140" t="s">
        <v>45</v>
      </c>
      <c r="D140" t="s">
        <v>46</v>
      </c>
      <c r="E140" t="s">
        <v>93</v>
      </c>
      <c r="F140" t="s">
        <v>87</v>
      </c>
      <c r="G140" t="s">
        <v>102</v>
      </c>
      <c r="H140">
        <v>18.608800000000002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>
        <f t="shared" ref="T140" si="29">$H140*T$2</f>
        <v>576.8728000000001</v>
      </c>
      <c r="U140" s="5">
        <f t="shared" si="28"/>
        <v>576.8728000000001</v>
      </c>
      <c r="V140" s="6">
        <f>SUM(U129:U140)</f>
        <v>6120.0792000000001</v>
      </c>
      <c r="W140" s="7">
        <f>V140/365</f>
        <v>16.767340273972604</v>
      </c>
      <c r="X140" s="14" t="s">
        <v>45</v>
      </c>
      <c r="Y140" s="11">
        <v>16.767340273972604</v>
      </c>
      <c r="Z140" s="7">
        <f t="shared" ref="Z140" si="30">Y140-W140</f>
        <v>0</v>
      </c>
    </row>
    <row r="141" spans="1:26" x14ac:dyDescent="0.25">
      <c r="A141" s="1">
        <v>44927</v>
      </c>
      <c r="B141" s="1">
        <v>44957</v>
      </c>
      <c r="C141" t="s">
        <v>85</v>
      </c>
      <c r="D141" t="s">
        <v>86</v>
      </c>
      <c r="E141" t="s">
        <v>93</v>
      </c>
      <c r="F141" t="s">
        <v>87</v>
      </c>
      <c r="G141" t="s">
        <v>102</v>
      </c>
      <c r="H141">
        <v>5.9899999999999993</v>
      </c>
      <c r="I141" s="5">
        <f>$H141*I$2</f>
        <v>185.68999999999997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>
        <f t="shared" si="28"/>
        <v>185.68999999999997</v>
      </c>
    </row>
    <row r="142" spans="1:26" x14ac:dyDescent="0.25">
      <c r="A142" s="1">
        <v>44958</v>
      </c>
      <c r="B142" s="1">
        <v>44985</v>
      </c>
      <c r="C142" t="s">
        <v>85</v>
      </c>
      <c r="D142" t="s">
        <v>86</v>
      </c>
      <c r="E142" t="s">
        <v>93</v>
      </c>
      <c r="F142" t="s">
        <v>87</v>
      </c>
      <c r="G142" t="s">
        <v>102</v>
      </c>
      <c r="H142">
        <v>6.33</v>
      </c>
      <c r="I142" s="5"/>
      <c r="J142" s="5">
        <f>$H142*J$2</f>
        <v>177.24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>
        <f t="shared" si="28"/>
        <v>177.24</v>
      </c>
    </row>
    <row r="143" spans="1:26" x14ac:dyDescent="0.25">
      <c r="A143" s="1">
        <v>44986</v>
      </c>
      <c r="B143" s="1">
        <v>45016</v>
      </c>
      <c r="C143" t="s">
        <v>85</v>
      </c>
      <c r="D143" t="s">
        <v>86</v>
      </c>
      <c r="E143" t="s">
        <v>93</v>
      </c>
      <c r="F143" t="s">
        <v>87</v>
      </c>
      <c r="G143" t="s">
        <v>102</v>
      </c>
      <c r="H143">
        <v>6.67</v>
      </c>
      <c r="I143" s="5"/>
      <c r="J143" s="5"/>
      <c r="K143" s="5">
        <f>$H143*K$2</f>
        <v>206.77</v>
      </c>
      <c r="L143" s="5"/>
      <c r="M143" s="5"/>
      <c r="N143" s="5"/>
      <c r="O143" s="5"/>
      <c r="P143" s="5"/>
      <c r="Q143" s="5"/>
      <c r="R143" s="5"/>
      <c r="S143" s="5"/>
      <c r="T143" s="5"/>
      <c r="U143" s="5">
        <f t="shared" si="28"/>
        <v>206.77</v>
      </c>
    </row>
    <row r="144" spans="1:26" x14ac:dyDescent="0.25">
      <c r="A144" s="1">
        <v>45017</v>
      </c>
      <c r="B144" s="1">
        <v>45046</v>
      </c>
      <c r="C144" t="s">
        <v>85</v>
      </c>
      <c r="D144" t="s">
        <v>86</v>
      </c>
      <c r="E144" t="s">
        <v>93</v>
      </c>
      <c r="F144" t="s">
        <v>87</v>
      </c>
      <c r="G144" t="s">
        <v>102</v>
      </c>
      <c r="H144">
        <v>6.84</v>
      </c>
      <c r="I144" s="5"/>
      <c r="J144" s="5"/>
      <c r="K144" s="5"/>
      <c r="L144" s="5">
        <f>$H144*L$2</f>
        <v>205.2</v>
      </c>
      <c r="M144" s="5"/>
      <c r="N144" s="5"/>
      <c r="O144" s="5"/>
      <c r="P144" s="5"/>
      <c r="Q144" s="5"/>
      <c r="R144" s="5"/>
      <c r="S144" s="5"/>
      <c r="T144" s="5"/>
      <c r="U144" s="5">
        <f t="shared" si="28"/>
        <v>205.2</v>
      </c>
    </row>
    <row r="145" spans="1:27" x14ac:dyDescent="0.25">
      <c r="A145" s="1">
        <v>45047</v>
      </c>
      <c r="B145" s="1">
        <v>45077</v>
      </c>
      <c r="C145" t="s">
        <v>85</v>
      </c>
      <c r="D145" t="s">
        <v>86</v>
      </c>
      <c r="E145" t="s">
        <v>93</v>
      </c>
      <c r="F145" t="s">
        <v>87</v>
      </c>
      <c r="G145" t="s">
        <v>102</v>
      </c>
      <c r="H145">
        <v>7.01</v>
      </c>
      <c r="I145" s="5"/>
      <c r="J145" s="5"/>
      <c r="K145" s="5"/>
      <c r="L145" s="5"/>
      <c r="M145" s="5">
        <f>$H145*M$2</f>
        <v>217.31</v>
      </c>
      <c r="N145" s="5"/>
      <c r="O145" s="5"/>
      <c r="P145" s="5"/>
      <c r="Q145" s="5"/>
      <c r="R145" s="5"/>
      <c r="S145" s="5"/>
      <c r="T145" s="5"/>
      <c r="U145" s="5">
        <f t="shared" si="28"/>
        <v>217.31</v>
      </c>
    </row>
    <row r="146" spans="1:27" x14ac:dyDescent="0.25">
      <c r="A146" s="1">
        <v>45078</v>
      </c>
      <c r="B146" s="1">
        <v>45107</v>
      </c>
      <c r="C146" t="s">
        <v>85</v>
      </c>
      <c r="D146" t="s">
        <v>86</v>
      </c>
      <c r="E146" t="s">
        <v>93</v>
      </c>
      <c r="F146" t="s">
        <v>87</v>
      </c>
      <c r="G146" t="s">
        <v>102</v>
      </c>
      <c r="H146">
        <v>7.1799999999999988</v>
      </c>
      <c r="I146" s="5"/>
      <c r="J146" s="5"/>
      <c r="K146" s="5"/>
      <c r="L146" s="5"/>
      <c r="M146" s="5"/>
      <c r="N146" s="5">
        <f>$H146*N$2</f>
        <v>215.39999999999998</v>
      </c>
      <c r="O146" s="5"/>
      <c r="P146" s="5"/>
      <c r="Q146" s="5"/>
      <c r="R146" s="5"/>
      <c r="S146" s="5"/>
      <c r="T146" s="5"/>
      <c r="U146" s="5">
        <f t="shared" si="28"/>
        <v>215.39999999999998</v>
      </c>
    </row>
    <row r="147" spans="1:27" x14ac:dyDescent="0.25">
      <c r="A147" s="1">
        <v>45108</v>
      </c>
      <c r="B147" s="1">
        <v>45138</v>
      </c>
      <c r="C147" t="s">
        <v>85</v>
      </c>
      <c r="D147" t="s">
        <v>86</v>
      </c>
      <c r="E147" t="s">
        <v>93</v>
      </c>
      <c r="F147" t="s">
        <v>87</v>
      </c>
      <c r="G147" t="s">
        <v>102</v>
      </c>
      <c r="H147">
        <v>7.35</v>
      </c>
      <c r="I147" s="5"/>
      <c r="J147" s="5"/>
      <c r="K147" s="5"/>
      <c r="L147" s="5"/>
      <c r="M147" s="5"/>
      <c r="N147" s="5"/>
      <c r="O147" s="5">
        <f>$H147*O$2</f>
        <v>227.85</v>
      </c>
      <c r="P147" s="5"/>
      <c r="Q147" s="5"/>
      <c r="R147" s="5"/>
      <c r="S147" s="5"/>
      <c r="T147" s="5"/>
      <c r="U147" s="5">
        <f t="shared" si="28"/>
        <v>227.85</v>
      </c>
    </row>
    <row r="148" spans="1:27" x14ac:dyDescent="0.25">
      <c r="A148" s="1">
        <v>45139</v>
      </c>
      <c r="B148" s="1">
        <v>45169</v>
      </c>
      <c r="C148" t="s">
        <v>85</v>
      </c>
      <c r="D148" t="s">
        <v>86</v>
      </c>
      <c r="E148" t="s">
        <v>93</v>
      </c>
      <c r="F148" t="s">
        <v>87</v>
      </c>
      <c r="G148" t="s">
        <v>102</v>
      </c>
      <c r="H148">
        <v>7.52</v>
      </c>
      <c r="I148" s="5"/>
      <c r="J148" s="5"/>
      <c r="K148" s="5"/>
      <c r="L148" s="5"/>
      <c r="M148" s="5"/>
      <c r="N148" s="5"/>
      <c r="O148" s="5"/>
      <c r="P148" s="5">
        <f>$H148*P$2</f>
        <v>233.11999999999998</v>
      </c>
      <c r="Q148" s="5"/>
      <c r="R148" s="5"/>
      <c r="S148" s="5"/>
      <c r="T148" s="5"/>
      <c r="U148" s="5">
        <f t="shared" si="28"/>
        <v>233.11999999999998</v>
      </c>
    </row>
    <row r="149" spans="1:27" x14ac:dyDescent="0.25">
      <c r="A149" s="1">
        <v>45170</v>
      </c>
      <c r="B149" s="1">
        <v>45199</v>
      </c>
      <c r="C149" t="s">
        <v>85</v>
      </c>
      <c r="D149" t="s">
        <v>86</v>
      </c>
      <c r="E149" t="s">
        <v>93</v>
      </c>
      <c r="F149" t="s">
        <v>87</v>
      </c>
      <c r="G149" t="s">
        <v>102</v>
      </c>
      <c r="H149">
        <v>7.6899999999999995</v>
      </c>
      <c r="I149" s="5"/>
      <c r="J149" s="5"/>
      <c r="K149" s="5"/>
      <c r="L149" s="5"/>
      <c r="M149" s="5"/>
      <c r="N149" s="5"/>
      <c r="O149" s="5"/>
      <c r="P149" s="5"/>
      <c r="Q149" s="5">
        <f>$H149*Q$2</f>
        <v>230.7</v>
      </c>
      <c r="R149" s="5"/>
      <c r="S149" s="5"/>
      <c r="T149" s="5"/>
      <c r="U149" s="5">
        <f t="shared" si="28"/>
        <v>230.7</v>
      </c>
    </row>
    <row r="150" spans="1:27" x14ac:dyDescent="0.25">
      <c r="A150" s="1">
        <v>45200</v>
      </c>
      <c r="B150" s="1">
        <v>45230</v>
      </c>
      <c r="C150" t="s">
        <v>85</v>
      </c>
      <c r="D150" t="s">
        <v>86</v>
      </c>
      <c r="E150" t="s">
        <v>93</v>
      </c>
      <c r="F150" t="s">
        <v>87</v>
      </c>
      <c r="G150" t="s">
        <v>102</v>
      </c>
      <c r="H150">
        <v>7.8599999999999985</v>
      </c>
      <c r="I150" s="5"/>
      <c r="J150" s="5"/>
      <c r="K150" s="5"/>
      <c r="L150" s="5"/>
      <c r="M150" s="5"/>
      <c r="N150" s="5"/>
      <c r="O150" s="5"/>
      <c r="P150" s="5"/>
      <c r="Q150" s="5"/>
      <c r="R150" s="5">
        <f>$H150*R$2</f>
        <v>243.65999999999997</v>
      </c>
      <c r="S150" s="5"/>
      <c r="T150" s="5"/>
      <c r="U150" s="5">
        <f t="shared" si="28"/>
        <v>243.65999999999997</v>
      </c>
    </row>
    <row r="151" spans="1:27" x14ac:dyDescent="0.25">
      <c r="A151" s="1">
        <v>45231</v>
      </c>
      <c r="B151" s="1">
        <v>45260</v>
      </c>
      <c r="C151" t="s">
        <v>85</v>
      </c>
      <c r="D151" t="s">
        <v>86</v>
      </c>
      <c r="E151" t="s">
        <v>93</v>
      </c>
      <c r="F151" t="s">
        <v>87</v>
      </c>
      <c r="G151" t="s">
        <v>102</v>
      </c>
      <c r="H151">
        <v>8.0299999999999994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>
        <f>$H151*S$2</f>
        <v>240.89999999999998</v>
      </c>
      <c r="T151" s="5"/>
      <c r="U151" s="5">
        <f t="shared" si="28"/>
        <v>240.89999999999998</v>
      </c>
      <c r="Y151" s="12" t="s">
        <v>124</v>
      </c>
      <c r="Z151" s="12" t="s">
        <v>125</v>
      </c>
    </row>
    <row r="152" spans="1:27" x14ac:dyDescent="0.25">
      <c r="A152" s="1">
        <v>45261</v>
      </c>
      <c r="B152" s="1">
        <v>45291</v>
      </c>
      <c r="C152" t="s">
        <v>85</v>
      </c>
      <c r="D152" t="s">
        <v>86</v>
      </c>
      <c r="E152" t="s">
        <v>93</v>
      </c>
      <c r="F152" t="s">
        <v>87</v>
      </c>
      <c r="G152" t="s">
        <v>102</v>
      </c>
      <c r="H152">
        <v>8.0299999999999994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>
        <f t="shared" ref="T152" si="31">$H152*T$2</f>
        <v>248.92999999999998</v>
      </c>
      <c r="U152" s="5">
        <f t="shared" si="28"/>
        <v>248.92999999999998</v>
      </c>
      <c r="V152" s="6">
        <f>SUM(U141:U152)</f>
        <v>2632.7699999999995</v>
      </c>
      <c r="W152" s="7">
        <f>V152/365</f>
        <v>7.2130684931506837</v>
      </c>
      <c r="X152" s="14" t="s">
        <v>133</v>
      </c>
      <c r="Y152" s="11">
        <v>7.2130684931506837</v>
      </c>
      <c r="Z152" s="7">
        <f>Y152-W152</f>
        <v>0</v>
      </c>
    </row>
    <row r="153" spans="1:27" x14ac:dyDescent="0.25">
      <c r="A153" s="1">
        <v>44927</v>
      </c>
      <c r="B153" s="1">
        <v>44957</v>
      </c>
      <c r="C153" t="s">
        <v>91</v>
      </c>
      <c r="D153" t="s">
        <v>91</v>
      </c>
      <c r="E153" t="s">
        <v>93</v>
      </c>
      <c r="F153" t="s">
        <v>87</v>
      </c>
      <c r="G153" t="s">
        <v>102</v>
      </c>
      <c r="H153">
        <v>6.9796000000000014</v>
      </c>
      <c r="I153" s="22">
        <f>$H153*I$2</f>
        <v>216.36760000000004</v>
      </c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>
        <f t="shared" si="28"/>
        <v>216.36760000000004</v>
      </c>
      <c r="AA153" s="8"/>
    </row>
    <row r="154" spans="1:27" x14ac:dyDescent="0.25">
      <c r="A154" s="1">
        <v>44958</v>
      </c>
      <c r="B154" s="1">
        <v>44985</v>
      </c>
      <c r="C154" t="s">
        <v>91</v>
      </c>
      <c r="D154" t="s">
        <v>91</v>
      </c>
      <c r="E154" t="s">
        <v>93</v>
      </c>
      <c r="F154" t="s">
        <v>87</v>
      </c>
      <c r="G154" t="s">
        <v>102</v>
      </c>
      <c r="H154">
        <v>7.8732000000000015</v>
      </c>
      <c r="I154" s="22"/>
      <c r="J154" s="22">
        <f>$H154*J$2</f>
        <v>220.44960000000003</v>
      </c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>
        <f t="shared" si="28"/>
        <v>220.44960000000003</v>
      </c>
      <c r="AA154" s="8"/>
    </row>
    <row r="155" spans="1:27" x14ac:dyDescent="0.25">
      <c r="A155" s="1">
        <v>44986</v>
      </c>
      <c r="B155" s="1">
        <v>45016</v>
      </c>
      <c r="C155" t="s">
        <v>91</v>
      </c>
      <c r="D155" t="s">
        <v>91</v>
      </c>
      <c r="E155" t="s">
        <v>93</v>
      </c>
      <c r="F155" t="s">
        <v>87</v>
      </c>
      <c r="G155" t="s">
        <v>102</v>
      </c>
      <c r="H155">
        <v>8.7667999999999999</v>
      </c>
      <c r="I155" s="22"/>
      <c r="J155" s="22"/>
      <c r="K155" s="22">
        <f>$H155*K$2</f>
        <v>271.77080000000001</v>
      </c>
      <c r="L155" s="22"/>
      <c r="M155" s="22"/>
      <c r="N155" s="22"/>
      <c r="O155" s="22"/>
      <c r="P155" s="22"/>
      <c r="Q155" s="22"/>
      <c r="R155" s="22"/>
      <c r="S155" s="22"/>
      <c r="T155" s="22"/>
      <c r="U155" s="22">
        <f t="shared" si="28"/>
        <v>271.77080000000001</v>
      </c>
      <c r="AA155" s="8"/>
    </row>
    <row r="156" spans="1:27" x14ac:dyDescent="0.25">
      <c r="A156" s="1">
        <v>45017</v>
      </c>
      <c r="B156" s="1">
        <v>45046</v>
      </c>
      <c r="C156" t="s">
        <v>91</v>
      </c>
      <c r="D156" t="s">
        <v>91</v>
      </c>
      <c r="E156" t="s">
        <v>93</v>
      </c>
      <c r="F156" t="s">
        <v>87</v>
      </c>
      <c r="G156" t="s">
        <v>102</v>
      </c>
      <c r="H156">
        <v>9.2136000000000013</v>
      </c>
      <c r="I156" s="22"/>
      <c r="J156" s="22"/>
      <c r="K156" s="22"/>
      <c r="L156" s="22">
        <f>$H156*L$2</f>
        <v>276.40800000000002</v>
      </c>
      <c r="M156" s="22"/>
      <c r="N156" s="22"/>
      <c r="O156" s="22"/>
      <c r="P156" s="22"/>
      <c r="Q156" s="22"/>
      <c r="R156" s="22"/>
      <c r="S156" s="22"/>
      <c r="T156" s="22"/>
      <c r="U156" s="22">
        <f t="shared" si="28"/>
        <v>276.40800000000002</v>
      </c>
      <c r="AA156" s="8"/>
    </row>
    <row r="157" spans="1:27" x14ac:dyDescent="0.25">
      <c r="A157" s="1">
        <v>45047</v>
      </c>
      <c r="B157" s="1">
        <v>45077</v>
      </c>
      <c r="C157" t="s">
        <v>91</v>
      </c>
      <c r="D157" t="s">
        <v>91</v>
      </c>
      <c r="E157" t="s">
        <v>93</v>
      </c>
      <c r="F157" t="s">
        <v>87</v>
      </c>
      <c r="G157" t="s">
        <v>102</v>
      </c>
      <c r="H157">
        <v>9.6603999999999957</v>
      </c>
      <c r="I157" s="22"/>
      <c r="J157" s="22"/>
      <c r="K157" s="22"/>
      <c r="L157" s="22"/>
      <c r="M157" s="22">
        <f>$H157*M$2</f>
        <v>299.47239999999988</v>
      </c>
      <c r="N157" s="22"/>
      <c r="O157" s="22"/>
      <c r="P157" s="22"/>
      <c r="Q157" s="22"/>
      <c r="R157" s="22"/>
      <c r="S157" s="22"/>
      <c r="T157" s="22"/>
      <c r="U157" s="22">
        <f t="shared" si="28"/>
        <v>299.47239999999988</v>
      </c>
      <c r="AA157" s="8"/>
    </row>
    <row r="158" spans="1:27" x14ac:dyDescent="0.25">
      <c r="A158" s="1">
        <v>45078</v>
      </c>
      <c r="B158" s="1">
        <v>45107</v>
      </c>
      <c r="C158" t="s">
        <v>91</v>
      </c>
      <c r="D158" t="s">
        <v>91</v>
      </c>
      <c r="E158" t="s">
        <v>93</v>
      </c>
      <c r="F158" t="s">
        <v>87</v>
      </c>
      <c r="G158" t="s">
        <v>102</v>
      </c>
      <c r="H158">
        <v>10.107199999999999</v>
      </c>
      <c r="I158" s="22"/>
      <c r="J158" s="22"/>
      <c r="K158" s="22"/>
      <c r="L158" s="22"/>
      <c r="M158" s="22"/>
      <c r="N158" s="22">
        <f>$H158*N$2</f>
        <v>303.21599999999995</v>
      </c>
      <c r="O158" s="22"/>
      <c r="P158" s="22"/>
      <c r="Q158" s="22"/>
      <c r="R158" s="22"/>
      <c r="S158" s="22"/>
      <c r="T158" s="22"/>
      <c r="U158" s="22">
        <f t="shared" si="28"/>
        <v>303.21599999999995</v>
      </c>
      <c r="AA158" s="8"/>
    </row>
    <row r="159" spans="1:27" x14ac:dyDescent="0.25">
      <c r="A159" s="1">
        <v>45108</v>
      </c>
      <c r="B159" s="1">
        <v>45138</v>
      </c>
      <c r="C159" t="s">
        <v>91</v>
      </c>
      <c r="D159" t="s">
        <v>91</v>
      </c>
      <c r="E159" t="s">
        <v>93</v>
      </c>
      <c r="F159" t="s">
        <v>87</v>
      </c>
      <c r="G159" t="s">
        <v>102</v>
      </c>
      <c r="H159">
        <v>10.553999999999998</v>
      </c>
      <c r="I159" s="22"/>
      <c r="J159" s="22"/>
      <c r="K159" s="22"/>
      <c r="L159" s="22"/>
      <c r="M159" s="22"/>
      <c r="N159" s="22"/>
      <c r="O159" s="22">
        <f>$H159*O$2</f>
        <v>327.17399999999998</v>
      </c>
      <c r="P159" s="22"/>
      <c r="Q159" s="22"/>
      <c r="R159" s="22"/>
      <c r="S159" s="22"/>
      <c r="T159" s="22"/>
      <c r="U159" s="22">
        <f t="shared" si="28"/>
        <v>327.17399999999998</v>
      </c>
      <c r="AA159" s="8"/>
    </row>
    <row r="160" spans="1:27" x14ac:dyDescent="0.25">
      <c r="A160" s="1">
        <v>45139</v>
      </c>
      <c r="B160" s="1">
        <v>45169</v>
      </c>
      <c r="C160" t="s">
        <v>91</v>
      </c>
      <c r="D160" t="s">
        <v>91</v>
      </c>
      <c r="E160" t="s">
        <v>93</v>
      </c>
      <c r="F160" t="s">
        <v>87</v>
      </c>
      <c r="G160" t="s">
        <v>102</v>
      </c>
      <c r="H160">
        <v>11.000799999999996</v>
      </c>
      <c r="I160" s="22"/>
      <c r="J160" s="22"/>
      <c r="K160" s="22"/>
      <c r="L160" s="22"/>
      <c r="M160" s="22"/>
      <c r="N160" s="22"/>
      <c r="O160" s="22"/>
      <c r="P160" s="22">
        <f>$H160*P$2</f>
        <v>341.02479999999991</v>
      </c>
      <c r="Q160" s="22"/>
      <c r="R160" s="22"/>
      <c r="S160" s="22"/>
      <c r="T160" s="22"/>
      <c r="U160" s="22">
        <f t="shared" si="28"/>
        <v>341.02479999999991</v>
      </c>
      <c r="AA160" s="8"/>
    </row>
    <row r="161" spans="1:27" x14ac:dyDescent="0.25">
      <c r="A161" s="1">
        <v>45170</v>
      </c>
      <c r="B161" s="1">
        <v>45199</v>
      </c>
      <c r="C161" t="s">
        <v>91</v>
      </c>
      <c r="D161" t="s">
        <v>91</v>
      </c>
      <c r="E161" t="s">
        <v>93</v>
      </c>
      <c r="F161" t="s">
        <v>87</v>
      </c>
      <c r="G161" t="s">
        <v>102</v>
      </c>
      <c r="H161">
        <v>11.447599999999998</v>
      </c>
      <c r="I161" s="22"/>
      <c r="J161" s="22"/>
      <c r="K161" s="22"/>
      <c r="L161" s="22"/>
      <c r="M161" s="22"/>
      <c r="N161" s="22"/>
      <c r="O161" s="22"/>
      <c r="P161" s="22"/>
      <c r="Q161" s="22">
        <f>$H161*Q$2</f>
        <v>343.42799999999994</v>
      </c>
      <c r="R161" s="22"/>
      <c r="S161" s="22"/>
      <c r="T161" s="22"/>
      <c r="U161" s="22">
        <f t="shared" si="28"/>
        <v>343.42799999999994</v>
      </c>
      <c r="AA161" s="8"/>
    </row>
    <row r="162" spans="1:27" x14ac:dyDescent="0.25">
      <c r="A162" s="1">
        <v>45200</v>
      </c>
      <c r="B162" s="1">
        <v>45230</v>
      </c>
      <c r="C162" t="s">
        <v>91</v>
      </c>
      <c r="D162" t="s">
        <v>91</v>
      </c>
      <c r="E162" t="s">
        <v>93</v>
      </c>
      <c r="F162" t="s">
        <v>87</v>
      </c>
      <c r="G162" t="s">
        <v>102</v>
      </c>
      <c r="H162">
        <v>11.894399999999997</v>
      </c>
      <c r="I162" s="22"/>
      <c r="J162" s="22"/>
      <c r="K162" s="22"/>
      <c r="L162" s="22"/>
      <c r="M162" s="22"/>
      <c r="N162" s="22"/>
      <c r="O162" s="22"/>
      <c r="P162" s="22"/>
      <c r="Q162" s="22"/>
      <c r="R162" s="22">
        <f>$H162*R$2</f>
        <v>368.7263999999999</v>
      </c>
      <c r="S162" s="22"/>
      <c r="T162" s="22"/>
      <c r="U162" s="22">
        <f t="shared" si="28"/>
        <v>368.7263999999999</v>
      </c>
      <c r="AA162" s="8"/>
    </row>
    <row r="163" spans="1:27" x14ac:dyDescent="0.25">
      <c r="A163" s="1">
        <v>45231</v>
      </c>
      <c r="B163" s="1">
        <v>45260</v>
      </c>
      <c r="C163" t="s">
        <v>91</v>
      </c>
      <c r="D163" t="s">
        <v>91</v>
      </c>
      <c r="E163" t="s">
        <v>93</v>
      </c>
      <c r="F163" t="s">
        <v>87</v>
      </c>
      <c r="G163" t="s">
        <v>102</v>
      </c>
      <c r="H163">
        <v>12.341199999999999</v>
      </c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>
        <f>$H163*S$2</f>
        <v>370.23599999999999</v>
      </c>
      <c r="T163" s="22"/>
      <c r="U163" s="22">
        <f t="shared" si="28"/>
        <v>370.23599999999999</v>
      </c>
      <c r="Y163" s="12" t="s">
        <v>124</v>
      </c>
      <c r="Z163" s="12" t="s">
        <v>125</v>
      </c>
      <c r="AA163" s="8"/>
    </row>
    <row r="164" spans="1:27" x14ac:dyDescent="0.25">
      <c r="A164" s="1">
        <v>45261</v>
      </c>
      <c r="B164" s="1">
        <v>45291</v>
      </c>
      <c r="C164" t="s">
        <v>91</v>
      </c>
      <c r="D164" t="s">
        <v>91</v>
      </c>
      <c r="E164" t="s">
        <v>93</v>
      </c>
      <c r="F164" t="s">
        <v>87</v>
      </c>
      <c r="G164" t="s">
        <v>102</v>
      </c>
      <c r="H164">
        <v>12.341200000000001</v>
      </c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>
        <f t="shared" ref="T164" si="32">$H164*T$2</f>
        <v>382.5772</v>
      </c>
      <c r="U164" s="22">
        <f t="shared" si="28"/>
        <v>382.5772</v>
      </c>
      <c r="V164" s="6">
        <f>SUM(U153:U164)</f>
        <v>3720.8507999999997</v>
      </c>
      <c r="W164" s="7">
        <f>V164/365</f>
        <v>10.194111780821917</v>
      </c>
      <c r="X164" s="7">
        <f>+W164</f>
        <v>10.194111780821917</v>
      </c>
      <c r="Y164" s="11">
        <v>10.194111780821917</v>
      </c>
      <c r="Z164" s="16">
        <f>Y164-X164</f>
        <v>0</v>
      </c>
      <c r="AA164" s="8"/>
    </row>
    <row r="165" spans="1:27" s="38" customFormat="1" x14ac:dyDescent="0.25">
      <c r="A165" s="37">
        <v>44927</v>
      </c>
      <c r="B165" s="37">
        <v>45291</v>
      </c>
      <c r="C165" s="38" t="s">
        <v>91</v>
      </c>
      <c r="D165" s="38" t="s">
        <v>91</v>
      </c>
      <c r="E165" s="38" t="s">
        <v>93</v>
      </c>
      <c r="F165" s="38" t="s">
        <v>87</v>
      </c>
      <c r="G165" s="38" t="s">
        <v>100</v>
      </c>
      <c r="H165" s="42">
        <v>14</v>
      </c>
      <c r="I165" s="39">
        <f t="shared" ref="I165:T167" si="33">$H165*I$2</f>
        <v>434</v>
      </c>
      <c r="J165" s="39">
        <f t="shared" si="33"/>
        <v>392</v>
      </c>
      <c r="K165" s="39">
        <f t="shared" si="33"/>
        <v>434</v>
      </c>
      <c r="L165" s="39">
        <f t="shared" si="33"/>
        <v>420</v>
      </c>
      <c r="M165" s="39">
        <f t="shared" si="33"/>
        <v>434</v>
      </c>
      <c r="N165" s="39">
        <f t="shared" si="33"/>
        <v>420</v>
      </c>
      <c r="O165" s="39">
        <f t="shared" si="33"/>
        <v>434</v>
      </c>
      <c r="P165" s="39">
        <f t="shared" si="33"/>
        <v>434</v>
      </c>
      <c r="Q165" s="39">
        <f t="shared" si="33"/>
        <v>420</v>
      </c>
      <c r="R165" s="39">
        <f t="shared" si="33"/>
        <v>434</v>
      </c>
      <c r="S165" s="39">
        <f t="shared" si="33"/>
        <v>420</v>
      </c>
      <c r="T165" s="39">
        <f t="shared" si="33"/>
        <v>434</v>
      </c>
      <c r="U165" s="39">
        <f t="shared" ref="U165" si="34">SUBTOTAL(9,I165:T165)</f>
        <v>5110</v>
      </c>
      <c r="V165" s="40">
        <f>U165</f>
        <v>5110</v>
      </c>
      <c r="W165" s="41">
        <f>V165/365</f>
        <v>14</v>
      </c>
      <c r="X165" s="7">
        <f>SUM(W165:W167)</f>
        <v>20</v>
      </c>
      <c r="Y165" s="11">
        <v>20</v>
      </c>
      <c r="Z165" s="16">
        <f>Y165-X165</f>
        <v>0</v>
      </c>
    </row>
    <row r="166" spans="1:27" x14ac:dyDescent="0.25">
      <c r="A166" s="1">
        <v>44927</v>
      </c>
      <c r="B166" s="1">
        <v>45291</v>
      </c>
      <c r="C166" t="s">
        <v>45</v>
      </c>
      <c r="D166" t="s">
        <v>46</v>
      </c>
      <c r="E166" t="s">
        <v>93</v>
      </c>
      <c r="F166" t="s">
        <v>87</v>
      </c>
      <c r="G166" s="29" t="s">
        <v>100</v>
      </c>
      <c r="H166">
        <v>4</v>
      </c>
      <c r="I166" s="22">
        <f t="shared" si="33"/>
        <v>124</v>
      </c>
      <c r="J166" s="22">
        <f t="shared" si="33"/>
        <v>112</v>
      </c>
      <c r="K166" s="22">
        <f t="shared" si="33"/>
        <v>124</v>
      </c>
      <c r="L166" s="22">
        <f t="shared" si="33"/>
        <v>120</v>
      </c>
      <c r="M166" s="22">
        <f t="shared" si="33"/>
        <v>124</v>
      </c>
      <c r="N166" s="22">
        <f t="shared" si="33"/>
        <v>120</v>
      </c>
      <c r="O166" s="22">
        <f t="shared" si="33"/>
        <v>124</v>
      </c>
      <c r="P166" s="22">
        <f t="shared" si="33"/>
        <v>124</v>
      </c>
      <c r="Q166" s="22">
        <f t="shared" si="33"/>
        <v>120</v>
      </c>
      <c r="R166" s="22">
        <f t="shared" si="33"/>
        <v>124</v>
      </c>
      <c r="S166" s="22">
        <f t="shared" si="33"/>
        <v>120</v>
      </c>
      <c r="T166" s="22">
        <f t="shared" si="33"/>
        <v>124</v>
      </c>
      <c r="U166" s="22">
        <f t="shared" ref="U166:U167" si="35">SUBTOTAL(9,I166:T166)</f>
        <v>1460</v>
      </c>
      <c r="V166" s="6">
        <f>U166</f>
        <v>1460</v>
      </c>
      <c r="W166" s="7">
        <f>V166/365</f>
        <v>4</v>
      </c>
    </row>
    <row r="167" spans="1:27" x14ac:dyDescent="0.25">
      <c r="A167" s="1">
        <v>44927</v>
      </c>
      <c r="B167" s="1">
        <v>45291</v>
      </c>
      <c r="C167" t="s">
        <v>85</v>
      </c>
      <c r="D167" t="s">
        <v>86</v>
      </c>
      <c r="E167" t="s">
        <v>93</v>
      </c>
      <c r="F167" t="s">
        <v>87</v>
      </c>
      <c r="G167" s="29" t="s">
        <v>100</v>
      </c>
      <c r="H167">
        <v>2</v>
      </c>
      <c r="I167" s="22">
        <f t="shared" si="33"/>
        <v>62</v>
      </c>
      <c r="J167" s="22">
        <f t="shared" si="33"/>
        <v>56</v>
      </c>
      <c r="K167" s="22">
        <f t="shared" si="33"/>
        <v>62</v>
      </c>
      <c r="L167" s="22">
        <f t="shared" si="33"/>
        <v>60</v>
      </c>
      <c r="M167" s="22">
        <f t="shared" si="33"/>
        <v>62</v>
      </c>
      <c r="N167" s="22">
        <f t="shared" si="33"/>
        <v>60</v>
      </c>
      <c r="O167" s="22">
        <f t="shared" si="33"/>
        <v>62</v>
      </c>
      <c r="P167" s="22">
        <f t="shared" si="33"/>
        <v>62</v>
      </c>
      <c r="Q167" s="22">
        <f t="shared" si="33"/>
        <v>60</v>
      </c>
      <c r="R167" s="22">
        <f t="shared" si="33"/>
        <v>62</v>
      </c>
      <c r="S167" s="22">
        <f t="shared" si="33"/>
        <v>60</v>
      </c>
      <c r="T167" s="22">
        <f t="shared" si="33"/>
        <v>62</v>
      </c>
      <c r="U167" s="22">
        <f t="shared" si="35"/>
        <v>730</v>
      </c>
      <c r="V167" s="6">
        <f>U167</f>
        <v>730</v>
      </c>
      <c r="W167" s="7">
        <f>V167/365</f>
        <v>2</v>
      </c>
    </row>
    <row r="168" spans="1:27" x14ac:dyDescent="0.25">
      <c r="A168" s="1"/>
      <c r="B168" s="1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AA168" s="8"/>
    </row>
    <row r="169" spans="1:27" x14ac:dyDescent="0.25">
      <c r="A169" s="17">
        <v>44927</v>
      </c>
      <c r="B169" s="17">
        <v>45291</v>
      </c>
      <c r="C169" s="18" t="s">
        <v>8</v>
      </c>
      <c r="D169" s="18" t="s">
        <v>9</v>
      </c>
      <c r="E169" s="18" t="s">
        <v>75</v>
      </c>
      <c r="F169" s="18" t="s">
        <v>76</v>
      </c>
      <c r="G169" s="18" t="s">
        <v>79</v>
      </c>
      <c r="H169" s="18">
        <f>24*0.96</f>
        <v>23.04</v>
      </c>
      <c r="I169" s="19">
        <f t="shared" ref="I169:T203" si="36">$H169*I$2</f>
        <v>714.24</v>
      </c>
      <c r="J169" s="19">
        <f t="shared" si="36"/>
        <v>645.12</v>
      </c>
      <c r="K169" s="19">
        <f t="shared" si="36"/>
        <v>714.24</v>
      </c>
      <c r="L169" s="19">
        <f t="shared" si="36"/>
        <v>691.19999999999993</v>
      </c>
      <c r="M169" s="19">
        <f t="shared" si="36"/>
        <v>714.24</v>
      </c>
      <c r="N169" s="19">
        <f t="shared" si="36"/>
        <v>691.19999999999993</v>
      </c>
      <c r="O169" s="19">
        <f t="shared" si="36"/>
        <v>714.24</v>
      </c>
      <c r="P169" s="19">
        <f t="shared" si="36"/>
        <v>714.24</v>
      </c>
      <c r="Q169" s="19">
        <f t="shared" si="36"/>
        <v>691.19999999999993</v>
      </c>
      <c r="R169" s="19">
        <f t="shared" si="36"/>
        <v>714.24</v>
      </c>
      <c r="S169" s="19">
        <f t="shared" si="36"/>
        <v>691.19999999999993</v>
      </c>
      <c r="T169" s="19">
        <f t="shared" si="36"/>
        <v>714.24</v>
      </c>
      <c r="U169" s="19">
        <f t="shared" si="28"/>
        <v>8409.5999999999985</v>
      </c>
      <c r="V169" s="20">
        <f>U169</f>
        <v>8409.5999999999985</v>
      </c>
      <c r="W169" s="21">
        <v>23.04</v>
      </c>
      <c r="AA169" s="8" t="s">
        <v>141</v>
      </c>
    </row>
    <row r="170" spans="1:27" x14ac:dyDescent="0.25">
      <c r="A170" s="1">
        <v>44927</v>
      </c>
      <c r="B170" s="1">
        <v>45291</v>
      </c>
      <c r="C170" t="s">
        <v>8</v>
      </c>
      <c r="D170" t="s">
        <v>9</v>
      </c>
      <c r="E170" t="s">
        <v>75</v>
      </c>
      <c r="F170" t="s">
        <v>76</v>
      </c>
      <c r="G170" t="s">
        <v>77</v>
      </c>
      <c r="H170">
        <v>29.759999999999998</v>
      </c>
      <c r="I170" s="5">
        <f t="shared" si="36"/>
        <v>922.56</v>
      </c>
      <c r="J170" s="5">
        <f t="shared" si="36"/>
        <v>833.28</v>
      </c>
      <c r="K170" s="5">
        <f t="shared" si="36"/>
        <v>922.56</v>
      </c>
      <c r="L170" s="5">
        <f t="shared" si="36"/>
        <v>892.8</v>
      </c>
      <c r="M170" s="5">
        <f t="shared" si="36"/>
        <v>922.56</v>
      </c>
      <c r="N170" s="5">
        <f t="shared" si="36"/>
        <v>892.8</v>
      </c>
      <c r="O170" s="5">
        <f t="shared" si="36"/>
        <v>922.56</v>
      </c>
      <c r="P170" s="5">
        <f t="shared" si="36"/>
        <v>922.56</v>
      </c>
      <c r="Q170" s="5">
        <f t="shared" si="36"/>
        <v>892.8</v>
      </c>
      <c r="R170" s="5">
        <f t="shared" si="36"/>
        <v>922.56</v>
      </c>
      <c r="S170" s="5">
        <f t="shared" si="36"/>
        <v>892.8</v>
      </c>
      <c r="T170" s="5">
        <f t="shared" si="36"/>
        <v>922.56</v>
      </c>
      <c r="U170" s="5">
        <f t="shared" si="28"/>
        <v>10862.4</v>
      </c>
      <c r="V170" s="6">
        <f t="shared" ref="V170:V202" si="37">U170</f>
        <v>10862.4</v>
      </c>
      <c r="W170" s="26">
        <f t="shared" ref="W170:W202" si="38">V170/365</f>
        <v>29.759999999999998</v>
      </c>
      <c r="AA170" s="8"/>
    </row>
    <row r="171" spans="1:27" x14ac:dyDescent="0.25">
      <c r="A171" s="1">
        <v>44927</v>
      </c>
      <c r="B171" s="1">
        <v>45291</v>
      </c>
      <c r="C171" t="s">
        <v>8</v>
      </c>
      <c r="D171" t="s">
        <v>9</v>
      </c>
      <c r="E171" t="s">
        <v>75</v>
      </c>
      <c r="F171" t="s">
        <v>76</v>
      </c>
      <c r="G171" t="s">
        <v>80</v>
      </c>
      <c r="H171">
        <f>12*0.96</f>
        <v>11.52</v>
      </c>
      <c r="I171" s="5">
        <f t="shared" si="36"/>
        <v>357.12</v>
      </c>
      <c r="J171" s="5">
        <f t="shared" si="36"/>
        <v>322.56</v>
      </c>
      <c r="K171" s="5">
        <f t="shared" si="36"/>
        <v>357.12</v>
      </c>
      <c r="L171" s="5">
        <f t="shared" si="36"/>
        <v>345.59999999999997</v>
      </c>
      <c r="M171" s="5">
        <f t="shared" si="36"/>
        <v>357.12</v>
      </c>
      <c r="N171" s="5">
        <f t="shared" si="36"/>
        <v>345.59999999999997</v>
      </c>
      <c r="O171" s="5">
        <f t="shared" si="36"/>
        <v>357.12</v>
      </c>
      <c r="P171" s="5">
        <f t="shared" si="36"/>
        <v>357.12</v>
      </c>
      <c r="Q171" s="5">
        <f t="shared" si="36"/>
        <v>345.59999999999997</v>
      </c>
      <c r="R171" s="5">
        <f t="shared" si="36"/>
        <v>357.12</v>
      </c>
      <c r="S171" s="5">
        <f t="shared" si="36"/>
        <v>345.59999999999997</v>
      </c>
      <c r="T171" s="5">
        <f t="shared" si="36"/>
        <v>357.12</v>
      </c>
      <c r="U171" s="5">
        <f t="shared" si="28"/>
        <v>4204.7999999999993</v>
      </c>
      <c r="V171" s="6">
        <f t="shared" si="37"/>
        <v>4204.7999999999993</v>
      </c>
      <c r="W171" s="26">
        <f t="shared" si="38"/>
        <v>11.519999999999998</v>
      </c>
      <c r="Y171" s="12" t="s">
        <v>124</v>
      </c>
      <c r="Z171" s="12" t="s">
        <v>125</v>
      </c>
      <c r="AA171" s="8"/>
    </row>
    <row r="172" spans="1:27" x14ac:dyDescent="0.25">
      <c r="A172" s="1">
        <v>44927</v>
      </c>
      <c r="B172" s="1">
        <v>45291</v>
      </c>
      <c r="C172" t="s">
        <v>8</v>
      </c>
      <c r="D172" t="s">
        <v>9</v>
      </c>
      <c r="E172" t="s">
        <v>75</v>
      </c>
      <c r="F172" t="s">
        <v>76</v>
      </c>
      <c r="G172" t="s">
        <v>78</v>
      </c>
      <c r="H172">
        <v>5.76</v>
      </c>
      <c r="I172" s="5">
        <f t="shared" si="36"/>
        <v>178.56</v>
      </c>
      <c r="J172" s="5">
        <f t="shared" si="36"/>
        <v>161.28</v>
      </c>
      <c r="K172" s="5">
        <f t="shared" si="36"/>
        <v>178.56</v>
      </c>
      <c r="L172" s="5">
        <f t="shared" si="36"/>
        <v>172.79999999999998</v>
      </c>
      <c r="M172" s="5">
        <f t="shared" si="36"/>
        <v>178.56</v>
      </c>
      <c r="N172" s="5">
        <f t="shared" si="36"/>
        <v>172.79999999999998</v>
      </c>
      <c r="O172" s="5">
        <f t="shared" si="36"/>
        <v>178.56</v>
      </c>
      <c r="P172" s="5">
        <f t="shared" si="36"/>
        <v>178.56</v>
      </c>
      <c r="Q172" s="5">
        <f t="shared" si="36"/>
        <v>172.79999999999998</v>
      </c>
      <c r="R172" s="5">
        <f t="shared" si="36"/>
        <v>178.56</v>
      </c>
      <c r="S172" s="5">
        <f t="shared" si="36"/>
        <v>172.79999999999998</v>
      </c>
      <c r="T172" s="5">
        <f t="shared" si="36"/>
        <v>178.56</v>
      </c>
      <c r="U172" s="5">
        <f t="shared" si="28"/>
        <v>2102.3999999999996</v>
      </c>
      <c r="V172" s="6">
        <f t="shared" si="37"/>
        <v>2102.3999999999996</v>
      </c>
      <c r="W172" s="26">
        <f t="shared" si="38"/>
        <v>5.7599999999999989</v>
      </c>
      <c r="X172" s="7">
        <f>W169+W170+W171+W172</f>
        <v>70.08</v>
      </c>
      <c r="Y172" s="11">
        <v>70.08</v>
      </c>
      <c r="Z172" s="23">
        <f>Y172-X172</f>
        <v>0</v>
      </c>
      <c r="AA172" s="8"/>
    </row>
    <row r="173" spans="1:27" x14ac:dyDescent="0.25">
      <c r="A173" s="1">
        <v>44927</v>
      </c>
      <c r="B173" s="1">
        <v>45291</v>
      </c>
      <c r="C173" t="s">
        <v>8</v>
      </c>
      <c r="D173" t="s">
        <v>20</v>
      </c>
      <c r="E173" t="s">
        <v>75</v>
      </c>
      <c r="F173" t="s">
        <v>81</v>
      </c>
      <c r="G173" t="s">
        <v>82</v>
      </c>
      <c r="H173">
        <v>64.239999999999995</v>
      </c>
      <c r="I173" s="5">
        <f t="shared" si="36"/>
        <v>1991.4399999999998</v>
      </c>
      <c r="J173" s="5">
        <f t="shared" si="36"/>
        <v>1798.7199999999998</v>
      </c>
      <c r="K173" s="5">
        <f t="shared" si="36"/>
        <v>1991.4399999999998</v>
      </c>
      <c r="L173" s="5">
        <f t="shared" si="36"/>
        <v>1927.1999999999998</v>
      </c>
      <c r="M173" s="5">
        <f t="shared" si="36"/>
        <v>1991.4399999999998</v>
      </c>
      <c r="N173" s="5">
        <f t="shared" si="36"/>
        <v>1927.1999999999998</v>
      </c>
      <c r="O173" s="5">
        <f t="shared" si="36"/>
        <v>1991.4399999999998</v>
      </c>
      <c r="P173" s="5">
        <f t="shared" si="36"/>
        <v>1991.4399999999998</v>
      </c>
      <c r="Q173" s="5">
        <f t="shared" si="36"/>
        <v>1927.1999999999998</v>
      </c>
      <c r="R173" s="5">
        <f t="shared" si="36"/>
        <v>1991.4399999999998</v>
      </c>
      <c r="S173" s="5">
        <f t="shared" si="36"/>
        <v>1927.1999999999998</v>
      </c>
      <c r="T173" s="5">
        <f t="shared" si="36"/>
        <v>1991.4399999999998</v>
      </c>
      <c r="U173" s="5">
        <f t="shared" si="28"/>
        <v>23447.599999999999</v>
      </c>
      <c r="V173" s="6">
        <f t="shared" si="37"/>
        <v>23447.599999999999</v>
      </c>
      <c r="W173" s="7">
        <f t="shared" si="38"/>
        <v>64.239999999999995</v>
      </c>
      <c r="X173" t="s">
        <v>134</v>
      </c>
      <c r="Y173" s="11">
        <v>64.239999999999995</v>
      </c>
      <c r="Z173" s="23">
        <f>Y173-W173</f>
        <v>0</v>
      </c>
      <c r="AA173" s="8"/>
    </row>
    <row r="174" spans="1:27" x14ac:dyDescent="0.25">
      <c r="A174" s="1">
        <v>44927</v>
      </c>
      <c r="B174" s="1">
        <v>44957</v>
      </c>
      <c r="C174" t="s">
        <v>8</v>
      </c>
      <c r="D174" t="s">
        <v>20</v>
      </c>
      <c r="E174" t="s">
        <v>75</v>
      </c>
      <c r="F174" t="s">
        <v>81</v>
      </c>
      <c r="G174" t="s">
        <v>83</v>
      </c>
      <c r="H174">
        <f>29/2</f>
        <v>14.5</v>
      </c>
      <c r="I174" s="22">
        <f>$H174*I$2</f>
        <v>449.5</v>
      </c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>
        <f t="shared" ref="U174:U197" si="39">SUBTOTAL(9,I174:T174)</f>
        <v>449.5</v>
      </c>
      <c r="AA174" s="8"/>
    </row>
    <row r="175" spans="1:27" x14ac:dyDescent="0.25">
      <c r="A175" s="1">
        <v>44958</v>
      </c>
      <c r="B175" s="1">
        <v>44985</v>
      </c>
      <c r="C175" t="s">
        <v>8</v>
      </c>
      <c r="D175" t="s">
        <v>20</v>
      </c>
      <c r="E175" t="s">
        <v>75</v>
      </c>
      <c r="F175" t="s">
        <v>81</v>
      </c>
      <c r="G175" t="s">
        <v>83</v>
      </c>
      <c r="H175">
        <f>31/2</f>
        <v>15.5</v>
      </c>
      <c r="I175" s="22"/>
      <c r="J175" s="22">
        <f>$H175*J$2</f>
        <v>434</v>
      </c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>
        <f t="shared" si="39"/>
        <v>434</v>
      </c>
      <c r="AA175" s="8"/>
    </row>
    <row r="176" spans="1:27" x14ac:dyDescent="0.25">
      <c r="A176" s="1">
        <v>44986</v>
      </c>
      <c r="B176" s="1">
        <v>45016</v>
      </c>
      <c r="C176" t="s">
        <v>8</v>
      </c>
      <c r="D176" t="s">
        <v>20</v>
      </c>
      <c r="E176" t="s">
        <v>75</v>
      </c>
      <c r="F176" t="s">
        <v>81</v>
      </c>
      <c r="G176" t="s">
        <v>83</v>
      </c>
      <c r="H176">
        <f>33/2</f>
        <v>16.5</v>
      </c>
      <c r="I176" s="22"/>
      <c r="J176" s="22"/>
      <c r="K176" s="22">
        <f>$H176*K$2</f>
        <v>511.5</v>
      </c>
      <c r="L176" s="22"/>
      <c r="M176" s="22"/>
      <c r="N176" s="22"/>
      <c r="O176" s="22"/>
      <c r="P176" s="22"/>
      <c r="Q176" s="22"/>
      <c r="R176" s="22"/>
      <c r="S176" s="22"/>
      <c r="T176" s="22"/>
      <c r="U176" s="22">
        <f t="shared" si="39"/>
        <v>511.5</v>
      </c>
      <c r="AA176" s="8"/>
    </row>
    <row r="177" spans="1:27" x14ac:dyDescent="0.25">
      <c r="A177" s="1">
        <v>45017</v>
      </c>
      <c r="B177" s="1">
        <v>45046</v>
      </c>
      <c r="C177" t="s">
        <v>8</v>
      </c>
      <c r="D177" t="s">
        <v>20</v>
      </c>
      <c r="E177" t="s">
        <v>75</v>
      </c>
      <c r="F177" t="s">
        <v>81</v>
      </c>
      <c r="G177" t="s">
        <v>83</v>
      </c>
      <c r="H177">
        <f>35/2</f>
        <v>17.5</v>
      </c>
      <c r="I177" s="22"/>
      <c r="J177" s="22"/>
      <c r="K177" s="22"/>
      <c r="L177" s="22">
        <f>$H177*L$2</f>
        <v>525</v>
      </c>
      <c r="M177" s="22"/>
      <c r="N177" s="22"/>
      <c r="O177" s="22"/>
      <c r="P177" s="22"/>
      <c r="Q177" s="22"/>
      <c r="R177" s="22"/>
      <c r="S177" s="22"/>
      <c r="T177" s="22"/>
      <c r="U177" s="22">
        <f t="shared" si="39"/>
        <v>525</v>
      </c>
      <c r="AA177" s="8"/>
    </row>
    <row r="178" spans="1:27" x14ac:dyDescent="0.25">
      <c r="A178" s="1">
        <v>45047</v>
      </c>
      <c r="B178" s="1">
        <v>45077</v>
      </c>
      <c r="C178" t="s">
        <v>8</v>
      </c>
      <c r="D178" t="s">
        <v>20</v>
      </c>
      <c r="E178" t="s">
        <v>75</v>
      </c>
      <c r="F178" t="s">
        <v>81</v>
      </c>
      <c r="G178" t="s">
        <v>83</v>
      </c>
      <c r="H178">
        <f>37/2</f>
        <v>18.5</v>
      </c>
      <c r="I178" s="22"/>
      <c r="J178" s="22"/>
      <c r="K178" s="22"/>
      <c r="L178" s="22"/>
      <c r="M178" s="22">
        <f>$H178*M$2</f>
        <v>573.5</v>
      </c>
      <c r="N178" s="22"/>
      <c r="O178" s="22"/>
      <c r="P178" s="22"/>
      <c r="Q178" s="22"/>
      <c r="R178" s="22"/>
      <c r="S178" s="22"/>
      <c r="T178" s="22"/>
      <c r="U178" s="22">
        <f t="shared" si="39"/>
        <v>573.5</v>
      </c>
      <c r="AA178" s="8"/>
    </row>
    <row r="179" spans="1:27" x14ac:dyDescent="0.25">
      <c r="A179" s="1">
        <v>45078</v>
      </c>
      <c r="B179" s="1">
        <v>45107</v>
      </c>
      <c r="C179" t="s">
        <v>8</v>
      </c>
      <c r="D179" t="s">
        <v>20</v>
      </c>
      <c r="E179" t="s">
        <v>75</v>
      </c>
      <c r="F179" t="s">
        <v>81</v>
      </c>
      <c r="G179" t="s">
        <v>83</v>
      </c>
      <c r="H179">
        <f>37/2</f>
        <v>18.5</v>
      </c>
      <c r="I179" s="22"/>
      <c r="J179" s="22"/>
      <c r="K179" s="22"/>
      <c r="L179" s="22"/>
      <c r="M179" s="22"/>
      <c r="N179" s="22">
        <f>$H179*N$2</f>
        <v>555</v>
      </c>
      <c r="O179" s="22"/>
      <c r="P179" s="22"/>
      <c r="Q179" s="22"/>
      <c r="R179" s="22"/>
      <c r="S179" s="22"/>
      <c r="T179" s="22"/>
      <c r="U179" s="22">
        <f t="shared" si="39"/>
        <v>555</v>
      </c>
      <c r="AA179" s="8"/>
    </row>
    <row r="180" spans="1:27" x14ac:dyDescent="0.25">
      <c r="A180" s="1">
        <v>45108</v>
      </c>
      <c r="B180" s="1">
        <v>45138</v>
      </c>
      <c r="C180" t="s">
        <v>8</v>
      </c>
      <c r="D180" t="s">
        <v>20</v>
      </c>
      <c r="E180" t="s">
        <v>75</v>
      </c>
      <c r="F180" t="s">
        <v>81</v>
      </c>
      <c r="G180" t="s">
        <v>83</v>
      </c>
      <c r="H180">
        <f>38/2</f>
        <v>19</v>
      </c>
      <c r="I180" s="22"/>
      <c r="J180" s="22"/>
      <c r="K180" s="22"/>
      <c r="L180" s="22"/>
      <c r="M180" s="22"/>
      <c r="N180" s="22"/>
      <c r="O180" s="22">
        <f>$H180*O$2</f>
        <v>589</v>
      </c>
      <c r="P180" s="22"/>
      <c r="Q180" s="22"/>
      <c r="R180" s="22"/>
      <c r="S180" s="22"/>
      <c r="T180" s="22"/>
      <c r="U180" s="22">
        <f t="shared" si="39"/>
        <v>589</v>
      </c>
      <c r="AA180" s="8"/>
    </row>
    <row r="181" spans="1:27" x14ac:dyDescent="0.25">
      <c r="A181" s="1">
        <v>45139</v>
      </c>
      <c r="B181" s="1">
        <v>45169</v>
      </c>
      <c r="C181" t="s">
        <v>8</v>
      </c>
      <c r="D181" t="s">
        <v>20</v>
      </c>
      <c r="E181" t="s">
        <v>75</v>
      </c>
      <c r="F181" t="s">
        <v>81</v>
      </c>
      <c r="G181" t="s">
        <v>83</v>
      </c>
      <c r="H181">
        <f>38/2</f>
        <v>19</v>
      </c>
      <c r="I181" s="22"/>
      <c r="J181" s="22"/>
      <c r="K181" s="22"/>
      <c r="L181" s="22"/>
      <c r="M181" s="22"/>
      <c r="N181" s="22"/>
      <c r="O181" s="22"/>
      <c r="P181" s="22">
        <f>$H181*P$2</f>
        <v>589</v>
      </c>
      <c r="Q181" s="22"/>
      <c r="R181" s="22"/>
      <c r="S181" s="22"/>
      <c r="T181" s="22"/>
      <c r="U181" s="22">
        <f t="shared" si="39"/>
        <v>589</v>
      </c>
      <c r="AA181" s="8"/>
    </row>
    <row r="182" spans="1:27" x14ac:dyDescent="0.25">
      <c r="A182" s="1">
        <v>45170</v>
      </c>
      <c r="B182" s="1">
        <v>45199</v>
      </c>
      <c r="C182" t="s">
        <v>8</v>
      </c>
      <c r="D182" t="s">
        <v>20</v>
      </c>
      <c r="E182" t="s">
        <v>75</v>
      </c>
      <c r="F182" t="s">
        <v>81</v>
      </c>
      <c r="G182" t="s">
        <v>83</v>
      </c>
      <c r="H182">
        <f>40/2</f>
        <v>20</v>
      </c>
      <c r="I182" s="22"/>
      <c r="J182" s="22"/>
      <c r="K182" s="22"/>
      <c r="L182" s="22"/>
      <c r="M182" s="22"/>
      <c r="N182" s="22"/>
      <c r="O182" s="22"/>
      <c r="P182" s="22"/>
      <c r="Q182" s="22">
        <f>$H182*Q$2</f>
        <v>600</v>
      </c>
      <c r="R182" s="22"/>
      <c r="S182" s="22"/>
      <c r="T182" s="22"/>
      <c r="U182" s="22">
        <f t="shared" si="39"/>
        <v>600</v>
      </c>
      <c r="AA182" s="8"/>
    </row>
    <row r="183" spans="1:27" x14ac:dyDescent="0.25">
      <c r="A183" s="1">
        <v>45200</v>
      </c>
      <c r="B183" s="1">
        <v>45230</v>
      </c>
      <c r="C183" t="s">
        <v>8</v>
      </c>
      <c r="D183" t="s">
        <v>20</v>
      </c>
      <c r="E183" t="s">
        <v>75</v>
      </c>
      <c r="F183" t="s">
        <v>81</v>
      </c>
      <c r="G183" t="s">
        <v>83</v>
      </c>
      <c r="H183">
        <f>40/2</f>
        <v>20</v>
      </c>
      <c r="I183" s="22"/>
      <c r="J183" s="22"/>
      <c r="K183" s="22"/>
      <c r="L183" s="22"/>
      <c r="M183" s="22"/>
      <c r="N183" s="22"/>
      <c r="O183" s="22"/>
      <c r="P183" s="22"/>
      <c r="Q183" s="22"/>
      <c r="R183" s="22">
        <f>$H183*R$2</f>
        <v>620</v>
      </c>
      <c r="S183" s="22"/>
      <c r="T183" s="22"/>
      <c r="U183" s="22">
        <f t="shared" si="39"/>
        <v>620</v>
      </c>
      <c r="AA183" s="8"/>
    </row>
    <row r="184" spans="1:27" x14ac:dyDescent="0.25">
      <c r="A184" s="1">
        <v>45231</v>
      </c>
      <c r="B184" s="1">
        <v>45260</v>
      </c>
      <c r="C184" t="s">
        <v>8</v>
      </c>
      <c r="D184" t="s">
        <v>20</v>
      </c>
      <c r="E184" t="s">
        <v>75</v>
      </c>
      <c r="F184" t="s">
        <v>81</v>
      </c>
      <c r="G184" t="s">
        <v>83</v>
      </c>
      <c r="H184">
        <f>41/2</f>
        <v>20.5</v>
      </c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>
        <f>$H184*S$2</f>
        <v>615</v>
      </c>
      <c r="T184" s="22"/>
      <c r="U184" s="22">
        <f t="shared" si="39"/>
        <v>615</v>
      </c>
      <c r="AA184" s="8"/>
    </row>
    <row r="185" spans="1:27" x14ac:dyDescent="0.25">
      <c r="A185" s="1">
        <v>45261</v>
      </c>
      <c r="B185" s="1">
        <v>45291</v>
      </c>
      <c r="C185" t="s">
        <v>8</v>
      </c>
      <c r="D185" t="s">
        <v>20</v>
      </c>
      <c r="E185" t="s">
        <v>75</v>
      </c>
      <c r="F185" t="s">
        <v>81</v>
      </c>
      <c r="G185" t="s">
        <v>83</v>
      </c>
      <c r="H185">
        <f>42/2</f>
        <v>21</v>
      </c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>
        <f t="shared" ref="T185" si="40">$H185*T$2</f>
        <v>651</v>
      </c>
      <c r="U185" s="22">
        <f t="shared" si="39"/>
        <v>651</v>
      </c>
      <c r="V185" s="6">
        <f>SUM(U174:U185)</f>
        <v>6712.5</v>
      </c>
      <c r="W185" s="7">
        <f>V185/365</f>
        <v>18.390410958904109</v>
      </c>
      <c r="AA185" s="8"/>
    </row>
    <row r="186" spans="1:27" x14ac:dyDescent="0.25">
      <c r="A186" s="1">
        <v>44927</v>
      </c>
      <c r="B186" s="1">
        <v>44957</v>
      </c>
      <c r="C186" t="s">
        <v>8</v>
      </c>
      <c r="D186" t="s">
        <v>20</v>
      </c>
      <c r="E186" t="s">
        <v>75</v>
      </c>
      <c r="F186" t="s">
        <v>81</v>
      </c>
      <c r="G186" t="s">
        <v>84</v>
      </c>
      <c r="H186">
        <f>29/2</f>
        <v>14.5</v>
      </c>
      <c r="I186" s="22">
        <f>$H186*I$2</f>
        <v>449.5</v>
      </c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>
        <f t="shared" si="39"/>
        <v>449.5</v>
      </c>
      <c r="AA186" s="8"/>
    </row>
    <row r="187" spans="1:27" x14ac:dyDescent="0.25">
      <c r="A187" s="1">
        <v>44958</v>
      </c>
      <c r="B187" s="1">
        <v>44985</v>
      </c>
      <c r="C187" t="s">
        <v>8</v>
      </c>
      <c r="D187" t="s">
        <v>20</v>
      </c>
      <c r="E187" t="s">
        <v>75</v>
      </c>
      <c r="F187" t="s">
        <v>81</v>
      </c>
      <c r="G187" t="s">
        <v>84</v>
      </c>
      <c r="H187">
        <f>31/2</f>
        <v>15.5</v>
      </c>
      <c r="I187" s="22"/>
      <c r="J187" s="22">
        <f>$H187*J$2</f>
        <v>434</v>
      </c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>
        <f t="shared" si="39"/>
        <v>434</v>
      </c>
      <c r="AA187" s="8"/>
    </row>
    <row r="188" spans="1:27" x14ac:dyDescent="0.25">
      <c r="A188" s="1">
        <v>44986</v>
      </c>
      <c r="B188" s="1">
        <v>45016</v>
      </c>
      <c r="C188" t="s">
        <v>8</v>
      </c>
      <c r="D188" t="s">
        <v>20</v>
      </c>
      <c r="E188" t="s">
        <v>75</v>
      </c>
      <c r="F188" t="s">
        <v>81</v>
      </c>
      <c r="G188" t="s">
        <v>84</v>
      </c>
      <c r="H188">
        <f>33/2</f>
        <v>16.5</v>
      </c>
      <c r="I188" s="22"/>
      <c r="J188" s="22"/>
      <c r="K188" s="22">
        <f>$H188*K$2</f>
        <v>511.5</v>
      </c>
      <c r="L188" s="22"/>
      <c r="M188" s="22"/>
      <c r="N188" s="22"/>
      <c r="O188" s="22"/>
      <c r="P188" s="22"/>
      <c r="Q188" s="22"/>
      <c r="R188" s="22"/>
      <c r="S188" s="22"/>
      <c r="T188" s="22"/>
      <c r="U188" s="22">
        <f t="shared" si="39"/>
        <v>511.5</v>
      </c>
      <c r="AA188" s="8"/>
    </row>
    <row r="189" spans="1:27" x14ac:dyDescent="0.25">
      <c r="A189" s="1">
        <v>45017</v>
      </c>
      <c r="B189" s="1">
        <v>45046</v>
      </c>
      <c r="C189" t="s">
        <v>8</v>
      </c>
      <c r="D189" t="s">
        <v>20</v>
      </c>
      <c r="E189" t="s">
        <v>75</v>
      </c>
      <c r="F189" t="s">
        <v>81</v>
      </c>
      <c r="G189" t="s">
        <v>84</v>
      </c>
      <c r="H189">
        <f>35/2</f>
        <v>17.5</v>
      </c>
      <c r="I189" s="22"/>
      <c r="J189" s="22"/>
      <c r="K189" s="22"/>
      <c r="L189" s="22">
        <f>$H189*L$2</f>
        <v>525</v>
      </c>
      <c r="M189" s="22"/>
      <c r="N189" s="22"/>
      <c r="O189" s="22"/>
      <c r="P189" s="22"/>
      <c r="Q189" s="22"/>
      <c r="R189" s="22"/>
      <c r="S189" s="22"/>
      <c r="T189" s="22"/>
      <c r="U189" s="22">
        <f t="shared" si="39"/>
        <v>525</v>
      </c>
      <c r="AA189" s="8"/>
    </row>
    <row r="190" spans="1:27" x14ac:dyDescent="0.25">
      <c r="A190" s="1">
        <v>45047</v>
      </c>
      <c r="B190" s="1">
        <v>45077</v>
      </c>
      <c r="C190" t="s">
        <v>8</v>
      </c>
      <c r="D190" t="s">
        <v>20</v>
      </c>
      <c r="E190" t="s">
        <v>75</v>
      </c>
      <c r="F190" t="s">
        <v>81</v>
      </c>
      <c r="G190" t="s">
        <v>84</v>
      </c>
      <c r="H190">
        <f>37/2</f>
        <v>18.5</v>
      </c>
      <c r="I190" s="22"/>
      <c r="J190" s="22"/>
      <c r="K190" s="22"/>
      <c r="L190" s="22"/>
      <c r="M190" s="22">
        <f>$H190*M$2</f>
        <v>573.5</v>
      </c>
      <c r="N190" s="22"/>
      <c r="O190" s="22"/>
      <c r="P190" s="22"/>
      <c r="Q190" s="22"/>
      <c r="R190" s="22"/>
      <c r="S190" s="22"/>
      <c r="T190" s="22"/>
      <c r="U190" s="22">
        <f t="shared" si="39"/>
        <v>573.5</v>
      </c>
      <c r="AA190" s="8"/>
    </row>
    <row r="191" spans="1:27" x14ac:dyDescent="0.25">
      <c r="A191" s="1">
        <v>45078</v>
      </c>
      <c r="B191" s="1">
        <v>45107</v>
      </c>
      <c r="C191" t="s">
        <v>8</v>
      </c>
      <c r="D191" t="s">
        <v>20</v>
      </c>
      <c r="E191" t="s">
        <v>75</v>
      </c>
      <c r="F191" t="s">
        <v>81</v>
      </c>
      <c r="G191" t="s">
        <v>84</v>
      </c>
      <c r="H191">
        <f>37/2</f>
        <v>18.5</v>
      </c>
      <c r="I191" s="22"/>
      <c r="J191" s="22"/>
      <c r="K191" s="22"/>
      <c r="L191" s="22"/>
      <c r="M191" s="22"/>
      <c r="N191" s="22">
        <f>$H191*N$2</f>
        <v>555</v>
      </c>
      <c r="O191" s="22"/>
      <c r="P191" s="22"/>
      <c r="Q191" s="22"/>
      <c r="R191" s="22"/>
      <c r="S191" s="22"/>
      <c r="T191" s="22"/>
      <c r="U191" s="22">
        <f t="shared" si="39"/>
        <v>555</v>
      </c>
      <c r="AA191" s="8"/>
    </row>
    <row r="192" spans="1:27" x14ac:dyDescent="0.25">
      <c r="A192" s="1">
        <v>45108</v>
      </c>
      <c r="B192" s="1">
        <v>45138</v>
      </c>
      <c r="C192" t="s">
        <v>8</v>
      </c>
      <c r="D192" t="s">
        <v>20</v>
      </c>
      <c r="E192" t="s">
        <v>75</v>
      </c>
      <c r="F192" t="s">
        <v>81</v>
      </c>
      <c r="G192" t="s">
        <v>84</v>
      </c>
      <c r="H192">
        <f>38/2</f>
        <v>19</v>
      </c>
      <c r="I192" s="22"/>
      <c r="J192" s="22"/>
      <c r="K192" s="22"/>
      <c r="L192" s="22"/>
      <c r="M192" s="22"/>
      <c r="N192" s="22"/>
      <c r="O192" s="22">
        <f>$H192*O$2</f>
        <v>589</v>
      </c>
      <c r="P192" s="22"/>
      <c r="Q192" s="22"/>
      <c r="R192" s="22"/>
      <c r="S192" s="22"/>
      <c r="T192" s="22"/>
      <c r="U192" s="22">
        <f t="shared" si="39"/>
        <v>589</v>
      </c>
      <c r="AA192" s="8"/>
    </row>
    <row r="193" spans="1:27" x14ac:dyDescent="0.25">
      <c r="A193" s="1">
        <v>45139</v>
      </c>
      <c r="B193" s="1">
        <v>45169</v>
      </c>
      <c r="C193" t="s">
        <v>8</v>
      </c>
      <c r="D193" t="s">
        <v>20</v>
      </c>
      <c r="E193" t="s">
        <v>75</v>
      </c>
      <c r="F193" t="s">
        <v>81</v>
      </c>
      <c r="G193" t="s">
        <v>84</v>
      </c>
      <c r="H193">
        <f>38/2</f>
        <v>19</v>
      </c>
      <c r="I193" s="22"/>
      <c r="J193" s="22"/>
      <c r="K193" s="22"/>
      <c r="L193" s="22"/>
      <c r="M193" s="22"/>
      <c r="N193" s="22"/>
      <c r="O193" s="22"/>
      <c r="P193" s="22">
        <f>$H193*P$2</f>
        <v>589</v>
      </c>
      <c r="Q193" s="22"/>
      <c r="R193" s="22"/>
      <c r="S193" s="22"/>
      <c r="T193" s="22"/>
      <c r="U193" s="22">
        <f t="shared" si="39"/>
        <v>589</v>
      </c>
      <c r="AA193" s="8"/>
    </row>
    <row r="194" spans="1:27" x14ac:dyDescent="0.25">
      <c r="A194" s="1">
        <v>45170</v>
      </c>
      <c r="B194" s="1">
        <v>45199</v>
      </c>
      <c r="C194" t="s">
        <v>8</v>
      </c>
      <c r="D194" t="s">
        <v>20</v>
      </c>
      <c r="E194" t="s">
        <v>75</v>
      </c>
      <c r="F194" t="s">
        <v>81</v>
      </c>
      <c r="G194" t="s">
        <v>84</v>
      </c>
      <c r="H194">
        <f>40/2</f>
        <v>20</v>
      </c>
      <c r="I194" s="22"/>
      <c r="J194" s="22"/>
      <c r="K194" s="22"/>
      <c r="L194" s="22"/>
      <c r="M194" s="22"/>
      <c r="N194" s="22"/>
      <c r="O194" s="22"/>
      <c r="P194" s="22"/>
      <c r="Q194" s="22">
        <f>$H194*Q$2</f>
        <v>600</v>
      </c>
      <c r="R194" s="22"/>
      <c r="S194" s="22"/>
      <c r="T194" s="22"/>
      <c r="U194" s="22">
        <f t="shared" si="39"/>
        <v>600</v>
      </c>
      <c r="AA194" s="8"/>
    </row>
    <row r="195" spans="1:27" x14ac:dyDescent="0.25">
      <c r="A195" s="1">
        <v>45200</v>
      </c>
      <c r="B195" s="1">
        <v>45230</v>
      </c>
      <c r="C195" t="s">
        <v>8</v>
      </c>
      <c r="D195" t="s">
        <v>20</v>
      </c>
      <c r="E195" t="s">
        <v>75</v>
      </c>
      <c r="F195" t="s">
        <v>81</v>
      </c>
      <c r="G195" t="s">
        <v>84</v>
      </c>
      <c r="H195">
        <f>40/2</f>
        <v>20</v>
      </c>
      <c r="I195" s="22"/>
      <c r="J195" s="22"/>
      <c r="K195" s="22"/>
      <c r="L195" s="22"/>
      <c r="M195" s="22"/>
      <c r="N195" s="22"/>
      <c r="O195" s="22"/>
      <c r="P195" s="22"/>
      <c r="Q195" s="22"/>
      <c r="R195" s="22">
        <f>$H195*R$2</f>
        <v>620</v>
      </c>
      <c r="S195" s="22"/>
      <c r="T195" s="22"/>
      <c r="U195" s="22">
        <f t="shared" si="39"/>
        <v>620</v>
      </c>
      <c r="AA195" s="8"/>
    </row>
    <row r="196" spans="1:27" x14ac:dyDescent="0.25">
      <c r="A196" s="1">
        <v>45231</v>
      </c>
      <c r="B196" s="1">
        <v>45260</v>
      </c>
      <c r="C196" t="s">
        <v>8</v>
      </c>
      <c r="D196" t="s">
        <v>20</v>
      </c>
      <c r="E196" t="s">
        <v>75</v>
      </c>
      <c r="F196" t="s">
        <v>81</v>
      </c>
      <c r="G196" t="s">
        <v>84</v>
      </c>
      <c r="H196">
        <f>41/2</f>
        <v>20.5</v>
      </c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>
        <f>$H196*S$2</f>
        <v>615</v>
      </c>
      <c r="T196" s="22"/>
      <c r="U196" s="22">
        <f t="shared" si="39"/>
        <v>615</v>
      </c>
      <c r="AA196" s="8"/>
    </row>
    <row r="197" spans="1:27" x14ac:dyDescent="0.25">
      <c r="A197" s="1">
        <v>45261</v>
      </c>
      <c r="B197" s="1">
        <v>45291</v>
      </c>
      <c r="C197" t="s">
        <v>8</v>
      </c>
      <c r="D197" t="s">
        <v>20</v>
      </c>
      <c r="E197" t="s">
        <v>75</v>
      </c>
      <c r="F197" t="s">
        <v>81</v>
      </c>
      <c r="G197" t="s">
        <v>84</v>
      </c>
      <c r="H197">
        <f>42/2</f>
        <v>21</v>
      </c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>
        <f t="shared" ref="T197" si="41">$H197*T$2</f>
        <v>651</v>
      </c>
      <c r="U197" s="22">
        <f t="shared" si="39"/>
        <v>651</v>
      </c>
      <c r="V197" s="6">
        <f>SUM(U186:U197)</f>
        <v>6712.5</v>
      </c>
      <c r="W197" s="7">
        <f>V197/365</f>
        <v>18.390410958904109</v>
      </c>
      <c r="X197" s="7">
        <f>W185+W197</f>
        <v>36.780821917808218</v>
      </c>
      <c r="Y197" s="28">
        <v>36.780821917808218</v>
      </c>
      <c r="Z197" s="23">
        <f>Y197-X197</f>
        <v>0</v>
      </c>
      <c r="AA197" s="8"/>
    </row>
    <row r="198" spans="1:27" x14ac:dyDescent="0.25">
      <c r="A198" s="1">
        <v>44927</v>
      </c>
      <c r="B198" s="1">
        <v>45291</v>
      </c>
      <c r="C198" t="s">
        <v>45</v>
      </c>
      <c r="D198" t="s">
        <v>46</v>
      </c>
      <c r="E198" t="s">
        <v>75</v>
      </c>
      <c r="F198" t="s">
        <v>87</v>
      </c>
      <c r="G198" t="s">
        <v>88</v>
      </c>
      <c r="H198">
        <v>10</v>
      </c>
      <c r="I198" s="22">
        <f t="shared" si="36"/>
        <v>310</v>
      </c>
      <c r="J198" s="22">
        <f t="shared" si="36"/>
        <v>280</v>
      </c>
      <c r="K198" s="22">
        <f t="shared" si="36"/>
        <v>310</v>
      </c>
      <c r="L198" s="22">
        <f t="shared" si="36"/>
        <v>300</v>
      </c>
      <c r="M198" s="22">
        <f t="shared" si="36"/>
        <v>310</v>
      </c>
      <c r="N198" s="22">
        <f t="shared" si="36"/>
        <v>300</v>
      </c>
      <c r="O198" s="22">
        <f t="shared" si="36"/>
        <v>310</v>
      </c>
      <c r="P198" s="22">
        <f t="shared" si="36"/>
        <v>310</v>
      </c>
      <c r="Q198" s="22">
        <f t="shared" si="36"/>
        <v>300</v>
      </c>
      <c r="R198" s="22">
        <f t="shared" si="36"/>
        <v>310</v>
      </c>
      <c r="S198" s="22">
        <f t="shared" si="36"/>
        <v>300</v>
      </c>
      <c r="T198" s="22">
        <f t="shared" si="36"/>
        <v>310</v>
      </c>
      <c r="U198" s="22">
        <f t="shared" si="28"/>
        <v>3650</v>
      </c>
      <c r="V198" s="6">
        <f t="shared" si="37"/>
        <v>3650</v>
      </c>
      <c r="W198" s="7">
        <f t="shared" si="38"/>
        <v>10</v>
      </c>
      <c r="X198" t="s">
        <v>135</v>
      </c>
      <c r="Y198" s="28">
        <v>10</v>
      </c>
      <c r="Z198" s="7">
        <f>Y198-W198</f>
        <v>0</v>
      </c>
      <c r="AA198" s="8"/>
    </row>
    <row r="199" spans="1:27" x14ac:dyDescent="0.25">
      <c r="A199" s="17">
        <v>44927</v>
      </c>
      <c r="B199" s="17">
        <v>45291</v>
      </c>
      <c r="C199" s="18" t="s">
        <v>89</v>
      </c>
      <c r="D199" s="18" t="s">
        <v>90</v>
      </c>
      <c r="E199" s="18" t="s">
        <v>75</v>
      </c>
      <c r="F199" s="18" t="s">
        <v>87</v>
      </c>
      <c r="G199" s="18" t="s">
        <v>88</v>
      </c>
      <c r="H199" s="18">
        <v>63</v>
      </c>
      <c r="I199" s="19">
        <f t="shared" si="36"/>
        <v>1953</v>
      </c>
      <c r="J199" s="19">
        <f t="shared" si="36"/>
        <v>1764</v>
      </c>
      <c r="K199" s="19">
        <f t="shared" si="36"/>
        <v>1953</v>
      </c>
      <c r="L199" s="19">
        <f t="shared" si="36"/>
        <v>1890</v>
      </c>
      <c r="M199" s="19">
        <f t="shared" si="36"/>
        <v>1953</v>
      </c>
      <c r="N199" s="19">
        <f t="shared" si="36"/>
        <v>1890</v>
      </c>
      <c r="O199" s="19">
        <f t="shared" si="36"/>
        <v>1953</v>
      </c>
      <c r="P199" s="19">
        <f t="shared" si="36"/>
        <v>1953</v>
      </c>
      <c r="Q199" s="19">
        <f t="shared" si="36"/>
        <v>1890</v>
      </c>
      <c r="R199" s="19">
        <f t="shared" si="36"/>
        <v>1953</v>
      </c>
      <c r="S199" s="19">
        <f t="shared" si="36"/>
        <v>1890</v>
      </c>
      <c r="T199" s="19">
        <f t="shared" si="36"/>
        <v>1953</v>
      </c>
      <c r="U199" s="19">
        <f t="shared" si="28"/>
        <v>22995</v>
      </c>
      <c r="V199" s="20">
        <f t="shared" si="37"/>
        <v>22995</v>
      </c>
      <c r="W199" s="21">
        <f t="shared" si="38"/>
        <v>63</v>
      </c>
      <c r="X199" t="s">
        <v>89</v>
      </c>
      <c r="Y199" s="28">
        <v>63</v>
      </c>
      <c r="Z199" s="7">
        <f t="shared" ref="Z199:Z203" si="42">Y199-W199</f>
        <v>0</v>
      </c>
      <c r="AA199" s="8" t="s">
        <v>142</v>
      </c>
    </row>
    <row r="200" spans="1:27" x14ac:dyDescent="0.25">
      <c r="A200" s="1">
        <v>44927</v>
      </c>
      <c r="B200" s="1">
        <v>45291</v>
      </c>
      <c r="C200" t="s">
        <v>85</v>
      </c>
      <c r="D200" t="s">
        <v>86</v>
      </c>
      <c r="E200" t="s">
        <v>75</v>
      </c>
      <c r="F200" t="s">
        <v>87</v>
      </c>
      <c r="G200" t="s">
        <v>88</v>
      </c>
      <c r="H200">
        <v>9</v>
      </c>
      <c r="I200" s="5">
        <f t="shared" si="36"/>
        <v>279</v>
      </c>
      <c r="J200" s="5">
        <f t="shared" si="36"/>
        <v>252</v>
      </c>
      <c r="K200" s="5">
        <f t="shared" si="36"/>
        <v>279</v>
      </c>
      <c r="L200" s="5">
        <f t="shared" si="36"/>
        <v>270</v>
      </c>
      <c r="M200" s="5">
        <f t="shared" si="36"/>
        <v>279</v>
      </c>
      <c r="N200" s="5">
        <f t="shared" si="36"/>
        <v>270</v>
      </c>
      <c r="O200" s="5">
        <f t="shared" si="36"/>
        <v>279</v>
      </c>
      <c r="P200" s="5">
        <f t="shared" si="36"/>
        <v>279</v>
      </c>
      <c r="Q200" s="5">
        <f t="shared" si="36"/>
        <v>270</v>
      </c>
      <c r="R200" s="5">
        <f t="shared" si="36"/>
        <v>279</v>
      </c>
      <c r="S200" s="5">
        <f t="shared" si="36"/>
        <v>270</v>
      </c>
      <c r="T200" s="5">
        <f t="shared" si="36"/>
        <v>279</v>
      </c>
      <c r="U200" s="5">
        <f t="shared" si="28"/>
        <v>3285</v>
      </c>
      <c r="V200" s="6">
        <f t="shared" si="37"/>
        <v>3285</v>
      </c>
      <c r="W200" s="7">
        <f t="shared" si="38"/>
        <v>9</v>
      </c>
      <c r="X200" t="s">
        <v>133</v>
      </c>
      <c r="Y200" s="28">
        <v>9</v>
      </c>
      <c r="Z200" s="7">
        <f>Y200-W200</f>
        <v>0</v>
      </c>
      <c r="AA200" s="8"/>
    </row>
    <row r="201" spans="1:27" x14ac:dyDescent="0.25">
      <c r="A201" s="1">
        <v>44927</v>
      </c>
      <c r="B201" s="1">
        <v>45291</v>
      </c>
      <c r="C201" t="s">
        <v>66</v>
      </c>
      <c r="D201" t="s">
        <v>67</v>
      </c>
      <c r="E201" t="s">
        <v>75</v>
      </c>
      <c r="F201" t="s">
        <v>87</v>
      </c>
      <c r="G201" t="s">
        <v>88</v>
      </c>
      <c r="H201">
        <v>0</v>
      </c>
      <c r="I201" s="5">
        <f t="shared" si="36"/>
        <v>0</v>
      </c>
      <c r="J201" s="5">
        <f t="shared" si="36"/>
        <v>0</v>
      </c>
      <c r="K201" s="5">
        <f t="shared" si="36"/>
        <v>0</v>
      </c>
      <c r="L201" s="5">
        <f t="shared" si="36"/>
        <v>0</v>
      </c>
      <c r="M201" s="5">
        <f t="shared" si="36"/>
        <v>0</v>
      </c>
      <c r="N201" s="5">
        <f t="shared" si="36"/>
        <v>0</v>
      </c>
      <c r="O201" s="5">
        <f t="shared" si="36"/>
        <v>0</v>
      </c>
      <c r="P201" s="5">
        <f t="shared" si="36"/>
        <v>0</v>
      </c>
      <c r="Q201" s="5">
        <f t="shared" si="36"/>
        <v>0</v>
      </c>
      <c r="R201" s="5">
        <f t="shared" si="36"/>
        <v>0</v>
      </c>
      <c r="S201" s="5">
        <f t="shared" si="36"/>
        <v>0</v>
      </c>
      <c r="T201" s="5">
        <f t="shared" si="36"/>
        <v>0</v>
      </c>
      <c r="U201" s="5">
        <f t="shared" si="28"/>
        <v>0</v>
      </c>
      <c r="V201" s="6">
        <f t="shared" si="37"/>
        <v>0</v>
      </c>
      <c r="W201" s="7">
        <f t="shared" si="38"/>
        <v>0</v>
      </c>
      <c r="X201" t="s">
        <v>129</v>
      </c>
      <c r="Y201" s="28">
        <v>0</v>
      </c>
      <c r="Z201" s="16">
        <f t="shared" si="42"/>
        <v>0</v>
      </c>
      <c r="AA201" s="8"/>
    </row>
    <row r="202" spans="1:27" x14ac:dyDescent="0.25">
      <c r="A202" s="1">
        <v>44927</v>
      </c>
      <c r="B202" s="1">
        <v>45291</v>
      </c>
      <c r="C202" t="s">
        <v>91</v>
      </c>
      <c r="D202" t="s">
        <v>91</v>
      </c>
      <c r="E202" t="s">
        <v>75</v>
      </c>
      <c r="F202" t="s">
        <v>87</v>
      </c>
      <c r="G202" t="s">
        <v>88</v>
      </c>
      <c r="H202">
        <v>5.2999999999999972</v>
      </c>
      <c r="I202" s="5">
        <f t="shared" si="36"/>
        <v>164.2999999999999</v>
      </c>
      <c r="J202" s="5">
        <f t="shared" si="36"/>
        <v>148.39999999999992</v>
      </c>
      <c r="K202" s="5">
        <f t="shared" si="36"/>
        <v>164.2999999999999</v>
      </c>
      <c r="L202" s="5">
        <f t="shared" si="36"/>
        <v>158.99999999999991</v>
      </c>
      <c r="M202" s="5">
        <f t="shared" si="36"/>
        <v>164.2999999999999</v>
      </c>
      <c r="N202" s="5">
        <f t="shared" si="36"/>
        <v>158.99999999999991</v>
      </c>
      <c r="O202" s="5">
        <f t="shared" si="36"/>
        <v>164.2999999999999</v>
      </c>
      <c r="P202" s="5">
        <f t="shared" si="36"/>
        <v>164.2999999999999</v>
      </c>
      <c r="Q202" s="5">
        <f t="shared" si="36"/>
        <v>158.99999999999991</v>
      </c>
      <c r="R202" s="5">
        <f t="shared" si="36"/>
        <v>164.2999999999999</v>
      </c>
      <c r="S202" s="5">
        <f t="shared" si="36"/>
        <v>158.99999999999991</v>
      </c>
      <c r="T202" s="5">
        <f t="shared" si="36"/>
        <v>164.2999999999999</v>
      </c>
      <c r="U202" s="5">
        <f t="shared" si="28"/>
        <v>1934.4999999999991</v>
      </c>
      <c r="V202" s="6">
        <f t="shared" si="37"/>
        <v>1934.4999999999991</v>
      </c>
      <c r="W202" s="7">
        <f t="shared" si="38"/>
        <v>5.2999999999999972</v>
      </c>
      <c r="X202" t="s">
        <v>91</v>
      </c>
      <c r="Y202" s="28">
        <v>5.2999999999999972</v>
      </c>
      <c r="Z202" s="7">
        <f t="shared" si="42"/>
        <v>0</v>
      </c>
      <c r="AA202" s="8"/>
    </row>
    <row r="203" spans="1:27" x14ac:dyDescent="0.25">
      <c r="A203" s="1">
        <v>44927</v>
      </c>
      <c r="B203" s="1">
        <v>45291</v>
      </c>
      <c r="C203" t="s">
        <v>91</v>
      </c>
      <c r="D203" t="s">
        <v>91</v>
      </c>
      <c r="E203" t="s">
        <v>75</v>
      </c>
      <c r="F203" t="s">
        <v>87</v>
      </c>
      <c r="G203" t="s">
        <v>92</v>
      </c>
      <c r="H203">
        <v>17.600000000000001</v>
      </c>
      <c r="I203" s="5">
        <f t="shared" si="36"/>
        <v>545.6</v>
      </c>
      <c r="J203" s="5">
        <f t="shared" si="36"/>
        <v>492.80000000000007</v>
      </c>
      <c r="K203" s="5">
        <f t="shared" si="36"/>
        <v>545.6</v>
      </c>
      <c r="L203" s="5">
        <f t="shared" si="36"/>
        <v>528</v>
      </c>
      <c r="M203" s="5">
        <f t="shared" si="36"/>
        <v>545.6</v>
      </c>
      <c r="N203" s="5">
        <f t="shared" si="36"/>
        <v>528</v>
      </c>
      <c r="O203" s="5">
        <f t="shared" si="36"/>
        <v>545.6</v>
      </c>
      <c r="P203" s="5">
        <f t="shared" si="36"/>
        <v>545.6</v>
      </c>
      <c r="Q203" s="5">
        <f t="shared" si="36"/>
        <v>528</v>
      </c>
      <c r="R203" s="5">
        <f t="shared" si="36"/>
        <v>545.6</v>
      </c>
      <c r="S203" s="5">
        <f t="shared" si="36"/>
        <v>528</v>
      </c>
      <c r="T203" s="5">
        <f t="shared" si="36"/>
        <v>545.6</v>
      </c>
      <c r="U203" s="5">
        <f t="shared" si="28"/>
        <v>6424.0000000000009</v>
      </c>
      <c r="V203" s="6">
        <f>U203</f>
        <v>6424.0000000000009</v>
      </c>
      <c r="W203" s="7">
        <f>V203/365</f>
        <v>17.600000000000001</v>
      </c>
      <c r="X203" t="s">
        <v>91</v>
      </c>
      <c r="Y203" s="28">
        <v>17.600000000000001</v>
      </c>
      <c r="Z203" s="7">
        <f t="shared" si="42"/>
        <v>0</v>
      </c>
      <c r="AA203" s="8"/>
    </row>
    <row r="204" spans="1:27" x14ac:dyDescent="0.25">
      <c r="A204" s="1"/>
      <c r="B204" s="1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spans="1:27" x14ac:dyDescent="0.25">
      <c r="A205" s="1">
        <v>44927</v>
      </c>
      <c r="B205" s="1">
        <v>45291</v>
      </c>
      <c r="C205" t="s">
        <v>8</v>
      </c>
      <c r="D205" t="s">
        <v>9</v>
      </c>
      <c r="E205" t="s">
        <v>49</v>
      </c>
      <c r="F205" t="s">
        <v>50</v>
      </c>
      <c r="G205" t="s">
        <v>53</v>
      </c>
      <c r="H205" s="31">
        <v>16.489999999999998</v>
      </c>
      <c r="I205" s="5">
        <f t="shared" ref="I205:T209" si="43">$H205*I$2</f>
        <v>511.18999999999994</v>
      </c>
      <c r="J205" s="5">
        <f t="shared" si="43"/>
        <v>461.71999999999997</v>
      </c>
      <c r="K205" s="5">
        <f t="shared" si="43"/>
        <v>511.18999999999994</v>
      </c>
      <c r="L205" s="5">
        <f t="shared" si="43"/>
        <v>494.69999999999993</v>
      </c>
      <c r="M205" s="5">
        <f t="shared" si="43"/>
        <v>511.18999999999994</v>
      </c>
      <c r="N205" s="5">
        <f t="shared" si="43"/>
        <v>494.69999999999993</v>
      </c>
      <c r="O205" s="5">
        <f t="shared" si="43"/>
        <v>511.18999999999994</v>
      </c>
      <c r="P205" s="5">
        <f t="shared" si="43"/>
        <v>511.18999999999994</v>
      </c>
      <c r="Q205" s="5">
        <f t="shared" si="43"/>
        <v>494.69999999999993</v>
      </c>
      <c r="R205" s="5">
        <f t="shared" si="43"/>
        <v>511.18999999999994</v>
      </c>
      <c r="S205" s="5">
        <f t="shared" si="43"/>
        <v>494.69999999999993</v>
      </c>
      <c r="T205" s="5">
        <f t="shared" si="43"/>
        <v>511.18999999999994</v>
      </c>
      <c r="U205" s="5">
        <f t="shared" si="28"/>
        <v>6018.8499999999985</v>
      </c>
      <c r="V205" s="6">
        <f t="shared" ref="V205:V207" si="44">U205</f>
        <v>6018.8499999999985</v>
      </c>
      <c r="W205" s="26">
        <f t="shared" ref="W205:W208" si="45">V205/365</f>
        <v>16.489999999999995</v>
      </c>
    </row>
    <row r="206" spans="1:27" x14ac:dyDescent="0.25">
      <c r="A206" s="1">
        <v>44927</v>
      </c>
      <c r="B206" s="1">
        <v>45291</v>
      </c>
      <c r="C206" t="s">
        <v>8</v>
      </c>
      <c r="D206" t="s">
        <v>9</v>
      </c>
      <c r="E206" t="s">
        <v>49</v>
      </c>
      <c r="F206" t="s">
        <v>50</v>
      </c>
      <c r="G206" t="s">
        <v>51</v>
      </c>
      <c r="H206" s="31">
        <v>92.149999999999991</v>
      </c>
      <c r="I206" s="5">
        <f t="shared" si="43"/>
        <v>2856.6499999999996</v>
      </c>
      <c r="J206" s="5">
        <f t="shared" si="43"/>
        <v>2580.1999999999998</v>
      </c>
      <c r="K206" s="5">
        <f t="shared" si="43"/>
        <v>2856.6499999999996</v>
      </c>
      <c r="L206" s="5">
        <f t="shared" si="43"/>
        <v>2764.4999999999995</v>
      </c>
      <c r="M206" s="5">
        <f t="shared" si="43"/>
        <v>2856.6499999999996</v>
      </c>
      <c r="N206" s="5">
        <f t="shared" si="43"/>
        <v>2764.4999999999995</v>
      </c>
      <c r="O206" s="5">
        <f t="shared" si="43"/>
        <v>2856.6499999999996</v>
      </c>
      <c r="P206" s="5">
        <f t="shared" si="43"/>
        <v>2856.6499999999996</v>
      </c>
      <c r="Q206" s="5">
        <f t="shared" si="43"/>
        <v>2764.4999999999995</v>
      </c>
      <c r="R206" s="5">
        <f t="shared" si="43"/>
        <v>2856.6499999999996</v>
      </c>
      <c r="S206" s="5">
        <f t="shared" si="43"/>
        <v>2764.4999999999995</v>
      </c>
      <c r="T206" s="5">
        <f t="shared" si="43"/>
        <v>2856.6499999999996</v>
      </c>
      <c r="U206" s="5">
        <f t="shared" si="28"/>
        <v>33634.75</v>
      </c>
      <c r="V206" s="6">
        <f t="shared" si="44"/>
        <v>33634.75</v>
      </c>
      <c r="W206" s="26">
        <f t="shared" si="45"/>
        <v>92.15</v>
      </c>
    </row>
    <row r="207" spans="1:27" x14ac:dyDescent="0.25">
      <c r="A207" s="1">
        <v>44927</v>
      </c>
      <c r="B207" s="1">
        <v>45291</v>
      </c>
      <c r="C207" t="s">
        <v>8</v>
      </c>
      <c r="D207" t="s">
        <v>9</v>
      </c>
      <c r="E207" t="s">
        <v>49</v>
      </c>
      <c r="F207" t="s">
        <v>50</v>
      </c>
      <c r="G207" t="s">
        <v>52</v>
      </c>
      <c r="H207" s="31">
        <v>46.06</v>
      </c>
      <c r="I207" s="5">
        <f t="shared" si="43"/>
        <v>1427.8600000000001</v>
      </c>
      <c r="J207" s="5">
        <f t="shared" si="43"/>
        <v>1289.68</v>
      </c>
      <c r="K207" s="5">
        <f t="shared" si="43"/>
        <v>1427.8600000000001</v>
      </c>
      <c r="L207" s="5">
        <f t="shared" si="43"/>
        <v>1381.8000000000002</v>
      </c>
      <c r="M207" s="5">
        <f t="shared" si="43"/>
        <v>1427.8600000000001</v>
      </c>
      <c r="N207" s="5">
        <f t="shared" si="43"/>
        <v>1381.8000000000002</v>
      </c>
      <c r="O207" s="5">
        <f t="shared" si="43"/>
        <v>1427.8600000000001</v>
      </c>
      <c r="P207" s="5">
        <f t="shared" si="43"/>
        <v>1427.8600000000001</v>
      </c>
      <c r="Q207" s="5">
        <f t="shared" si="43"/>
        <v>1381.8000000000002</v>
      </c>
      <c r="R207" s="5">
        <f t="shared" si="43"/>
        <v>1427.8600000000001</v>
      </c>
      <c r="S207" s="5">
        <f t="shared" si="43"/>
        <v>1381.8000000000002</v>
      </c>
      <c r="T207" s="5">
        <f t="shared" si="43"/>
        <v>1427.8600000000001</v>
      </c>
      <c r="U207" s="5">
        <f t="shared" si="28"/>
        <v>16811.900000000001</v>
      </c>
      <c r="V207" s="6">
        <f t="shared" si="44"/>
        <v>16811.900000000001</v>
      </c>
      <c r="W207" s="26">
        <f t="shared" si="45"/>
        <v>46.06</v>
      </c>
    </row>
    <row r="208" spans="1:27" x14ac:dyDescent="0.25">
      <c r="A208" s="1">
        <v>44927</v>
      </c>
      <c r="B208" s="1">
        <v>45291</v>
      </c>
      <c r="C208" t="s">
        <v>8</v>
      </c>
      <c r="D208" t="s">
        <v>9</v>
      </c>
      <c r="E208" t="s">
        <v>49</v>
      </c>
      <c r="F208" t="s">
        <v>50</v>
      </c>
      <c r="G208" t="s">
        <v>54</v>
      </c>
      <c r="H208" s="31">
        <v>87.42</v>
      </c>
      <c r="I208" s="5">
        <f t="shared" si="43"/>
        <v>2710.02</v>
      </c>
      <c r="J208" s="5">
        <f t="shared" si="43"/>
        <v>2447.7600000000002</v>
      </c>
      <c r="K208" s="5">
        <f t="shared" si="43"/>
        <v>2710.02</v>
      </c>
      <c r="L208" s="5">
        <f t="shared" si="43"/>
        <v>2622.6</v>
      </c>
      <c r="M208" s="5">
        <f t="shared" si="43"/>
        <v>2710.02</v>
      </c>
      <c r="N208" s="5">
        <f t="shared" si="43"/>
        <v>2622.6</v>
      </c>
      <c r="O208" s="5">
        <f t="shared" si="43"/>
        <v>2710.02</v>
      </c>
      <c r="P208" s="5">
        <f t="shared" si="43"/>
        <v>2710.02</v>
      </c>
      <c r="Q208" s="5">
        <f t="shared" si="43"/>
        <v>2622.6</v>
      </c>
      <c r="R208" s="5">
        <f t="shared" si="43"/>
        <v>2710.02</v>
      </c>
      <c r="S208" s="5">
        <f t="shared" si="43"/>
        <v>2622.6</v>
      </c>
      <c r="T208" s="5">
        <f t="shared" si="43"/>
        <v>2710.02</v>
      </c>
      <c r="U208" s="5">
        <f t="shared" si="28"/>
        <v>31908.3</v>
      </c>
      <c r="V208" s="6">
        <f>U208</f>
        <v>31908.3</v>
      </c>
      <c r="W208" s="26">
        <f t="shared" si="45"/>
        <v>87.42</v>
      </c>
    </row>
    <row r="209" spans="1:27" x14ac:dyDescent="0.25">
      <c r="A209" s="1">
        <v>44927</v>
      </c>
      <c r="B209" s="1">
        <v>45291</v>
      </c>
      <c r="C209" t="s">
        <v>8</v>
      </c>
      <c r="D209" t="s">
        <v>9</v>
      </c>
      <c r="E209" t="s">
        <v>49</v>
      </c>
      <c r="F209" t="s">
        <v>50</v>
      </c>
      <c r="G209" t="s">
        <v>55</v>
      </c>
      <c r="H209" s="31">
        <v>125.58</v>
      </c>
      <c r="I209" s="5">
        <f t="shared" si="43"/>
        <v>3892.98</v>
      </c>
      <c r="J209" s="5">
        <f t="shared" si="43"/>
        <v>3516.24</v>
      </c>
      <c r="K209" s="5">
        <f t="shared" si="43"/>
        <v>3892.98</v>
      </c>
      <c r="L209" s="5">
        <f t="shared" si="43"/>
        <v>3767.4</v>
      </c>
      <c r="M209" s="5">
        <f t="shared" si="43"/>
        <v>3892.98</v>
      </c>
      <c r="N209" s="5">
        <f t="shared" si="43"/>
        <v>3767.4</v>
      </c>
      <c r="O209" s="5">
        <f t="shared" si="43"/>
        <v>3892.98</v>
      </c>
      <c r="P209" s="5">
        <f t="shared" si="43"/>
        <v>3892.98</v>
      </c>
      <c r="Q209" s="5">
        <f t="shared" si="43"/>
        <v>3767.4</v>
      </c>
      <c r="R209" s="5">
        <f t="shared" si="43"/>
        <v>3892.98</v>
      </c>
      <c r="S209" s="5">
        <f t="shared" si="43"/>
        <v>3767.4</v>
      </c>
      <c r="T209" s="5">
        <f t="shared" si="43"/>
        <v>3892.98</v>
      </c>
      <c r="U209" s="5">
        <f t="shared" ref="U209" si="46">SUBTOTAL(9,I209:T209)</f>
        <v>45836.700000000004</v>
      </c>
      <c r="V209" s="6">
        <f>U209</f>
        <v>45836.700000000004</v>
      </c>
      <c r="W209" s="26">
        <f>V209/365</f>
        <v>125.58000000000001</v>
      </c>
      <c r="X209" s="7">
        <f>W205+W206+W207+W208+W209</f>
        <v>367.70000000000005</v>
      </c>
      <c r="Y209" s="11">
        <v>367.7</v>
      </c>
      <c r="Z209" s="23">
        <f>Y209-X209</f>
        <v>0</v>
      </c>
    </row>
    <row r="210" spans="1:27" x14ac:dyDescent="0.25">
      <c r="A210" s="1">
        <v>44927</v>
      </c>
      <c r="B210" s="1">
        <v>45291</v>
      </c>
      <c r="C210" t="s">
        <v>8</v>
      </c>
      <c r="D210" t="s">
        <v>20</v>
      </c>
      <c r="E210" t="s">
        <v>49</v>
      </c>
      <c r="F210" t="s">
        <v>56</v>
      </c>
      <c r="G210" t="s">
        <v>57</v>
      </c>
      <c r="H210" s="31">
        <v>97</v>
      </c>
      <c r="I210" s="5">
        <f t="shared" ref="I210:T214" si="47">$H210*I$2</f>
        <v>3007</v>
      </c>
      <c r="J210" s="5">
        <f t="shared" si="47"/>
        <v>2716</v>
      </c>
      <c r="K210" s="5">
        <f t="shared" si="47"/>
        <v>3007</v>
      </c>
      <c r="L210" s="5">
        <f t="shared" si="47"/>
        <v>2910</v>
      </c>
      <c r="M210" s="5">
        <f t="shared" si="47"/>
        <v>3007</v>
      </c>
      <c r="N210" s="5">
        <f t="shared" si="47"/>
        <v>2910</v>
      </c>
      <c r="O210" s="5">
        <f t="shared" si="47"/>
        <v>3007</v>
      </c>
      <c r="P210" s="5">
        <f t="shared" si="47"/>
        <v>3007</v>
      </c>
      <c r="Q210" s="5">
        <f t="shared" si="47"/>
        <v>2910</v>
      </c>
      <c r="R210" s="5">
        <f t="shared" si="47"/>
        <v>3007</v>
      </c>
      <c r="S210" s="5">
        <f t="shared" si="47"/>
        <v>2910</v>
      </c>
      <c r="T210" s="5">
        <f t="shared" si="47"/>
        <v>3007</v>
      </c>
      <c r="U210" s="5">
        <f t="shared" ref="U210:U236" si="48">SUBTOTAL(9,I210:T210)</f>
        <v>35405</v>
      </c>
      <c r="V210" s="6">
        <f>U210</f>
        <v>35405</v>
      </c>
      <c r="W210" s="7">
        <f t="shared" ref="W210:W236" si="49">V210/365</f>
        <v>97</v>
      </c>
      <c r="X210" t="s">
        <v>127</v>
      </c>
      <c r="Y210" s="11">
        <v>97</v>
      </c>
      <c r="Z210" s="23">
        <f>Y210-W210</f>
        <v>0</v>
      </c>
    </row>
    <row r="211" spans="1:27" x14ac:dyDescent="0.25">
      <c r="A211" s="1">
        <v>44927</v>
      </c>
      <c r="B211" s="1">
        <v>45291</v>
      </c>
      <c r="C211" t="s">
        <v>45</v>
      </c>
      <c r="D211" t="s">
        <v>46</v>
      </c>
      <c r="E211" t="s">
        <v>49</v>
      </c>
      <c r="F211" t="s">
        <v>25</v>
      </c>
      <c r="G211" t="s">
        <v>58</v>
      </c>
      <c r="H211" s="31">
        <v>2.5</v>
      </c>
      <c r="I211" s="5">
        <f t="shared" si="47"/>
        <v>77.5</v>
      </c>
      <c r="J211" s="5">
        <f t="shared" si="47"/>
        <v>70</v>
      </c>
      <c r="K211" s="5">
        <f t="shared" si="47"/>
        <v>77.5</v>
      </c>
      <c r="L211" s="5">
        <f t="shared" si="47"/>
        <v>75</v>
      </c>
      <c r="M211" s="5">
        <f t="shared" si="47"/>
        <v>77.5</v>
      </c>
      <c r="N211" s="5">
        <f t="shared" si="47"/>
        <v>75</v>
      </c>
      <c r="O211" s="5">
        <f t="shared" si="47"/>
        <v>77.5</v>
      </c>
      <c r="P211" s="5">
        <f t="shared" si="47"/>
        <v>77.5</v>
      </c>
      <c r="Q211" s="5">
        <f t="shared" si="47"/>
        <v>75</v>
      </c>
      <c r="R211" s="5">
        <f t="shared" si="47"/>
        <v>77.5</v>
      </c>
      <c r="S211" s="5">
        <f t="shared" si="47"/>
        <v>75</v>
      </c>
      <c r="T211" s="5">
        <f t="shared" si="47"/>
        <v>77.5</v>
      </c>
      <c r="U211" s="5">
        <f t="shared" si="48"/>
        <v>912.5</v>
      </c>
      <c r="V211" s="6">
        <f t="shared" ref="V211:V213" si="50">U211</f>
        <v>912.5</v>
      </c>
      <c r="W211" s="7">
        <f t="shared" si="49"/>
        <v>2.5</v>
      </c>
      <c r="X211" t="s">
        <v>45</v>
      </c>
      <c r="Y211" s="11">
        <v>2.5</v>
      </c>
      <c r="Z211" s="23">
        <f t="shared" ref="Z211:Z214" si="51">Y211-W211</f>
        <v>0</v>
      </c>
    </row>
    <row r="212" spans="1:27" x14ac:dyDescent="0.25">
      <c r="A212" s="1">
        <v>44927</v>
      </c>
      <c r="B212" s="1">
        <v>45291</v>
      </c>
      <c r="C212" t="s">
        <v>34</v>
      </c>
      <c r="D212" t="s">
        <v>35</v>
      </c>
      <c r="E212" t="s">
        <v>49</v>
      </c>
      <c r="F212" t="s">
        <v>25</v>
      </c>
      <c r="G212" t="s">
        <v>58</v>
      </c>
      <c r="H212" s="31">
        <v>5</v>
      </c>
      <c r="I212" s="5">
        <f t="shared" si="47"/>
        <v>155</v>
      </c>
      <c r="J212" s="5">
        <f t="shared" si="47"/>
        <v>140</v>
      </c>
      <c r="K212" s="5">
        <f t="shared" si="47"/>
        <v>155</v>
      </c>
      <c r="L212" s="5">
        <f t="shared" si="47"/>
        <v>150</v>
      </c>
      <c r="M212" s="5">
        <f t="shared" si="47"/>
        <v>155</v>
      </c>
      <c r="N212" s="5">
        <f t="shared" si="47"/>
        <v>150</v>
      </c>
      <c r="O212" s="5">
        <f t="shared" si="47"/>
        <v>155</v>
      </c>
      <c r="P212" s="5">
        <f t="shared" si="47"/>
        <v>155</v>
      </c>
      <c r="Q212" s="5">
        <f t="shared" si="47"/>
        <v>150</v>
      </c>
      <c r="R212" s="5">
        <f t="shared" si="47"/>
        <v>155</v>
      </c>
      <c r="S212" s="5">
        <f t="shared" si="47"/>
        <v>150</v>
      </c>
      <c r="T212" s="5">
        <f t="shared" si="47"/>
        <v>155</v>
      </c>
      <c r="U212" s="5">
        <f t="shared" si="48"/>
        <v>1825</v>
      </c>
      <c r="V212" s="6">
        <f t="shared" si="50"/>
        <v>1825</v>
      </c>
      <c r="W212" s="7">
        <f t="shared" si="49"/>
        <v>5</v>
      </c>
      <c r="X212" t="s">
        <v>133</v>
      </c>
      <c r="Y212" s="11">
        <v>5</v>
      </c>
      <c r="Z212" s="23">
        <f t="shared" si="51"/>
        <v>0</v>
      </c>
    </row>
    <row r="213" spans="1:27" x14ac:dyDescent="0.25">
      <c r="A213" s="1">
        <v>44927</v>
      </c>
      <c r="B213" s="1">
        <v>45291</v>
      </c>
      <c r="C213" t="s">
        <v>37</v>
      </c>
      <c r="D213" t="s">
        <v>47</v>
      </c>
      <c r="E213" t="s">
        <v>49</v>
      </c>
      <c r="F213" t="s">
        <v>25</v>
      </c>
      <c r="G213" t="s">
        <v>58</v>
      </c>
      <c r="H213" s="31">
        <v>18.5</v>
      </c>
      <c r="I213" s="5">
        <f t="shared" si="47"/>
        <v>573.5</v>
      </c>
      <c r="J213" s="5">
        <f t="shared" si="47"/>
        <v>518</v>
      </c>
      <c r="K213" s="5">
        <f t="shared" si="47"/>
        <v>573.5</v>
      </c>
      <c r="L213" s="5">
        <f t="shared" si="47"/>
        <v>555</v>
      </c>
      <c r="M213" s="5">
        <f t="shared" si="47"/>
        <v>573.5</v>
      </c>
      <c r="N213" s="5">
        <f t="shared" si="47"/>
        <v>555</v>
      </c>
      <c r="O213" s="5">
        <f t="shared" si="47"/>
        <v>573.5</v>
      </c>
      <c r="P213" s="5">
        <f t="shared" si="47"/>
        <v>573.5</v>
      </c>
      <c r="Q213" s="5">
        <f t="shared" si="47"/>
        <v>555</v>
      </c>
      <c r="R213" s="5">
        <f t="shared" si="47"/>
        <v>573.5</v>
      </c>
      <c r="S213" s="5">
        <f t="shared" si="47"/>
        <v>555</v>
      </c>
      <c r="T213" s="5">
        <f t="shared" si="47"/>
        <v>573.5</v>
      </c>
      <c r="U213" s="5">
        <f t="shared" si="48"/>
        <v>6752.5</v>
      </c>
      <c r="V213" s="6">
        <f t="shared" si="50"/>
        <v>6752.5</v>
      </c>
      <c r="W213" s="7">
        <f t="shared" si="49"/>
        <v>18.5</v>
      </c>
      <c r="X213" t="s">
        <v>89</v>
      </c>
      <c r="Y213" s="11">
        <v>18.5</v>
      </c>
      <c r="Z213" s="23">
        <f t="shared" si="51"/>
        <v>0</v>
      </c>
    </row>
    <row r="214" spans="1:27" x14ac:dyDescent="0.25">
      <c r="A214" s="1">
        <v>44927</v>
      </c>
      <c r="B214" s="1">
        <v>45291</v>
      </c>
      <c r="C214" t="s">
        <v>8</v>
      </c>
      <c r="D214" t="s">
        <v>8</v>
      </c>
      <c r="E214" t="s">
        <v>49</v>
      </c>
      <c r="F214" t="s">
        <v>25</v>
      </c>
      <c r="G214" t="s">
        <v>58</v>
      </c>
      <c r="H214" s="31">
        <v>40</v>
      </c>
      <c r="I214" s="5">
        <f t="shared" si="47"/>
        <v>1240</v>
      </c>
      <c r="J214" s="5">
        <f t="shared" si="47"/>
        <v>1120</v>
      </c>
      <c r="K214" s="5">
        <f t="shared" si="47"/>
        <v>1240</v>
      </c>
      <c r="L214" s="5">
        <f t="shared" si="47"/>
        <v>1200</v>
      </c>
      <c r="M214" s="5">
        <f t="shared" si="47"/>
        <v>1240</v>
      </c>
      <c r="N214" s="5">
        <f t="shared" si="47"/>
        <v>1200</v>
      </c>
      <c r="O214" s="5">
        <f t="shared" si="47"/>
        <v>1240</v>
      </c>
      <c r="P214" s="5">
        <f t="shared" si="47"/>
        <v>1240</v>
      </c>
      <c r="Q214" s="5">
        <f t="shared" si="47"/>
        <v>1200</v>
      </c>
      <c r="R214" s="5">
        <f t="shared" si="47"/>
        <v>1240</v>
      </c>
      <c r="S214" s="5">
        <f t="shared" si="47"/>
        <v>1200</v>
      </c>
      <c r="T214" s="5">
        <f t="shared" si="47"/>
        <v>1240</v>
      </c>
      <c r="U214" s="5">
        <f t="shared" si="48"/>
        <v>14600</v>
      </c>
      <c r="V214" s="6">
        <f>U214</f>
        <v>14600</v>
      </c>
      <c r="W214" s="7">
        <f t="shared" si="49"/>
        <v>40</v>
      </c>
      <c r="X214" t="s">
        <v>130</v>
      </c>
      <c r="Y214" s="11">
        <v>40</v>
      </c>
      <c r="Z214" s="23">
        <f t="shared" si="51"/>
        <v>0</v>
      </c>
    </row>
    <row r="215" spans="1:27" x14ac:dyDescent="0.25">
      <c r="H215" s="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W215" s="7"/>
    </row>
    <row r="216" spans="1:27" x14ac:dyDescent="0.25">
      <c r="A216" s="1">
        <v>44927</v>
      </c>
      <c r="B216" s="1">
        <v>45291</v>
      </c>
      <c r="C216" t="s">
        <v>8</v>
      </c>
      <c r="D216" t="s">
        <v>9</v>
      </c>
      <c r="E216" t="s">
        <v>68</v>
      </c>
      <c r="F216" t="s">
        <v>69</v>
      </c>
      <c r="G216" t="s">
        <v>70</v>
      </c>
      <c r="H216" s="31">
        <v>62</v>
      </c>
      <c r="I216" s="5">
        <f t="shared" ref="I216:T223" si="52">$H216*I$2</f>
        <v>1922</v>
      </c>
      <c r="J216" s="5">
        <f t="shared" si="52"/>
        <v>1736</v>
      </c>
      <c r="K216" s="5">
        <f t="shared" si="52"/>
        <v>1922</v>
      </c>
      <c r="L216" s="5">
        <f t="shared" si="52"/>
        <v>1860</v>
      </c>
      <c r="M216" s="5">
        <f t="shared" si="52"/>
        <v>1922</v>
      </c>
      <c r="N216" s="5">
        <f t="shared" si="52"/>
        <v>1860</v>
      </c>
      <c r="O216" s="5">
        <f t="shared" si="52"/>
        <v>1922</v>
      </c>
      <c r="P216" s="5">
        <f t="shared" si="52"/>
        <v>1922</v>
      </c>
      <c r="Q216" s="5">
        <f t="shared" si="52"/>
        <v>1860</v>
      </c>
      <c r="R216" s="5">
        <f t="shared" si="52"/>
        <v>1922</v>
      </c>
      <c r="S216" s="5">
        <f t="shared" si="52"/>
        <v>1860</v>
      </c>
      <c r="T216" s="5">
        <f t="shared" si="52"/>
        <v>1922</v>
      </c>
      <c r="U216" s="5">
        <f t="shared" si="48"/>
        <v>22630</v>
      </c>
      <c r="V216" s="6">
        <f>U216</f>
        <v>22630</v>
      </c>
      <c r="W216" s="26">
        <f t="shared" si="49"/>
        <v>62</v>
      </c>
      <c r="Y216" s="12" t="s">
        <v>124</v>
      </c>
      <c r="Z216" s="12" t="s">
        <v>125</v>
      </c>
    </row>
    <row r="217" spans="1:27" x14ac:dyDescent="0.25">
      <c r="A217" s="1">
        <v>44927</v>
      </c>
      <c r="B217" s="1">
        <v>45291</v>
      </c>
      <c r="C217" t="s">
        <v>8</v>
      </c>
      <c r="D217" t="s">
        <v>9</v>
      </c>
      <c r="E217" t="s">
        <v>68</v>
      </c>
      <c r="F217" t="s">
        <v>69</v>
      </c>
      <c r="G217" t="s">
        <v>71</v>
      </c>
      <c r="H217" s="31">
        <v>86.24</v>
      </c>
      <c r="I217" s="5">
        <f t="shared" si="52"/>
        <v>2673.44</v>
      </c>
      <c r="J217" s="5">
        <f t="shared" si="52"/>
        <v>2414.7199999999998</v>
      </c>
      <c r="K217" s="5">
        <f t="shared" si="52"/>
        <v>2673.44</v>
      </c>
      <c r="L217" s="5">
        <f t="shared" si="52"/>
        <v>2587.1999999999998</v>
      </c>
      <c r="M217" s="5">
        <f t="shared" si="52"/>
        <v>2673.44</v>
      </c>
      <c r="N217" s="5">
        <f t="shared" si="52"/>
        <v>2587.1999999999998</v>
      </c>
      <c r="O217" s="5">
        <f t="shared" si="52"/>
        <v>2673.44</v>
      </c>
      <c r="P217" s="5">
        <f t="shared" si="52"/>
        <v>2673.44</v>
      </c>
      <c r="Q217" s="5">
        <f t="shared" si="52"/>
        <v>2587.1999999999998</v>
      </c>
      <c r="R217" s="5">
        <f t="shared" si="52"/>
        <v>2673.44</v>
      </c>
      <c r="S217" s="5">
        <f t="shared" si="52"/>
        <v>2587.1999999999998</v>
      </c>
      <c r="T217" s="5">
        <f t="shared" si="52"/>
        <v>2673.44</v>
      </c>
      <c r="U217" s="5">
        <f t="shared" si="48"/>
        <v>31477.599999999995</v>
      </c>
      <c r="V217" s="6">
        <f t="shared" ref="V217:V220" si="53">U217</f>
        <v>31477.599999999995</v>
      </c>
      <c r="W217" s="26">
        <f t="shared" si="49"/>
        <v>86.239999999999981</v>
      </c>
      <c r="X217" s="7">
        <f>W216+W217</f>
        <v>148.23999999999998</v>
      </c>
      <c r="Y217" s="11">
        <v>148.23999999999998</v>
      </c>
      <c r="Z217" s="23">
        <f>Y217-X217</f>
        <v>0</v>
      </c>
    </row>
    <row r="218" spans="1:27" x14ac:dyDescent="0.25">
      <c r="A218" s="1">
        <v>44927</v>
      </c>
      <c r="B218" s="1">
        <v>45291</v>
      </c>
      <c r="C218" t="s">
        <v>8</v>
      </c>
      <c r="D218" t="s">
        <v>20</v>
      </c>
      <c r="E218" t="s">
        <v>68</v>
      </c>
      <c r="F218" t="s">
        <v>72</v>
      </c>
      <c r="G218" t="s">
        <v>73</v>
      </c>
      <c r="H218" s="31">
        <v>22.52</v>
      </c>
      <c r="I218" s="5">
        <f t="shared" si="52"/>
        <v>698.12</v>
      </c>
      <c r="J218" s="5">
        <f t="shared" si="52"/>
        <v>630.55999999999995</v>
      </c>
      <c r="K218" s="5">
        <f t="shared" si="52"/>
        <v>698.12</v>
      </c>
      <c r="L218" s="5">
        <f t="shared" si="52"/>
        <v>675.6</v>
      </c>
      <c r="M218" s="5">
        <f t="shared" si="52"/>
        <v>698.12</v>
      </c>
      <c r="N218" s="5">
        <f t="shared" si="52"/>
        <v>675.6</v>
      </c>
      <c r="O218" s="5">
        <f t="shared" si="52"/>
        <v>698.12</v>
      </c>
      <c r="P218" s="5">
        <f t="shared" si="52"/>
        <v>698.12</v>
      </c>
      <c r="Q218" s="5">
        <f t="shared" si="52"/>
        <v>675.6</v>
      </c>
      <c r="R218" s="5">
        <f t="shared" si="52"/>
        <v>698.12</v>
      </c>
      <c r="S218" s="5">
        <f t="shared" si="52"/>
        <v>675.6</v>
      </c>
      <c r="T218" s="5">
        <f t="shared" si="52"/>
        <v>698.12</v>
      </c>
      <c r="U218" s="5">
        <f t="shared" si="48"/>
        <v>8219.8000000000011</v>
      </c>
      <c r="V218" s="6">
        <f t="shared" si="53"/>
        <v>8219.8000000000011</v>
      </c>
      <c r="W218" s="7">
        <f t="shared" si="49"/>
        <v>22.520000000000003</v>
      </c>
      <c r="X218" t="s">
        <v>127</v>
      </c>
      <c r="Y218" s="11">
        <v>22.52</v>
      </c>
      <c r="Z218" s="23">
        <f t="shared" ref="Z218:Z223" si="54">Y218-W218</f>
        <v>0</v>
      </c>
      <c r="AA218" s="25" t="s">
        <v>138</v>
      </c>
    </row>
    <row r="219" spans="1:27" x14ac:dyDescent="0.25">
      <c r="A219" s="1">
        <v>44927</v>
      </c>
      <c r="B219" s="1">
        <v>45291</v>
      </c>
      <c r="C219" t="s">
        <v>45</v>
      </c>
      <c r="D219" t="s">
        <v>46</v>
      </c>
      <c r="E219" t="s">
        <v>68</v>
      </c>
      <c r="F219" t="s">
        <v>25</v>
      </c>
      <c r="G219" t="s">
        <v>74</v>
      </c>
      <c r="H219" s="31">
        <v>6</v>
      </c>
      <c r="I219" s="5">
        <f t="shared" si="52"/>
        <v>186</v>
      </c>
      <c r="J219" s="5">
        <f t="shared" si="52"/>
        <v>168</v>
      </c>
      <c r="K219" s="5">
        <f t="shared" si="52"/>
        <v>186</v>
      </c>
      <c r="L219" s="5">
        <f t="shared" si="52"/>
        <v>180</v>
      </c>
      <c r="M219" s="5">
        <f t="shared" si="52"/>
        <v>186</v>
      </c>
      <c r="N219" s="5">
        <f t="shared" si="52"/>
        <v>180</v>
      </c>
      <c r="O219" s="5">
        <f t="shared" si="52"/>
        <v>186</v>
      </c>
      <c r="P219" s="5">
        <f t="shared" si="52"/>
        <v>186</v>
      </c>
      <c r="Q219" s="5">
        <f t="shared" si="52"/>
        <v>180</v>
      </c>
      <c r="R219" s="5">
        <f t="shared" si="52"/>
        <v>186</v>
      </c>
      <c r="S219" s="5">
        <f t="shared" si="52"/>
        <v>180</v>
      </c>
      <c r="T219" s="5">
        <f t="shared" si="52"/>
        <v>186</v>
      </c>
      <c r="U219" s="5">
        <f t="shared" si="48"/>
        <v>2190</v>
      </c>
      <c r="V219" s="6">
        <f t="shared" si="53"/>
        <v>2190</v>
      </c>
      <c r="W219" s="7">
        <f t="shared" si="49"/>
        <v>6</v>
      </c>
      <c r="X219" t="s">
        <v>45</v>
      </c>
      <c r="Y219" s="11">
        <v>6</v>
      </c>
      <c r="Z219" s="23">
        <f t="shared" si="54"/>
        <v>0</v>
      </c>
    </row>
    <row r="220" spans="1:27" x14ac:dyDescent="0.25">
      <c r="A220" s="1">
        <v>44927</v>
      </c>
      <c r="B220" s="1">
        <v>45291</v>
      </c>
      <c r="C220" t="s">
        <v>34</v>
      </c>
      <c r="D220" t="s">
        <v>35</v>
      </c>
      <c r="E220" t="s">
        <v>68</v>
      </c>
      <c r="F220" t="s">
        <v>25</v>
      </c>
      <c r="G220" t="s">
        <v>74</v>
      </c>
      <c r="H220" s="31">
        <v>12.4</v>
      </c>
      <c r="I220" s="5">
        <f t="shared" si="52"/>
        <v>384.40000000000003</v>
      </c>
      <c r="J220" s="5">
        <f t="shared" si="52"/>
        <v>347.2</v>
      </c>
      <c r="K220" s="5">
        <f t="shared" si="52"/>
        <v>384.40000000000003</v>
      </c>
      <c r="L220" s="5">
        <f t="shared" si="52"/>
        <v>372</v>
      </c>
      <c r="M220" s="5">
        <f t="shared" si="52"/>
        <v>384.40000000000003</v>
      </c>
      <c r="N220" s="5">
        <f t="shared" si="52"/>
        <v>372</v>
      </c>
      <c r="O220" s="5">
        <f t="shared" si="52"/>
        <v>384.40000000000003</v>
      </c>
      <c r="P220" s="5">
        <f t="shared" si="52"/>
        <v>384.40000000000003</v>
      </c>
      <c r="Q220" s="5">
        <f t="shared" si="52"/>
        <v>372</v>
      </c>
      <c r="R220" s="5">
        <f t="shared" si="52"/>
        <v>384.40000000000003</v>
      </c>
      <c r="S220" s="5">
        <f t="shared" si="52"/>
        <v>372</v>
      </c>
      <c r="T220" s="5">
        <f t="shared" si="52"/>
        <v>384.40000000000003</v>
      </c>
      <c r="U220" s="5">
        <f t="shared" si="48"/>
        <v>4526</v>
      </c>
      <c r="V220" s="6">
        <f t="shared" si="53"/>
        <v>4526</v>
      </c>
      <c r="W220" s="7">
        <f t="shared" si="49"/>
        <v>12.4</v>
      </c>
      <c r="X220" t="s">
        <v>133</v>
      </c>
      <c r="Y220" s="11">
        <v>12.4</v>
      </c>
      <c r="Z220" s="23">
        <f t="shared" si="54"/>
        <v>0</v>
      </c>
    </row>
    <row r="221" spans="1:27" x14ac:dyDescent="0.25">
      <c r="A221" s="1">
        <v>44927</v>
      </c>
      <c r="B221" s="1">
        <v>45291</v>
      </c>
      <c r="C221" t="s">
        <v>66</v>
      </c>
      <c r="D221" t="s">
        <v>67</v>
      </c>
      <c r="E221" t="s">
        <v>68</v>
      </c>
      <c r="F221" t="s">
        <v>25</v>
      </c>
      <c r="G221" t="s">
        <v>74</v>
      </c>
      <c r="H221" s="31">
        <v>0</v>
      </c>
      <c r="I221" s="5">
        <f t="shared" si="52"/>
        <v>0</v>
      </c>
      <c r="J221" s="5">
        <f t="shared" si="52"/>
        <v>0</v>
      </c>
      <c r="K221" s="5">
        <f t="shared" si="52"/>
        <v>0</v>
      </c>
      <c r="L221" s="5">
        <f t="shared" si="52"/>
        <v>0</v>
      </c>
      <c r="M221" s="5">
        <f t="shared" si="52"/>
        <v>0</v>
      </c>
      <c r="N221" s="5">
        <f t="shared" si="52"/>
        <v>0</v>
      </c>
      <c r="O221" s="5">
        <f t="shared" si="52"/>
        <v>0</v>
      </c>
      <c r="P221" s="5">
        <f t="shared" si="52"/>
        <v>0</v>
      </c>
      <c r="Q221" s="5">
        <f t="shared" si="52"/>
        <v>0</v>
      </c>
      <c r="R221" s="5">
        <f t="shared" si="52"/>
        <v>0</v>
      </c>
      <c r="S221" s="5">
        <f t="shared" si="52"/>
        <v>0</v>
      </c>
      <c r="T221" s="5">
        <f t="shared" si="52"/>
        <v>0</v>
      </c>
      <c r="U221" s="5">
        <f t="shared" si="48"/>
        <v>0</v>
      </c>
      <c r="V221" s="6">
        <f>U221</f>
        <v>0</v>
      </c>
      <c r="W221" s="7">
        <f t="shared" si="49"/>
        <v>0</v>
      </c>
      <c r="X221" t="s">
        <v>129</v>
      </c>
      <c r="Y221" s="11">
        <v>0</v>
      </c>
      <c r="Z221" s="23">
        <f t="shared" si="54"/>
        <v>0</v>
      </c>
    </row>
    <row r="222" spans="1:27" x14ac:dyDescent="0.25">
      <c r="A222" s="1">
        <v>44927</v>
      </c>
      <c r="B222" s="1">
        <v>45291</v>
      </c>
      <c r="C222" t="s">
        <v>37</v>
      </c>
      <c r="D222" t="s">
        <v>47</v>
      </c>
      <c r="E222" t="s">
        <v>68</v>
      </c>
      <c r="F222" t="s">
        <v>25</v>
      </c>
      <c r="G222" t="s">
        <v>74</v>
      </c>
      <c r="H222" s="31">
        <v>23</v>
      </c>
      <c r="I222" s="5">
        <f t="shared" si="52"/>
        <v>713</v>
      </c>
      <c r="J222" s="5">
        <f t="shared" si="52"/>
        <v>644</v>
      </c>
      <c r="K222" s="5">
        <f t="shared" si="52"/>
        <v>713</v>
      </c>
      <c r="L222" s="5">
        <f t="shared" si="52"/>
        <v>690</v>
      </c>
      <c r="M222" s="5">
        <f t="shared" si="52"/>
        <v>713</v>
      </c>
      <c r="N222" s="5">
        <f t="shared" si="52"/>
        <v>690</v>
      </c>
      <c r="O222" s="5">
        <f t="shared" si="52"/>
        <v>713</v>
      </c>
      <c r="P222" s="5">
        <f t="shared" si="52"/>
        <v>713</v>
      </c>
      <c r="Q222" s="5">
        <f t="shared" si="52"/>
        <v>690</v>
      </c>
      <c r="R222" s="5">
        <f t="shared" si="52"/>
        <v>713</v>
      </c>
      <c r="S222" s="5">
        <f t="shared" si="52"/>
        <v>690</v>
      </c>
      <c r="T222" s="5">
        <f t="shared" si="52"/>
        <v>713</v>
      </c>
      <c r="U222" s="5">
        <f t="shared" si="48"/>
        <v>8395</v>
      </c>
      <c r="V222" s="6">
        <f>U222</f>
        <v>8395</v>
      </c>
      <c r="W222" s="7">
        <f t="shared" si="49"/>
        <v>23</v>
      </c>
      <c r="X222" t="s">
        <v>89</v>
      </c>
      <c r="Y222" s="11">
        <v>23</v>
      </c>
      <c r="Z222" s="23">
        <f t="shared" si="54"/>
        <v>0</v>
      </c>
    </row>
    <row r="223" spans="1:27" x14ac:dyDescent="0.25">
      <c r="A223" s="1">
        <v>44927</v>
      </c>
      <c r="B223" s="1">
        <v>45291</v>
      </c>
      <c r="C223" t="s">
        <v>8</v>
      </c>
      <c r="D223" t="s">
        <v>8</v>
      </c>
      <c r="E223" t="s">
        <v>68</v>
      </c>
      <c r="F223" t="s">
        <v>25</v>
      </c>
      <c r="G223" t="s">
        <v>74</v>
      </c>
      <c r="H223" s="31">
        <v>17.600000000000001</v>
      </c>
      <c r="I223" s="5">
        <f t="shared" si="52"/>
        <v>545.6</v>
      </c>
      <c r="J223" s="5">
        <f t="shared" si="52"/>
        <v>492.80000000000007</v>
      </c>
      <c r="K223" s="5">
        <f t="shared" si="52"/>
        <v>545.6</v>
      </c>
      <c r="L223" s="5">
        <f t="shared" si="52"/>
        <v>528</v>
      </c>
      <c r="M223" s="5">
        <f t="shared" si="52"/>
        <v>545.6</v>
      </c>
      <c r="N223" s="5">
        <f t="shared" si="52"/>
        <v>528</v>
      </c>
      <c r="O223" s="5">
        <f t="shared" si="52"/>
        <v>545.6</v>
      </c>
      <c r="P223" s="5">
        <f t="shared" si="52"/>
        <v>545.6</v>
      </c>
      <c r="Q223" s="5">
        <f t="shared" si="52"/>
        <v>528</v>
      </c>
      <c r="R223" s="5">
        <f t="shared" si="52"/>
        <v>545.6</v>
      </c>
      <c r="S223" s="5">
        <f t="shared" si="52"/>
        <v>528</v>
      </c>
      <c r="T223" s="5">
        <f t="shared" si="52"/>
        <v>545.6</v>
      </c>
      <c r="U223" s="5">
        <f t="shared" si="48"/>
        <v>6424.0000000000009</v>
      </c>
      <c r="V223" s="6">
        <f>U223</f>
        <v>6424.0000000000009</v>
      </c>
      <c r="W223" s="7">
        <f t="shared" si="49"/>
        <v>17.600000000000001</v>
      </c>
      <c r="X223" t="s">
        <v>130</v>
      </c>
      <c r="Y223" s="11">
        <v>17.600000000000001</v>
      </c>
      <c r="Z223" s="23">
        <f t="shared" si="54"/>
        <v>0</v>
      </c>
    </row>
    <row r="224" spans="1:27" x14ac:dyDescent="0.25">
      <c r="A224" s="1"/>
      <c r="B224" s="1"/>
      <c r="H224" s="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>
        <f t="shared" si="48"/>
        <v>0</v>
      </c>
      <c r="W224" s="7"/>
      <c r="Y224" s="24"/>
      <c r="Z224" s="24"/>
    </row>
    <row r="225" spans="1:27" x14ac:dyDescent="0.25">
      <c r="A225" s="1">
        <v>44927</v>
      </c>
      <c r="B225" s="1">
        <v>45291</v>
      </c>
      <c r="C225" t="s">
        <v>8</v>
      </c>
      <c r="D225" t="s">
        <v>9</v>
      </c>
      <c r="E225" t="s">
        <v>59</v>
      </c>
      <c r="F225" t="s">
        <v>60</v>
      </c>
      <c r="G225" t="s">
        <v>61</v>
      </c>
      <c r="H225" s="32">
        <v>48.001200000000004</v>
      </c>
      <c r="I225" s="5">
        <f t="shared" ref="I225:T232" si="55">$H225*I$2</f>
        <v>1488.0372000000002</v>
      </c>
      <c r="J225" s="5">
        <f t="shared" si="55"/>
        <v>1344.0336000000002</v>
      </c>
      <c r="K225" s="5">
        <f t="shared" si="55"/>
        <v>1488.0372000000002</v>
      </c>
      <c r="L225" s="5">
        <f t="shared" si="55"/>
        <v>1440.0360000000001</v>
      </c>
      <c r="M225" s="5">
        <f t="shared" si="55"/>
        <v>1488.0372000000002</v>
      </c>
      <c r="N225" s="5">
        <f t="shared" si="55"/>
        <v>1440.0360000000001</v>
      </c>
      <c r="O225" s="5">
        <f t="shared" si="55"/>
        <v>1488.0372000000002</v>
      </c>
      <c r="P225" s="5">
        <f t="shared" si="55"/>
        <v>1488.0372000000002</v>
      </c>
      <c r="Q225" s="5">
        <f t="shared" si="55"/>
        <v>1440.0360000000001</v>
      </c>
      <c r="R225" s="5">
        <f t="shared" si="55"/>
        <v>1488.0372000000002</v>
      </c>
      <c r="S225" s="5">
        <f t="shared" si="55"/>
        <v>1440.0360000000001</v>
      </c>
      <c r="T225" s="5">
        <f t="shared" si="55"/>
        <v>1488.0372000000002</v>
      </c>
      <c r="U225" s="5">
        <f t="shared" si="48"/>
        <v>17520.438000000002</v>
      </c>
      <c r="V225" s="6">
        <f t="shared" ref="V225:V236" si="56">U225</f>
        <v>17520.438000000002</v>
      </c>
      <c r="W225" s="26">
        <f t="shared" si="49"/>
        <v>48.001200000000004</v>
      </c>
      <c r="Y225" s="12" t="s">
        <v>124</v>
      </c>
      <c r="Z225" s="12" t="s">
        <v>125</v>
      </c>
    </row>
    <row r="226" spans="1:27" x14ac:dyDescent="0.25">
      <c r="A226" s="1">
        <v>44927</v>
      </c>
      <c r="B226" s="1">
        <v>45291</v>
      </c>
      <c r="C226" t="s">
        <v>8</v>
      </c>
      <c r="D226" t="s">
        <v>9</v>
      </c>
      <c r="E226" t="s">
        <v>59</v>
      </c>
      <c r="F226" t="s">
        <v>60</v>
      </c>
      <c r="G226" t="s">
        <v>62</v>
      </c>
      <c r="H226" s="32">
        <v>72.930000000000007</v>
      </c>
      <c r="I226" s="5">
        <f t="shared" si="55"/>
        <v>2260.8300000000004</v>
      </c>
      <c r="J226" s="5">
        <f t="shared" si="55"/>
        <v>2042.0400000000002</v>
      </c>
      <c r="K226" s="5">
        <f t="shared" si="55"/>
        <v>2260.8300000000004</v>
      </c>
      <c r="L226" s="5">
        <f t="shared" si="55"/>
        <v>2187.9</v>
      </c>
      <c r="M226" s="5">
        <f t="shared" si="55"/>
        <v>2260.8300000000004</v>
      </c>
      <c r="N226" s="5">
        <f t="shared" si="55"/>
        <v>2187.9</v>
      </c>
      <c r="O226" s="5">
        <f t="shared" si="55"/>
        <v>2260.8300000000004</v>
      </c>
      <c r="P226" s="5">
        <f t="shared" si="55"/>
        <v>2260.8300000000004</v>
      </c>
      <c r="Q226" s="5">
        <f t="shared" si="55"/>
        <v>2187.9</v>
      </c>
      <c r="R226" s="5">
        <f t="shared" si="55"/>
        <v>2260.8300000000004</v>
      </c>
      <c r="S226" s="5">
        <f t="shared" si="55"/>
        <v>2187.9</v>
      </c>
      <c r="T226" s="5">
        <f t="shared" si="55"/>
        <v>2260.8300000000004</v>
      </c>
      <c r="U226" s="5">
        <f t="shared" si="48"/>
        <v>26619.450000000008</v>
      </c>
      <c r="V226" s="6">
        <f t="shared" si="56"/>
        <v>26619.450000000008</v>
      </c>
      <c r="W226" s="26">
        <f t="shared" si="49"/>
        <v>72.930000000000021</v>
      </c>
      <c r="X226" s="7">
        <f>W225+W226</f>
        <v>120.93120000000002</v>
      </c>
      <c r="Y226" s="11">
        <v>120.93120000000002</v>
      </c>
      <c r="Z226" s="23">
        <f>Y226-X226</f>
        <v>0</v>
      </c>
    </row>
    <row r="227" spans="1:27" x14ac:dyDescent="0.25">
      <c r="A227" s="1">
        <v>44927</v>
      </c>
      <c r="B227" s="1">
        <v>45291</v>
      </c>
      <c r="C227" t="s">
        <v>8</v>
      </c>
      <c r="D227" t="s">
        <v>20</v>
      </c>
      <c r="E227" t="s">
        <v>59</v>
      </c>
      <c r="F227" t="s">
        <v>63</v>
      </c>
      <c r="G227" t="s">
        <v>64</v>
      </c>
      <c r="H227" s="32">
        <v>36</v>
      </c>
      <c r="I227" s="5">
        <f t="shared" si="55"/>
        <v>1116</v>
      </c>
      <c r="J227" s="5">
        <f t="shared" si="55"/>
        <v>1008</v>
      </c>
      <c r="K227" s="5">
        <f t="shared" si="55"/>
        <v>1116</v>
      </c>
      <c r="L227" s="5">
        <f t="shared" si="55"/>
        <v>1080</v>
      </c>
      <c r="M227" s="5">
        <f t="shared" si="55"/>
        <v>1116</v>
      </c>
      <c r="N227" s="5">
        <f t="shared" si="55"/>
        <v>1080</v>
      </c>
      <c r="O227" s="5">
        <f t="shared" si="55"/>
        <v>1116</v>
      </c>
      <c r="P227" s="5">
        <f t="shared" si="55"/>
        <v>1116</v>
      </c>
      <c r="Q227" s="5">
        <f t="shared" si="55"/>
        <v>1080</v>
      </c>
      <c r="R227" s="5">
        <f t="shared" si="55"/>
        <v>1116</v>
      </c>
      <c r="S227" s="5">
        <f t="shared" si="55"/>
        <v>1080</v>
      </c>
      <c r="T227" s="5">
        <f t="shared" si="55"/>
        <v>1116</v>
      </c>
      <c r="U227" s="5">
        <f t="shared" si="48"/>
        <v>13140</v>
      </c>
      <c r="V227" s="6">
        <f t="shared" si="56"/>
        <v>13140</v>
      </c>
      <c r="W227" s="7">
        <f t="shared" si="49"/>
        <v>36</v>
      </c>
      <c r="X227" t="s">
        <v>127</v>
      </c>
      <c r="Y227" s="11">
        <v>36</v>
      </c>
      <c r="Z227" s="23">
        <f t="shared" ref="Z227:Z236" si="57">Y227-W227</f>
        <v>0</v>
      </c>
    </row>
    <row r="228" spans="1:27" x14ac:dyDescent="0.25">
      <c r="A228" s="1">
        <v>44927</v>
      </c>
      <c r="B228" s="1">
        <v>45291</v>
      </c>
      <c r="C228" t="s">
        <v>45</v>
      </c>
      <c r="D228" t="s">
        <v>46</v>
      </c>
      <c r="E228" t="s">
        <v>59</v>
      </c>
      <c r="F228" t="s">
        <v>25</v>
      </c>
      <c r="G228" t="s">
        <v>65</v>
      </c>
      <c r="H228" s="32">
        <v>4.5</v>
      </c>
      <c r="I228" s="5">
        <f t="shared" si="55"/>
        <v>139.5</v>
      </c>
      <c r="J228" s="5">
        <f t="shared" si="55"/>
        <v>126</v>
      </c>
      <c r="K228" s="5">
        <f t="shared" si="55"/>
        <v>139.5</v>
      </c>
      <c r="L228" s="5">
        <f t="shared" si="55"/>
        <v>135</v>
      </c>
      <c r="M228" s="5">
        <f t="shared" si="55"/>
        <v>139.5</v>
      </c>
      <c r="N228" s="5">
        <f t="shared" si="55"/>
        <v>135</v>
      </c>
      <c r="O228" s="5">
        <f t="shared" si="55"/>
        <v>139.5</v>
      </c>
      <c r="P228" s="5">
        <f t="shared" si="55"/>
        <v>139.5</v>
      </c>
      <c r="Q228" s="5">
        <f t="shared" si="55"/>
        <v>135</v>
      </c>
      <c r="R228" s="5">
        <f t="shared" si="55"/>
        <v>139.5</v>
      </c>
      <c r="S228" s="5">
        <f t="shared" si="55"/>
        <v>135</v>
      </c>
      <c r="T228" s="5">
        <f t="shared" si="55"/>
        <v>139.5</v>
      </c>
      <c r="U228" s="5">
        <f t="shared" si="48"/>
        <v>1642.5</v>
      </c>
      <c r="V228" s="6">
        <f t="shared" si="56"/>
        <v>1642.5</v>
      </c>
      <c r="W228" s="7">
        <f t="shared" si="49"/>
        <v>4.5</v>
      </c>
      <c r="X228" t="s">
        <v>45</v>
      </c>
      <c r="Y228" s="11">
        <v>4.5</v>
      </c>
      <c r="Z228" s="23">
        <f t="shared" si="57"/>
        <v>0</v>
      </c>
    </row>
    <row r="229" spans="1:27" x14ac:dyDescent="0.25">
      <c r="A229" s="1">
        <v>44927</v>
      </c>
      <c r="B229" s="1">
        <v>45291</v>
      </c>
      <c r="C229" t="s">
        <v>34</v>
      </c>
      <c r="D229" t="s">
        <v>35</v>
      </c>
      <c r="E229" t="s">
        <v>59</v>
      </c>
      <c r="F229" t="s">
        <v>25</v>
      </c>
      <c r="G229" t="s">
        <v>65</v>
      </c>
      <c r="H229" s="32">
        <v>8.1</v>
      </c>
      <c r="I229" s="5">
        <f t="shared" si="55"/>
        <v>251.1</v>
      </c>
      <c r="J229" s="5">
        <f t="shared" si="55"/>
        <v>226.79999999999998</v>
      </c>
      <c r="K229" s="5">
        <f t="shared" si="55"/>
        <v>251.1</v>
      </c>
      <c r="L229" s="5">
        <f t="shared" si="55"/>
        <v>243</v>
      </c>
      <c r="M229" s="5">
        <f t="shared" si="55"/>
        <v>251.1</v>
      </c>
      <c r="N229" s="5">
        <f t="shared" si="55"/>
        <v>243</v>
      </c>
      <c r="O229" s="5">
        <f t="shared" si="55"/>
        <v>251.1</v>
      </c>
      <c r="P229" s="5">
        <f t="shared" si="55"/>
        <v>251.1</v>
      </c>
      <c r="Q229" s="5">
        <f t="shared" si="55"/>
        <v>243</v>
      </c>
      <c r="R229" s="5">
        <f t="shared" si="55"/>
        <v>251.1</v>
      </c>
      <c r="S229" s="5">
        <f t="shared" si="55"/>
        <v>243</v>
      </c>
      <c r="T229" s="5">
        <f t="shared" si="55"/>
        <v>251.1</v>
      </c>
      <c r="U229" s="5">
        <f t="shared" si="48"/>
        <v>2956.4999999999995</v>
      </c>
      <c r="V229" s="6">
        <f t="shared" si="56"/>
        <v>2956.4999999999995</v>
      </c>
      <c r="W229" s="7">
        <f t="shared" si="49"/>
        <v>8.0999999999999979</v>
      </c>
      <c r="X229" t="s">
        <v>133</v>
      </c>
      <c r="Y229" s="11">
        <v>8.1</v>
      </c>
      <c r="Z229" s="23">
        <f t="shared" si="57"/>
        <v>0</v>
      </c>
    </row>
    <row r="230" spans="1:27" x14ac:dyDescent="0.25">
      <c r="A230" s="1">
        <v>44927</v>
      </c>
      <c r="B230" s="1">
        <v>45291</v>
      </c>
      <c r="C230" t="s">
        <v>66</v>
      </c>
      <c r="D230" t="s">
        <v>67</v>
      </c>
      <c r="E230" t="s">
        <v>59</v>
      </c>
      <c r="F230" t="s">
        <v>25</v>
      </c>
      <c r="G230" t="s">
        <v>65</v>
      </c>
      <c r="H230" s="32">
        <v>0.999</v>
      </c>
      <c r="I230" s="5">
        <f t="shared" si="55"/>
        <v>30.969000000000001</v>
      </c>
      <c r="J230" s="5">
        <f t="shared" si="55"/>
        <v>27.972000000000001</v>
      </c>
      <c r="K230" s="5">
        <f t="shared" si="55"/>
        <v>30.969000000000001</v>
      </c>
      <c r="L230" s="5">
        <f t="shared" si="55"/>
        <v>29.97</v>
      </c>
      <c r="M230" s="5">
        <f t="shared" si="55"/>
        <v>30.969000000000001</v>
      </c>
      <c r="N230" s="5">
        <f t="shared" si="55"/>
        <v>29.97</v>
      </c>
      <c r="O230" s="5">
        <f t="shared" si="55"/>
        <v>30.969000000000001</v>
      </c>
      <c r="P230" s="5">
        <f t="shared" si="55"/>
        <v>30.969000000000001</v>
      </c>
      <c r="Q230" s="5">
        <f t="shared" si="55"/>
        <v>29.97</v>
      </c>
      <c r="R230" s="5">
        <f t="shared" si="55"/>
        <v>30.969000000000001</v>
      </c>
      <c r="S230" s="5">
        <f t="shared" si="55"/>
        <v>29.97</v>
      </c>
      <c r="T230" s="5">
        <f t="shared" si="55"/>
        <v>30.969000000000001</v>
      </c>
      <c r="U230" s="5">
        <f t="shared" si="48"/>
        <v>364.63499999999993</v>
      </c>
      <c r="V230" s="6">
        <f t="shared" ref="V230" si="58">U230</f>
        <v>364.63499999999993</v>
      </c>
      <c r="W230" s="7">
        <f t="shared" ref="W230" si="59">V230/365</f>
        <v>0.99899999999999978</v>
      </c>
      <c r="X230" t="s">
        <v>129</v>
      </c>
      <c r="Y230" s="11">
        <v>0.999</v>
      </c>
      <c r="Z230" s="23">
        <f t="shared" si="57"/>
        <v>0</v>
      </c>
    </row>
    <row r="231" spans="1:27" x14ac:dyDescent="0.25">
      <c r="A231" s="1">
        <v>44927</v>
      </c>
      <c r="B231" s="1">
        <v>45291</v>
      </c>
      <c r="C231" t="s">
        <v>37</v>
      </c>
      <c r="D231" t="s">
        <v>47</v>
      </c>
      <c r="E231" t="s">
        <v>59</v>
      </c>
      <c r="F231" t="s">
        <v>25</v>
      </c>
      <c r="G231" t="s">
        <v>65</v>
      </c>
      <c r="H231" s="32">
        <v>57.201000000000001</v>
      </c>
      <c r="I231" s="5">
        <f t="shared" si="55"/>
        <v>1773.231</v>
      </c>
      <c r="J231" s="5">
        <f t="shared" si="55"/>
        <v>1601.6279999999999</v>
      </c>
      <c r="K231" s="5">
        <f t="shared" si="55"/>
        <v>1773.231</v>
      </c>
      <c r="L231" s="5">
        <f t="shared" si="55"/>
        <v>1716.03</v>
      </c>
      <c r="M231" s="5">
        <f t="shared" si="55"/>
        <v>1773.231</v>
      </c>
      <c r="N231" s="5">
        <f t="shared" si="55"/>
        <v>1716.03</v>
      </c>
      <c r="O231" s="5">
        <f t="shared" si="55"/>
        <v>1773.231</v>
      </c>
      <c r="P231" s="5">
        <f t="shared" si="55"/>
        <v>1773.231</v>
      </c>
      <c r="Q231" s="5">
        <f t="shared" si="55"/>
        <v>1716.03</v>
      </c>
      <c r="R231" s="5">
        <f t="shared" si="55"/>
        <v>1773.231</v>
      </c>
      <c r="S231" s="5">
        <f t="shared" si="55"/>
        <v>1716.03</v>
      </c>
      <c r="T231" s="5">
        <f t="shared" si="55"/>
        <v>1773.231</v>
      </c>
      <c r="U231" s="5">
        <f t="shared" si="48"/>
        <v>20878.365000000002</v>
      </c>
      <c r="V231" s="6">
        <f t="shared" si="56"/>
        <v>20878.365000000002</v>
      </c>
      <c r="W231" s="7">
        <f t="shared" si="49"/>
        <v>57.201000000000008</v>
      </c>
      <c r="X231" t="s">
        <v>89</v>
      </c>
      <c r="Y231" s="11">
        <v>57.201000000000001</v>
      </c>
      <c r="Z231" s="23">
        <f t="shared" si="57"/>
        <v>0</v>
      </c>
    </row>
    <row r="232" spans="1:27" x14ac:dyDescent="0.25">
      <c r="A232" s="1">
        <v>44927</v>
      </c>
      <c r="B232" s="1">
        <v>45291</v>
      </c>
      <c r="C232" t="s">
        <v>8</v>
      </c>
      <c r="D232" t="s">
        <v>8</v>
      </c>
      <c r="E232" t="s">
        <v>59</v>
      </c>
      <c r="F232" t="s">
        <v>25</v>
      </c>
      <c r="G232" t="s">
        <v>65</v>
      </c>
      <c r="H232" s="32">
        <v>19.200000000000003</v>
      </c>
      <c r="I232" s="5">
        <f t="shared" si="55"/>
        <v>595.20000000000005</v>
      </c>
      <c r="J232" s="5">
        <f t="shared" si="55"/>
        <v>537.60000000000014</v>
      </c>
      <c r="K232" s="5">
        <f t="shared" si="55"/>
        <v>595.20000000000005</v>
      </c>
      <c r="L232" s="5">
        <f t="shared" si="55"/>
        <v>576.00000000000011</v>
      </c>
      <c r="M232" s="5">
        <f t="shared" si="55"/>
        <v>595.20000000000005</v>
      </c>
      <c r="N232" s="5">
        <f t="shared" si="55"/>
        <v>576.00000000000011</v>
      </c>
      <c r="O232" s="5">
        <f t="shared" si="55"/>
        <v>595.20000000000005</v>
      </c>
      <c r="P232" s="5">
        <f t="shared" si="55"/>
        <v>595.20000000000005</v>
      </c>
      <c r="Q232" s="5">
        <f t="shared" si="55"/>
        <v>576.00000000000011</v>
      </c>
      <c r="R232" s="5">
        <f t="shared" si="55"/>
        <v>595.20000000000005</v>
      </c>
      <c r="S232" s="5">
        <f t="shared" si="55"/>
        <v>576.00000000000011</v>
      </c>
      <c r="T232" s="5">
        <f t="shared" si="55"/>
        <v>595.20000000000005</v>
      </c>
      <c r="U232" s="5">
        <f t="shared" si="48"/>
        <v>7008</v>
      </c>
      <c r="V232" s="6">
        <f t="shared" si="56"/>
        <v>7008</v>
      </c>
      <c r="W232" s="7">
        <f t="shared" si="49"/>
        <v>19.2</v>
      </c>
      <c r="X232" t="s">
        <v>130</v>
      </c>
      <c r="Y232" s="11">
        <v>19.200000000000003</v>
      </c>
      <c r="Z232" s="23">
        <f t="shared" si="57"/>
        <v>0</v>
      </c>
    </row>
    <row r="233" spans="1:27" x14ac:dyDescent="0.25">
      <c r="H233" s="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Y233" s="12" t="s">
        <v>124</v>
      </c>
      <c r="Z233" s="12" t="s">
        <v>125</v>
      </c>
    </row>
    <row r="234" spans="1:27" x14ac:dyDescent="0.25">
      <c r="A234" s="1">
        <v>44927</v>
      </c>
      <c r="B234" s="1">
        <v>45291</v>
      </c>
      <c r="C234" t="s">
        <v>8</v>
      </c>
      <c r="D234" t="s">
        <v>9</v>
      </c>
      <c r="E234" t="s">
        <v>106</v>
      </c>
      <c r="F234" t="s">
        <v>109</v>
      </c>
      <c r="G234" t="s">
        <v>110</v>
      </c>
      <c r="H234" s="31">
        <v>30</v>
      </c>
      <c r="I234" s="5">
        <f t="shared" ref="I234:T236" si="60">$H234*I$2</f>
        <v>930</v>
      </c>
      <c r="J234" s="5">
        <f t="shared" si="60"/>
        <v>840</v>
      </c>
      <c r="K234" s="5">
        <f t="shared" si="60"/>
        <v>930</v>
      </c>
      <c r="L234" s="5">
        <f t="shared" si="60"/>
        <v>900</v>
      </c>
      <c r="M234" s="5">
        <f t="shared" si="60"/>
        <v>930</v>
      </c>
      <c r="N234" s="5">
        <f t="shared" si="60"/>
        <v>900</v>
      </c>
      <c r="O234" s="5">
        <f t="shared" si="60"/>
        <v>930</v>
      </c>
      <c r="P234" s="5">
        <f t="shared" si="60"/>
        <v>930</v>
      </c>
      <c r="Q234" s="5">
        <f t="shared" si="60"/>
        <v>900</v>
      </c>
      <c r="R234" s="5">
        <f t="shared" si="60"/>
        <v>930</v>
      </c>
      <c r="S234" s="5">
        <f t="shared" si="60"/>
        <v>900</v>
      </c>
      <c r="T234" s="5">
        <f t="shared" si="60"/>
        <v>930</v>
      </c>
      <c r="U234" s="5">
        <f t="shared" si="48"/>
        <v>10950</v>
      </c>
      <c r="V234" s="6">
        <f t="shared" si="56"/>
        <v>10950</v>
      </c>
      <c r="W234" s="7">
        <f t="shared" si="49"/>
        <v>30</v>
      </c>
      <c r="X234" t="s">
        <v>136</v>
      </c>
      <c r="Y234" s="11">
        <v>30</v>
      </c>
      <c r="Z234" s="23">
        <f t="shared" si="57"/>
        <v>0</v>
      </c>
    </row>
    <row r="235" spans="1:27" x14ac:dyDescent="0.25">
      <c r="A235" s="1">
        <v>44927</v>
      </c>
      <c r="B235" s="1">
        <v>45291</v>
      </c>
      <c r="C235" t="s">
        <v>8</v>
      </c>
      <c r="D235" t="s">
        <v>9</v>
      </c>
      <c r="E235" t="s">
        <v>106</v>
      </c>
      <c r="F235" t="s">
        <v>109</v>
      </c>
      <c r="G235" t="s">
        <v>111</v>
      </c>
      <c r="H235" s="31">
        <v>35</v>
      </c>
      <c r="I235" s="22">
        <f t="shared" si="60"/>
        <v>1085</v>
      </c>
      <c r="J235" s="22">
        <f t="shared" si="60"/>
        <v>980</v>
      </c>
      <c r="K235" s="22">
        <f t="shared" si="60"/>
        <v>1085</v>
      </c>
      <c r="L235" s="22">
        <f t="shared" si="60"/>
        <v>1050</v>
      </c>
      <c r="M235" s="22">
        <f t="shared" si="60"/>
        <v>1085</v>
      </c>
      <c r="N235" s="22">
        <f t="shared" si="60"/>
        <v>1050</v>
      </c>
      <c r="O235" s="22">
        <f t="shared" si="60"/>
        <v>1085</v>
      </c>
      <c r="P235" s="22">
        <f t="shared" si="60"/>
        <v>1085</v>
      </c>
      <c r="Q235" s="22">
        <f t="shared" si="60"/>
        <v>1050</v>
      </c>
      <c r="R235" s="22">
        <f t="shared" si="60"/>
        <v>1085</v>
      </c>
      <c r="S235" s="22">
        <f t="shared" si="60"/>
        <v>1050</v>
      </c>
      <c r="T235" s="22">
        <f t="shared" si="60"/>
        <v>1085</v>
      </c>
      <c r="U235" s="22">
        <f t="shared" si="48"/>
        <v>12775</v>
      </c>
      <c r="V235" s="6">
        <f t="shared" si="56"/>
        <v>12775</v>
      </c>
      <c r="W235" s="7">
        <f t="shared" si="49"/>
        <v>35</v>
      </c>
      <c r="X235" t="s">
        <v>137</v>
      </c>
      <c r="Y235" s="11">
        <v>35</v>
      </c>
      <c r="Z235" s="16">
        <f t="shared" si="57"/>
        <v>0</v>
      </c>
      <c r="AA235" s="8"/>
    </row>
    <row r="236" spans="1:27" x14ac:dyDescent="0.25">
      <c r="A236" s="1">
        <v>44927</v>
      </c>
      <c r="B236" s="1">
        <v>45291</v>
      </c>
      <c r="C236" t="s">
        <v>8</v>
      </c>
      <c r="D236" t="s">
        <v>20</v>
      </c>
      <c r="E236" t="s">
        <v>106</v>
      </c>
      <c r="F236" t="s">
        <v>107</v>
      </c>
      <c r="G236" t="s">
        <v>108</v>
      </c>
      <c r="H236" s="31">
        <v>38</v>
      </c>
      <c r="I236" s="22">
        <f t="shared" si="60"/>
        <v>1178</v>
      </c>
      <c r="J236" s="22">
        <f t="shared" si="60"/>
        <v>1064</v>
      </c>
      <c r="K236" s="22">
        <f t="shared" si="60"/>
        <v>1178</v>
      </c>
      <c r="L236" s="22">
        <f t="shared" si="60"/>
        <v>1140</v>
      </c>
      <c r="M236" s="22">
        <f t="shared" si="60"/>
        <v>1178</v>
      </c>
      <c r="N236" s="22">
        <f t="shared" si="60"/>
        <v>1140</v>
      </c>
      <c r="O236" s="22">
        <f t="shared" si="60"/>
        <v>1178</v>
      </c>
      <c r="P236" s="22">
        <f t="shared" si="60"/>
        <v>1178</v>
      </c>
      <c r="Q236" s="22">
        <f t="shared" si="60"/>
        <v>1140</v>
      </c>
      <c r="R236" s="22">
        <f t="shared" si="60"/>
        <v>1178</v>
      </c>
      <c r="S236" s="22">
        <f t="shared" si="60"/>
        <v>1140</v>
      </c>
      <c r="T236" s="22">
        <f t="shared" si="60"/>
        <v>1178</v>
      </c>
      <c r="U236" s="22">
        <f t="shared" si="48"/>
        <v>13870</v>
      </c>
      <c r="V236" s="6">
        <f t="shared" si="56"/>
        <v>13870</v>
      </c>
      <c r="W236" s="7">
        <f t="shared" si="49"/>
        <v>38</v>
      </c>
      <c r="X236" t="s">
        <v>127</v>
      </c>
      <c r="Y236" s="11">
        <v>38</v>
      </c>
      <c r="Z236" s="16">
        <f t="shared" si="57"/>
        <v>0</v>
      </c>
      <c r="AA236" s="8"/>
    </row>
    <row r="237" spans="1:27" x14ac:dyDescent="0.25"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spans="1:27" x14ac:dyDescent="0.25"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spans="1:27" x14ac:dyDescent="0.25"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spans="1:27" x14ac:dyDescent="0.25"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spans="9:21" x14ac:dyDescent="0.25"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spans="9:21" x14ac:dyDescent="0.25"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spans="9:21" x14ac:dyDescent="0.25"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spans="9:21" x14ac:dyDescent="0.25"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spans="9:21" x14ac:dyDescent="0.25"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spans="9:21" x14ac:dyDescent="0.25"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</sheetData>
  <autoFilter ref="A2:H236" xr:uid="{397B1AC3-0F13-4CBE-8942-F84F0FDE9B43}"/>
  <sortState xmlns:xlrd2="http://schemas.microsoft.com/office/spreadsheetml/2017/richdata2" ref="A3:H236">
    <sortCondition ref="E89:E236"/>
    <sortCondition ref="D89:D236"/>
    <sortCondition ref="G89:G236"/>
  </sortState>
  <mergeCells count="2">
    <mergeCell ref="X2:Z2"/>
    <mergeCell ref="V2:W2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CEB94-9D51-4311-BCDF-E39C65465875}">
  <sheetPr>
    <tabColor rgb="FFFFFF00"/>
  </sheetPr>
  <dimension ref="A1:J43"/>
  <sheetViews>
    <sheetView workbookViewId="0">
      <selection activeCell="G10" sqref="G10"/>
    </sheetView>
  </sheetViews>
  <sheetFormatPr defaultRowHeight="15" x14ac:dyDescent="0.25"/>
  <cols>
    <col min="1" max="1" width="9.42578125" bestFit="1" customWidth="1"/>
    <col min="2" max="2" width="10.42578125" bestFit="1" customWidth="1"/>
    <col min="3" max="3" width="19.5703125" bestFit="1" customWidth="1"/>
    <col min="4" max="4" width="25.85546875" bestFit="1" customWidth="1"/>
    <col min="5" max="5" width="25.42578125" bestFit="1" customWidth="1"/>
    <col min="6" max="6" width="38.5703125" bestFit="1" customWidth="1"/>
    <col min="7" max="7" width="45.42578125" bestFit="1" customWidth="1"/>
    <col min="8" max="8" width="14.140625" bestFit="1" customWidth="1"/>
  </cols>
  <sheetData>
    <row r="1" spans="1:10" x14ac:dyDescent="0.25">
      <c r="A1" s="35" t="s">
        <v>143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J2" s="9" t="s">
        <v>140</v>
      </c>
    </row>
    <row r="3" spans="1:10" x14ac:dyDescent="0.25">
      <c r="A3" s="1">
        <v>44927</v>
      </c>
      <c r="B3" s="1">
        <v>45291</v>
      </c>
      <c r="C3" t="s">
        <v>8</v>
      </c>
      <c r="D3" t="s">
        <v>103</v>
      </c>
      <c r="E3" t="s">
        <v>10</v>
      </c>
      <c r="F3" t="s">
        <v>11</v>
      </c>
      <c r="G3" t="s">
        <v>14</v>
      </c>
      <c r="H3">
        <v>12</v>
      </c>
    </row>
    <row r="4" spans="1:10" x14ac:dyDescent="0.25">
      <c r="A4" s="1">
        <v>44927</v>
      </c>
      <c r="B4" s="1">
        <v>45291</v>
      </c>
      <c r="C4" t="s">
        <v>8</v>
      </c>
      <c r="D4" t="s">
        <v>103</v>
      </c>
      <c r="E4" t="s">
        <v>10</v>
      </c>
      <c r="F4" t="s">
        <v>11</v>
      </c>
      <c r="G4" t="s">
        <v>15</v>
      </c>
      <c r="H4">
        <v>34</v>
      </c>
    </row>
    <row r="5" spans="1:10" x14ac:dyDescent="0.25">
      <c r="A5" s="1">
        <v>44927</v>
      </c>
      <c r="B5" s="1">
        <v>45291</v>
      </c>
      <c r="C5" t="s">
        <v>8</v>
      </c>
      <c r="D5" t="s">
        <v>103</v>
      </c>
      <c r="E5" t="s">
        <v>10</v>
      </c>
      <c r="F5" t="s">
        <v>11</v>
      </c>
      <c r="G5" t="s">
        <v>16</v>
      </c>
      <c r="H5">
        <v>41</v>
      </c>
    </row>
    <row r="6" spans="1:10" x14ac:dyDescent="0.25">
      <c r="A6" s="1">
        <v>44927</v>
      </c>
      <c r="B6" s="1">
        <v>45291</v>
      </c>
      <c r="C6" t="s">
        <v>8</v>
      </c>
      <c r="D6" t="s">
        <v>103</v>
      </c>
      <c r="E6" t="s">
        <v>10</v>
      </c>
      <c r="F6" t="s">
        <v>11</v>
      </c>
      <c r="G6" t="s">
        <v>17</v>
      </c>
      <c r="H6">
        <v>19</v>
      </c>
    </row>
    <row r="7" spans="1:10" x14ac:dyDescent="0.25">
      <c r="A7" s="1">
        <v>44927</v>
      </c>
      <c r="B7" s="1">
        <v>45291</v>
      </c>
      <c r="C7" t="s">
        <v>8</v>
      </c>
      <c r="D7" t="s">
        <v>103</v>
      </c>
      <c r="E7" t="s">
        <v>10</v>
      </c>
      <c r="F7" t="s">
        <v>11</v>
      </c>
      <c r="G7" t="s">
        <v>18</v>
      </c>
      <c r="H7">
        <v>21</v>
      </c>
    </row>
    <row r="8" spans="1:10" x14ac:dyDescent="0.25">
      <c r="A8" s="1">
        <v>44927</v>
      </c>
      <c r="B8" s="1">
        <v>45291</v>
      </c>
      <c r="C8" t="s">
        <v>8</v>
      </c>
      <c r="D8" t="s">
        <v>103</v>
      </c>
      <c r="E8" t="s">
        <v>10</v>
      </c>
      <c r="F8" t="s">
        <v>11</v>
      </c>
      <c r="G8" t="s">
        <v>19</v>
      </c>
      <c r="H8">
        <v>16</v>
      </c>
    </row>
    <row r="9" spans="1:10" x14ac:dyDescent="0.25">
      <c r="A9" s="1">
        <v>44927</v>
      </c>
      <c r="B9" s="1">
        <v>45291</v>
      </c>
      <c r="C9" t="s">
        <v>8</v>
      </c>
      <c r="D9" t="s">
        <v>103</v>
      </c>
      <c r="E9" t="s">
        <v>10</v>
      </c>
      <c r="F9" t="s">
        <v>21</v>
      </c>
      <c r="G9" t="s">
        <v>22</v>
      </c>
      <c r="H9">
        <v>0</v>
      </c>
    </row>
    <row r="10" spans="1:10" x14ac:dyDescent="0.25">
      <c r="A10" s="1"/>
      <c r="B10" s="1"/>
    </row>
    <row r="11" spans="1:10" x14ac:dyDescent="0.25">
      <c r="A11" s="1">
        <v>44927</v>
      </c>
      <c r="B11" s="1">
        <v>45291</v>
      </c>
      <c r="C11" t="s">
        <v>8</v>
      </c>
      <c r="D11" t="s">
        <v>103</v>
      </c>
      <c r="E11" t="s">
        <v>27</v>
      </c>
      <c r="F11" t="s">
        <v>28</v>
      </c>
      <c r="G11" t="s">
        <v>29</v>
      </c>
      <c r="H11">
        <v>37</v>
      </c>
    </row>
    <row r="12" spans="1:10" x14ac:dyDescent="0.25">
      <c r="A12" s="1">
        <v>44927</v>
      </c>
      <c r="B12" s="1">
        <v>45291</v>
      </c>
      <c r="C12" t="s">
        <v>8</v>
      </c>
      <c r="D12" t="s">
        <v>103</v>
      </c>
      <c r="E12" t="s">
        <v>27</v>
      </c>
      <c r="F12" t="s">
        <v>28</v>
      </c>
      <c r="G12" t="s">
        <v>30</v>
      </c>
      <c r="H12">
        <v>25</v>
      </c>
    </row>
    <row r="13" spans="1:10" x14ac:dyDescent="0.25">
      <c r="A13" s="33">
        <v>44927</v>
      </c>
      <c r="B13" s="33">
        <v>45291</v>
      </c>
      <c r="C13" s="34" t="s">
        <v>8</v>
      </c>
      <c r="D13" s="34" t="s">
        <v>103</v>
      </c>
      <c r="E13" s="34" t="s">
        <v>27</v>
      </c>
      <c r="F13" s="34" t="s">
        <v>28</v>
      </c>
      <c r="G13" s="34" t="s">
        <v>31</v>
      </c>
      <c r="H13" s="34">
        <v>29</v>
      </c>
    </row>
    <row r="14" spans="1:10" x14ac:dyDescent="0.25">
      <c r="A14" s="1">
        <v>44927</v>
      </c>
      <c r="B14" s="1">
        <v>45291</v>
      </c>
      <c r="C14" t="s">
        <v>8</v>
      </c>
      <c r="D14" t="s">
        <v>103</v>
      </c>
      <c r="E14" t="s">
        <v>27</v>
      </c>
      <c r="F14" t="s">
        <v>32</v>
      </c>
      <c r="G14" t="s">
        <v>33</v>
      </c>
      <c r="H14">
        <v>0</v>
      </c>
    </row>
    <row r="15" spans="1:10" x14ac:dyDescent="0.25">
      <c r="A15" s="1"/>
      <c r="B15" s="1"/>
    </row>
    <row r="16" spans="1:10" x14ac:dyDescent="0.25">
      <c r="A16" s="1">
        <v>44927</v>
      </c>
      <c r="B16" s="1">
        <v>45291</v>
      </c>
      <c r="C16" t="s">
        <v>8</v>
      </c>
      <c r="D16" t="s">
        <v>103</v>
      </c>
      <c r="E16" t="s">
        <v>39</v>
      </c>
      <c r="F16" t="s">
        <v>40</v>
      </c>
      <c r="G16" t="s">
        <v>48</v>
      </c>
      <c r="H16">
        <v>17</v>
      </c>
    </row>
    <row r="17" spans="1:8" x14ac:dyDescent="0.25">
      <c r="A17" s="1">
        <v>44927</v>
      </c>
      <c r="B17" s="1">
        <v>45291</v>
      </c>
      <c r="C17" t="s">
        <v>8</v>
      </c>
      <c r="D17" t="s">
        <v>103</v>
      </c>
      <c r="E17" t="s">
        <v>39</v>
      </c>
      <c r="F17" t="s">
        <v>42</v>
      </c>
      <c r="G17" t="s">
        <v>43</v>
      </c>
      <c r="H17">
        <v>3</v>
      </c>
    </row>
    <row r="18" spans="1:8" x14ac:dyDescent="0.25">
      <c r="A18" s="1"/>
      <c r="B18" s="1"/>
    </row>
    <row r="19" spans="1:8" x14ac:dyDescent="0.25">
      <c r="A19" s="1">
        <v>44927</v>
      </c>
      <c r="B19" s="1">
        <v>45291</v>
      </c>
      <c r="C19" t="s">
        <v>8</v>
      </c>
      <c r="D19" t="s">
        <v>103</v>
      </c>
      <c r="E19" t="s">
        <v>75</v>
      </c>
      <c r="F19" t="s">
        <v>76</v>
      </c>
      <c r="G19" t="s">
        <v>77</v>
      </c>
      <c r="H19">
        <v>19</v>
      </c>
    </row>
    <row r="20" spans="1:8" x14ac:dyDescent="0.25">
      <c r="A20" s="1">
        <v>44927</v>
      </c>
      <c r="B20" s="1">
        <v>45291</v>
      </c>
      <c r="C20" t="s">
        <v>8</v>
      </c>
      <c r="D20" t="s">
        <v>103</v>
      </c>
      <c r="E20" t="s">
        <v>75</v>
      </c>
      <c r="F20" t="s">
        <v>76</v>
      </c>
      <c r="G20" t="s">
        <v>78</v>
      </c>
      <c r="H20">
        <v>0</v>
      </c>
    </row>
    <row r="21" spans="1:8" x14ac:dyDescent="0.25">
      <c r="A21" s="1">
        <v>44927</v>
      </c>
      <c r="B21" s="1">
        <v>45291</v>
      </c>
      <c r="C21" t="s">
        <v>8</v>
      </c>
      <c r="D21" t="s">
        <v>103</v>
      </c>
      <c r="E21" t="s">
        <v>75</v>
      </c>
      <c r="F21" t="s">
        <v>76</v>
      </c>
      <c r="G21" t="s">
        <v>79</v>
      </c>
      <c r="H21">
        <v>8</v>
      </c>
    </row>
    <row r="22" spans="1:8" x14ac:dyDescent="0.25">
      <c r="A22" s="1">
        <v>44927</v>
      </c>
      <c r="B22" s="1">
        <v>45291</v>
      </c>
      <c r="C22" t="s">
        <v>8</v>
      </c>
      <c r="D22" t="s">
        <v>103</v>
      </c>
      <c r="E22" t="s">
        <v>75</v>
      </c>
      <c r="F22" t="s">
        <v>76</v>
      </c>
      <c r="G22" t="s">
        <v>104</v>
      </c>
      <c r="H22">
        <v>0</v>
      </c>
    </row>
    <row r="23" spans="1:8" x14ac:dyDescent="0.25">
      <c r="A23" s="1">
        <v>44927</v>
      </c>
      <c r="B23" s="1">
        <v>45291</v>
      </c>
      <c r="C23" t="s">
        <v>8</v>
      </c>
      <c r="D23" t="s">
        <v>103</v>
      </c>
      <c r="E23" t="s">
        <v>75</v>
      </c>
      <c r="F23" t="s">
        <v>76</v>
      </c>
      <c r="G23" t="s">
        <v>80</v>
      </c>
      <c r="H23">
        <v>0</v>
      </c>
    </row>
    <row r="24" spans="1:8" x14ac:dyDescent="0.25">
      <c r="A24" s="1">
        <v>44927</v>
      </c>
      <c r="B24" s="1">
        <v>45291</v>
      </c>
      <c r="C24" t="s">
        <v>8</v>
      </c>
      <c r="D24" t="s">
        <v>103</v>
      </c>
      <c r="E24" t="s">
        <v>75</v>
      </c>
      <c r="F24" t="s">
        <v>81</v>
      </c>
      <c r="G24" t="s">
        <v>82</v>
      </c>
      <c r="H24">
        <v>1</v>
      </c>
    </row>
    <row r="25" spans="1:8" x14ac:dyDescent="0.25">
      <c r="A25" s="1">
        <v>44927</v>
      </c>
      <c r="B25" s="1">
        <v>45291</v>
      </c>
      <c r="C25" t="s">
        <v>8</v>
      </c>
      <c r="D25" t="s">
        <v>103</v>
      </c>
      <c r="E25" t="s">
        <v>75</v>
      </c>
      <c r="F25" t="s">
        <v>81</v>
      </c>
      <c r="G25" t="s">
        <v>83</v>
      </c>
      <c r="H25">
        <v>1</v>
      </c>
    </row>
    <row r="26" spans="1:8" x14ac:dyDescent="0.25">
      <c r="A26" s="1"/>
      <c r="B26" s="1"/>
    </row>
    <row r="27" spans="1:8" x14ac:dyDescent="0.25">
      <c r="A27" s="1">
        <v>44927</v>
      </c>
      <c r="B27" s="1">
        <v>45291</v>
      </c>
      <c r="C27" t="s">
        <v>8</v>
      </c>
      <c r="D27" t="s">
        <v>103</v>
      </c>
      <c r="E27" t="s">
        <v>93</v>
      </c>
      <c r="F27" t="s">
        <v>94</v>
      </c>
      <c r="G27" t="s">
        <v>95</v>
      </c>
      <c r="H27">
        <v>14</v>
      </c>
    </row>
    <row r="28" spans="1:8" x14ac:dyDescent="0.25">
      <c r="A28" s="1">
        <v>44927</v>
      </c>
      <c r="B28" s="1">
        <v>45291</v>
      </c>
      <c r="C28" t="s">
        <v>8</v>
      </c>
      <c r="D28" t="s">
        <v>103</v>
      </c>
      <c r="E28" t="s">
        <v>93</v>
      </c>
      <c r="F28" t="s">
        <v>94</v>
      </c>
      <c r="G28" t="s">
        <v>101</v>
      </c>
      <c r="H28">
        <v>7</v>
      </c>
    </row>
    <row r="29" spans="1:8" x14ac:dyDescent="0.25">
      <c r="A29" s="1">
        <v>44927</v>
      </c>
      <c r="B29" s="1">
        <v>45291</v>
      </c>
      <c r="C29" t="s">
        <v>8</v>
      </c>
      <c r="D29" t="s">
        <v>103</v>
      </c>
      <c r="E29" t="s">
        <v>93</v>
      </c>
      <c r="F29" t="s">
        <v>98</v>
      </c>
      <c r="G29" t="s">
        <v>99</v>
      </c>
      <c r="H29">
        <v>0</v>
      </c>
    </row>
    <row r="30" spans="1:8" x14ac:dyDescent="0.25">
      <c r="A30" s="1"/>
      <c r="B30" s="1"/>
    </row>
    <row r="31" spans="1:8" x14ac:dyDescent="0.25">
      <c r="A31" s="1">
        <v>44927</v>
      </c>
      <c r="B31" s="1">
        <v>45291</v>
      </c>
      <c r="C31" t="s">
        <v>8</v>
      </c>
      <c r="D31" t="s">
        <v>103</v>
      </c>
      <c r="E31" t="s">
        <v>49</v>
      </c>
      <c r="F31" t="s">
        <v>50</v>
      </c>
      <c r="G31" t="s">
        <v>53</v>
      </c>
      <c r="H31">
        <v>1</v>
      </c>
    </row>
    <row r="32" spans="1:8" x14ac:dyDescent="0.25">
      <c r="A32" s="1">
        <v>44927</v>
      </c>
      <c r="B32" s="1">
        <v>45291</v>
      </c>
      <c r="C32" t="s">
        <v>8</v>
      </c>
      <c r="D32" t="s">
        <v>103</v>
      </c>
      <c r="E32" t="s">
        <v>49</v>
      </c>
      <c r="F32" t="s">
        <v>50</v>
      </c>
      <c r="G32" t="s">
        <v>54</v>
      </c>
      <c r="H32">
        <v>13</v>
      </c>
    </row>
    <row r="33" spans="1:8" x14ac:dyDescent="0.25">
      <c r="A33" s="33">
        <v>44927</v>
      </c>
      <c r="B33" s="33">
        <v>45291</v>
      </c>
      <c r="C33" s="34" t="s">
        <v>8</v>
      </c>
      <c r="D33" s="34" t="s">
        <v>103</v>
      </c>
      <c r="E33" s="34" t="s">
        <v>49</v>
      </c>
      <c r="F33" s="34" t="s">
        <v>50</v>
      </c>
      <c r="G33" s="34" t="s">
        <v>144</v>
      </c>
      <c r="H33" s="34">
        <v>35</v>
      </c>
    </row>
    <row r="34" spans="1:8" x14ac:dyDescent="0.25">
      <c r="A34" s="1">
        <v>44927</v>
      </c>
      <c r="B34" s="1">
        <v>45291</v>
      </c>
      <c r="C34" t="s">
        <v>8</v>
      </c>
      <c r="D34" t="s">
        <v>103</v>
      </c>
      <c r="E34" t="s">
        <v>49</v>
      </c>
      <c r="F34" t="s">
        <v>50</v>
      </c>
      <c r="G34" t="s">
        <v>55</v>
      </c>
      <c r="H34">
        <v>31</v>
      </c>
    </row>
    <row r="35" spans="1:8" x14ac:dyDescent="0.25">
      <c r="A35" s="1">
        <v>44927</v>
      </c>
      <c r="B35" s="1">
        <v>45291</v>
      </c>
      <c r="C35" t="s">
        <v>8</v>
      </c>
      <c r="D35" t="s">
        <v>103</v>
      </c>
      <c r="E35" t="s">
        <v>49</v>
      </c>
      <c r="F35" t="s">
        <v>56</v>
      </c>
      <c r="G35" t="s">
        <v>57</v>
      </c>
      <c r="H35">
        <v>2</v>
      </c>
    </row>
    <row r="36" spans="1:8" x14ac:dyDescent="0.25">
      <c r="A36" s="1"/>
      <c r="B36" s="1"/>
    </row>
    <row r="37" spans="1:8" x14ac:dyDescent="0.25">
      <c r="A37" s="1">
        <v>44927</v>
      </c>
      <c r="B37" s="1">
        <v>45291</v>
      </c>
      <c r="C37" t="s">
        <v>8</v>
      </c>
      <c r="D37" t="s">
        <v>103</v>
      </c>
      <c r="E37" t="s">
        <v>59</v>
      </c>
      <c r="F37" t="s">
        <v>105</v>
      </c>
      <c r="G37" t="s">
        <v>62</v>
      </c>
      <c r="H37">
        <v>19</v>
      </c>
    </row>
    <row r="38" spans="1:8" x14ac:dyDescent="0.25">
      <c r="A38" s="33">
        <v>44927</v>
      </c>
      <c r="B38" s="33">
        <v>45291</v>
      </c>
      <c r="C38" s="34" t="s">
        <v>8</v>
      </c>
      <c r="D38" s="34" t="s">
        <v>103</v>
      </c>
      <c r="E38" s="34" t="s">
        <v>59</v>
      </c>
      <c r="F38" s="34" t="s">
        <v>105</v>
      </c>
      <c r="G38" s="36" t="s">
        <v>61</v>
      </c>
      <c r="H38" s="34">
        <v>19</v>
      </c>
    </row>
    <row r="39" spans="1:8" x14ac:dyDescent="0.25">
      <c r="A39" s="1">
        <v>44927</v>
      </c>
      <c r="B39" s="1">
        <v>45291</v>
      </c>
      <c r="C39" t="s">
        <v>8</v>
      </c>
      <c r="D39" t="s">
        <v>103</v>
      </c>
      <c r="E39" t="s">
        <v>59</v>
      </c>
      <c r="F39" t="s">
        <v>63</v>
      </c>
      <c r="G39" t="s">
        <v>64</v>
      </c>
      <c r="H39">
        <v>3</v>
      </c>
    </row>
    <row r="40" spans="1:8" x14ac:dyDescent="0.25">
      <c r="A40" s="1"/>
      <c r="B40" s="1"/>
    </row>
    <row r="41" spans="1:8" x14ac:dyDescent="0.25">
      <c r="A41" s="1">
        <v>44927</v>
      </c>
      <c r="B41" s="1">
        <v>45291</v>
      </c>
      <c r="C41" t="s">
        <v>8</v>
      </c>
      <c r="D41" t="s">
        <v>103</v>
      </c>
      <c r="E41" t="s">
        <v>68</v>
      </c>
      <c r="F41" t="s">
        <v>69</v>
      </c>
      <c r="G41" t="s">
        <v>70</v>
      </c>
      <c r="H41">
        <v>17</v>
      </c>
    </row>
    <row r="42" spans="1:8" x14ac:dyDescent="0.25">
      <c r="A42" s="1">
        <v>44927</v>
      </c>
      <c r="B42" s="1">
        <v>45291</v>
      </c>
      <c r="C42" t="s">
        <v>8</v>
      </c>
      <c r="D42" t="s">
        <v>103</v>
      </c>
      <c r="E42" t="s">
        <v>68</v>
      </c>
      <c r="F42" t="s">
        <v>69</v>
      </c>
      <c r="G42" t="s">
        <v>71</v>
      </c>
      <c r="H42">
        <v>17</v>
      </c>
    </row>
    <row r="43" spans="1:8" x14ac:dyDescent="0.25">
      <c r="A43" s="33">
        <v>44927</v>
      </c>
      <c r="B43" s="33">
        <v>45291</v>
      </c>
      <c r="C43" s="34" t="s">
        <v>8</v>
      </c>
      <c r="D43" s="34" t="s">
        <v>103</v>
      </c>
      <c r="E43" s="34" t="s">
        <v>68</v>
      </c>
      <c r="F43" s="34" t="s">
        <v>72</v>
      </c>
      <c r="G43" s="34" t="s">
        <v>73</v>
      </c>
      <c r="H43" s="34">
        <v>1</v>
      </c>
    </row>
  </sheetData>
  <autoFilter ref="A2:H42" xr:uid="{E84CEB94-9D51-4311-BCDF-E39C65465875}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8"/>
  <sheetViews>
    <sheetView topLeftCell="A121" workbookViewId="0">
      <selection activeCell="A122" sqref="A122"/>
    </sheetView>
  </sheetViews>
  <sheetFormatPr defaultRowHeight="15" x14ac:dyDescent="0.25"/>
  <cols>
    <col min="1" max="1" width="11.85546875" bestFit="1" customWidth="1"/>
    <col min="2" max="2" width="10.85546875" bestFit="1" customWidth="1"/>
    <col min="3" max="3" width="19.5703125" bestFit="1" customWidth="1"/>
    <col min="4" max="4" width="26.42578125" bestFit="1" customWidth="1"/>
    <col min="5" max="5" width="25.42578125" bestFit="1" customWidth="1"/>
    <col min="6" max="6" width="38.5703125" bestFit="1" customWidth="1"/>
    <col min="7" max="7" width="46.85546875" bestFit="1" customWidth="1"/>
    <col min="8" max="8" width="14.140625" bestFit="1" customWidth="1"/>
  </cols>
  <sheetData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5">
      <c r="A3" s="1">
        <v>44927</v>
      </c>
      <c r="B3" s="1">
        <v>45291</v>
      </c>
      <c r="C3" t="s">
        <v>8</v>
      </c>
      <c r="D3" t="s">
        <v>9</v>
      </c>
      <c r="E3" t="s">
        <v>10</v>
      </c>
      <c r="F3" t="s">
        <v>11</v>
      </c>
      <c r="G3" t="s">
        <v>13</v>
      </c>
      <c r="H3">
        <v>42.14</v>
      </c>
    </row>
    <row r="4" spans="1:8" x14ac:dyDescent="0.25">
      <c r="A4" s="1">
        <v>44927</v>
      </c>
      <c r="B4" s="1">
        <v>44957</v>
      </c>
      <c r="C4" t="s">
        <v>8</v>
      </c>
      <c r="D4" t="s">
        <v>9</v>
      </c>
      <c r="E4" t="s">
        <v>10</v>
      </c>
      <c r="F4" t="s">
        <v>11</v>
      </c>
      <c r="G4" t="s">
        <v>15</v>
      </c>
      <c r="H4">
        <v>165</v>
      </c>
    </row>
    <row r="5" spans="1:8" x14ac:dyDescent="0.25">
      <c r="A5" s="1">
        <v>44927</v>
      </c>
      <c r="B5" s="1">
        <v>44957</v>
      </c>
      <c r="C5" t="s">
        <v>8</v>
      </c>
      <c r="D5" t="s">
        <v>9</v>
      </c>
      <c r="E5" t="s">
        <v>10</v>
      </c>
      <c r="F5" t="s">
        <v>11</v>
      </c>
      <c r="G5" t="s">
        <v>18</v>
      </c>
      <c r="H5">
        <v>101</v>
      </c>
    </row>
    <row r="6" spans="1:8" x14ac:dyDescent="0.25">
      <c r="A6" s="1">
        <v>44927</v>
      </c>
      <c r="B6" s="1">
        <v>44957</v>
      </c>
      <c r="C6" t="s">
        <v>8</v>
      </c>
      <c r="D6" t="s">
        <v>9</v>
      </c>
      <c r="E6" t="s">
        <v>10</v>
      </c>
      <c r="F6" t="s">
        <v>11</v>
      </c>
      <c r="G6" t="s">
        <v>19</v>
      </c>
      <c r="H6">
        <v>87</v>
      </c>
    </row>
    <row r="7" spans="1:8" x14ac:dyDescent="0.25">
      <c r="A7" s="1">
        <v>44927</v>
      </c>
      <c r="B7" s="1">
        <v>44957</v>
      </c>
      <c r="C7" t="s">
        <v>8</v>
      </c>
      <c r="D7" t="s">
        <v>9</v>
      </c>
      <c r="E7" t="s">
        <v>10</v>
      </c>
      <c r="F7" t="s">
        <v>11</v>
      </c>
      <c r="G7" t="s">
        <v>17</v>
      </c>
      <c r="H7">
        <v>54</v>
      </c>
    </row>
    <row r="8" spans="1:8" x14ac:dyDescent="0.25">
      <c r="A8" s="1">
        <v>44927</v>
      </c>
      <c r="B8" s="1">
        <v>44957</v>
      </c>
      <c r="C8" t="s">
        <v>8</v>
      </c>
      <c r="D8" t="s">
        <v>9</v>
      </c>
      <c r="E8" t="s">
        <v>10</v>
      </c>
      <c r="F8" t="s">
        <v>11</v>
      </c>
      <c r="G8" t="s">
        <v>14</v>
      </c>
      <c r="H8">
        <v>75</v>
      </c>
    </row>
    <row r="9" spans="1:8" x14ac:dyDescent="0.25">
      <c r="A9" s="1">
        <v>44927</v>
      </c>
      <c r="B9" s="1">
        <v>45291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>
        <v>72.8</v>
      </c>
    </row>
    <row r="10" spans="1:8" x14ac:dyDescent="0.25">
      <c r="A10" s="1">
        <v>44927</v>
      </c>
      <c r="B10" s="1">
        <v>44957</v>
      </c>
      <c r="C10" t="s">
        <v>8</v>
      </c>
      <c r="D10" t="s">
        <v>9</v>
      </c>
      <c r="E10" t="s">
        <v>10</v>
      </c>
      <c r="F10" t="s">
        <v>11</v>
      </c>
      <c r="G10" t="s">
        <v>16</v>
      </c>
      <c r="H10">
        <v>84</v>
      </c>
    </row>
    <row r="11" spans="1:8" x14ac:dyDescent="0.25">
      <c r="A11" s="1">
        <v>44927</v>
      </c>
      <c r="B11" s="1">
        <v>44957</v>
      </c>
      <c r="C11" t="s">
        <v>8</v>
      </c>
      <c r="D11" t="s">
        <v>20</v>
      </c>
      <c r="E11" t="s">
        <v>10</v>
      </c>
      <c r="F11" t="s">
        <v>21</v>
      </c>
      <c r="G11" t="s">
        <v>22</v>
      </c>
      <c r="H11">
        <v>115</v>
      </c>
    </row>
    <row r="12" spans="1:8" x14ac:dyDescent="0.25">
      <c r="A12" s="1">
        <v>44927</v>
      </c>
      <c r="B12" s="1">
        <v>45291</v>
      </c>
      <c r="C12" t="s">
        <v>23</v>
      </c>
      <c r="D12" t="s">
        <v>24</v>
      </c>
      <c r="E12" t="s">
        <v>10</v>
      </c>
      <c r="F12" t="s">
        <v>25</v>
      </c>
      <c r="G12" t="s">
        <v>26</v>
      </c>
      <c r="H12">
        <v>2.1714611111111117</v>
      </c>
    </row>
    <row r="13" spans="1:8" x14ac:dyDescent="0.25">
      <c r="A13" s="1">
        <v>44927</v>
      </c>
      <c r="B13" s="1">
        <v>45291</v>
      </c>
      <c r="C13" t="s">
        <v>37</v>
      </c>
      <c r="D13" t="s">
        <v>38</v>
      </c>
      <c r="E13" t="s">
        <v>10</v>
      </c>
      <c r="F13" t="s">
        <v>25</v>
      </c>
      <c r="G13" t="s">
        <v>26</v>
      </c>
      <c r="H13">
        <v>91.191627777777796</v>
      </c>
    </row>
    <row r="14" spans="1:8" x14ac:dyDescent="0.25">
      <c r="A14" s="1">
        <v>44927</v>
      </c>
      <c r="B14" s="1">
        <v>45291</v>
      </c>
      <c r="C14" t="s">
        <v>45</v>
      </c>
      <c r="D14" t="s">
        <v>46</v>
      </c>
      <c r="E14" t="s">
        <v>10</v>
      </c>
      <c r="F14" t="s">
        <v>25</v>
      </c>
      <c r="G14" t="s">
        <v>26</v>
      </c>
      <c r="H14">
        <v>0.40287777777777123</v>
      </c>
    </row>
    <row r="15" spans="1:8" x14ac:dyDescent="0.25">
      <c r="A15" s="1">
        <v>44927</v>
      </c>
      <c r="B15" s="1">
        <v>45291</v>
      </c>
      <c r="C15" t="s">
        <v>34</v>
      </c>
      <c r="D15" t="s">
        <v>35</v>
      </c>
      <c r="E15" t="s">
        <v>10</v>
      </c>
      <c r="F15" t="s">
        <v>25</v>
      </c>
      <c r="G15" t="s">
        <v>26</v>
      </c>
      <c r="H15">
        <v>9.8211083333333349</v>
      </c>
    </row>
    <row r="16" spans="1:8" x14ac:dyDescent="0.25">
      <c r="A16" s="1">
        <v>44927</v>
      </c>
      <c r="B16" s="1">
        <v>45291</v>
      </c>
      <c r="C16" t="s">
        <v>66</v>
      </c>
      <c r="D16" t="s">
        <v>67</v>
      </c>
      <c r="E16" t="s">
        <v>10</v>
      </c>
      <c r="F16" t="s">
        <v>25</v>
      </c>
      <c r="G16" t="s">
        <v>26</v>
      </c>
      <c r="H16">
        <v>1.6161194444444509</v>
      </c>
    </row>
    <row r="17" spans="1:8" x14ac:dyDescent="0.25">
      <c r="A17" s="1">
        <v>44927</v>
      </c>
      <c r="B17" s="1">
        <v>45291</v>
      </c>
      <c r="C17" t="s">
        <v>8</v>
      </c>
      <c r="D17" t="s">
        <v>8</v>
      </c>
      <c r="E17" t="s">
        <v>10</v>
      </c>
      <c r="F17" t="s">
        <v>25</v>
      </c>
      <c r="G17" t="s">
        <v>26</v>
      </c>
      <c r="H17">
        <v>38.507361111111109</v>
      </c>
    </row>
    <row r="18" spans="1:8" x14ac:dyDescent="0.25">
      <c r="A18" s="30">
        <v>44927</v>
      </c>
      <c r="B18" s="30">
        <v>45291</v>
      </c>
      <c r="C18" s="29" t="s">
        <v>45</v>
      </c>
      <c r="D18" s="29" t="s">
        <v>46</v>
      </c>
      <c r="E18" s="29" t="s">
        <v>10</v>
      </c>
      <c r="F18" s="29" t="s">
        <v>145</v>
      </c>
      <c r="G18" s="29" t="s">
        <v>26</v>
      </c>
      <c r="H18">
        <v>6.9160000000000004</v>
      </c>
    </row>
    <row r="19" spans="1:8" x14ac:dyDescent="0.25">
      <c r="A19" s="30">
        <v>44927</v>
      </c>
      <c r="B19" s="30">
        <v>45291</v>
      </c>
      <c r="C19" s="29" t="s">
        <v>34</v>
      </c>
      <c r="D19" s="29" t="s">
        <v>35</v>
      </c>
      <c r="E19" s="29" t="s">
        <v>10</v>
      </c>
      <c r="F19" s="29" t="s">
        <v>145</v>
      </c>
      <c r="G19" s="29" t="s">
        <v>26</v>
      </c>
      <c r="H19">
        <v>27.664000000000001</v>
      </c>
    </row>
    <row r="20" spans="1:8" x14ac:dyDescent="0.25">
      <c r="A20" s="1">
        <v>44927</v>
      </c>
      <c r="B20" s="1">
        <v>45291</v>
      </c>
      <c r="C20" t="s">
        <v>8</v>
      </c>
      <c r="D20" t="s">
        <v>9</v>
      </c>
      <c r="E20" t="s">
        <v>27</v>
      </c>
      <c r="F20" t="s">
        <v>28</v>
      </c>
      <c r="G20" t="s">
        <v>29</v>
      </c>
      <c r="H20">
        <v>69.84</v>
      </c>
    </row>
    <row r="21" spans="1:8" x14ac:dyDescent="0.25">
      <c r="A21" s="1">
        <v>44927</v>
      </c>
      <c r="B21" s="1">
        <v>45291</v>
      </c>
      <c r="C21" t="s">
        <v>8</v>
      </c>
      <c r="D21" t="s">
        <v>9</v>
      </c>
      <c r="E21" t="s">
        <v>27</v>
      </c>
      <c r="F21" t="s">
        <v>28</v>
      </c>
      <c r="G21" t="s">
        <v>30</v>
      </c>
      <c r="H21">
        <v>131</v>
      </c>
    </row>
    <row r="22" spans="1:8" x14ac:dyDescent="0.25">
      <c r="A22" s="1">
        <v>44927</v>
      </c>
      <c r="B22" s="1">
        <v>45291</v>
      </c>
      <c r="C22" t="s">
        <v>8</v>
      </c>
      <c r="D22" t="s">
        <v>9</v>
      </c>
      <c r="E22" t="s">
        <v>27</v>
      </c>
      <c r="F22" t="s">
        <v>28</v>
      </c>
      <c r="G22" t="s">
        <v>31</v>
      </c>
      <c r="H22">
        <v>82.56</v>
      </c>
    </row>
    <row r="23" spans="1:8" x14ac:dyDescent="0.25">
      <c r="A23" s="1">
        <v>44927</v>
      </c>
      <c r="B23" s="1">
        <v>45291</v>
      </c>
      <c r="C23" t="s">
        <v>8</v>
      </c>
      <c r="D23" t="s">
        <v>20</v>
      </c>
      <c r="E23" t="s">
        <v>27</v>
      </c>
      <c r="F23" t="s">
        <v>32</v>
      </c>
      <c r="G23" t="s">
        <v>33</v>
      </c>
      <c r="H23">
        <v>23.52</v>
      </c>
    </row>
    <row r="24" spans="1:8" x14ac:dyDescent="0.25">
      <c r="A24" s="1">
        <v>44927</v>
      </c>
      <c r="B24" s="1">
        <v>45291</v>
      </c>
      <c r="C24" t="s">
        <v>37</v>
      </c>
      <c r="D24" t="s">
        <v>38</v>
      </c>
      <c r="E24" t="s">
        <v>27</v>
      </c>
      <c r="F24" t="s">
        <v>25</v>
      </c>
      <c r="G24" t="s">
        <v>36</v>
      </c>
      <c r="H24">
        <v>13</v>
      </c>
    </row>
    <row r="25" spans="1:8" x14ac:dyDescent="0.25">
      <c r="A25" s="1">
        <v>44927</v>
      </c>
      <c r="B25" s="1">
        <v>45291</v>
      </c>
      <c r="C25" t="s">
        <v>34</v>
      </c>
      <c r="D25" t="s">
        <v>35</v>
      </c>
      <c r="E25" t="s">
        <v>27</v>
      </c>
      <c r="F25" t="s">
        <v>25</v>
      </c>
      <c r="G25" t="s">
        <v>36</v>
      </c>
      <c r="H25">
        <v>5.4</v>
      </c>
    </row>
    <row r="26" spans="1:8" x14ac:dyDescent="0.25">
      <c r="A26" s="1">
        <v>44927</v>
      </c>
      <c r="B26" s="1">
        <v>45291</v>
      </c>
      <c r="C26" t="s">
        <v>8</v>
      </c>
      <c r="D26" t="s">
        <v>8</v>
      </c>
      <c r="E26" t="s">
        <v>27</v>
      </c>
      <c r="F26" t="s">
        <v>25</v>
      </c>
      <c r="G26" t="s">
        <v>36</v>
      </c>
      <c r="H26">
        <v>25.200000000000003</v>
      </c>
    </row>
    <row r="27" spans="1:8" x14ac:dyDescent="0.25">
      <c r="A27" s="1">
        <v>44927</v>
      </c>
      <c r="B27" s="1">
        <v>45291</v>
      </c>
      <c r="C27" t="s">
        <v>8</v>
      </c>
      <c r="D27" t="s">
        <v>9</v>
      </c>
      <c r="E27" t="s">
        <v>39</v>
      </c>
      <c r="F27" t="s">
        <v>40</v>
      </c>
      <c r="G27" t="s">
        <v>48</v>
      </c>
      <c r="H27">
        <v>117.5</v>
      </c>
    </row>
    <row r="28" spans="1:8" x14ac:dyDescent="0.25">
      <c r="A28" s="1">
        <v>44927</v>
      </c>
      <c r="B28" s="1">
        <v>45291</v>
      </c>
      <c r="C28" t="s">
        <v>8</v>
      </c>
      <c r="D28" t="s">
        <v>9</v>
      </c>
      <c r="E28" t="s">
        <v>39</v>
      </c>
      <c r="F28" t="s">
        <v>40</v>
      </c>
      <c r="G28" t="s">
        <v>41</v>
      </c>
      <c r="H28">
        <v>35</v>
      </c>
    </row>
    <row r="29" spans="1:8" x14ac:dyDescent="0.25">
      <c r="A29" s="1">
        <v>44927</v>
      </c>
      <c r="B29" s="1">
        <v>45291</v>
      </c>
      <c r="C29" t="s">
        <v>8</v>
      </c>
      <c r="D29" t="s">
        <v>20</v>
      </c>
      <c r="E29" t="s">
        <v>39</v>
      </c>
      <c r="F29" t="s">
        <v>42</v>
      </c>
      <c r="G29" t="s">
        <v>43</v>
      </c>
      <c r="H29">
        <v>32.550000000000004</v>
      </c>
    </row>
    <row r="30" spans="1:8" x14ac:dyDescent="0.25">
      <c r="A30" s="1">
        <v>44927</v>
      </c>
      <c r="B30" s="1">
        <v>45291</v>
      </c>
      <c r="C30" t="s">
        <v>45</v>
      </c>
      <c r="D30" t="s">
        <v>46</v>
      </c>
      <c r="E30" t="s">
        <v>39</v>
      </c>
      <c r="F30" t="s">
        <v>25</v>
      </c>
      <c r="G30" t="s">
        <v>44</v>
      </c>
      <c r="H30">
        <v>2</v>
      </c>
    </row>
    <row r="31" spans="1:8" x14ac:dyDescent="0.25">
      <c r="A31" s="1">
        <v>44927</v>
      </c>
      <c r="B31" s="1">
        <v>45291</v>
      </c>
      <c r="C31" t="s">
        <v>34</v>
      </c>
      <c r="D31" t="s">
        <v>35</v>
      </c>
      <c r="E31" t="s">
        <v>39</v>
      </c>
      <c r="F31" t="s">
        <v>25</v>
      </c>
      <c r="G31" t="s">
        <v>44</v>
      </c>
      <c r="H31">
        <v>4</v>
      </c>
    </row>
    <row r="32" spans="1:8" x14ac:dyDescent="0.25">
      <c r="A32" s="1">
        <v>44927</v>
      </c>
      <c r="B32" s="1">
        <v>45291</v>
      </c>
      <c r="C32" t="s">
        <v>37</v>
      </c>
      <c r="D32" t="s">
        <v>47</v>
      </c>
      <c r="E32" t="s">
        <v>39</v>
      </c>
      <c r="F32" t="s">
        <v>25</v>
      </c>
      <c r="G32" t="s">
        <v>44</v>
      </c>
      <c r="H32">
        <v>24</v>
      </c>
    </row>
    <row r="33" spans="1:8" x14ac:dyDescent="0.25">
      <c r="A33" s="1">
        <v>44927</v>
      </c>
      <c r="B33" s="1">
        <v>45291</v>
      </c>
      <c r="C33" t="s">
        <v>8</v>
      </c>
      <c r="D33" t="s">
        <v>8</v>
      </c>
      <c r="E33" t="s">
        <v>39</v>
      </c>
      <c r="F33" t="s">
        <v>25</v>
      </c>
      <c r="G33" t="s">
        <v>44</v>
      </c>
      <c r="H33">
        <v>40.5</v>
      </c>
    </row>
    <row r="34" spans="1:8" x14ac:dyDescent="0.25">
      <c r="A34" s="1">
        <v>44927</v>
      </c>
      <c r="B34" s="1">
        <v>44957</v>
      </c>
      <c r="C34" t="s">
        <v>8</v>
      </c>
      <c r="D34" t="s">
        <v>9</v>
      </c>
      <c r="E34" t="s">
        <v>93</v>
      </c>
      <c r="F34" t="s">
        <v>94</v>
      </c>
      <c r="G34" t="s">
        <v>101</v>
      </c>
      <c r="H34">
        <v>69</v>
      </c>
    </row>
    <row r="35" spans="1:8" x14ac:dyDescent="0.25">
      <c r="A35" s="1">
        <v>44927</v>
      </c>
      <c r="B35" s="1">
        <v>45291</v>
      </c>
      <c r="C35" t="s">
        <v>8</v>
      </c>
      <c r="D35" t="s">
        <v>9</v>
      </c>
      <c r="E35" t="s">
        <v>93</v>
      </c>
      <c r="F35" t="s">
        <v>96</v>
      </c>
      <c r="G35" t="s">
        <v>97</v>
      </c>
      <c r="H35">
        <v>0</v>
      </c>
    </row>
    <row r="36" spans="1:8" x14ac:dyDescent="0.25">
      <c r="A36" s="1">
        <v>44927</v>
      </c>
      <c r="B36" s="1">
        <v>45291</v>
      </c>
      <c r="C36" t="s">
        <v>8</v>
      </c>
      <c r="D36" t="s">
        <v>9</v>
      </c>
      <c r="E36" t="s">
        <v>93</v>
      </c>
      <c r="F36" t="s">
        <v>94</v>
      </c>
      <c r="G36" t="s">
        <v>95</v>
      </c>
      <c r="H36">
        <v>24.25</v>
      </c>
    </row>
    <row r="37" spans="1:8" x14ac:dyDescent="0.25">
      <c r="A37" s="1">
        <v>44927</v>
      </c>
      <c r="B37" s="1">
        <v>45291</v>
      </c>
      <c r="C37" t="s">
        <v>8</v>
      </c>
      <c r="D37" t="s">
        <v>20</v>
      </c>
      <c r="E37" t="s">
        <v>93</v>
      </c>
      <c r="F37" t="s">
        <v>98</v>
      </c>
      <c r="G37" t="s">
        <v>99</v>
      </c>
      <c r="H37">
        <v>44.1</v>
      </c>
    </row>
    <row r="38" spans="1:8" x14ac:dyDescent="0.25">
      <c r="A38" s="1">
        <v>44927</v>
      </c>
      <c r="B38" s="1">
        <v>44957</v>
      </c>
      <c r="C38" t="s">
        <v>45</v>
      </c>
      <c r="D38" t="s">
        <v>46</v>
      </c>
      <c r="E38" t="s">
        <v>93</v>
      </c>
      <c r="F38" t="s">
        <v>87</v>
      </c>
      <c r="G38" t="s">
        <v>102</v>
      </c>
      <c r="H38">
        <v>14.010400000000001</v>
      </c>
    </row>
    <row r="39" spans="1:8" x14ac:dyDescent="0.25">
      <c r="A39" s="1">
        <v>44927</v>
      </c>
      <c r="B39" s="1">
        <v>44957</v>
      </c>
      <c r="C39" t="s">
        <v>85</v>
      </c>
      <c r="D39" t="s">
        <v>86</v>
      </c>
      <c r="E39" t="s">
        <v>93</v>
      </c>
      <c r="F39" t="s">
        <v>87</v>
      </c>
      <c r="G39" t="s">
        <v>102</v>
      </c>
      <c r="H39">
        <v>5.9899999999999993</v>
      </c>
    </row>
    <row r="40" spans="1:8" x14ac:dyDescent="0.25">
      <c r="A40" s="1">
        <v>44927</v>
      </c>
      <c r="B40" s="1">
        <v>44957</v>
      </c>
      <c r="C40" t="s">
        <v>91</v>
      </c>
      <c r="D40" t="s">
        <v>91</v>
      </c>
      <c r="E40" t="s">
        <v>93</v>
      </c>
      <c r="F40" t="s">
        <v>87</v>
      </c>
      <c r="G40" t="s">
        <v>102</v>
      </c>
      <c r="H40">
        <v>6.9796000000000014</v>
      </c>
    </row>
    <row r="41" spans="1:8" x14ac:dyDescent="0.25">
      <c r="A41" s="1">
        <v>44927</v>
      </c>
      <c r="B41" s="1">
        <v>45291</v>
      </c>
      <c r="C41" t="s">
        <v>91</v>
      </c>
      <c r="D41" t="s">
        <v>91</v>
      </c>
      <c r="E41" t="s">
        <v>93</v>
      </c>
      <c r="F41" t="s">
        <v>87</v>
      </c>
      <c r="G41" s="29" t="s">
        <v>100</v>
      </c>
      <c r="H41">
        <v>20</v>
      </c>
    </row>
    <row r="42" spans="1:8" x14ac:dyDescent="0.25">
      <c r="A42" s="1">
        <v>44927</v>
      </c>
      <c r="B42" s="1">
        <v>45291</v>
      </c>
      <c r="C42" t="s">
        <v>45</v>
      </c>
      <c r="D42" t="s">
        <v>46</v>
      </c>
      <c r="E42" t="s">
        <v>93</v>
      </c>
      <c r="F42" t="s">
        <v>87</v>
      </c>
      <c r="G42" s="29" t="s">
        <v>100</v>
      </c>
      <c r="H42">
        <v>4</v>
      </c>
    </row>
    <row r="43" spans="1:8" x14ac:dyDescent="0.25">
      <c r="A43" s="1">
        <v>44927</v>
      </c>
      <c r="B43" s="1">
        <v>45291</v>
      </c>
      <c r="C43" t="s">
        <v>85</v>
      </c>
      <c r="D43" t="s">
        <v>86</v>
      </c>
      <c r="E43" t="s">
        <v>93</v>
      </c>
      <c r="F43" t="s">
        <v>87</v>
      </c>
      <c r="G43" s="29" t="s">
        <v>100</v>
      </c>
      <c r="H43">
        <v>2</v>
      </c>
    </row>
    <row r="44" spans="1:8" x14ac:dyDescent="0.25">
      <c r="A44" s="17">
        <v>44927</v>
      </c>
      <c r="B44" s="17">
        <v>45291</v>
      </c>
      <c r="C44" s="18" t="s">
        <v>8</v>
      </c>
      <c r="D44" s="18" t="s">
        <v>9</v>
      </c>
      <c r="E44" s="18" t="s">
        <v>75</v>
      </c>
      <c r="F44" s="18" t="s">
        <v>76</v>
      </c>
      <c r="G44" s="18" t="s">
        <v>79</v>
      </c>
      <c r="H44" s="18">
        <f>24*0.96</f>
        <v>23.04</v>
      </c>
    </row>
    <row r="45" spans="1:8" x14ac:dyDescent="0.25">
      <c r="A45" s="1">
        <v>44927</v>
      </c>
      <c r="B45" s="1">
        <v>45291</v>
      </c>
      <c r="C45" t="s">
        <v>8</v>
      </c>
      <c r="D45" t="s">
        <v>9</v>
      </c>
      <c r="E45" t="s">
        <v>75</v>
      </c>
      <c r="F45" t="s">
        <v>76</v>
      </c>
      <c r="G45" t="s">
        <v>77</v>
      </c>
      <c r="H45">
        <v>29.759999999999998</v>
      </c>
    </row>
    <row r="46" spans="1:8" x14ac:dyDescent="0.25">
      <c r="A46" s="1">
        <v>44927</v>
      </c>
      <c r="B46" s="1">
        <v>45291</v>
      </c>
      <c r="C46" t="s">
        <v>8</v>
      </c>
      <c r="D46" t="s">
        <v>9</v>
      </c>
      <c r="E46" t="s">
        <v>75</v>
      </c>
      <c r="F46" t="s">
        <v>76</v>
      </c>
      <c r="G46" t="s">
        <v>80</v>
      </c>
      <c r="H46">
        <f>12*0.96</f>
        <v>11.52</v>
      </c>
    </row>
    <row r="47" spans="1:8" x14ac:dyDescent="0.25">
      <c r="A47" s="1">
        <v>44927</v>
      </c>
      <c r="B47" s="1">
        <v>45291</v>
      </c>
      <c r="C47" t="s">
        <v>8</v>
      </c>
      <c r="D47" t="s">
        <v>9</v>
      </c>
      <c r="E47" t="s">
        <v>75</v>
      </c>
      <c r="F47" t="s">
        <v>76</v>
      </c>
      <c r="G47" t="s">
        <v>78</v>
      </c>
      <c r="H47">
        <v>5.76</v>
      </c>
    </row>
    <row r="48" spans="1:8" x14ac:dyDescent="0.25">
      <c r="A48" s="1">
        <v>44927</v>
      </c>
      <c r="B48" s="1">
        <v>45291</v>
      </c>
      <c r="C48" t="s">
        <v>8</v>
      </c>
      <c r="D48" t="s">
        <v>20</v>
      </c>
      <c r="E48" t="s">
        <v>75</v>
      </c>
      <c r="F48" t="s">
        <v>81</v>
      </c>
      <c r="G48" t="s">
        <v>82</v>
      </c>
      <c r="H48">
        <v>64.239999999999995</v>
      </c>
    </row>
    <row r="49" spans="1:8" x14ac:dyDescent="0.25">
      <c r="A49" s="1">
        <v>44927</v>
      </c>
      <c r="B49" s="1">
        <v>44957</v>
      </c>
      <c r="C49" t="s">
        <v>8</v>
      </c>
      <c r="D49" t="s">
        <v>20</v>
      </c>
      <c r="E49" t="s">
        <v>75</v>
      </c>
      <c r="F49" t="s">
        <v>81</v>
      </c>
      <c r="G49" t="s">
        <v>83</v>
      </c>
      <c r="H49">
        <f>29/2</f>
        <v>14.5</v>
      </c>
    </row>
    <row r="50" spans="1:8" x14ac:dyDescent="0.25">
      <c r="A50" s="1">
        <v>44927</v>
      </c>
      <c r="B50" s="1">
        <v>44957</v>
      </c>
      <c r="C50" t="s">
        <v>8</v>
      </c>
      <c r="D50" t="s">
        <v>20</v>
      </c>
      <c r="E50" t="s">
        <v>75</v>
      </c>
      <c r="F50" t="s">
        <v>81</v>
      </c>
      <c r="G50" t="s">
        <v>84</v>
      </c>
      <c r="H50">
        <f>29/2</f>
        <v>14.5</v>
      </c>
    </row>
    <row r="51" spans="1:8" x14ac:dyDescent="0.25">
      <c r="A51" s="1">
        <v>44927</v>
      </c>
      <c r="B51" s="1">
        <v>45291</v>
      </c>
      <c r="C51" t="s">
        <v>45</v>
      </c>
      <c r="D51" t="s">
        <v>46</v>
      </c>
      <c r="E51" t="s">
        <v>75</v>
      </c>
      <c r="F51" t="s">
        <v>87</v>
      </c>
      <c r="G51" t="s">
        <v>88</v>
      </c>
      <c r="H51">
        <v>10</v>
      </c>
    </row>
    <row r="52" spans="1:8" x14ac:dyDescent="0.25">
      <c r="A52" s="17">
        <v>44927</v>
      </c>
      <c r="B52" s="17">
        <v>45291</v>
      </c>
      <c r="C52" s="18" t="s">
        <v>89</v>
      </c>
      <c r="D52" s="18" t="s">
        <v>90</v>
      </c>
      <c r="E52" s="18" t="s">
        <v>75</v>
      </c>
      <c r="F52" s="18" t="s">
        <v>87</v>
      </c>
      <c r="G52" s="18" t="s">
        <v>88</v>
      </c>
      <c r="H52" s="18">
        <v>63</v>
      </c>
    </row>
    <row r="53" spans="1:8" x14ac:dyDescent="0.25">
      <c r="A53" s="1">
        <v>44927</v>
      </c>
      <c r="B53" s="1">
        <v>45291</v>
      </c>
      <c r="C53" t="s">
        <v>85</v>
      </c>
      <c r="D53" t="s">
        <v>86</v>
      </c>
      <c r="E53" t="s">
        <v>75</v>
      </c>
      <c r="F53" t="s">
        <v>87</v>
      </c>
      <c r="G53" t="s">
        <v>88</v>
      </c>
      <c r="H53">
        <v>9</v>
      </c>
    </row>
    <row r="54" spans="1:8" x14ac:dyDescent="0.25">
      <c r="A54" s="1">
        <v>44927</v>
      </c>
      <c r="B54" s="1">
        <v>45291</v>
      </c>
      <c r="C54" t="s">
        <v>66</v>
      </c>
      <c r="D54" t="s">
        <v>67</v>
      </c>
      <c r="E54" t="s">
        <v>75</v>
      </c>
      <c r="F54" t="s">
        <v>87</v>
      </c>
      <c r="G54" t="s">
        <v>88</v>
      </c>
      <c r="H54">
        <v>0</v>
      </c>
    </row>
    <row r="55" spans="1:8" x14ac:dyDescent="0.25">
      <c r="A55" s="1">
        <v>44927</v>
      </c>
      <c r="B55" s="1">
        <v>45291</v>
      </c>
      <c r="C55" t="s">
        <v>91</v>
      </c>
      <c r="D55" t="s">
        <v>91</v>
      </c>
      <c r="E55" t="s">
        <v>75</v>
      </c>
      <c r="F55" t="s">
        <v>87</v>
      </c>
      <c r="G55" t="s">
        <v>88</v>
      </c>
      <c r="H55">
        <v>5.2999999999999972</v>
      </c>
    </row>
    <row r="56" spans="1:8" x14ac:dyDescent="0.25">
      <c r="A56" s="1">
        <v>44927</v>
      </c>
      <c r="B56" s="1">
        <v>45291</v>
      </c>
      <c r="C56" t="s">
        <v>91</v>
      </c>
      <c r="D56" t="s">
        <v>91</v>
      </c>
      <c r="E56" t="s">
        <v>75</v>
      </c>
      <c r="F56" t="s">
        <v>87</v>
      </c>
      <c r="G56" t="s">
        <v>92</v>
      </c>
      <c r="H56">
        <v>17.600000000000001</v>
      </c>
    </row>
    <row r="57" spans="1:8" x14ac:dyDescent="0.25">
      <c r="A57" s="1">
        <v>44927</v>
      </c>
      <c r="B57" s="1">
        <v>45291</v>
      </c>
      <c r="C57" t="s">
        <v>8</v>
      </c>
      <c r="D57" t="s">
        <v>9</v>
      </c>
      <c r="E57" t="s">
        <v>49</v>
      </c>
      <c r="F57" t="s">
        <v>50</v>
      </c>
      <c r="G57" t="s">
        <v>53</v>
      </c>
      <c r="H57" s="31">
        <v>16.489999999999998</v>
      </c>
    </row>
    <row r="58" spans="1:8" x14ac:dyDescent="0.25">
      <c r="A58" s="1">
        <v>44927</v>
      </c>
      <c r="B58" s="1">
        <v>45291</v>
      </c>
      <c r="C58" t="s">
        <v>8</v>
      </c>
      <c r="D58" t="s">
        <v>9</v>
      </c>
      <c r="E58" t="s">
        <v>49</v>
      </c>
      <c r="F58" t="s">
        <v>50</v>
      </c>
      <c r="G58" t="s">
        <v>51</v>
      </c>
      <c r="H58" s="31">
        <v>92.149999999999991</v>
      </c>
    </row>
    <row r="59" spans="1:8" x14ac:dyDescent="0.25">
      <c r="A59" s="1">
        <v>44927</v>
      </c>
      <c r="B59" s="1">
        <v>45291</v>
      </c>
      <c r="C59" t="s">
        <v>8</v>
      </c>
      <c r="D59" t="s">
        <v>9</v>
      </c>
      <c r="E59" t="s">
        <v>49</v>
      </c>
      <c r="F59" t="s">
        <v>50</v>
      </c>
      <c r="G59" t="s">
        <v>52</v>
      </c>
      <c r="H59" s="31">
        <v>46.06</v>
      </c>
    </row>
    <row r="60" spans="1:8" x14ac:dyDescent="0.25">
      <c r="A60" s="1">
        <v>44927</v>
      </c>
      <c r="B60" s="1">
        <v>45291</v>
      </c>
      <c r="C60" t="s">
        <v>8</v>
      </c>
      <c r="D60" t="s">
        <v>9</v>
      </c>
      <c r="E60" t="s">
        <v>49</v>
      </c>
      <c r="F60" t="s">
        <v>50</v>
      </c>
      <c r="G60" t="s">
        <v>54</v>
      </c>
      <c r="H60" s="31">
        <v>87.42</v>
      </c>
    </row>
    <row r="61" spans="1:8" x14ac:dyDescent="0.25">
      <c r="A61" s="1">
        <v>44927</v>
      </c>
      <c r="B61" s="1">
        <v>45291</v>
      </c>
      <c r="C61" t="s">
        <v>8</v>
      </c>
      <c r="D61" t="s">
        <v>9</v>
      </c>
      <c r="E61" t="s">
        <v>49</v>
      </c>
      <c r="F61" t="s">
        <v>50</v>
      </c>
      <c r="G61" t="s">
        <v>55</v>
      </c>
      <c r="H61" s="31">
        <v>125.58</v>
      </c>
    </row>
    <row r="62" spans="1:8" x14ac:dyDescent="0.25">
      <c r="A62" s="1">
        <v>44927</v>
      </c>
      <c r="B62" s="1">
        <v>45291</v>
      </c>
      <c r="C62" t="s">
        <v>8</v>
      </c>
      <c r="D62" t="s">
        <v>20</v>
      </c>
      <c r="E62" t="s">
        <v>49</v>
      </c>
      <c r="F62" t="s">
        <v>56</v>
      </c>
      <c r="G62" t="s">
        <v>57</v>
      </c>
      <c r="H62" s="31">
        <v>97</v>
      </c>
    </row>
    <row r="63" spans="1:8" x14ac:dyDescent="0.25">
      <c r="A63" s="1">
        <v>44927</v>
      </c>
      <c r="B63" s="1">
        <v>45291</v>
      </c>
      <c r="C63" t="s">
        <v>45</v>
      </c>
      <c r="D63" t="s">
        <v>46</v>
      </c>
      <c r="E63" t="s">
        <v>49</v>
      </c>
      <c r="F63" t="s">
        <v>25</v>
      </c>
      <c r="G63" t="s">
        <v>58</v>
      </c>
      <c r="H63" s="31">
        <v>2.5</v>
      </c>
    </row>
    <row r="64" spans="1:8" x14ac:dyDescent="0.25">
      <c r="A64" s="1">
        <v>44927</v>
      </c>
      <c r="B64" s="1">
        <v>45291</v>
      </c>
      <c r="C64" t="s">
        <v>34</v>
      </c>
      <c r="D64" t="s">
        <v>35</v>
      </c>
      <c r="E64" t="s">
        <v>49</v>
      </c>
      <c r="F64" t="s">
        <v>25</v>
      </c>
      <c r="G64" t="s">
        <v>58</v>
      </c>
      <c r="H64" s="31">
        <v>5</v>
      </c>
    </row>
    <row r="65" spans="1:8" x14ac:dyDescent="0.25">
      <c r="A65" s="1">
        <v>44927</v>
      </c>
      <c r="B65" s="1">
        <v>45291</v>
      </c>
      <c r="C65" t="s">
        <v>37</v>
      </c>
      <c r="D65" t="s">
        <v>47</v>
      </c>
      <c r="E65" t="s">
        <v>49</v>
      </c>
      <c r="F65" t="s">
        <v>25</v>
      </c>
      <c r="G65" t="s">
        <v>58</v>
      </c>
      <c r="H65" s="31">
        <v>18.5</v>
      </c>
    </row>
    <row r="66" spans="1:8" x14ac:dyDescent="0.25">
      <c r="A66" s="1">
        <v>44927</v>
      </c>
      <c r="B66" s="1">
        <v>45291</v>
      </c>
      <c r="C66" t="s">
        <v>8</v>
      </c>
      <c r="D66" t="s">
        <v>8</v>
      </c>
      <c r="E66" t="s">
        <v>49</v>
      </c>
      <c r="F66" t="s">
        <v>25</v>
      </c>
      <c r="G66" t="s">
        <v>58</v>
      </c>
      <c r="H66" s="31">
        <v>40</v>
      </c>
    </row>
    <row r="67" spans="1:8" x14ac:dyDescent="0.25">
      <c r="A67" s="1">
        <v>44927</v>
      </c>
      <c r="B67" s="1">
        <v>45291</v>
      </c>
      <c r="C67" t="s">
        <v>8</v>
      </c>
      <c r="D67" t="s">
        <v>9</v>
      </c>
      <c r="E67" t="s">
        <v>68</v>
      </c>
      <c r="F67" t="s">
        <v>69</v>
      </c>
      <c r="G67" t="s">
        <v>70</v>
      </c>
      <c r="H67" s="31">
        <v>62</v>
      </c>
    </row>
    <row r="68" spans="1:8" x14ac:dyDescent="0.25">
      <c r="A68" s="1">
        <v>44927</v>
      </c>
      <c r="B68" s="1">
        <v>45291</v>
      </c>
      <c r="C68" t="s">
        <v>8</v>
      </c>
      <c r="D68" t="s">
        <v>9</v>
      </c>
      <c r="E68" t="s">
        <v>68</v>
      </c>
      <c r="F68" t="s">
        <v>69</v>
      </c>
      <c r="G68" t="s">
        <v>71</v>
      </c>
      <c r="H68" s="31">
        <v>86.24</v>
      </c>
    </row>
    <row r="69" spans="1:8" x14ac:dyDescent="0.25">
      <c r="A69" s="1">
        <v>44927</v>
      </c>
      <c r="B69" s="1">
        <v>45291</v>
      </c>
      <c r="C69" t="s">
        <v>8</v>
      </c>
      <c r="D69" t="s">
        <v>20</v>
      </c>
      <c r="E69" t="s">
        <v>68</v>
      </c>
      <c r="F69" t="s">
        <v>72</v>
      </c>
      <c r="G69" t="s">
        <v>73</v>
      </c>
      <c r="H69" s="31">
        <v>22.52</v>
      </c>
    </row>
    <row r="70" spans="1:8" x14ac:dyDescent="0.25">
      <c r="A70" s="1">
        <v>44927</v>
      </c>
      <c r="B70" s="1">
        <v>45291</v>
      </c>
      <c r="C70" t="s">
        <v>45</v>
      </c>
      <c r="D70" t="s">
        <v>46</v>
      </c>
      <c r="E70" t="s">
        <v>68</v>
      </c>
      <c r="F70" t="s">
        <v>25</v>
      </c>
      <c r="G70" t="s">
        <v>74</v>
      </c>
      <c r="H70" s="31">
        <v>6</v>
      </c>
    </row>
    <row r="71" spans="1:8" x14ac:dyDescent="0.25">
      <c r="A71" s="1">
        <v>44927</v>
      </c>
      <c r="B71" s="1">
        <v>45291</v>
      </c>
      <c r="C71" t="s">
        <v>34</v>
      </c>
      <c r="D71" t="s">
        <v>35</v>
      </c>
      <c r="E71" t="s">
        <v>68</v>
      </c>
      <c r="F71" t="s">
        <v>25</v>
      </c>
      <c r="G71" t="s">
        <v>74</v>
      </c>
      <c r="H71" s="31">
        <v>12.4</v>
      </c>
    </row>
    <row r="72" spans="1:8" x14ac:dyDescent="0.25">
      <c r="A72" s="1">
        <v>44927</v>
      </c>
      <c r="B72" s="1">
        <v>45291</v>
      </c>
      <c r="C72" t="s">
        <v>66</v>
      </c>
      <c r="D72" t="s">
        <v>67</v>
      </c>
      <c r="E72" t="s">
        <v>68</v>
      </c>
      <c r="F72" t="s">
        <v>25</v>
      </c>
      <c r="G72" t="s">
        <v>74</v>
      </c>
      <c r="H72" s="31">
        <v>0</v>
      </c>
    </row>
    <row r="73" spans="1:8" x14ac:dyDescent="0.25">
      <c r="A73" s="1">
        <v>44927</v>
      </c>
      <c r="B73" s="1">
        <v>45291</v>
      </c>
      <c r="C73" t="s">
        <v>37</v>
      </c>
      <c r="D73" t="s">
        <v>47</v>
      </c>
      <c r="E73" t="s">
        <v>68</v>
      </c>
      <c r="F73" t="s">
        <v>25</v>
      </c>
      <c r="G73" t="s">
        <v>74</v>
      </c>
      <c r="H73" s="31">
        <v>23</v>
      </c>
    </row>
    <row r="74" spans="1:8" x14ac:dyDescent="0.25">
      <c r="A74" s="1">
        <v>44927</v>
      </c>
      <c r="B74" s="1">
        <v>45291</v>
      </c>
      <c r="C74" t="s">
        <v>8</v>
      </c>
      <c r="D74" t="s">
        <v>8</v>
      </c>
      <c r="E74" t="s">
        <v>68</v>
      </c>
      <c r="F74" t="s">
        <v>25</v>
      </c>
      <c r="G74" t="s">
        <v>74</v>
      </c>
      <c r="H74" s="31">
        <v>17.600000000000001</v>
      </c>
    </row>
    <row r="75" spans="1:8" x14ac:dyDescent="0.25">
      <c r="A75" s="1">
        <v>44927</v>
      </c>
      <c r="B75" s="1">
        <v>45291</v>
      </c>
      <c r="C75" t="s">
        <v>8</v>
      </c>
      <c r="D75" t="s">
        <v>9</v>
      </c>
      <c r="E75" t="s">
        <v>59</v>
      </c>
      <c r="F75" t="s">
        <v>60</v>
      </c>
      <c r="G75" t="s">
        <v>61</v>
      </c>
      <c r="H75" s="32">
        <v>48.001200000000004</v>
      </c>
    </row>
    <row r="76" spans="1:8" x14ac:dyDescent="0.25">
      <c r="A76" s="1">
        <v>44927</v>
      </c>
      <c r="B76" s="1">
        <v>45291</v>
      </c>
      <c r="C76" t="s">
        <v>8</v>
      </c>
      <c r="D76" t="s">
        <v>9</v>
      </c>
      <c r="E76" t="s">
        <v>59</v>
      </c>
      <c r="F76" t="s">
        <v>60</v>
      </c>
      <c r="G76" t="s">
        <v>62</v>
      </c>
      <c r="H76" s="32">
        <v>72.930000000000007</v>
      </c>
    </row>
    <row r="77" spans="1:8" x14ac:dyDescent="0.25">
      <c r="A77" s="1">
        <v>44927</v>
      </c>
      <c r="B77" s="1">
        <v>45291</v>
      </c>
      <c r="C77" t="s">
        <v>8</v>
      </c>
      <c r="D77" t="s">
        <v>20</v>
      </c>
      <c r="E77" t="s">
        <v>59</v>
      </c>
      <c r="F77" t="s">
        <v>63</v>
      </c>
      <c r="G77" t="s">
        <v>64</v>
      </c>
      <c r="H77" s="32">
        <v>36</v>
      </c>
    </row>
    <row r="78" spans="1:8" x14ac:dyDescent="0.25">
      <c r="A78" s="1">
        <v>44927</v>
      </c>
      <c r="B78" s="1">
        <v>45291</v>
      </c>
      <c r="C78" t="s">
        <v>45</v>
      </c>
      <c r="D78" t="s">
        <v>46</v>
      </c>
      <c r="E78" t="s">
        <v>59</v>
      </c>
      <c r="F78" t="s">
        <v>25</v>
      </c>
      <c r="G78" t="s">
        <v>65</v>
      </c>
      <c r="H78" s="32">
        <v>4.5</v>
      </c>
    </row>
    <row r="79" spans="1:8" x14ac:dyDescent="0.25">
      <c r="A79" s="1">
        <v>44927</v>
      </c>
      <c r="B79" s="1">
        <v>45291</v>
      </c>
      <c r="C79" t="s">
        <v>34</v>
      </c>
      <c r="D79" t="s">
        <v>35</v>
      </c>
      <c r="E79" t="s">
        <v>59</v>
      </c>
      <c r="F79" t="s">
        <v>25</v>
      </c>
      <c r="G79" t="s">
        <v>65</v>
      </c>
      <c r="H79" s="32">
        <v>8.1</v>
      </c>
    </row>
    <row r="80" spans="1:8" x14ac:dyDescent="0.25">
      <c r="A80" s="1">
        <v>44927</v>
      </c>
      <c r="B80" s="1">
        <v>45291</v>
      </c>
      <c r="C80" t="s">
        <v>66</v>
      </c>
      <c r="D80" t="s">
        <v>67</v>
      </c>
      <c r="E80" t="s">
        <v>59</v>
      </c>
      <c r="F80" t="s">
        <v>25</v>
      </c>
      <c r="G80" t="s">
        <v>65</v>
      </c>
      <c r="H80" s="32">
        <v>0.999</v>
      </c>
    </row>
    <row r="81" spans="1:8" x14ac:dyDescent="0.25">
      <c r="A81" s="1">
        <v>44927</v>
      </c>
      <c r="B81" s="1">
        <v>45291</v>
      </c>
      <c r="C81" t="s">
        <v>37</v>
      </c>
      <c r="D81" t="s">
        <v>47</v>
      </c>
      <c r="E81" t="s">
        <v>59</v>
      </c>
      <c r="F81" t="s">
        <v>25</v>
      </c>
      <c r="G81" t="s">
        <v>65</v>
      </c>
      <c r="H81" s="32">
        <v>57.201000000000001</v>
      </c>
    </row>
    <row r="82" spans="1:8" x14ac:dyDescent="0.25">
      <c r="A82" s="1">
        <v>44927</v>
      </c>
      <c r="B82" s="1">
        <v>45291</v>
      </c>
      <c r="C82" t="s">
        <v>8</v>
      </c>
      <c r="D82" t="s">
        <v>8</v>
      </c>
      <c r="E82" t="s">
        <v>59</v>
      </c>
      <c r="F82" t="s">
        <v>25</v>
      </c>
      <c r="G82" t="s">
        <v>65</v>
      </c>
      <c r="H82" s="32">
        <v>19.200000000000003</v>
      </c>
    </row>
    <row r="83" spans="1:8" x14ac:dyDescent="0.25">
      <c r="A83" s="1">
        <v>44927</v>
      </c>
      <c r="B83" s="1">
        <v>45291</v>
      </c>
      <c r="C83" t="s">
        <v>8</v>
      </c>
      <c r="D83" t="s">
        <v>9</v>
      </c>
      <c r="E83" t="s">
        <v>106</v>
      </c>
      <c r="F83" t="s">
        <v>109</v>
      </c>
      <c r="G83" t="s">
        <v>110</v>
      </c>
      <c r="H83" s="31">
        <v>30</v>
      </c>
    </row>
    <row r="84" spans="1:8" x14ac:dyDescent="0.25">
      <c r="A84" s="1">
        <v>44927</v>
      </c>
      <c r="B84" s="1">
        <v>45291</v>
      </c>
      <c r="C84" t="s">
        <v>8</v>
      </c>
      <c r="D84" t="s">
        <v>9</v>
      </c>
      <c r="E84" t="s">
        <v>106</v>
      </c>
      <c r="F84" t="s">
        <v>109</v>
      </c>
      <c r="G84" t="s">
        <v>111</v>
      </c>
      <c r="H84" s="31">
        <v>35</v>
      </c>
    </row>
    <row r="85" spans="1:8" x14ac:dyDescent="0.25">
      <c r="A85" s="1">
        <v>44927</v>
      </c>
      <c r="B85" s="1">
        <v>45291</v>
      </c>
      <c r="C85" t="s">
        <v>8</v>
      </c>
      <c r="D85" t="s">
        <v>20</v>
      </c>
      <c r="E85" t="s">
        <v>106</v>
      </c>
      <c r="F85" t="s">
        <v>107</v>
      </c>
      <c r="G85" t="s">
        <v>108</v>
      </c>
      <c r="H85" s="31">
        <v>38</v>
      </c>
    </row>
    <row r="86" spans="1:8" x14ac:dyDescent="0.25">
      <c r="A86" s="1">
        <v>44958</v>
      </c>
      <c r="B86" s="1">
        <v>44985</v>
      </c>
      <c r="C86" t="s">
        <v>8</v>
      </c>
      <c r="D86" t="s">
        <v>9</v>
      </c>
      <c r="E86" t="s">
        <v>10</v>
      </c>
      <c r="F86" t="s">
        <v>11</v>
      </c>
      <c r="G86" t="s">
        <v>15</v>
      </c>
      <c r="H86">
        <v>165</v>
      </c>
    </row>
    <row r="87" spans="1:8" x14ac:dyDescent="0.25">
      <c r="A87" s="1">
        <v>44958</v>
      </c>
      <c r="B87" s="1">
        <v>44985</v>
      </c>
      <c r="C87" t="s">
        <v>8</v>
      </c>
      <c r="D87" t="s">
        <v>9</v>
      </c>
      <c r="E87" t="s">
        <v>10</v>
      </c>
      <c r="F87" t="s">
        <v>11</v>
      </c>
      <c r="G87" t="s">
        <v>18</v>
      </c>
      <c r="H87">
        <v>101</v>
      </c>
    </row>
    <row r="88" spans="1:8" x14ac:dyDescent="0.25">
      <c r="A88" s="1">
        <v>44958</v>
      </c>
      <c r="B88" s="1">
        <v>44985</v>
      </c>
      <c r="C88" t="s">
        <v>8</v>
      </c>
      <c r="D88" t="s">
        <v>9</v>
      </c>
      <c r="E88" t="s">
        <v>10</v>
      </c>
      <c r="F88" t="s">
        <v>11</v>
      </c>
      <c r="G88" t="s">
        <v>19</v>
      </c>
      <c r="H88">
        <v>87</v>
      </c>
    </row>
    <row r="89" spans="1:8" x14ac:dyDescent="0.25">
      <c r="A89" s="1">
        <v>44958</v>
      </c>
      <c r="B89" s="1">
        <v>44985</v>
      </c>
      <c r="C89" t="s">
        <v>8</v>
      </c>
      <c r="D89" t="s">
        <v>9</v>
      </c>
      <c r="E89" t="s">
        <v>10</v>
      </c>
      <c r="F89" t="s">
        <v>11</v>
      </c>
      <c r="G89" t="s">
        <v>17</v>
      </c>
      <c r="H89">
        <v>54.5</v>
      </c>
    </row>
    <row r="90" spans="1:8" x14ac:dyDescent="0.25">
      <c r="A90" s="1">
        <v>44958</v>
      </c>
      <c r="B90" s="1">
        <v>44985</v>
      </c>
      <c r="C90" t="s">
        <v>8</v>
      </c>
      <c r="D90" t="s">
        <v>9</v>
      </c>
      <c r="E90" t="s">
        <v>10</v>
      </c>
      <c r="F90" t="s">
        <v>11</v>
      </c>
      <c r="G90" t="s">
        <v>14</v>
      </c>
      <c r="H90">
        <v>75</v>
      </c>
    </row>
    <row r="91" spans="1:8" x14ac:dyDescent="0.25">
      <c r="A91" s="1">
        <v>44958</v>
      </c>
      <c r="B91" s="1">
        <v>44985</v>
      </c>
      <c r="C91" t="s">
        <v>8</v>
      </c>
      <c r="D91" t="s">
        <v>9</v>
      </c>
      <c r="E91" t="s">
        <v>10</v>
      </c>
      <c r="F91" t="s">
        <v>11</v>
      </c>
      <c r="G91" t="s">
        <v>16</v>
      </c>
      <c r="H91">
        <v>84.5</v>
      </c>
    </row>
    <row r="92" spans="1:8" x14ac:dyDescent="0.25">
      <c r="A92" s="1">
        <v>44958</v>
      </c>
      <c r="B92" s="1">
        <v>44985</v>
      </c>
      <c r="C92" t="s">
        <v>8</v>
      </c>
      <c r="D92" t="s">
        <v>20</v>
      </c>
      <c r="E92" t="s">
        <v>10</v>
      </c>
      <c r="F92" t="s">
        <v>21</v>
      </c>
      <c r="G92" t="s">
        <v>22</v>
      </c>
      <c r="H92">
        <v>118</v>
      </c>
    </row>
    <row r="93" spans="1:8" x14ac:dyDescent="0.25">
      <c r="A93" s="1">
        <v>44958</v>
      </c>
      <c r="B93" s="1">
        <v>44985</v>
      </c>
      <c r="C93" t="s">
        <v>8</v>
      </c>
      <c r="D93" t="s">
        <v>9</v>
      </c>
      <c r="E93" t="s">
        <v>93</v>
      </c>
      <c r="F93" t="s">
        <v>94</v>
      </c>
      <c r="G93" t="s">
        <v>101</v>
      </c>
      <c r="H93">
        <v>70</v>
      </c>
    </row>
    <row r="94" spans="1:8" x14ac:dyDescent="0.25">
      <c r="A94" s="1">
        <v>44958</v>
      </c>
      <c r="B94" s="1">
        <v>44985</v>
      </c>
      <c r="C94" t="s">
        <v>45</v>
      </c>
      <c r="D94" t="s">
        <v>46</v>
      </c>
      <c r="E94" t="s">
        <v>93</v>
      </c>
      <c r="F94" t="s">
        <v>87</v>
      </c>
      <c r="G94" t="s">
        <v>102</v>
      </c>
      <c r="H94">
        <v>14.7768</v>
      </c>
    </row>
    <row r="95" spans="1:8" x14ac:dyDescent="0.25">
      <c r="A95" s="1">
        <v>44958</v>
      </c>
      <c r="B95" s="1">
        <v>44985</v>
      </c>
      <c r="C95" t="s">
        <v>85</v>
      </c>
      <c r="D95" t="s">
        <v>86</v>
      </c>
      <c r="E95" t="s">
        <v>93</v>
      </c>
      <c r="F95" t="s">
        <v>87</v>
      </c>
      <c r="G95" t="s">
        <v>102</v>
      </c>
      <c r="H95">
        <v>6.33</v>
      </c>
    </row>
    <row r="96" spans="1:8" x14ac:dyDescent="0.25">
      <c r="A96" s="1">
        <v>44958</v>
      </c>
      <c r="B96" s="1">
        <v>44985</v>
      </c>
      <c r="C96" t="s">
        <v>91</v>
      </c>
      <c r="D96" t="s">
        <v>91</v>
      </c>
      <c r="E96" t="s">
        <v>93</v>
      </c>
      <c r="F96" t="s">
        <v>87</v>
      </c>
      <c r="G96" t="s">
        <v>102</v>
      </c>
      <c r="H96">
        <v>7.8732000000000015</v>
      </c>
    </row>
    <row r="97" spans="1:8" x14ac:dyDescent="0.25">
      <c r="A97" s="1">
        <v>44958</v>
      </c>
      <c r="B97" s="1">
        <v>44985</v>
      </c>
      <c r="C97" t="s">
        <v>8</v>
      </c>
      <c r="D97" t="s">
        <v>20</v>
      </c>
      <c r="E97" t="s">
        <v>75</v>
      </c>
      <c r="F97" t="s">
        <v>81</v>
      </c>
      <c r="G97" t="s">
        <v>83</v>
      </c>
      <c r="H97">
        <f>31/2</f>
        <v>15.5</v>
      </c>
    </row>
    <row r="98" spans="1:8" x14ac:dyDescent="0.25">
      <c r="A98" s="1">
        <v>44958</v>
      </c>
      <c r="B98" s="1">
        <v>44985</v>
      </c>
      <c r="C98" t="s">
        <v>8</v>
      </c>
      <c r="D98" t="s">
        <v>20</v>
      </c>
      <c r="E98" t="s">
        <v>75</v>
      </c>
      <c r="F98" t="s">
        <v>81</v>
      </c>
      <c r="G98" t="s">
        <v>84</v>
      </c>
      <c r="H98">
        <f>31/2</f>
        <v>15.5</v>
      </c>
    </row>
    <row r="99" spans="1:8" x14ac:dyDescent="0.25">
      <c r="A99" s="1">
        <v>44986</v>
      </c>
      <c r="B99" s="1">
        <v>45016</v>
      </c>
      <c r="C99" t="s">
        <v>8</v>
      </c>
      <c r="D99" t="s">
        <v>9</v>
      </c>
      <c r="E99" t="s">
        <v>10</v>
      </c>
      <c r="F99" t="s">
        <v>11</v>
      </c>
      <c r="G99" t="s">
        <v>15</v>
      </c>
      <c r="H99">
        <v>165.5</v>
      </c>
    </row>
    <row r="100" spans="1:8" x14ac:dyDescent="0.25">
      <c r="A100" s="1">
        <v>44986</v>
      </c>
      <c r="B100" s="1">
        <v>45016</v>
      </c>
      <c r="C100" t="s">
        <v>8</v>
      </c>
      <c r="D100" t="s">
        <v>9</v>
      </c>
      <c r="E100" t="s">
        <v>10</v>
      </c>
      <c r="F100" t="s">
        <v>11</v>
      </c>
      <c r="G100" t="s">
        <v>18</v>
      </c>
      <c r="H100">
        <v>101.5</v>
      </c>
    </row>
    <row r="101" spans="1:8" x14ac:dyDescent="0.25">
      <c r="A101" s="1">
        <v>44986</v>
      </c>
      <c r="B101" s="1">
        <v>45016</v>
      </c>
      <c r="C101" t="s">
        <v>8</v>
      </c>
      <c r="D101" t="s">
        <v>9</v>
      </c>
      <c r="E101" t="s">
        <v>10</v>
      </c>
      <c r="F101" t="s">
        <v>11</v>
      </c>
      <c r="G101" t="s">
        <v>19</v>
      </c>
      <c r="H101">
        <v>88</v>
      </c>
    </row>
    <row r="102" spans="1:8" x14ac:dyDescent="0.25">
      <c r="A102" s="1">
        <v>44986</v>
      </c>
      <c r="B102" s="1">
        <v>45016</v>
      </c>
      <c r="C102" t="s">
        <v>8</v>
      </c>
      <c r="D102" t="s">
        <v>9</v>
      </c>
      <c r="E102" t="s">
        <v>10</v>
      </c>
      <c r="F102" t="s">
        <v>11</v>
      </c>
      <c r="G102" t="s">
        <v>17</v>
      </c>
      <c r="H102">
        <v>55</v>
      </c>
    </row>
    <row r="103" spans="1:8" x14ac:dyDescent="0.25">
      <c r="A103" s="1">
        <v>44986</v>
      </c>
      <c r="B103" s="1">
        <v>45016</v>
      </c>
      <c r="C103" t="s">
        <v>8</v>
      </c>
      <c r="D103" t="s">
        <v>9</v>
      </c>
      <c r="E103" t="s">
        <v>10</v>
      </c>
      <c r="F103" t="s">
        <v>11</v>
      </c>
      <c r="G103" t="s">
        <v>14</v>
      </c>
      <c r="H103">
        <v>75</v>
      </c>
    </row>
    <row r="104" spans="1:8" x14ac:dyDescent="0.25">
      <c r="A104" s="1">
        <v>44986</v>
      </c>
      <c r="B104" s="1">
        <v>45016</v>
      </c>
      <c r="C104" t="s">
        <v>8</v>
      </c>
      <c r="D104" t="s">
        <v>9</v>
      </c>
      <c r="E104" t="s">
        <v>10</v>
      </c>
      <c r="F104" t="s">
        <v>11</v>
      </c>
      <c r="G104" t="s">
        <v>16</v>
      </c>
      <c r="H104">
        <v>85.5</v>
      </c>
    </row>
    <row r="105" spans="1:8" x14ac:dyDescent="0.25">
      <c r="A105" s="1">
        <v>44986</v>
      </c>
      <c r="B105" s="1">
        <v>45016</v>
      </c>
      <c r="C105" t="s">
        <v>8</v>
      </c>
      <c r="D105" t="s">
        <v>20</v>
      </c>
      <c r="E105" t="s">
        <v>10</v>
      </c>
      <c r="F105" t="s">
        <v>21</v>
      </c>
      <c r="G105" t="s">
        <v>22</v>
      </c>
      <c r="H105">
        <v>120.5</v>
      </c>
    </row>
    <row r="106" spans="1:8" x14ac:dyDescent="0.25">
      <c r="A106" s="1">
        <v>44986</v>
      </c>
      <c r="B106" s="1">
        <v>45016</v>
      </c>
      <c r="C106" t="s">
        <v>8</v>
      </c>
      <c r="D106" t="s">
        <v>9</v>
      </c>
      <c r="E106" t="s">
        <v>93</v>
      </c>
      <c r="F106" t="s">
        <v>94</v>
      </c>
      <c r="G106" t="s">
        <v>101</v>
      </c>
      <c r="H106">
        <v>71</v>
      </c>
    </row>
    <row r="107" spans="1:8" x14ac:dyDescent="0.25">
      <c r="A107" s="1">
        <v>44986</v>
      </c>
      <c r="B107" s="1">
        <v>45016</v>
      </c>
      <c r="C107" t="s">
        <v>45</v>
      </c>
      <c r="D107" t="s">
        <v>46</v>
      </c>
      <c r="E107" t="s">
        <v>93</v>
      </c>
      <c r="F107" t="s">
        <v>87</v>
      </c>
      <c r="G107" t="s">
        <v>102</v>
      </c>
      <c r="H107">
        <v>15.543200000000002</v>
      </c>
    </row>
    <row r="108" spans="1:8" x14ac:dyDescent="0.25">
      <c r="A108" s="1">
        <v>44986</v>
      </c>
      <c r="B108" s="1">
        <v>45016</v>
      </c>
      <c r="C108" t="s">
        <v>85</v>
      </c>
      <c r="D108" t="s">
        <v>86</v>
      </c>
      <c r="E108" t="s">
        <v>93</v>
      </c>
      <c r="F108" t="s">
        <v>87</v>
      </c>
      <c r="G108" t="s">
        <v>102</v>
      </c>
      <c r="H108">
        <v>6.67</v>
      </c>
    </row>
    <row r="109" spans="1:8" x14ac:dyDescent="0.25">
      <c r="A109" s="1">
        <v>44986</v>
      </c>
      <c r="B109" s="1">
        <v>45016</v>
      </c>
      <c r="C109" t="s">
        <v>91</v>
      </c>
      <c r="D109" t="s">
        <v>91</v>
      </c>
      <c r="E109" t="s">
        <v>93</v>
      </c>
      <c r="F109" t="s">
        <v>87</v>
      </c>
      <c r="G109" t="s">
        <v>102</v>
      </c>
      <c r="H109">
        <v>8.7667999999999999</v>
      </c>
    </row>
    <row r="110" spans="1:8" x14ac:dyDescent="0.25">
      <c r="A110" s="1">
        <v>44986</v>
      </c>
      <c r="B110" s="1">
        <v>45016</v>
      </c>
      <c r="C110" t="s">
        <v>8</v>
      </c>
      <c r="D110" t="s">
        <v>20</v>
      </c>
      <c r="E110" t="s">
        <v>75</v>
      </c>
      <c r="F110" t="s">
        <v>81</v>
      </c>
      <c r="G110" t="s">
        <v>83</v>
      </c>
      <c r="H110">
        <f>33/2</f>
        <v>16.5</v>
      </c>
    </row>
    <row r="111" spans="1:8" x14ac:dyDescent="0.25">
      <c r="A111" s="1">
        <v>44986</v>
      </c>
      <c r="B111" s="1">
        <v>45016</v>
      </c>
      <c r="C111" t="s">
        <v>8</v>
      </c>
      <c r="D111" t="s">
        <v>20</v>
      </c>
      <c r="E111" t="s">
        <v>75</v>
      </c>
      <c r="F111" t="s">
        <v>81</v>
      </c>
      <c r="G111" t="s">
        <v>84</v>
      </c>
      <c r="H111">
        <f>33/2</f>
        <v>16.5</v>
      </c>
    </row>
    <row r="112" spans="1:8" x14ac:dyDescent="0.25">
      <c r="A112" s="1">
        <v>45017</v>
      </c>
      <c r="B112" s="1">
        <v>45046</v>
      </c>
      <c r="C112" t="s">
        <v>8</v>
      </c>
      <c r="D112" t="s">
        <v>9</v>
      </c>
      <c r="E112" t="s">
        <v>10</v>
      </c>
      <c r="F112" t="s">
        <v>11</v>
      </c>
      <c r="G112" t="s">
        <v>15</v>
      </c>
      <c r="H112">
        <v>166.5</v>
      </c>
    </row>
    <row r="113" spans="1:8" x14ac:dyDescent="0.25">
      <c r="A113" s="1">
        <v>45017</v>
      </c>
      <c r="B113" s="1">
        <v>45046</v>
      </c>
      <c r="C113" t="s">
        <v>8</v>
      </c>
      <c r="D113" t="s">
        <v>9</v>
      </c>
      <c r="E113" t="s">
        <v>10</v>
      </c>
      <c r="F113" t="s">
        <v>11</v>
      </c>
      <c r="G113" t="s">
        <v>18</v>
      </c>
      <c r="H113">
        <v>102</v>
      </c>
    </row>
    <row r="114" spans="1:8" x14ac:dyDescent="0.25">
      <c r="A114" s="1">
        <v>45017</v>
      </c>
      <c r="B114" s="1">
        <v>45046</v>
      </c>
      <c r="C114" t="s">
        <v>8</v>
      </c>
      <c r="D114" t="s">
        <v>9</v>
      </c>
      <c r="E114" t="s">
        <v>10</v>
      </c>
      <c r="F114" t="s">
        <v>11</v>
      </c>
      <c r="G114" t="s">
        <v>19</v>
      </c>
      <c r="H114">
        <v>89</v>
      </c>
    </row>
    <row r="115" spans="1:8" x14ac:dyDescent="0.25">
      <c r="A115" s="1">
        <v>45017</v>
      </c>
      <c r="B115" s="1">
        <v>45046</v>
      </c>
      <c r="C115" t="s">
        <v>8</v>
      </c>
      <c r="D115" t="s">
        <v>9</v>
      </c>
      <c r="E115" t="s">
        <v>10</v>
      </c>
      <c r="F115" t="s">
        <v>11</v>
      </c>
      <c r="G115" t="s">
        <v>17</v>
      </c>
      <c r="H115">
        <v>55.5</v>
      </c>
    </row>
    <row r="116" spans="1:8" x14ac:dyDescent="0.25">
      <c r="A116" s="1">
        <v>45017</v>
      </c>
      <c r="B116" s="1">
        <v>45046</v>
      </c>
      <c r="C116" t="s">
        <v>8</v>
      </c>
      <c r="D116" t="s">
        <v>9</v>
      </c>
      <c r="E116" t="s">
        <v>10</v>
      </c>
      <c r="F116" t="s">
        <v>11</v>
      </c>
      <c r="G116" t="s">
        <v>14</v>
      </c>
      <c r="H116">
        <v>76</v>
      </c>
    </row>
    <row r="117" spans="1:8" x14ac:dyDescent="0.25">
      <c r="A117" s="1">
        <v>45017</v>
      </c>
      <c r="B117" s="1">
        <v>45046</v>
      </c>
      <c r="C117" t="s">
        <v>8</v>
      </c>
      <c r="D117" t="s">
        <v>9</v>
      </c>
      <c r="E117" t="s">
        <v>10</v>
      </c>
      <c r="F117" t="s">
        <v>11</v>
      </c>
      <c r="G117" t="s">
        <v>16</v>
      </c>
      <c r="H117">
        <v>86</v>
      </c>
    </row>
    <row r="118" spans="1:8" x14ac:dyDescent="0.25">
      <c r="A118" s="1">
        <v>45017</v>
      </c>
      <c r="B118" s="1">
        <v>45046</v>
      </c>
      <c r="C118" t="s">
        <v>8</v>
      </c>
      <c r="D118" t="s">
        <v>20</v>
      </c>
      <c r="E118" t="s">
        <v>10</v>
      </c>
      <c r="F118" t="s">
        <v>21</v>
      </c>
      <c r="G118" t="s">
        <v>22</v>
      </c>
      <c r="H118">
        <v>122.5</v>
      </c>
    </row>
    <row r="119" spans="1:8" x14ac:dyDescent="0.25">
      <c r="A119" s="1">
        <v>45017</v>
      </c>
      <c r="B119" s="1">
        <v>45046</v>
      </c>
      <c r="C119" t="s">
        <v>8</v>
      </c>
      <c r="D119" t="s">
        <v>9</v>
      </c>
      <c r="E119" t="s">
        <v>93</v>
      </c>
      <c r="F119" t="s">
        <v>94</v>
      </c>
      <c r="G119" t="s">
        <v>101</v>
      </c>
      <c r="H119">
        <v>72</v>
      </c>
    </row>
    <row r="120" spans="1:8" x14ac:dyDescent="0.25">
      <c r="A120" s="1">
        <v>45017</v>
      </c>
      <c r="B120" s="1">
        <v>45046</v>
      </c>
      <c r="C120" t="s">
        <v>45</v>
      </c>
      <c r="D120" t="s">
        <v>46</v>
      </c>
      <c r="E120" t="s">
        <v>93</v>
      </c>
      <c r="F120" t="s">
        <v>87</v>
      </c>
      <c r="G120" t="s">
        <v>102</v>
      </c>
      <c r="H120">
        <v>15.926400000000005</v>
      </c>
    </row>
    <row r="121" spans="1:8" x14ac:dyDescent="0.25">
      <c r="A121" s="1">
        <v>45017</v>
      </c>
      <c r="B121" s="1">
        <v>45046</v>
      </c>
      <c r="C121" t="s">
        <v>85</v>
      </c>
      <c r="D121" t="s">
        <v>86</v>
      </c>
      <c r="E121" t="s">
        <v>93</v>
      </c>
      <c r="F121" t="s">
        <v>87</v>
      </c>
      <c r="G121" t="s">
        <v>102</v>
      </c>
      <c r="H121">
        <v>6.84</v>
      </c>
    </row>
    <row r="122" spans="1:8" x14ac:dyDescent="0.25">
      <c r="A122" s="1">
        <v>45017</v>
      </c>
      <c r="B122" s="1">
        <v>45046</v>
      </c>
      <c r="C122" t="s">
        <v>91</v>
      </c>
      <c r="D122" t="s">
        <v>91</v>
      </c>
      <c r="E122" t="s">
        <v>93</v>
      </c>
      <c r="F122" t="s">
        <v>87</v>
      </c>
      <c r="G122" t="s">
        <v>102</v>
      </c>
      <c r="H122">
        <v>9.2136000000000013</v>
      </c>
    </row>
    <row r="123" spans="1:8" x14ac:dyDescent="0.25">
      <c r="A123" s="1">
        <v>45017</v>
      </c>
      <c r="B123" s="1">
        <v>45046</v>
      </c>
      <c r="C123" t="s">
        <v>8</v>
      </c>
      <c r="D123" t="s">
        <v>20</v>
      </c>
      <c r="E123" t="s">
        <v>75</v>
      </c>
      <c r="F123" t="s">
        <v>81</v>
      </c>
      <c r="G123" t="s">
        <v>83</v>
      </c>
      <c r="H123">
        <f>35/2</f>
        <v>17.5</v>
      </c>
    </row>
    <row r="124" spans="1:8" x14ac:dyDescent="0.25">
      <c r="A124" s="1">
        <v>45017</v>
      </c>
      <c r="B124" s="1">
        <v>45046</v>
      </c>
      <c r="C124" t="s">
        <v>8</v>
      </c>
      <c r="D124" t="s">
        <v>20</v>
      </c>
      <c r="E124" t="s">
        <v>75</v>
      </c>
      <c r="F124" t="s">
        <v>81</v>
      </c>
      <c r="G124" t="s">
        <v>84</v>
      </c>
      <c r="H124">
        <f>35/2</f>
        <v>17.5</v>
      </c>
    </row>
    <row r="125" spans="1:8" x14ac:dyDescent="0.25">
      <c r="A125" s="1">
        <v>45047</v>
      </c>
      <c r="B125" s="1">
        <v>45077</v>
      </c>
      <c r="C125" t="s">
        <v>8</v>
      </c>
      <c r="D125" t="s">
        <v>9</v>
      </c>
      <c r="E125" t="s">
        <v>10</v>
      </c>
      <c r="F125" t="s">
        <v>11</v>
      </c>
      <c r="G125" t="s">
        <v>15</v>
      </c>
      <c r="H125">
        <v>167.5</v>
      </c>
    </row>
    <row r="126" spans="1:8" x14ac:dyDescent="0.25">
      <c r="A126" s="1">
        <v>45047</v>
      </c>
      <c r="B126" s="1">
        <v>45077</v>
      </c>
      <c r="C126" t="s">
        <v>8</v>
      </c>
      <c r="D126" t="s">
        <v>9</v>
      </c>
      <c r="E126" t="s">
        <v>10</v>
      </c>
      <c r="F126" t="s">
        <v>11</v>
      </c>
      <c r="G126" t="s">
        <v>18</v>
      </c>
      <c r="H126">
        <v>102.5</v>
      </c>
    </row>
    <row r="127" spans="1:8" x14ac:dyDescent="0.25">
      <c r="A127" s="1">
        <v>45047</v>
      </c>
      <c r="B127" s="1">
        <v>45077</v>
      </c>
      <c r="C127" t="s">
        <v>8</v>
      </c>
      <c r="D127" t="s">
        <v>9</v>
      </c>
      <c r="E127" t="s">
        <v>10</v>
      </c>
      <c r="F127" t="s">
        <v>11</v>
      </c>
      <c r="G127" t="s">
        <v>19</v>
      </c>
      <c r="H127">
        <v>90</v>
      </c>
    </row>
    <row r="128" spans="1:8" x14ac:dyDescent="0.25">
      <c r="A128" s="1">
        <v>45047</v>
      </c>
      <c r="B128" s="1">
        <v>45077</v>
      </c>
      <c r="C128" t="s">
        <v>8</v>
      </c>
      <c r="D128" t="s">
        <v>9</v>
      </c>
      <c r="E128" t="s">
        <v>10</v>
      </c>
      <c r="F128" t="s">
        <v>11</v>
      </c>
      <c r="G128" t="s">
        <v>17</v>
      </c>
      <c r="H128">
        <v>56</v>
      </c>
    </row>
    <row r="129" spans="1:8" x14ac:dyDescent="0.25">
      <c r="A129" s="1">
        <v>45047</v>
      </c>
      <c r="B129" s="1">
        <v>45077</v>
      </c>
      <c r="C129" t="s">
        <v>8</v>
      </c>
      <c r="D129" t="s">
        <v>9</v>
      </c>
      <c r="E129" t="s">
        <v>10</v>
      </c>
      <c r="F129" t="s">
        <v>11</v>
      </c>
      <c r="G129" t="s">
        <v>14</v>
      </c>
      <c r="H129">
        <v>77</v>
      </c>
    </row>
    <row r="130" spans="1:8" x14ac:dyDescent="0.25">
      <c r="A130" s="1">
        <v>45047</v>
      </c>
      <c r="B130" s="1">
        <v>45077</v>
      </c>
      <c r="C130" t="s">
        <v>8</v>
      </c>
      <c r="D130" t="s">
        <v>9</v>
      </c>
      <c r="E130" t="s">
        <v>10</v>
      </c>
      <c r="F130" t="s">
        <v>11</v>
      </c>
      <c r="G130" t="s">
        <v>16</v>
      </c>
      <c r="H130">
        <v>87</v>
      </c>
    </row>
    <row r="131" spans="1:8" x14ac:dyDescent="0.25">
      <c r="A131" s="1">
        <v>45047</v>
      </c>
      <c r="B131" s="1">
        <v>45077</v>
      </c>
      <c r="C131" t="s">
        <v>8</v>
      </c>
      <c r="D131" t="s">
        <v>20</v>
      </c>
      <c r="E131" t="s">
        <v>10</v>
      </c>
      <c r="F131" t="s">
        <v>21</v>
      </c>
      <c r="G131" t="s">
        <v>22</v>
      </c>
      <c r="H131">
        <v>126</v>
      </c>
    </row>
    <row r="132" spans="1:8" x14ac:dyDescent="0.25">
      <c r="A132" s="1">
        <v>45047</v>
      </c>
      <c r="B132" s="1">
        <v>45077</v>
      </c>
      <c r="C132" t="s">
        <v>8</v>
      </c>
      <c r="D132" t="s">
        <v>9</v>
      </c>
      <c r="E132" t="s">
        <v>93</v>
      </c>
      <c r="F132" t="s">
        <v>94</v>
      </c>
      <c r="G132" t="s">
        <v>101</v>
      </c>
      <c r="H132">
        <v>73</v>
      </c>
    </row>
    <row r="133" spans="1:8" x14ac:dyDescent="0.25">
      <c r="A133" s="1">
        <v>45047</v>
      </c>
      <c r="B133" s="1">
        <v>45077</v>
      </c>
      <c r="C133" t="s">
        <v>45</v>
      </c>
      <c r="D133" t="s">
        <v>46</v>
      </c>
      <c r="E133" t="s">
        <v>93</v>
      </c>
      <c r="F133" t="s">
        <v>87</v>
      </c>
      <c r="G133" t="s">
        <v>102</v>
      </c>
      <c r="H133">
        <v>16.309600000000003</v>
      </c>
    </row>
    <row r="134" spans="1:8" x14ac:dyDescent="0.25">
      <c r="A134" s="1">
        <v>45047</v>
      </c>
      <c r="B134" s="1">
        <v>45077</v>
      </c>
      <c r="C134" t="s">
        <v>85</v>
      </c>
      <c r="D134" t="s">
        <v>86</v>
      </c>
      <c r="E134" t="s">
        <v>93</v>
      </c>
      <c r="F134" t="s">
        <v>87</v>
      </c>
      <c r="G134" t="s">
        <v>102</v>
      </c>
      <c r="H134">
        <v>7.01</v>
      </c>
    </row>
    <row r="135" spans="1:8" x14ac:dyDescent="0.25">
      <c r="A135" s="1">
        <v>45047</v>
      </c>
      <c r="B135" s="1">
        <v>45077</v>
      </c>
      <c r="C135" t="s">
        <v>91</v>
      </c>
      <c r="D135" t="s">
        <v>91</v>
      </c>
      <c r="E135" t="s">
        <v>93</v>
      </c>
      <c r="F135" t="s">
        <v>87</v>
      </c>
      <c r="G135" t="s">
        <v>102</v>
      </c>
      <c r="H135">
        <v>9.6603999999999957</v>
      </c>
    </row>
    <row r="136" spans="1:8" x14ac:dyDescent="0.25">
      <c r="A136" s="1">
        <v>45047</v>
      </c>
      <c r="B136" s="1">
        <v>45077</v>
      </c>
      <c r="C136" t="s">
        <v>8</v>
      </c>
      <c r="D136" t="s">
        <v>20</v>
      </c>
      <c r="E136" t="s">
        <v>75</v>
      </c>
      <c r="F136" t="s">
        <v>81</v>
      </c>
      <c r="G136" t="s">
        <v>83</v>
      </c>
      <c r="H136">
        <f>37/2</f>
        <v>18.5</v>
      </c>
    </row>
    <row r="137" spans="1:8" x14ac:dyDescent="0.25">
      <c r="A137" s="1">
        <v>45047</v>
      </c>
      <c r="B137" s="1">
        <v>45077</v>
      </c>
      <c r="C137" t="s">
        <v>8</v>
      </c>
      <c r="D137" t="s">
        <v>20</v>
      </c>
      <c r="E137" t="s">
        <v>75</v>
      </c>
      <c r="F137" t="s">
        <v>81</v>
      </c>
      <c r="G137" t="s">
        <v>84</v>
      </c>
      <c r="H137">
        <f>37/2</f>
        <v>18.5</v>
      </c>
    </row>
    <row r="138" spans="1:8" x14ac:dyDescent="0.25">
      <c r="A138" s="1">
        <v>45078</v>
      </c>
      <c r="B138" s="1">
        <v>45107</v>
      </c>
      <c r="C138" t="s">
        <v>8</v>
      </c>
      <c r="D138" t="s">
        <v>9</v>
      </c>
      <c r="E138" t="s">
        <v>10</v>
      </c>
      <c r="F138" t="s">
        <v>11</v>
      </c>
      <c r="G138" t="s">
        <v>15</v>
      </c>
      <c r="H138">
        <v>168</v>
      </c>
    </row>
    <row r="139" spans="1:8" x14ac:dyDescent="0.25">
      <c r="A139" s="1">
        <v>45078</v>
      </c>
      <c r="B139" s="1">
        <v>45107</v>
      </c>
      <c r="C139" t="s">
        <v>8</v>
      </c>
      <c r="D139" t="s">
        <v>9</v>
      </c>
      <c r="E139" t="s">
        <v>10</v>
      </c>
      <c r="F139" t="s">
        <v>11</v>
      </c>
      <c r="G139" t="s">
        <v>18</v>
      </c>
      <c r="H139">
        <v>103</v>
      </c>
    </row>
    <row r="140" spans="1:8" x14ac:dyDescent="0.25">
      <c r="A140" s="1">
        <v>45078</v>
      </c>
      <c r="B140" s="1">
        <v>45107</v>
      </c>
      <c r="C140" t="s">
        <v>8</v>
      </c>
      <c r="D140" t="s">
        <v>9</v>
      </c>
      <c r="E140" t="s">
        <v>10</v>
      </c>
      <c r="F140" t="s">
        <v>11</v>
      </c>
      <c r="G140" t="s">
        <v>19</v>
      </c>
      <c r="H140">
        <v>90</v>
      </c>
    </row>
    <row r="141" spans="1:8" x14ac:dyDescent="0.25">
      <c r="A141" s="1">
        <v>45078</v>
      </c>
      <c r="B141" s="1">
        <v>45107</v>
      </c>
      <c r="C141" t="s">
        <v>8</v>
      </c>
      <c r="D141" t="s">
        <v>9</v>
      </c>
      <c r="E141" t="s">
        <v>10</v>
      </c>
      <c r="F141" t="s">
        <v>11</v>
      </c>
      <c r="G141" t="s">
        <v>17</v>
      </c>
      <c r="H141">
        <v>56.5</v>
      </c>
    </row>
    <row r="142" spans="1:8" x14ac:dyDescent="0.25">
      <c r="A142" s="1">
        <v>45078</v>
      </c>
      <c r="B142" s="1">
        <v>45107</v>
      </c>
      <c r="C142" t="s">
        <v>8</v>
      </c>
      <c r="D142" t="s">
        <v>9</v>
      </c>
      <c r="E142" t="s">
        <v>10</v>
      </c>
      <c r="F142" t="s">
        <v>11</v>
      </c>
      <c r="G142" t="s">
        <v>14</v>
      </c>
      <c r="H142">
        <v>77</v>
      </c>
    </row>
    <row r="143" spans="1:8" x14ac:dyDescent="0.25">
      <c r="A143" s="1">
        <v>45078</v>
      </c>
      <c r="B143" s="1">
        <v>45107</v>
      </c>
      <c r="C143" t="s">
        <v>8</v>
      </c>
      <c r="D143" t="s">
        <v>9</v>
      </c>
      <c r="E143" t="s">
        <v>10</v>
      </c>
      <c r="F143" t="s">
        <v>11</v>
      </c>
      <c r="G143" t="s">
        <v>16</v>
      </c>
      <c r="H143">
        <v>88.5</v>
      </c>
    </row>
    <row r="144" spans="1:8" x14ac:dyDescent="0.25">
      <c r="A144" s="1">
        <v>45078</v>
      </c>
      <c r="B144" s="1">
        <v>45107</v>
      </c>
      <c r="C144" t="s">
        <v>8</v>
      </c>
      <c r="D144" t="s">
        <v>20</v>
      </c>
      <c r="E144" t="s">
        <v>10</v>
      </c>
      <c r="F144" t="s">
        <v>21</v>
      </c>
      <c r="G144" t="s">
        <v>22</v>
      </c>
      <c r="H144">
        <v>127</v>
      </c>
    </row>
    <row r="145" spans="1:8" x14ac:dyDescent="0.25">
      <c r="A145" s="1">
        <v>45078</v>
      </c>
      <c r="B145" s="1">
        <v>45107</v>
      </c>
      <c r="C145" t="s">
        <v>8</v>
      </c>
      <c r="D145" t="s">
        <v>9</v>
      </c>
      <c r="E145" t="s">
        <v>93</v>
      </c>
      <c r="F145" t="s">
        <v>94</v>
      </c>
      <c r="G145" t="s">
        <v>101</v>
      </c>
      <c r="H145">
        <v>74</v>
      </c>
    </row>
    <row r="146" spans="1:8" x14ac:dyDescent="0.25">
      <c r="A146" s="1">
        <v>45078</v>
      </c>
      <c r="B146" s="1">
        <v>45107</v>
      </c>
      <c r="C146" t="s">
        <v>45</v>
      </c>
      <c r="D146" t="s">
        <v>46</v>
      </c>
      <c r="E146" t="s">
        <v>93</v>
      </c>
      <c r="F146" t="s">
        <v>87</v>
      </c>
      <c r="G146" t="s">
        <v>102</v>
      </c>
      <c r="H146">
        <v>16.692800000000002</v>
      </c>
    </row>
    <row r="147" spans="1:8" x14ac:dyDescent="0.25">
      <c r="A147" s="1">
        <v>45078</v>
      </c>
      <c r="B147" s="1">
        <v>45107</v>
      </c>
      <c r="C147" t="s">
        <v>85</v>
      </c>
      <c r="D147" t="s">
        <v>86</v>
      </c>
      <c r="E147" t="s">
        <v>93</v>
      </c>
      <c r="F147" t="s">
        <v>87</v>
      </c>
      <c r="G147" t="s">
        <v>102</v>
      </c>
      <c r="H147">
        <v>7.1799999999999988</v>
      </c>
    </row>
    <row r="148" spans="1:8" x14ac:dyDescent="0.25">
      <c r="A148" s="1">
        <v>45078</v>
      </c>
      <c r="B148" s="1">
        <v>45107</v>
      </c>
      <c r="C148" t="s">
        <v>91</v>
      </c>
      <c r="D148" t="s">
        <v>91</v>
      </c>
      <c r="E148" t="s">
        <v>93</v>
      </c>
      <c r="F148" t="s">
        <v>87</v>
      </c>
      <c r="G148" t="s">
        <v>102</v>
      </c>
      <c r="H148">
        <v>10.107199999999999</v>
      </c>
    </row>
    <row r="149" spans="1:8" x14ac:dyDescent="0.25">
      <c r="A149" s="1">
        <v>45078</v>
      </c>
      <c r="B149" s="1">
        <v>45107</v>
      </c>
      <c r="C149" t="s">
        <v>8</v>
      </c>
      <c r="D149" t="s">
        <v>20</v>
      </c>
      <c r="E149" t="s">
        <v>75</v>
      </c>
      <c r="F149" t="s">
        <v>81</v>
      </c>
      <c r="G149" t="s">
        <v>83</v>
      </c>
      <c r="H149">
        <f>37/2</f>
        <v>18.5</v>
      </c>
    </row>
    <row r="150" spans="1:8" x14ac:dyDescent="0.25">
      <c r="A150" s="1">
        <v>45078</v>
      </c>
      <c r="B150" s="1">
        <v>45107</v>
      </c>
      <c r="C150" t="s">
        <v>8</v>
      </c>
      <c r="D150" t="s">
        <v>20</v>
      </c>
      <c r="E150" t="s">
        <v>75</v>
      </c>
      <c r="F150" t="s">
        <v>81</v>
      </c>
      <c r="G150" t="s">
        <v>84</v>
      </c>
      <c r="H150">
        <f>37/2</f>
        <v>18.5</v>
      </c>
    </row>
    <row r="151" spans="1:8" x14ac:dyDescent="0.25">
      <c r="A151" s="1">
        <v>45108</v>
      </c>
      <c r="B151" s="1">
        <v>45138</v>
      </c>
      <c r="C151" t="s">
        <v>8</v>
      </c>
      <c r="D151" t="s">
        <v>9</v>
      </c>
      <c r="E151" t="s">
        <v>10</v>
      </c>
      <c r="F151" t="s">
        <v>11</v>
      </c>
      <c r="G151" t="s">
        <v>15</v>
      </c>
      <c r="H151">
        <v>168.5</v>
      </c>
    </row>
    <row r="152" spans="1:8" x14ac:dyDescent="0.25">
      <c r="A152" s="1">
        <v>45108</v>
      </c>
      <c r="B152" s="1">
        <v>45138</v>
      </c>
      <c r="C152" t="s">
        <v>8</v>
      </c>
      <c r="D152" t="s">
        <v>9</v>
      </c>
      <c r="E152" t="s">
        <v>10</v>
      </c>
      <c r="F152" t="s">
        <v>11</v>
      </c>
      <c r="G152" t="s">
        <v>18</v>
      </c>
      <c r="H152">
        <v>103.5</v>
      </c>
    </row>
    <row r="153" spans="1:8" x14ac:dyDescent="0.25">
      <c r="A153" s="1">
        <v>45108</v>
      </c>
      <c r="B153" s="1">
        <v>45138</v>
      </c>
      <c r="C153" t="s">
        <v>8</v>
      </c>
      <c r="D153" t="s">
        <v>9</v>
      </c>
      <c r="E153" t="s">
        <v>10</v>
      </c>
      <c r="F153" t="s">
        <v>11</v>
      </c>
      <c r="G153" t="s">
        <v>19</v>
      </c>
      <c r="H153">
        <v>90</v>
      </c>
    </row>
    <row r="154" spans="1:8" x14ac:dyDescent="0.25">
      <c r="A154" s="1">
        <v>45108</v>
      </c>
      <c r="B154" s="1">
        <v>45138</v>
      </c>
      <c r="C154" t="s">
        <v>8</v>
      </c>
      <c r="D154" t="s">
        <v>9</v>
      </c>
      <c r="E154" t="s">
        <v>10</v>
      </c>
      <c r="F154" t="s">
        <v>11</v>
      </c>
      <c r="G154" t="s">
        <v>17</v>
      </c>
      <c r="H154">
        <v>57</v>
      </c>
    </row>
    <row r="155" spans="1:8" x14ac:dyDescent="0.25">
      <c r="A155" s="1">
        <v>45108</v>
      </c>
      <c r="B155" s="1">
        <v>45138</v>
      </c>
      <c r="C155" t="s">
        <v>8</v>
      </c>
      <c r="D155" t="s">
        <v>9</v>
      </c>
      <c r="E155" t="s">
        <v>10</v>
      </c>
      <c r="F155" t="s">
        <v>11</v>
      </c>
      <c r="G155" t="s">
        <v>14</v>
      </c>
      <c r="H155">
        <v>77</v>
      </c>
    </row>
    <row r="156" spans="1:8" x14ac:dyDescent="0.25">
      <c r="A156" s="1">
        <v>45108</v>
      </c>
      <c r="B156" s="1">
        <v>45138</v>
      </c>
      <c r="C156" t="s">
        <v>8</v>
      </c>
      <c r="D156" t="s">
        <v>9</v>
      </c>
      <c r="E156" t="s">
        <v>10</v>
      </c>
      <c r="F156" t="s">
        <v>11</v>
      </c>
      <c r="G156" t="s">
        <v>16</v>
      </c>
      <c r="H156">
        <v>89.5</v>
      </c>
    </row>
    <row r="157" spans="1:8" x14ac:dyDescent="0.25">
      <c r="A157" s="1">
        <v>45108</v>
      </c>
      <c r="B157" s="1">
        <v>45138</v>
      </c>
      <c r="C157" t="s">
        <v>8</v>
      </c>
      <c r="D157" t="s">
        <v>20</v>
      </c>
      <c r="E157" t="s">
        <v>10</v>
      </c>
      <c r="F157" t="s">
        <v>21</v>
      </c>
      <c r="G157" t="s">
        <v>22</v>
      </c>
      <c r="H157">
        <v>128</v>
      </c>
    </row>
    <row r="158" spans="1:8" x14ac:dyDescent="0.25">
      <c r="A158" s="1">
        <v>45108</v>
      </c>
      <c r="B158" s="1">
        <v>45138</v>
      </c>
      <c r="C158" t="s">
        <v>8</v>
      </c>
      <c r="D158" t="s">
        <v>9</v>
      </c>
      <c r="E158" t="s">
        <v>93</v>
      </c>
      <c r="F158" t="s">
        <v>94</v>
      </c>
      <c r="G158" t="s">
        <v>101</v>
      </c>
      <c r="H158">
        <v>75</v>
      </c>
    </row>
    <row r="159" spans="1:8" x14ac:dyDescent="0.25">
      <c r="A159" s="1">
        <v>45108</v>
      </c>
      <c r="B159" s="1">
        <v>45138</v>
      </c>
      <c r="C159" t="s">
        <v>45</v>
      </c>
      <c r="D159" t="s">
        <v>46</v>
      </c>
      <c r="E159" t="s">
        <v>93</v>
      </c>
      <c r="F159" t="s">
        <v>87</v>
      </c>
      <c r="G159" t="s">
        <v>102</v>
      </c>
      <c r="H159">
        <v>17.076000000000001</v>
      </c>
    </row>
    <row r="160" spans="1:8" x14ac:dyDescent="0.25">
      <c r="A160" s="1">
        <v>45108</v>
      </c>
      <c r="B160" s="1">
        <v>45138</v>
      </c>
      <c r="C160" t="s">
        <v>85</v>
      </c>
      <c r="D160" t="s">
        <v>86</v>
      </c>
      <c r="E160" t="s">
        <v>93</v>
      </c>
      <c r="F160" t="s">
        <v>87</v>
      </c>
      <c r="G160" t="s">
        <v>102</v>
      </c>
      <c r="H160">
        <v>7.35</v>
      </c>
    </row>
    <row r="161" spans="1:8" x14ac:dyDescent="0.25">
      <c r="A161" s="1">
        <v>45108</v>
      </c>
      <c r="B161" s="1">
        <v>45138</v>
      </c>
      <c r="C161" t="s">
        <v>91</v>
      </c>
      <c r="D161" t="s">
        <v>91</v>
      </c>
      <c r="E161" t="s">
        <v>93</v>
      </c>
      <c r="F161" t="s">
        <v>87</v>
      </c>
      <c r="G161" t="s">
        <v>102</v>
      </c>
      <c r="H161">
        <v>10.553999999999998</v>
      </c>
    </row>
    <row r="162" spans="1:8" x14ac:dyDescent="0.25">
      <c r="A162" s="1">
        <v>45108</v>
      </c>
      <c r="B162" s="1">
        <v>45138</v>
      </c>
      <c r="C162" t="s">
        <v>8</v>
      </c>
      <c r="D162" t="s">
        <v>20</v>
      </c>
      <c r="E162" t="s">
        <v>75</v>
      </c>
      <c r="F162" t="s">
        <v>81</v>
      </c>
      <c r="G162" t="s">
        <v>83</v>
      </c>
      <c r="H162">
        <f>38/2</f>
        <v>19</v>
      </c>
    </row>
    <row r="163" spans="1:8" x14ac:dyDescent="0.25">
      <c r="A163" s="1">
        <v>45108</v>
      </c>
      <c r="B163" s="1">
        <v>45138</v>
      </c>
      <c r="C163" t="s">
        <v>8</v>
      </c>
      <c r="D163" t="s">
        <v>20</v>
      </c>
      <c r="E163" t="s">
        <v>75</v>
      </c>
      <c r="F163" t="s">
        <v>81</v>
      </c>
      <c r="G163" t="s">
        <v>84</v>
      </c>
      <c r="H163">
        <f>38/2</f>
        <v>19</v>
      </c>
    </row>
    <row r="164" spans="1:8" x14ac:dyDescent="0.25">
      <c r="A164" s="1">
        <v>45139</v>
      </c>
      <c r="B164" s="1">
        <v>45169</v>
      </c>
      <c r="C164" t="s">
        <v>8</v>
      </c>
      <c r="D164" t="s">
        <v>9</v>
      </c>
      <c r="E164" t="s">
        <v>10</v>
      </c>
      <c r="F164" t="s">
        <v>11</v>
      </c>
      <c r="G164" t="s">
        <v>15</v>
      </c>
      <c r="H164">
        <v>169</v>
      </c>
    </row>
    <row r="165" spans="1:8" x14ac:dyDescent="0.25">
      <c r="A165" s="1">
        <v>45139</v>
      </c>
      <c r="B165" s="1">
        <v>45169</v>
      </c>
      <c r="C165" t="s">
        <v>8</v>
      </c>
      <c r="D165" t="s">
        <v>9</v>
      </c>
      <c r="E165" t="s">
        <v>10</v>
      </c>
      <c r="F165" t="s">
        <v>11</v>
      </c>
      <c r="G165" t="s">
        <v>18</v>
      </c>
      <c r="H165">
        <v>103.5</v>
      </c>
    </row>
    <row r="166" spans="1:8" x14ac:dyDescent="0.25">
      <c r="A166" s="1">
        <v>45139</v>
      </c>
      <c r="B166" s="1">
        <v>45169</v>
      </c>
      <c r="C166" t="s">
        <v>8</v>
      </c>
      <c r="D166" t="s">
        <v>9</v>
      </c>
      <c r="E166" t="s">
        <v>10</v>
      </c>
      <c r="F166" t="s">
        <v>11</v>
      </c>
      <c r="G166" t="s">
        <v>19</v>
      </c>
      <c r="H166">
        <v>90</v>
      </c>
    </row>
    <row r="167" spans="1:8" x14ac:dyDescent="0.25">
      <c r="A167" s="1">
        <v>45139</v>
      </c>
      <c r="B167" s="1">
        <v>45169</v>
      </c>
      <c r="C167" t="s">
        <v>8</v>
      </c>
      <c r="D167" t="s">
        <v>9</v>
      </c>
      <c r="E167" t="s">
        <v>10</v>
      </c>
      <c r="F167" t="s">
        <v>11</v>
      </c>
      <c r="G167" t="s">
        <v>17</v>
      </c>
      <c r="H167">
        <v>57.5</v>
      </c>
    </row>
    <row r="168" spans="1:8" x14ac:dyDescent="0.25">
      <c r="A168" s="1">
        <v>45139</v>
      </c>
      <c r="B168" s="1">
        <v>45169</v>
      </c>
      <c r="C168" t="s">
        <v>8</v>
      </c>
      <c r="D168" t="s">
        <v>9</v>
      </c>
      <c r="E168" t="s">
        <v>10</v>
      </c>
      <c r="F168" t="s">
        <v>11</v>
      </c>
      <c r="G168" t="s">
        <v>14</v>
      </c>
      <c r="H168">
        <v>77</v>
      </c>
    </row>
    <row r="169" spans="1:8" x14ac:dyDescent="0.25">
      <c r="A169" s="1">
        <v>45139</v>
      </c>
      <c r="B169" s="1">
        <v>45169</v>
      </c>
      <c r="C169" t="s">
        <v>8</v>
      </c>
      <c r="D169" t="s">
        <v>9</v>
      </c>
      <c r="E169" t="s">
        <v>10</v>
      </c>
      <c r="F169" t="s">
        <v>11</v>
      </c>
      <c r="G169" t="s">
        <v>16</v>
      </c>
      <c r="H169">
        <v>90</v>
      </c>
    </row>
    <row r="170" spans="1:8" x14ac:dyDescent="0.25">
      <c r="A170" s="1">
        <v>45139</v>
      </c>
      <c r="B170" s="1">
        <v>45169</v>
      </c>
      <c r="C170" t="s">
        <v>8</v>
      </c>
      <c r="D170" t="s">
        <v>20</v>
      </c>
      <c r="E170" t="s">
        <v>10</v>
      </c>
      <c r="F170" t="s">
        <v>21</v>
      </c>
      <c r="G170" t="s">
        <v>22</v>
      </c>
      <c r="H170">
        <v>127</v>
      </c>
    </row>
    <row r="171" spans="1:8" x14ac:dyDescent="0.25">
      <c r="A171" s="1">
        <v>45139</v>
      </c>
      <c r="B171" s="1">
        <v>45169</v>
      </c>
      <c r="C171" t="s">
        <v>8</v>
      </c>
      <c r="D171" t="s">
        <v>9</v>
      </c>
      <c r="E171" t="s">
        <v>93</v>
      </c>
      <c r="F171" t="s">
        <v>94</v>
      </c>
      <c r="G171" t="s">
        <v>101</v>
      </c>
      <c r="H171">
        <v>75</v>
      </c>
    </row>
    <row r="172" spans="1:8" x14ac:dyDescent="0.25">
      <c r="A172" s="1">
        <v>45139</v>
      </c>
      <c r="B172" s="1">
        <v>45169</v>
      </c>
      <c r="C172" t="s">
        <v>45</v>
      </c>
      <c r="D172" t="s">
        <v>46</v>
      </c>
      <c r="E172" t="s">
        <v>93</v>
      </c>
      <c r="F172" t="s">
        <v>87</v>
      </c>
      <c r="G172" t="s">
        <v>102</v>
      </c>
      <c r="H172">
        <v>17.459200000000003</v>
      </c>
    </row>
    <row r="173" spans="1:8" x14ac:dyDescent="0.25">
      <c r="A173" s="1">
        <v>45139</v>
      </c>
      <c r="B173" s="1">
        <v>45169</v>
      </c>
      <c r="C173" t="s">
        <v>85</v>
      </c>
      <c r="D173" t="s">
        <v>86</v>
      </c>
      <c r="E173" t="s">
        <v>93</v>
      </c>
      <c r="F173" t="s">
        <v>87</v>
      </c>
      <c r="G173" t="s">
        <v>102</v>
      </c>
      <c r="H173">
        <v>7.52</v>
      </c>
    </row>
    <row r="174" spans="1:8" x14ac:dyDescent="0.25">
      <c r="A174" s="1">
        <v>45139</v>
      </c>
      <c r="B174" s="1">
        <v>45169</v>
      </c>
      <c r="C174" t="s">
        <v>91</v>
      </c>
      <c r="D174" t="s">
        <v>91</v>
      </c>
      <c r="E174" t="s">
        <v>93</v>
      </c>
      <c r="F174" t="s">
        <v>87</v>
      </c>
      <c r="G174" t="s">
        <v>102</v>
      </c>
      <c r="H174">
        <v>11.000799999999996</v>
      </c>
    </row>
    <row r="175" spans="1:8" x14ac:dyDescent="0.25">
      <c r="A175" s="1">
        <v>45139</v>
      </c>
      <c r="B175" s="1">
        <v>45169</v>
      </c>
      <c r="C175" t="s">
        <v>8</v>
      </c>
      <c r="D175" t="s">
        <v>20</v>
      </c>
      <c r="E175" t="s">
        <v>75</v>
      </c>
      <c r="F175" t="s">
        <v>81</v>
      </c>
      <c r="G175" t="s">
        <v>83</v>
      </c>
      <c r="H175">
        <f>38/2</f>
        <v>19</v>
      </c>
    </row>
    <row r="176" spans="1:8" x14ac:dyDescent="0.25">
      <c r="A176" s="1">
        <v>45139</v>
      </c>
      <c r="B176" s="1">
        <v>45169</v>
      </c>
      <c r="C176" t="s">
        <v>8</v>
      </c>
      <c r="D176" t="s">
        <v>20</v>
      </c>
      <c r="E176" t="s">
        <v>75</v>
      </c>
      <c r="F176" t="s">
        <v>81</v>
      </c>
      <c r="G176" t="s">
        <v>84</v>
      </c>
      <c r="H176">
        <f>38/2</f>
        <v>19</v>
      </c>
    </row>
    <row r="177" spans="1:8" x14ac:dyDescent="0.25">
      <c r="A177" s="1">
        <v>45170</v>
      </c>
      <c r="B177" s="1">
        <v>45199</v>
      </c>
      <c r="C177" t="s">
        <v>8</v>
      </c>
      <c r="D177" t="s">
        <v>9</v>
      </c>
      <c r="E177" t="s">
        <v>10</v>
      </c>
      <c r="F177" t="s">
        <v>11</v>
      </c>
      <c r="G177" t="s">
        <v>15</v>
      </c>
      <c r="H177">
        <v>170</v>
      </c>
    </row>
    <row r="178" spans="1:8" x14ac:dyDescent="0.25">
      <c r="A178" s="1">
        <v>45170</v>
      </c>
      <c r="B178" s="1">
        <v>45199</v>
      </c>
      <c r="C178" t="s">
        <v>8</v>
      </c>
      <c r="D178" t="s">
        <v>9</v>
      </c>
      <c r="E178" t="s">
        <v>10</v>
      </c>
      <c r="F178" t="s">
        <v>11</v>
      </c>
      <c r="G178" t="s">
        <v>18</v>
      </c>
      <c r="H178">
        <v>103.5</v>
      </c>
    </row>
    <row r="179" spans="1:8" x14ac:dyDescent="0.25">
      <c r="A179" s="1">
        <v>45170</v>
      </c>
      <c r="B179" s="1">
        <v>45199</v>
      </c>
      <c r="C179" t="s">
        <v>8</v>
      </c>
      <c r="D179" t="s">
        <v>9</v>
      </c>
      <c r="E179" t="s">
        <v>10</v>
      </c>
      <c r="F179" t="s">
        <v>11</v>
      </c>
      <c r="G179" t="s">
        <v>19</v>
      </c>
      <c r="H179">
        <v>92</v>
      </c>
    </row>
    <row r="180" spans="1:8" x14ac:dyDescent="0.25">
      <c r="A180" s="1">
        <v>45170</v>
      </c>
      <c r="B180" s="1">
        <v>45199</v>
      </c>
      <c r="C180" t="s">
        <v>8</v>
      </c>
      <c r="D180" t="s">
        <v>9</v>
      </c>
      <c r="E180" t="s">
        <v>10</v>
      </c>
      <c r="F180" t="s">
        <v>11</v>
      </c>
      <c r="G180" t="s">
        <v>17</v>
      </c>
      <c r="H180">
        <v>58</v>
      </c>
    </row>
    <row r="181" spans="1:8" x14ac:dyDescent="0.25">
      <c r="A181" s="1">
        <v>45170</v>
      </c>
      <c r="B181" s="1">
        <v>45199</v>
      </c>
      <c r="C181" t="s">
        <v>8</v>
      </c>
      <c r="D181" t="s">
        <v>9</v>
      </c>
      <c r="E181" t="s">
        <v>10</v>
      </c>
      <c r="F181" t="s">
        <v>11</v>
      </c>
      <c r="G181" t="s">
        <v>14</v>
      </c>
      <c r="H181">
        <v>78</v>
      </c>
    </row>
    <row r="182" spans="1:8" x14ac:dyDescent="0.25">
      <c r="A182" s="1">
        <v>45170</v>
      </c>
      <c r="B182" s="1">
        <v>45199</v>
      </c>
      <c r="C182" t="s">
        <v>8</v>
      </c>
      <c r="D182" t="s">
        <v>9</v>
      </c>
      <c r="E182" t="s">
        <v>10</v>
      </c>
      <c r="F182" t="s">
        <v>11</v>
      </c>
      <c r="G182" t="s">
        <v>16</v>
      </c>
      <c r="H182">
        <v>90.5</v>
      </c>
    </row>
    <row r="183" spans="1:8" x14ac:dyDescent="0.25">
      <c r="A183" s="1">
        <v>45170</v>
      </c>
      <c r="B183" s="1">
        <v>45199</v>
      </c>
      <c r="C183" t="s">
        <v>8</v>
      </c>
      <c r="D183" t="s">
        <v>20</v>
      </c>
      <c r="E183" t="s">
        <v>10</v>
      </c>
      <c r="F183" t="s">
        <v>21</v>
      </c>
      <c r="G183" t="s">
        <v>22</v>
      </c>
      <c r="H183">
        <v>128</v>
      </c>
    </row>
    <row r="184" spans="1:8" x14ac:dyDescent="0.25">
      <c r="A184" s="1">
        <v>45170</v>
      </c>
      <c r="B184" s="1">
        <v>45199</v>
      </c>
      <c r="C184" t="s">
        <v>8</v>
      </c>
      <c r="D184" t="s">
        <v>9</v>
      </c>
      <c r="E184" t="s">
        <v>93</v>
      </c>
      <c r="F184" t="s">
        <v>94</v>
      </c>
      <c r="G184" t="s">
        <v>101</v>
      </c>
      <c r="H184">
        <v>75</v>
      </c>
    </row>
    <row r="185" spans="1:8" x14ac:dyDescent="0.25">
      <c r="A185" s="1">
        <v>45170</v>
      </c>
      <c r="B185" s="1">
        <v>45199</v>
      </c>
      <c r="C185" t="s">
        <v>45</v>
      </c>
      <c r="D185" t="s">
        <v>46</v>
      </c>
      <c r="E185" t="s">
        <v>93</v>
      </c>
      <c r="F185" t="s">
        <v>87</v>
      </c>
      <c r="G185" t="s">
        <v>102</v>
      </c>
      <c r="H185">
        <v>17.842400000000001</v>
      </c>
    </row>
    <row r="186" spans="1:8" x14ac:dyDescent="0.25">
      <c r="A186" s="1">
        <v>45170</v>
      </c>
      <c r="B186" s="1">
        <v>45199</v>
      </c>
      <c r="C186" t="s">
        <v>85</v>
      </c>
      <c r="D186" t="s">
        <v>86</v>
      </c>
      <c r="E186" t="s">
        <v>93</v>
      </c>
      <c r="F186" t="s">
        <v>87</v>
      </c>
      <c r="G186" t="s">
        <v>102</v>
      </c>
      <c r="H186">
        <v>7.6899999999999995</v>
      </c>
    </row>
    <row r="187" spans="1:8" x14ac:dyDescent="0.25">
      <c r="A187" s="1">
        <v>45170</v>
      </c>
      <c r="B187" s="1">
        <v>45199</v>
      </c>
      <c r="C187" t="s">
        <v>91</v>
      </c>
      <c r="D187" t="s">
        <v>91</v>
      </c>
      <c r="E187" t="s">
        <v>93</v>
      </c>
      <c r="F187" t="s">
        <v>87</v>
      </c>
      <c r="G187" t="s">
        <v>102</v>
      </c>
      <c r="H187">
        <v>11.447599999999998</v>
      </c>
    </row>
    <row r="188" spans="1:8" x14ac:dyDescent="0.25">
      <c r="A188" s="1">
        <v>45170</v>
      </c>
      <c r="B188" s="1">
        <v>45199</v>
      </c>
      <c r="C188" t="s">
        <v>8</v>
      </c>
      <c r="D188" t="s">
        <v>20</v>
      </c>
      <c r="E188" t="s">
        <v>75</v>
      </c>
      <c r="F188" t="s">
        <v>81</v>
      </c>
      <c r="G188" t="s">
        <v>83</v>
      </c>
      <c r="H188">
        <f>40/2</f>
        <v>20</v>
      </c>
    </row>
    <row r="189" spans="1:8" x14ac:dyDescent="0.25">
      <c r="A189" s="1">
        <v>45170</v>
      </c>
      <c r="B189" s="1">
        <v>45199</v>
      </c>
      <c r="C189" t="s">
        <v>8</v>
      </c>
      <c r="D189" t="s">
        <v>20</v>
      </c>
      <c r="E189" t="s">
        <v>75</v>
      </c>
      <c r="F189" t="s">
        <v>81</v>
      </c>
      <c r="G189" t="s">
        <v>84</v>
      </c>
      <c r="H189">
        <f>40/2</f>
        <v>20</v>
      </c>
    </row>
    <row r="190" spans="1:8" x14ac:dyDescent="0.25">
      <c r="A190" s="1">
        <v>45200</v>
      </c>
      <c r="B190" s="1">
        <v>45230</v>
      </c>
      <c r="C190" t="s">
        <v>8</v>
      </c>
      <c r="D190" t="s">
        <v>9</v>
      </c>
      <c r="E190" t="s">
        <v>10</v>
      </c>
      <c r="F190" t="s">
        <v>11</v>
      </c>
      <c r="G190" t="s">
        <v>15</v>
      </c>
      <c r="H190">
        <v>171</v>
      </c>
    </row>
    <row r="191" spans="1:8" x14ac:dyDescent="0.25">
      <c r="A191" s="1">
        <v>45200</v>
      </c>
      <c r="B191" s="1">
        <v>45230</v>
      </c>
      <c r="C191" t="s">
        <v>8</v>
      </c>
      <c r="D191" t="s">
        <v>9</v>
      </c>
      <c r="E191" t="s">
        <v>10</v>
      </c>
      <c r="F191" t="s">
        <v>11</v>
      </c>
      <c r="G191" t="s">
        <v>18</v>
      </c>
      <c r="H191">
        <v>104</v>
      </c>
    </row>
    <row r="192" spans="1:8" x14ac:dyDescent="0.25">
      <c r="A192" s="1">
        <v>45200</v>
      </c>
      <c r="B192" s="1">
        <v>45230</v>
      </c>
      <c r="C192" t="s">
        <v>8</v>
      </c>
      <c r="D192" t="s">
        <v>9</v>
      </c>
      <c r="E192" t="s">
        <v>10</v>
      </c>
      <c r="F192" t="s">
        <v>11</v>
      </c>
      <c r="G192" t="s">
        <v>19</v>
      </c>
      <c r="H192">
        <v>93</v>
      </c>
    </row>
    <row r="193" spans="1:8" x14ac:dyDescent="0.25">
      <c r="A193" s="1">
        <v>45200</v>
      </c>
      <c r="B193" s="1">
        <v>45230</v>
      </c>
      <c r="C193" t="s">
        <v>8</v>
      </c>
      <c r="D193" t="s">
        <v>9</v>
      </c>
      <c r="E193" t="s">
        <v>10</v>
      </c>
      <c r="F193" t="s">
        <v>11</v>
      </c>
      <c r="G193" t="s">
        <v>17</v>
      </c>
      <c r="H193">
        <v>58</v>
      </c>
    </row>
    <row r="194" spans="1:8" x14ac:dyDescent="0.25">
      <c r="A194" s="1">
        <v>45200</v>
      </c>
      <c r="B194" s="1">
        <v>45230</v>
      </c>
      <c r="C194" t="s">
        <v>8</v>
      </c>
      <c r="D194" t="s">
        <v>9</v>
      </c>
      <c r="E194" t="s">
        <v>10</v>
      </c>
      <c r="F194" t="s">
        <v>11</v>
      </c>
      <c r="G194" t="s">
        <v>14</v>
      </c>
      <c r="H194">
        <v>79</v>
      </c>
    </row>
    <row r="195" spans="1:8" x14ac:dyDescent="0.25">
      <c r="A195" s="1">
        <v>45200</v>
      </c>
      <c r="B195" s="1">
        <v>45230</v>
      </c>
      <c r="C195" t="s">
        <v>8</v>
      </c>
      <c r="D195" t="s">
        <v>9</v>
      </c>
      <c r="E195" t="s">
        <v>10</v>
      </c>
      <c r="F195" t="s">
        <v>11</v>
      </c>
      <c r="G195" t="s">
        <v>16</v>
      </c>
      <c r="H195">
        <v>91.5</v>
      </c>
    </row>
    <row r="196" spans="1:8" x14ac:dyDescent="0.25">
      <c r="A196" s="1">
        <v>45200</v>
      </c>
      <c r="B196" s="1">
        <v>45230</v>
      </c>
      <c r="C196" t="s">
        <v>8</v>
      </c>
      <c r="D196" t="s">
        <v>20</v>
      </c>
      <c r="E196" t="s">
        <v>10</v>
      </c>
      <c r="F196" t="s">
        <v>21</v>
      </c>
      <c r="G196" t="s">
        <v>22</v>
      </c>
      <c r="H196">
        <v>129</v>
      </c>
    </row>
    <row r="197" spans="1:8" x14ac:dyDescent="0.25">
      <c r="A197" s="1">
        <v>45200</v>
      </c>
      <c r="B197" s="1">
        <v>45230</v>
      </c>
      <c r="C197" t="s">
        <v>8</v>
      </c>
      <c r="D197" t="s">
        <v>9</v>
      </c>
      <c r="E197" t="s">
        <v>93</v>
      </c>
      <c r="F197" t="s">
        <v>94</v>
      </c>
      <c r="G197" t="s">
        <v>101</v>
      </c>
      <c r="H197">
        <v>75</v>
      </c>
    </row>
    <row r="198" spans="1:8" x14ac:dyDescent="0.25">
      <c r="A198" s="1">
        <v>45200</v>
      </c>
      <c r="B198" s="1">
        <v>45230</v>
      </c>
      <c r="C198" t="s">
        <v>45</v>
      </c>
      <c r="D198" t="s">
        <v>46</v>
      </c>
      <c r="E198" t="s">
        <v>93</v>
      </c>
      <c r="F198" t="s">
        <v>87</v>
      </c>
      <c r="G198" t="s">
        <v>102</v>
      </c>
      <c r="H198">
        <v>18.225600000000004</v>
      </c>
    </row>
    <row r="199" spans="1:8" x14ac:dyDescent="0.25">
      <c r="A199" s="1">
        <v>45200</v>
      </c>
      <c r="B199" s="1">
        <v>45230</v>
      </c>
      <c r="C199" t="s">
        <v>85</v>
      </c>
      <c r="D199" t="s">
        <v>86</v>
      </c>
      <c r="E199" t="s">
        <v>93</v>
      </c>
      <c r="F199" t="s">
        <v>87</v>
      </c>
      <c r="G199" t="s">
        <v>102</v>
      </c>
      <c r="H199">
        <v>7.8599999999999985</v>
      </c>
    </row>
    <row r="200" spans="1:8" x14ac:dyDescent="0.25">
      <c r="A200" s="1">
        <v>45200</v>
      </c>
      <c r="B200" s="1">
        <v>45230</v>
      </c>
      <c r="C200" t="s">
        <v>91</v>
      </c>
      <c r="D200" t="s">
        <v>91</v>
      </c>
      <c r="E200" t="s">
        <v>93</v>
      </c>
      <c r="F200" t="s">
        <v>87</v>
      </c>
      <c r="G200" t="s">
        <v>102</v>
      </c>
      <c r="H200">
        <v>11.894399999999997</v>
      </c>
    </row>
    <row r="201" spans="1:8" x14ac:dyDescent="0.25">
      <c r="A201" s="1">
        <v>45200</v>
      </c>
      <c r="B201" s="1">
        <v>45230</v>
      </c>
      <c r="C201" t="s">
        <v>8</v>
      </c>
      <c r="D201" t="s">
        <v>20</v>
      </c>
      <c r="E201" t="s">
        <v>75</v>
      </c>
      <c r="F201" t="s">
        <v>81</v>
      </c>
      <c r="G201" t="s">
        <v>83</v>
      </c>
      <c r="H201">
        <f>40/2</f>
        <v>20</v>
      </c>
    </row>
    <row r="202" spans="1:8" x14ac:dyDescent="0.25">
      <c r="A202" s="1">
        <v>45200</v>
      </c>
      <c r="B202" s="1">
        <v>45230</v>
      </c>
      <c r="C202" t="s">
        <v>8</v>
      </c>
      <c r="D202" t="s">
        <v>20</v>
      </c>
      <c r="E202" t="s">
        <v>75</v>
      </c>
      <c r="F202" t="s">
        <v>81</v>
      </c>
      <c r="G202" t="s">
        <v>84</v>
      </c>
      <c r="H202">
        <f>40/2</f>
        <v>20</v>
      </c>
    </row>
    <row r="203" spans="1:8" x14ac:dyDescent="0.25">
      <c r="A203" s="1">
        <v>45231</v>
      </c>
      <c r="B203" s="1">
        <v>45260</v>
      </c>
      <c r="C203" t="s">
        <v>8</v>
      </c>
      <c r="D203" t="s">
        <v>9</v>
      </c>
      <c r="E203" t="s">
        <v>10</v>
      </c>
      <c r="F203" t="s">
        <v>11</v>
      </c>
      <c r="G203" t="s">
        <v>15</v>
      </c>
      <c r="H203">
        <v>171.5</v>
      </c>
    </row>
    <row r="204" spans="1:8" x14ac:dyDescent="0.25">
      <c r="A204" s="1">
        <v>45231</v>
      </c>
      <c r="B204" s="1">
        <v>45260</v>
      </c>
      <c r="C204" t="s">
        <v>8</v>
      </c>
      <c r="D204" t="s">
        <v>9</v>
      </c>
      <c r="E204" t="s">
        <v>10</v>
      </c>
      <c r="F204" t="s">
        <v>11</v>
      </c>
      <c r="G204" t="s">
        <v>18</v>
      </c>
      <c r="H204">
        <v>104.5</v>
      </c>
    </row>
    <row r="205" spans="1:8" x14ac:dyDescent="0.25">
      <c r="A205" s="1">
        <v>45231</v>
      </c>
      <c r="B205" s="1">
        <v>45260</v>
      </c>
      <c r="C205" t="s">
        <v>8</v>
      </c>
      <c r="D205" t="s">
        <v>9</v>
      </c>
      <c r="E205" t="s">
        <v>10</v>
      </c>
      <c r="F205" t="s">
        <v>11</v>
      </c>
      <c r="G205" t="s">
        <v>19</v>
      </c>
      <c r="H205">
        <v>93</v>
      </c>
    </row>
    <row r="206" spans="1:8" x14ac:dyDescent="0.25">
      <c r="A206" s="1">
        <v>45231</v>
      </c>
      <c r="B206" s="1">
        <v>45260</v>
      </c>
      <c r="C206" t="s">
        <v>8</v>
      </c>
      <c r="D206" t="s">
        <v>9</v>
      </c>
      <c r="E206" t="s">
        <v>10</v>
      </c>
      <c r="F206" t="s">
        <v>11</v>
      </c>
      <c r="G206" t="s">
        <v>17</v>
      </c>
      <c r="H206">
        <v>58.5</v>
      </c>
    </row>
    <row r="207" spans="1:8" x14ac:dyDescent="0.25">
      <c r="A207" s="1">
        <v>45231</v>
      </c>
      <c r="B207" s="1">
        <v>45260</v>
      </c>
      <c r="C207" t="s">
        <v>8</v>
      </c>
      <c r="D207" t="s">
        <v>9</v>
      </c>
      <c r="E207" t="s">
        <v>10</v>
      </c>
      <c r="F207" t="s">
        <v>11</v>
      </c>
      <c r="G207" t="s">
        <v>14</v>
      </c>
      <c r="H207">
        <v>79</v>
      </c>
    </row>
    <row r="208" spans="1:8" x14ac:dyDescent="0.25">
      <c r="A208" s="1">
        <v>45231</v>
      </c>
      <c r="B208" s="1">
        <v>45260</v>
      </c>
      <c r="C208" t="s">
        <v>8</v>
      </c>
      <c r="D208" t="s">
        <v>9</v>
      </c>
      <c r="E208" t="s">
        <v>10</v>
      </c>
      <c r="F208" t="s">
        <v>11</v>
      </c>
      <c r="G208" t="s">
        <v>16</v>
      </c>
      <c r="H208">
        <v>92</v>
      </c>
    </row>
    <row r="209" spans="1:8" x14ac:dyDescent="0.25">
      <c r="A209" s="1">
        <v>45231</v>
      </c>
      <c r="B209" s="1">
        <v>45260</v>
      </c>
      <c r="C209" t="s">
        <v>8</v>
      </c>
      <c r="D209" t="s">
        <v>20</v>
      </c>
      <c r="E209" t="s">
        <v>10</v>
      </c>
      <c r="F209" t="s">
        <v>21</v>
      </c>
      <c r="G209" t="s">
        <v>22</v>
      </c>
      <c r="H209">
        <v>129</v>
      </c>
    </row>
    <row r="210" spans="1:8" x14ac:dyDescent="0.25">
      <c r="A210" s="1">
        <v>45231</v>
      </c>
      <c r="B210" s="1">
        <v>45260</v>
      </c>
      <c r="C210" t="s">
        <v>8</v>
      </c>
      <c r="D210" t="s">
        <v>9</v>
      </c>
      <c r="E210" t="s">
        <v>93</v>
      </c>
      <c r="F210" t="s">
        <v>94</v>
      </c>
      <c r="G210" t="s">
        <v>101</v>
      </c>
      <c r="H210">
        <v>75</v>
      </c>
    </row>
    <row r="211" spans="1:8" x14ac:dyDescent="0.25">
      <c r="A211" s="1">
        <v>45231</v>
      </c>
      <c r="B211" s="1">
        <v>45260</v>
      </c>
      <c r="C211" t="s">
        <v>45</v>
      </c>
      <c r="D211" t="s">
        <v>46</v>
      </c>
      <c r="E211" t="s">
        <v>93</v>
      </c>
      <c r="F211" t="s">
        <v>87</v>
      </c>
      <c r="G211" t="s">
        <v>102</v>
      </c>
      <c r="H211">
        <v>18.608800000000006</v>
      </c>
    </row>
    <row r="212" spans="1:8" x14ac:dyDescent="0.25">
      <c r="A212" s="1">
        <v>45231</v>
      </c>
      <c r="B212" s="1">
        <v>45260</v>
      </c>
      <c r="C212" t="s">
        <v>85</v>
      </c>
      <c r="D212" t="s">
        <v>86</v>
      </c>
      <c r="E212" t="s">
        <v>93</v>
      </c>
      <c r="F212" t="s">
        <v>87</v>
      </c>
      <c r="G212" t="s">
        <v>102</v>
      </c>
      <c r="H212">
        <v>8.0299999999999994</v>
      </c>
    </row>
    <row r="213" spans="1:8" x14ac:dyDescent="0.25">
      <c r="A213" s="1">
        <v>45231</v>
      </c>
      <c r="B213" s="1">
        <v>45260</v>
      </c>
      <c r="C213" t="s">
        <v>91</v>
      </c>
      <c r="D213" t="s">
        <v>91</v>
      </c>
      <c r="E213" t="s">
        <v>93</v>
      </c>
      <c r="F213" t="s">
        <v>87</v>
      </c>
      <c r="G213" t="s">
        <v>102</v>
      </c>
      <c r="H213">
        <v>12.341199999999999</v>
      </c>
    </row>
    <row r="214" spans="1:8" x14ac:dyDescent="0.25">
      <c r="A214" s="1">
        <v>45231</v>
      </c>
      <c r="B214" s="1">
        <v>45260</v>
      </c>
      <c r="C214" t="s">
        <v>8</v>
      </c>
      <c r="D214" t="s">
        <v>20</v>
      </c>
      <c r="E214" t="s">
        <v>75</v>
      </c>
      <c r="F214" t="s">
        <v>81</v>
      </c>
      <c r="G214" t="s">
        <v>83</v>
      </c>
      <c r="H214">
        <f>41/2</f>
        <v>20.5</v>
      </c>
    </row>
    <row r="215" spans="1:8" x14ac:dyDescent="0.25">
      <c r="A215" s="1">
        <v>45231</v>
      </c>
      <c r="B215" s="1">
        <v>45260</v>
      </c>
      <c r="C215" t="s">
        <v>8</v>
      </c>
      <c r="D215" t="s">
        <v>20</v>
      </c>
      <c r="E215" t="s">
        <v>75</v>
      </c>
      <c r="F215" t="s">
        <v>81</v>
      </c>
      <c r="G215" t="s">
        <v>84</v>
      </c>
      <c r="H215">
        <f>41/2</f>
        <v>20.5</v>
      </c>
    </row>
    <row r="216" spans="1:8" x14ac:dyDescent="0.25">
      <c r="A216" s="1">
        <v>45261</v>
      </c>
      <c r="B216" s="1">
        <v>45291</v>
      </c>
      <c r="C216" t="s">
        <v>8</v>
      </c>
      <c r="D216" t="s">
        <v>9</v>
      </c>
      <c r="E216" t="s">
        <v>10</v>
      </c>
      <c r="F216" t="s">
        <v>11</v>
      </c>
      <c r="G216" t="s">
        <v>15</v>
      </c>
      <c r="H216">
        <v>172</v>
      </c>
    </row>
    <row r="217" spans="1:8" x14ac:dyDescent="0.25">
      <c r="A217" s="1">
        <v>45261</v>
      </c>
      <c r="B217" s="1">
        <v>45291</v>
      </c>
      <c r="C217" t="s">
        <v>8</v>
      </c>
      <c r="D217" t="s">
        <v>9</v>
      </c>
      <c r="E217" t="s">
        <v>10</v>
      </c>
      <c r="F217" t="s">
        <v>11</v>
      </c>
      <c r="G217" t="s">
        <v>18</v>
      </c>
      <c r="H217">
        <v>105</v>
      </c>
    </row>
    <row r="218" spans="1:8" x14ac:dyDescent="0.25">
      <c r="A218" s="1">
        <v>45261</v>
      </c>
      <c r="B218" s="1">
        <v>45291</v>
      </c>
      <c r="C218" t="s">
        <v>8</v>
      </c>
      <c r="D218" t="s">
        <v>9</v>
      </c>
      <c r="E218" t="s">
        <v>10</v>
      </c>
      <c r="F218" t="s">
        <v>11</v>
      </c>
      <c r="G218" t="s">
        <v>19</v>
      </c>
      <c r="H218">
        <v>93</v>
      </c>
    </row>
    <row r="219" spans="1:8" x14ac:dyDescent="0.25">
      <c r="A219" s="1">
        <v>45261</v>
      </c>
      <c r="B219" s="1">
        <v>45291</v>
      </c>
      <c r="C219" t="s">
        <v>8</v>
      </c>
      <c r="D219" t="s">
        <v>9</v>
      </c>
      <c r="E219" t="s">
        <v>10</v>
      </c>
      <c r="F219" t="s">
        <v>11</v>
      </c>
      <c r="G219" t="s">
        <v>17</v>
      </c>
      <c r="H219">
        <v>59</v>
      </c>
    </row>
    <row r="220" spans="1:8" x14ac:dyDescent="0.25">
      <c r="A220" s="1">
        <v>45261</v>
      </c>
      <c r="B220" s="1">
        <v>45291</v>
      </c>
      <c r="C220" t="s">
        <v>8</v>
      </c>
      <c r="D220" t="s">
        <v>9</v>
      </c>
      <c r="E220" t="s">
        <v>10</v>
      </c>
      <c r="F220" t="s">
        <v>11</v>
      </c>
      <c r="G220" t="s">
        <v>14</v>
      </c>
      <c r="H220">
        <v>79</v>
      </c>
    </row>
    <row r="221" spans="1:8" x14ac:dyDescent="0.25">
      <c r="A221" s="1">
        <v>45261</v>
      </c>
      <c r="B221" s="1">
        <v>45291</v>
      </c>
      <c r="C221" t="s">
        <v>8</v>
      </c>
      <c r="D221" t="s">
        <v>9</v>
      </c>
      <c r="E221" t="s">
        <v>10</v>
      </c>
      <c r="F221" t="s">
        <v>11</v>
      </c>
      <c r="G221" t="s">
        <v>16</v>
      </c>
      <c r="H221">
        <v>92</v>
      </c>
    </row>
    <row r="222" spans="1:8" x14ac:dyDescent="0.25">
      <c r="A222" s="1">
        <v>45261</v>
      </c>
      <c r="B222" s="1">
        <v>45291</v>
      </c>
      <c r="C222" t="s">
        <v>8</v>
      </c>
      <c r="D222" t="s">
        <v>20</v>
      </c>
      <c r="E222" t="s">
        <v>10</v>
      </c>
      <c r="F222" t="s">
        <v>21</v>
      </c>
      <c r="G222" t="s">
        <v>22</v>
      </c>
      <c r="H222">
        <v>129</v>
      </c>
    </row>
    <row r="223" spans="1:8" x14ac:dyDescent="0.25">
      <c r="A223" s="1">
        <v>45261</v>
      </c>
      <c r="B223" s="1">
        <v>45291</v>
      </c>
      <c r="C223" t="s">
        <v>8</v>
      </c>
      <c r="D223" t="s">
        <v>9</v>
      </c>
      <c r="E223" t="s">
        <v>93</v>
      </c>
      <c r="F223" t="s">
        <v>94</v>
      </c>
      <c r="G223" t="s">
        <v>101</v>
      </c>
      <c r="H223">
        <v>75</v>
      </c>
    </row>
    <row r="224" spans="1:8" x14ac:dyDescent="0.25">
      <c r="A224" s="1">
        <v>45261</v>
      </c>
      <c r="B224" s="1">
        <v>45291</v>
      </c>
      <c r="C224" t="s">
        <v>45</v>
      </c>
      <c r="D224" t="s">
        <v>46</v>
      </c>
      <c r="E224" t="s">
        <v>93</v>
      </c>
      <c r="F224" t="s">
        <v>87</v>
      </c>
      <c r="G224" t="s">
        <v>102</v>
      </c>
      <c r="H224">
        <v>18.608800000000002</v>
      </c>
    </row>
    <row r="225" spans="1:8" x14ac:dyDescent="0.25">
      <c r="A225" s="1">
        <v>45261</v>
      </c>
      <c r="B225" s="1">
        <v>45291</v>
      </c>
      <c r="C225" t="s">
        <v>85</v>
      </c>
      <c r="D225" t="s">
        <v>86</v>
      </c>
      <c r="E225" t="s">
        <v>93</v>
      </c>
      <c r="F225" t="s">
        <v>87</v>
      </c>
      <c r="G225" t="s">
        <v>102</v>
      </c>
      <c r="H225">
        <v>8.0299999999999994</v>
      </c>
    </row>
    <row r="226" spans="1:8" x14ac:dyDescent="0.25">
      <c r="A226" s="1">
        <v>45261</v>
      </c>
      <c r="B226" s="1">
        <v>45291</v>
      </c>
      <c r="C226" t="s">
        <v>91</v>
      </c>
      <c r="D226" t="s">
        <v>91</v>
      </c>
      <c r="E226" t="s">
        <v>93</v>
      </c>
      <c r="F226" t="s">
        <v>87</v>
      </c>
      <c r="G226" t="s">
        <v>102</v>
      </c>
      <c r="H226">
        <v>12.341200000000001</v>
      </c>
    </row>
    <row r="227" spans="1:8" x14ac:dyDescent="0.25">
      <c r="A227" s="1">
        <v>45261</v>
      </c>
      <c r="B227" s="1">
        <v>45291</v>
      </c>
      <c r="C227" t="s">
        <v>8</v>
      </c>
      <c r="D227" t="s">
        <v>20</v>
      </c>
      <c r="E227" t="s">
        <v>75</v>
      </c>
      <c r="F227" t="s">
        <v>81</v>
      </c>
      <c r="G227" t="s">
        <v>83</v>
      </c>
      <c r="H227">
        <f>42/2</f>
        <v>21</v>
      </c>
    </row>
    <row r="228" spans="1:8" x14ac:dyDescent="0.25">
      <c r="A228" s="1">
        <v>45261</v>
      </c>
      <c r="B228" s="1">
        <v>45291</v>
      </c>
      <c r="C228" t="s">
        <v>8</v>
      </c>
      <c r="D228" t="s">
        <v>20</v>
      </c>
      <c r="E228" t="s">
        <v>75</v>
      </c>
      <c r="F228" t="s">
        <v>81</v>
      </c>
      <c r="G228" t="s">
        <v>84</v>
      </c>
      <c r="H228">
        <f>42/2</f>
        <v>21</v>
      </c>
    </row>
  </sheetData>
  <autoFilter ref="A2:H228" xr:uid="{00000000-0001-0000-0000-000000000000}"/>
  <sortState xmlns:xlrd2="http://schemas.microsoft.com/office/spreadsheetml/2017/richdata2" ref="A3:H228">
    <sortCondition ref="A3:A2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AdaptiveCompressedXml id="84221d58753744f490dc604bd307e526">H4sIAAAAAAAEAO19W49cR5LeuwH/B4LvscpLZETGgqPFWDMGBHhmF6vZB/stL5EWYYoSSNo7A8P/3ZEtDdVqdQ+T9smaYvEIQrO7rqfqi4iM+OL24p/+/N2rZ/9L37x9+f3r3zz3/+Ce/9OX//E/vPjmW9V3z77uv3meMQTfUwZOkQFxIIjrDchh7dGxpkDPn/2xfKe/ef7PX8E3f/zPz/7lDy///Oy3r9uz35W/vH1uL/fs2Yu38wV/p+Pl65fv7K3e3t1qt7/RH75/8+6bX97705129w/lzbu37/98//h/sZvvrq7GUf3QBhlLAEwxQu3SwA10En2vWvzze8+3V/gv37fyizf56faX/dm7v/xgn8I+zhcP72z66tVve3+jb98+e/P9v//muXv+rH3/6n9+Z18aPvL4/6F/+dK/+GL+84s3/+LRd3/R3rx8p29elocvo6/0O3397hvDovTygz1mfujw/MHj5tW/fvuuvG76q3vu3WdX3O3z/fab//Rv//pfv/rnP/zh3/749Z++/v03/tcfYF7qky/518t6+9ibtfJKX/fy5vc/PubZS7vg6Ow//+ur/sUTvu5fenvYiy/u3fDoEyZKz+ylX777y5/uAMuPXf/8BA+u5bHH6L3LDJ4e+Woff0956j31ifd6f8/Db+39HYbyA2F5RCxefPGzBvwNvSCXE0buEIkVkKlDHqYXrdROEqRiT7v1Ij2hF+HUi/d64U+9uKheoHN1SBEoLBUwj2bnRc2QiZLa8UHd6W69eOzxUyHiqRfv9SKcenFRvaiVM1KK0DKbXrQuYEdEgOg0R9I6nITdesFP6AWeevFeL+KpFxfVCxmhDEkD7CuNgI4K5FoYBtpxUdljarJbLx6B5U4v0qkX7/UCT724qF5klz1yjZDMYwKMI4OEwZCDj5lJLbzou/Xika/oTi/o1Iv3epFOvbioXpTiRymtgkY//aiEULR2cFJ7YO5oru1uvfDuCcXgUzHeKwadinFRxWi1IcY+FYPMkersoCSLvlVjGFWJtW4nav0jcnWnGPlUjPeKwadiXFQxOvnWqDjo3dH0pAKYA+WAmBhTqkHzdqbWhycUQ07FeK8Y+VSMy1K1MafhagXuvdiJgQg5tgKu+9A7UZMxtitGfCq3507NeK8ZcmrGZX0pShqxOoiUGDA3Ml8qVWg+eva5dryAL/Vk1vtMe7/XDH+mvS98ZqAfPvkOofAArFUgl46gUiM7KmT3bdeMp/Le/kx8/6wZZ+L7sprhek9VRCC5OsOMpFAaC9jZzXUMRvZui2bQz5rxFC/lP8/M9y8kLfogq6L26FX8LVF78GaZV9/pEYT/9jtdVqijSy3n2qBWDYAoEWrMA4J4br1rLi1uEWpeEOrPM239QKjTsv08hfqvKQQe9r8oDDVHBlNXEDPPgMoNm/YeQt0i1HlBqD/PnPNDoY6nUP9845JQM4kWZIYcs1lqbuZ5lB4gmfkmLpqw7QlZZUGoP8+E8UOhxlOof75xrTioJR3cCCia54GD4mxDyJPEl+yZWsh7LLV3C1L9eWZ7H0p1OqX65xuXpHqYqQ4uNOgUTJZdM6PNLYJPknlokeT28O4zPftBqf48U7UPpZpOqf75xrVQsRO5QB1id+ZLx4ggsz9mNDPTgp41b5LqsCDVn2ee9e9GgHgJy3Hplct19Zz8bMrMocwYkRBqkmJ+diEniWulPbzeTI1+SK7D55kl/btxIDck18wlVhIxez0cIBJDaT2C1JoCUk449pTFzMTmB+X688xx/t1okBuSa4nBqUOF7ooH5FihcizmXVcZiXIJjvbIdVqQ688zQ/l3Y0JuSK5ZU2VChlhnQwgOc0FKLeBybareO9I9mXe/kGAMZ4LxolzIDcm1C93HOKvVM7rZAChQu2fzQ2J1nInG2JNi9As5xnDmGC/KhtyQXMeqkaOaV63ULG5MaCLNDAm9xsTdKe9pbPULacZwphkvy4fEZVf+ysV6sFnnMgiYcwKU1icxIpCoocgo2B5+q0eJ9UKiMZyJxsvSITcj1p1QuOZojnXnOc6JQEIX6N5lkkZEvMcLCQuZxnBmGi/LhtyMWKtIKzlmcNSHyXZjqIMVWqHhuDfyac80prCQagxnqvGyZMjNiDWWEKZzPQdlivnW6kAGdiBXOLN3NLDsEeuFXGM4c42X5UJuRqy9D9HFWEFUTazROShSG4QmsUmpmnWTWC+kGuOZarwsFXIzYs3mSNfeG2iQAHPaMRTSYCa7MbvYe3loLI4S64VMYzwzjZdlQvhWCp6cTvn1BKpz4ErzDYpnBEmFhYIPzvEesV5INMYz0XhZJuRmxDrniuw8ghNsJtbVQXU5gfM9JEcJhXGPWC/kGeOZZ7wsE3IzYq2ePMeZV6SUAYfMkLEy5OHLyL0lrHvKQsJCmjGeacbLMiE3I9ZUMVJgAsmjAtqfUDAQFG2utz7rU/ekY8JCljGeWcbLMiG3I9YldtQeQYsSoGCAan41RI4jhN5G2lScGhayjPHMMl6WCbkZse7EGLr51nmuxMDsM+Q6J56n2JxGrbXsIfjiQpYxnlnGizIhUfKNiLWJdPLdV2jYLGQctZpbXRv4PlLOwzXse2Yyx4UsYzyzjBdlQm5HrGsN2ikqpBgQsEqBml0A9dgietd+dTAdJdYLWcZ4ZhkvyoTcjlh3oabND2gShlnrYiFjQA9czFL7rpIfDo47SqwXsox4ZhkvyoTcjliP2LiSI2CPHaaFBmleoMc6UrUwkjjvEeuFLCOeWcaLMiG3I9aayWvJBDHM7cB37THeIbjiM5kcaHVtj1gvZBnxzDJelAm5HbEu4l1CHhBzMyfEjw65o0Iplb0LqnmXWC9kGdPphFy2JsTlp0YVf2pyHRNGX0qB5tTk2g2LGXUMKMLMPpq11j3EdVxIM6bTC7lsUcjtyHWWQkE5gwWJ5l3XuxSjiXlg31qMg2LbUxUSF/KM6XRDLlsVcjtyPeyzoLnYUPPk+FyaA66xQpteiA88WPZMmIwLicZ0VjtdtizkduS6Jh3NhwYyG8+RsIAITeGuTZOdgVn22GtcyDSms9zpsnUhtyPXJaXWR45AoeEcc01Q2SHEMorvOXX3cKHIUXK9kGpMZ73TZQtDbkeuY+WcClWwHwkwVQfShKFXCoGcy6p7pqfeI6+fWjiG6SNyja9K1VcPX+Wd/vndl//b/Z8XX9z99uDeu6f8TsfL1y/n6/109aZkv1CAO8TdI3owH/7o4qLFFUJ2UY+9wosvHlzXg4//8IOuVrahonRy0MVPh3OOXexFYUj0eRSKtB/op/ZnIX0E8XUC/beBTq1mkaQgngiwWXhRW++QqvRGqWGte/JR94B+7PE/Av0RTNAJ9IfWqPZhOBOEEWfXLmeoygF8EbundAm4Z0DwPaD5SaA/gho5gf4AV4AuO1QHrc5tQTVmKM1FEBrBc8dW8p5a+3tAP7J47yegP4IrOIH+QPBMrM2FCpxaAMyuQS4jWSzdUxoZU5I9FTL3gH7ka/gJ6I8Ink+gPzBwoXsNJQ0g7g0wmtWW3CuMIei71Ixx+xntn0yu00eEkyfSH5gKbV6Ykkvgx5zi3/MA02gPnX3mWoi07Wn/u4/0I/HuT0h/REfJifQHAiwJ0YJoD7lH0+k+MkjyAbqSitbETNtP6bmS5AmkP6LJ4kT6A5wJucHYBIjizLWzQE0JoVtUrSEUGnG74z2XdDyB9Ef0HZxIf8Ahm3NGu3jQNmf6E3bIjdMcTOBrnCXLcRPrew/pJ+kxOumxw5BuogMjzi3aQwFTQ8i5CrRGPZUxCpb95/ST/Bif/NhhSPMolSdj4nsQwNKmR+YUmoVb3lMYKe2x3mmB8eZb4cce4QsuDfQYWRzdAZ14EqEDqhlsyOpqcuafcdjT9JoWGG++FX7sCoCWUirRIEhJeBKhbP6YL0CaJHY3Wg17bHdaYLz5VvixKwDaaXMOUwYvwdyx1vo03RZndXZELsfG2zX6Scabb4UfuwqgQy6jBIulLYJG3w3jMDOWooW7Z5f6nvHRaYHx5luhx64A6FRqzy1G6IJlLrl0UBizOeA+K8cizu/JSqcFxptvhR27BqBryIje2xk95pZebSBI5norh6ABHZU9kXRaYbz5VtixK0CazNNmN7od0jJ50FTmHsQMjCoUmngThe1IP8l4862wY1eAdHIlcksIKY4BWJGgtJKAI3mJIQQf99T6phXGm2+FHbsCpCXGEcOc8WeOGZjdNn/Mtwiu1469D4dh+zH9NOOdb4UduwKk+/COU4lQRzOHLOVgv81lzdlRE/U5lu2e99OMdz7pscOQDlxq05whYJjntNNZ+VssmEbSpgV1U2ddWmG888mPHcd4Fza17WQ2O0XAXIvZ8Tggm4PmmnRz1PbQJvda3p88pvPV8GOPlPR/DNBPtDZcNF2ZS5DqyM7lYEFWFoumQ1RAr4niXC4X9wwO4xWgr4Yf+/SB5pEbBhToswcJY2uQo4VcpWsvmVWZ93T75xWgr4Yf+/SB9i0JlmYhlps7IkOYtQdzPQKnXLq54B73AC0rQF8NP/bpA41ZLZT2Aq3HYBpNDmoJHZir0vBi/+zxu71bQfpq+LFPH2kKgqJdQLBWQHOAQFzNMFyNPecgPvY9SPsVpK+GH/v0kcY4qwEz/+SOaTOdJs7QB/shlKrftKjJhwWk5WpYk08f6YJ5BFcIQh/04+6iEufOOR8aZ689j006HVeQvhrW5NNHOnvvfGECPzew4d06QeYGdWj3hTjxptnMHleQvhrW5NNH2olmP8cVu+gdmLk0kJtLMJoj+6Kx4KZVID6tIH3SJgfSJtGlbCD71idt0jLUmob9llgopxx1T+eGXyHI5ORNDsxjjRHMToOdyRZOc4hQ8/B3xLcMbKPVTVHWCkMmJ3FynE5HZu2Yobls1rupgTxGBE3UzfGmUNwmj2yFIpMznj4MaR1BWowM1SJnwOgrlC4dfMxFNXUefk+9iV/hyOSMp49D2uUyZNb7hpmbjiwgZfLfneYohNoG77HeYYUjk6upN/n0kW5ieoxVoUfOYL9EyIQEOSnpSGk43qPTYYEjS+5kTo7LZGEvrRUEP5JONtTO6ZAZeFDFSkTeb1pmvsCRJXcyJ8exodxCrBZg5WoBFrZoURbn2apDnnqvGDYtawsLHFlyJ3Ny3DmNPmjrMlvjDenpgFdxkyhTL6p+DIl7kF7gyJI74+njeG9fWk6JITQ/59iQgUzV3LLg84heW4t7tmmEBY4suTOePgzpOKMpKRFcazNryTPDkRuoZ82++pLKnnnlYYEjS+6sRDiuLjTkTqXPNX1pIi0EtZtOU4updwuva91kvRc4suRO5uTA4iKlnr0HpdznYc1QtDtTcZTaOrWxqS40LHBkyZ3MyXEemY+tO8kgsddZRuahzFnARJXTkBZc2BRlLXBkyZ3MyXG8d5WEfk7/dW5mLeN0xjqB49awa3QubVqyusCRJX/G08ed0+qyudezyGRuRipz/C+hKbYrWYlFkDdtRlrhyPwZTx/HnJiRTkgVHM4Ns0USSEFnx7ajMAdi1LaH944rHJk/KxGOY0O5ly6VALlaPK1DobaSzRVvXREN6byHI4srHJk/mZPDkB7e7DRqAp7FglgbQcERoaVaAlXB3vbkp+MKR+ZP5uQ4jmx2WWpVSN3rzGUVECZzxXOI5o+lgX6TR7bCkfmTOTkya8noS4GOLQKmPiBzQsglNnJ5dE576sjiCkcWTp0+sFuHiYNZ7zHHzqGYbyZTu90ILL12M+GbtkivcGTh1OnjOLI4EKuPUJHcrC7yUFU7jCI+N4nF4q7t+2efRvpkQ4+r9zYjzakK1O4n710MaRoCOcWck+aQ0p4ZJ3GFIwsnG3pcD4dFUn7GVtFUGNA1NmfMvPA6ghYdSUfdw3vjCkcWTjb0uF7LOEpHM9fe99knr3ZOD3EQOHFA6tn5TVO9VziyeNaRHWe9uzC6MIDKHB/JnqHMaSfiho8ULdjeNHXunuv91ICqFK+G9v7/HGZzFUA7zHWOLRozPT18gTL38ubWx6C5fFr2jG/nFaCvhvW+AaAbUWJG02hRwOZmfqObe5a5xeo79bTH884rQF8N6f3pA82u59AEIVad63RChaxYIQaKLbJg3LQ4SVaAvhrO+9MHunG2kLmb+9W5AFJSi6XR3HAtVQpxTH1PZdH9GSdPI301/Ninj7RICoFShojJzwrgabbJQ4wVseUuuqsny68gfTX82KeP9HS4Rkhz8kUynZ7Di2otDJ1ElaKTtmnk3P0ZJ08jfTWsyaePdAzFZ3YOLKaek2EjQzYHDUrGTK74LnlPBfD9GSdPI301rMmnjzTOHStU7WBOkzXJeYAF1wzSugmAWXONmyZf4ALSeDWsyaePtGsSyWMELjUDSpoT3M31To5HT2J346ZzOq0gfdImx+WxlELwmkydx121oIfMEkHNGYs+eTPuezKWfoUgw5M3Oc73bi01bGwBVp1d8iXPJVn2p6ttmF/uku7JbvgVhgxP4uS4eDq4wpTbXKIz42mUab0deCzUhhbhC8w4eRrpM54+DunICSUoEM+5VFQCyAgNKKC4Il1C3FND5lc4Mjzj6QP7LKn3XDvkOG22J/O9SwqQdJg/VoPIprrQsMKR4dXUm3z6SHfNyp3MBZPqf9qI5poDblznbHeLtjf1Tq9wZHgyJ8fVm1BoGbXAIJ7TioKDnJyH6hyzi75Q2tRRu8KR4cmcHBdlZWbTXoutqpszTnqDXGqcGWqKg7QVtyc5HVY4snQyJ8ed0z4HxmBIh2jxNHaC4qUBp55Qnd1Lm87pFY4snfH0cWxobBh4Fv+GJHP33Zzcnxyk6kOhKK3KpqlzKxxZOuPp4zp1vA+592RIzxa8NJetpDFgTgztfSjyrmk2KxxZOisRjis5kWhPNN+7zbV3GE2nS8gREnXvuoaUZU/JSVjhyNLJnByGdBBXUuoZelM7pwfR7J3OUJr4UkaJwpvO6RWOLJ3MyXHWW6oE54P5YTQXZLm5QckT5GiuN3aVTpum2axwZOlkTo6rOek6glMCljBrTqRD9mHACKg+9Sop7Imn4wpHls54+jCkB/k66tx319gDSq9QnNg5nS3Awrkxq2zqyVrhyOiMpw9DOg0tpTZT4mxBNRZCsOM5QREfWzW8fdyE9ApHRmclwoFsqC+Io4PF1XPvdIsgUQVCRMbmJ/u9p7oornBkdDInB+p0c9LzLELAyZz8OB02gctUcm0l7WJO4gpHRidzclyfZefmRRGSoANMVKBMBxyDZyYXQtNNc4tWODI6mZPjKhESl9aJoboxZ3vPzdOVMqioHdfce9m00zKucGR86vRxGY7U7TQcBOojmgOO5pHlVKByHCO7FndVDMYVjoxPnT4uyqqZguY59GLWhqY57aRhgKBOWy3YS9wUT69wZHyyocf53o1LLn7MXWhlzi0iQ3oWJsyZF93raGFPD0dc4cj4ZEMPbKotTkgi4Ji7pwubTo84oPncMCbNnvdEWbjCkfHJhh6GtBnoGGt2kH0Zc09t+nGS5OCmwzdHcVMdGa5wZHzWkR2X4WCOMizAKqV5wK4Ewq1CRLtZRxSKezIc91zvR76Gn4C+Fdr7kW/k0kD30T2iMrgQLYg2Sw6VzAkPmrrMqrKyaWQoLwCdb4X1vgKgnYiXVjMM6s2O6llFZuE0jKGehJqkvKcOIa8AfSuk9xUAXV13I6UEaCZ8tuoUyM2CrRJK8RZhOdqUyJIVoG+F874CoHuSkJUzhDb7N4bLkEfpUA1iJ84T6aaeLLeC9K3wY1eANGdNfo7pz5XvZgsKFBkBXKvOm+8tvGvyhV9B+lb4sStAekjL4nIDSn320c4+S8QMnnxo2tlV3lPVf3/GydNI3wprcgVIl5BrSxiAgquAeW6V99jsh8VYLWNOuKl3Oq4gfSusyRUgTaa4jUqFRHNzaUhqnrcLwMGF3tvIdVOt9/0ZJ08jfSusyRUg7bOPvk/+s6md0xZuzY1oGZyrmodzmsqmqXNpBemTNjkums6CzaVs6jz3b/Q5q1+ww8BU6qCQyq55CCsEmZy8yXHndI9zgncH4ZLn1LnZUZs9DJXcfJt9tZvmIawwZHISJ8fVejOqb1rN49ZgHhlbvNVigTHCXFraaOzyvVcoMjnj6eM8sto1u+Lgx6WWggizdwdmV0cz16xX3sOF+hWOTM54+jidTlqRpYHGbPE0G8izmRpiwJpZfKxjz2TvsMKRya3Um1wB0jmQaDTD7bzZbNTOk/ZW0J4smm5Ete6fcfI00idzcpxON5ejDxGKks66XzWdRgZvvjeO6FnrpskXKxyZnMzJcfG0jiE5K/RcPODMXpoqe+iVnEfqM6DePuPkaaRP5uS4Wu88e3EqAjcLpbFKhdxZoLdRgp3VlPymyRcLHBm5M54+LsMRxWnjDrEk88iqn9VkvYEMIgwldu37Z5w8jfQZTx+GtMQQ0p3hdqMBxughl6bgU44009V+07KVsMCRkTsrEY5DelCRoAo1z7lFQRhEW5t7iTnm5ucYjO0zTp5G+mROjuuzFB96aQnU+Tm3iBDyqBZ0JYrJF26jb4qyFjgycidzclyGI4XURlUgGXd7dTwImQmPmYLrSV31e/o3wgJHRu5kTo7zvTFlFvXgcnaAFHXOIhNQdbmYbxbaJjY0LnBk5M54+rg6MsUR1DzuNObouWrqLBgCtDC7a4P4lDb1ZC1wZOTOePq4KItLEbEAi7QHs96cQZq5ZSmJmfNBo/VNu+QXODJyZyXCcTqdQnHFB8ht+t53++9mhb854LEOGXFXPB0XODLyJ3Ny3DktHBJRh9id+d5k8ZaEWMDNCZNV5qqsTV3yKxyZP5mT43zvLsjdI3iHPNco0dx/l6GnVDqFIEk3zS1a4cj8yZwcF0/XwLk188jseAbEoJBjJEglWmzdowttT3VRXOHIwqnTx+Wn7YxOjfzUaYunvVcoxGbHsTCRjhI39d/FFY4snDp9XHVRkO58YIutqBrSbkAtLkAdlHzMWvsm3juucGThZEMPrDmJIZUcoaMMwIDmkbU5D2GkVv3ILeimaTYrHFk42dDjKhFcdsHZ6Zx4TJtNptPeKShL9I1yprGn3htXOLJwsqHHtU9r6uyCKbHOrGVufW4Zb8A8VJu0UtKeXktc4cjCWUf2/4j0iy9+sD/f/vz3t+XtV9+W1/9d3345yqu3+uKLe7e8f9TLt1+9eWmf/GX5/etSX2n/64N/fcf757wqb9/9qw6D9ts/vfxOvzTDYaGceX7xTx7/EfEfXfoHNi+fUvxv8+p/+ej3L/P22+///avvX7+zr+1r+/nmrbb54d9f7pP3//gKf/0WvvlW9d2D724++Re3zie9+OLuoV/+X+Y7bqPPiQEA</AdaptiveCompressedXml>
</file>

<file path=customXml/item2.xml><?xml version="1.0" encoding="utf-8"?>
<document Id="ed8a73ef-57e3-4464-9683-c54e8a39a485">
  <version>1</version>
  <createdBy>JMullen</createdBy>
  <modifiedBy>JMullen</modifiedBy>
  <createdDate>2023-12-18T19:41:48.2571391Z</createdDate>
  <modifiedDate>2024-11-13T21:48:00.7661584Z</modifiedDate>
  <sheets>
    <sheet Id="84221d58-7537-44f4-90dc-604bd307e526" Name="OC-SNF PMix Anc Days"/>
    <sheet Id="53db68a9-4703-4f32-b1c0-58314592b1f6" Name="OC-Days"/>
    <sheet Id="27bafa95-35d5-46f4-a19f-bec473f489f7" Name="OC-Res Days"/>
  </sheets>
  <documentDefinitions>
    <reportDocumentDefinition>
      <properties version="26" revision="0" isCriteriaEnabled="false" suppressions="10"/>
      <reportDate>2023-12-18T00:00:00</reportDate>
      <lastRefreshTime>2024-11-13T14:51:03.3962127Z</lastRefreshTime>
      <options areDatesRelativeByDefault="false" autoFitColumnsOnRefresh="false" rounding="0" displayZeroForBlank="true" clearDataOnSave="false" highlightEditableCells="true" refreshOnExpand="true" updateExpandedElementsOnRefresh="true" updateReportGroupsOnRefresh="true" enableUnknownFilters="false"/>
      <areLocationsHidden>false</areLocationsHidden>
      <adapterReportOptions>
        <option adapterId="2">
          <reportSettings UseLevelCurrency="true"/>
        </option>
      </adapterReportOptions>
      <instance adapterId="2">
        <instance code="ASBURYCOMMUNITIES1"/>
      </instance>
    </reportDocumentDefinition>
  </documentDefinitions>
</document>
</file>

<file path=customXml/item3.xml><?xml version="1.0" encoding="utf-8"?>
<AdaptiveCompressedXml id="27bafa9535d546f4a19fbec473f489f7">H4sIAAAAAAAEAO192Y/cR3Lm+wL7PxD9HlbGkUcYlAyvZh4ErO3FaPywfsvTIpY6QHLXHiz2f9/IpobTanWpf12oFArFHAGcZlexqrq/uL84Xv/Df37/9tX/6e/ev/nxhy/v8O/c3T989V//y+tvv+v9w6tv2pd3FEseWT2wbx4kDIGMOqD0KpGHJB3x7tU/5+/7l3f/8jX8qb9/9Yf8l/d39iqvXr1+P1/nD328+eHNB3uH9/ffte+/6z/9+O7Dt7989OcH7eGf8rsP7z/99dPz/4d9+/5DFR4FR6+QJBOIZ4bStIIb4pSxlZ7x7sG/t1f47z/W/Is3+fn7b9qrD3/5yT58uHv1xeMHa3/79h9be9ffv3/17sf/+PLO3b2qP77939/b74qeeP7/6n/5Cl9/Mf/vF2/+xZPv/rq+e/Ohv3uTH79Mf9u/7z98+NYgyC3/ZM+5R+Lu0fPmp//h/Yf8Q+2/euTBY/aJm/18//jtf/vXP/3Pr//ln/7pX//5mz9/88dv8dc/wPyoJ1/yrx/r/VNv9vNjr97MD0oR068/7P3z5u/6lT3xzYe//Pn+1/7kp5if4+dXfPbNMDzxi3n6vfSM96r5bf+h5Xd/fPCe7Ox/eOJd//oPvmlfoT3t9RcPvnHsY6ZTH/PRZ3kCvBMQfXrAROqRZD4hg6+/+Ju6/YYSBpe8cGzAIXaQGBqkYUpYc2lBSYs0v1oJ+YQS0lbC21dC3Ep4J86VoVkhRy0gaVTzhCVBCsF3c4yhub5aCeWEEvJWwttXQtpKeFdKTBI8Q03RlLA2BXN+BOx64tDLcEqrldCfUELZSnj7SshbCe90UB7qB9iPySAuZEglRxhijrBEFF91tRI+9fypfX4r4e0roWwlvEsuocTC4C3wBOGRQGlESIScYuiWErbVShhPKGHYSnj7Sui3Et7ljCPnWqAzznDUC+ReGjgtjWJsYlH7aiV84ld1r4RxK+HtK2HYSnhXSxXhNpUwWDjaooPsR4XemUbpIfaynKJ4AtF7JUxbCW9fCeNWwrsWsNaQHbTmwgxHCSwKdRBiiOJ9oZ6WUxToTmihbi28fS1MWwvvhJMfrhSIrWVzhSKQuGZwDam1EKqOsVwLnxCfj3S922p4+2qoWw3vavCdpTjg4CNIqsEiUl+gIqMJQGmyPiLFk10zu23m9tUQd9uMeUPBgR4bUI4DpBSFlJtA18LRhRzsseVqeKpvBnfjzGeghrtxxpALlcJIHlq3eFQmXa+ZMjRsGiWj9229NzxF2rPfyeHUw3DTeri7SGeJRmqQEjL4NgpIyA3U5wo+Fj8wJu9lOVmBp3h7Djs7/Az0cPtD08PGqaZWQcl3kGyJYYqRIeRczEX2SFSW6+Ep6p7DTg8/Az3cvaQfS8aexEPwWUHcICghBCg11NhqIHtwuR6eYu857PzwM9DD3U5qH9N3RN+aBaKdQIY3PXQeTS05sUZ1iuv18BSBz2HPVnwGerg7Sr+8i5jU5ZKB2vSH0TEkVzpkIurmIi1FS6v1kE5R+Bz2eMVnoIe7qdR0hqT1LBFEYp4zTsX8oYWpqVi8mlC4yvL8kE6R+Bz2hMVnoIe7r9TUITWUniO02dctPmdIVRqQpqAjuO5cXq6Hp1h8DnvI4jPQw91aanGpo0SePfhSKkhTByquABONoCRdS12uh6dofA57zuIz0MPdXDphplzKKIAZCcSyRMsP1UNUlVKxW5DKy/Xw5AaMsEctPgM93N2lX975IN43LlBdH+YPS7P8sNpfPYUQpLKv6/3hyX6asPtpbl8Pd3vp/C20hhxTAsTBIMV3KCEhuBKwi+vce1yuhyf7aeLup/kM9HD303x5V1MdvZUCwfJBi0uxgoZYII2aNEkvg9bEpeFveniKtsDNHnp/VC2e+KV//BAHVRC9OHf0zZ5I6H/7zX7nzRJ1qE+pQS+tgnhqkHk4aL44H5C89jUkgMTnpZr8LnpgTHEL9ssFO1AdzB2hp4JmreOARD2DFxGHnUovawbF5YC5Jr+r6rMTfAv2GWm5pO5SaMAR5/r25CDHnsxs9yE9t1FlDV0k/ohgb9qWg265PiO8RguvfRdAQmdyXT0Ulx3E5LRHi7ZN8NfItRyR690WxHp4iHLL9YO2U8GiwXugSAIyY+2SuYCn2YUkPmgKa+Saj8j1ThxZdxxyTubYRpoLKCByCibX4kGdRdmtd5aYXfXq1sg1HZHrPdbAyluuXy7Xgm5eGxILPEqc7ckIRauDxthCTSHWsma3keARud5jc6ynStFbrn9Drpsr3ENRUD/pXJzrESJFIEfFayqa+5rxF3FH5HrTSJx2fH1Ooa+76ChPPjRnEC4CJs0BiKSh5ZSjpjX2mvWAXMtuU+DH+c2nZ225/q28MYbY1aIPLVRAcohQUkRIPGJAGrUtGpPidESudxscJ9ly/XK5HpRboVm/JvIgJBlU7K+5a3RsyeSoa2h0PsI4ymYcKe369TnjA6ljHEwQerO8sWcT6eCdfUVp2Lc41kVxyBHCUTbhSI/5g0/P2nL9W3HIaIntP/CpdJAWFIp6D5auRJ8yZeY19yj5CN8om280N7oN9jmJo+JIni1nzKOBiJ+HVl0CNzLH+8Nzi06O8xHCUTbhSLQrImdZ7NRi67FAS7PSV0YCM9URMPja1PGMstcI9hHGUTbjaIK9e/rOEexSUg86wOk8g9ZdheyrQGuRUnG9YlpksY9QjrIpRwtFtsU+q6cvhCiJwHOw3BHHgJxTglG0pxJHpLwoxj7COcrmHInCJtPP2W1Scwu9VEgWUJtgxwY5+nmzy9ehY/Ts1zQ/8RHSUTbpaIJ9eJxsC/bfBLuzL4G9QnbZgyRkKNQcdCFpASWIrrn5QUdYR96sown2bhM565iNyyGQg3nSBsRLtlDEou0cqXJvMYRFx2zoCO3Im3Y0YdtyfYZc+9FCwQTRRzPYcW5ZC5mhNyVfk1Zqa+bB6AjtyJt2xLhrIuekjt1iD0ezEkIZRCxrTD44iJikxjo4yZrtEHSEduRNO2Lc4wXn0Okj5Ihmr9V5noeeLcD2FoegC05p4KiP29svJddHaEfetCOGHYecIdcltNaKNAh9dItDKIAqVqitZh6DR1rU/kRHWEferOML9utsuX6wtdEpqkqFzs3sdZQOpbsI2Irm7IdKX5Q3HiEdeZOOiIdFbcv1A7luynFghlbG3M5dAuReEHrNqatETavikCOcI2/OEXkzM+cwM66yy7VDiolmu6oDC6s9uJE0+lzEh0X1kCOUI2/K0bL6Ldcvl+sRCo5u9pp6mc1PIpALdnAxuijNAuy2pg2bjjCOvBlH1MfnDj89bQv2bwn2KOR6T6DZJxAyq53SqNCcjIa9kX9caLqQYOMRxpE244i0e5/OacOeZb2hFmCTswAbHUGmLNDSEIquVJd1jVwfIRxpE45Ie373nH1m2kN3VcCxxdbCo1iATXPHas0ut5aoL7LXRwhH2oSj7P6Qc9aIKMcmiNBjz5Y3JoVkwgzahzBKSWER34hH+EbafKPF17uAfU6DSCTVVjuoMJm9dh60EkJj4a45x/B4GulSgn2EcKRNOO6ZmXPEWrMWT2kAYY4gozIkmbNhEWsVs+YjLxLrI3wjbb5xt4ecNQrGKgXFg5ur+qTVAalIgIQ8aqPIgdcMFuARupE23fh4xPTTk7ZY/5ZY1zFCJwXWwJYqRgJtXUDjKK1xFcqLousjbCNttjHupPGcpJFZMM/+1FQn2RgjFO4OcsLRkMOIuCgIOUI20iYbwy5dn3OZT3oNbe4NGd5k22GaY7sIY3CrGqsLtOZ4Eh7hGmlzjWFXrs8JQnJybS6drHOtqmD3oF4G1OGRasgx4hoK/QjRiJto3KPoZ/GMZqgphghtOD/3BGdQ1yukMIqkls1Y0xKpPkIz4qYZ9xKzs6R69KSuZnBphiCN5zZVEcCEVTEE8mVNCHKEZMRNMvI+S3qOWGPqg6g1qDqPJvngoWAq0DlIbEHH0DW35+WItfbbWmPU3cV3Ttt1ry2VPMBhM8GWucIs5ApaSjUpx8Z+zaYnORJc+x1cY3y8Q+7T07Zg/4Zgc5IuGByEEsgEmxukMveG1O6HEzPodU0g4o/UQsKuhQTZbSFnybULzqQXGvbJyBSBwqzgZyGENVXJa9r4/JHSddila93zumdRMt253KpCEFdAUi9QdGRoIasQK6qsabv2R5jGsJlG3PcKzuQaW8ISCmBrGWSkCJksiXSScq1R0C+6m+SPdIaE3RmCuAvYZ5X6cs+Yo4NW5/brIghzRMYyyThc9b6ZPV8j2Ec6+cLu5EOMm288pyaiuYjEACQ8lwRLAOUq4H0ZmErL4tZcJvVHOq/D7rxG3Ic4zqpit6IpdYHQZu+TbxFKLAVc0Ci1hdFwUYx9ZFYm7FkZDXum4ByDjdHlMjo4NlstISOUXBJ4HiU6obxqVMYfYR3DZh3R8aYdz9mx4AcOpwgN57InV5Plji6Ap8EWhqSUF7Hp/gjtGDbtiE62YJ9jsTNidbXPo0kEMoabFjtDJMyDUVOkNVvM/BHaMWzaEZ3focg5FjsO8aUxYJ9lbG0FktIcRy+S2LLH1Nd09YUjtGPctCNasrMF++WCHbhRyZnBdXSzKBIha1dg30dqwSGNNZNg4QjvGDfviG43ipw1kC7dYhFWqKnNBdjOYmzXHbBEryW2wmVNB1Q4QjzGTTzqHgY77+pu9C1Z7pg5V5PrlkF9L2a/OfDwfnRcU8UOR3jHuHlH3dNg5y1UdSa+gSGG3ix/tK+0jABYQ8UxonZaZK+P0I5x04666fSzLjj2mFGoQKjR7PU02oligzJctxglq6tryJlwhHWMm3Ukpl0SOedyEjbprVnSmDOB+NRA2eRcpNYimVJatPEpHGEd42YdTbB3SeScU3e5JHXBLLYGyxwZsxnr3KG0SJxKK7RotXs4QjvGzc4Q7yL2WasnUxZSZwljimqpo5J9RXNbH8lsWR2xrpkxCEdox7jZGeLHPcOfnrYF+7dyxzhJRzPWGIRB2rxZICMDEfnkBrZUF9VEjtCOabMzJDvGPqvYF8PAERKIOrPTAQeUSA68iHTFYuZ7TVEkHqEd0y5ik4WHW7BfLth19NwrMeSYG4hLCLmmBA0zSTQ5T4/PdF9KsI/QjmlXsYn3Hcezyn0pV1Kz0yE4BPEUwILtCE6QnfZQm1uzMDgeoR3TLmOTpF0VOUewVVsaljKWGgJILh7SLJKwqzha972QWyPYR3jHtOvYZrH3hPo5g7wmynkGIKngrGNHB8mbxdaMnlPpLGVRKHKEeEy7jk1eNvN4zknp6CyMVgRy1c0dUM2Sx9QARxneUwy15jWCfYR5THt8Zl3m+DvvrjGx8tliAfvDz901DrSaBW0lEAXnUu9rCJMHBpROyJl/QWDwNpf+9vGLfOj/+eGr/+v+3+sv7r969Oj9P/lDH29+eDNf7+cPb0L/C3m8R/sJs3KP9DftKWh/JQP6tBQ++Qqvv3j0uR79+I9/0KO9wtJFW3DQFOfYUohgP2aHoYxp5MBhPc5P2NyPOL/AT26cnyFAa0mqvsPc7ApSSSzobw180VaDr1LKGmb/Ac5yCucXuI2N8zN8ILdhMAegMRciSExQeiTArPZIbkqyJqV7gLM/hfMLaO6N8zP0mLjkpDuoRSJI4QS5OgYNgzA2qflxSeTyOD/1/HucX8D6bpx/G+cSYq+OCkQ/z98kVyHl4UF7834k8V5xNc7xBM4v2Yy5cX5u3wd2yn5AiG22lM7rXakVGEMFm5YkvNw/p1M4v2Bia+P8zAiTxV89OG8Z+7yp2dIAU2ecNzVTLDmEXtdwCQ9wfuLX8BHnF3C/G+dn8iolttQZITU2fW4jgXokaD107cXH+Hi29fI446lCzUs2CW6gnymUBDeizGWogYcl0FGheC/QLJfuRDkMXh5w4xPlrI9Av4Ab3EA/E4mJWsKsCL3O01ZBGqQaPRSXsHDrmnjNuoCHQJ8qib1k09wG+pk+Fu1DWBS8Gx3EV4GUikKdB/vyGFnycheNp2piL9m8toF+Ztpl5BJnmQQbKUiuMxZzHaplWYiBhvdrTLd/vsb9kk1kV43zE0nF743zGHP24x5nH2ftc0Axaw2pu+KdhWaR1pBm/vka90sWc22cn8mtci4hjAB+cv0i81Swxwyhe+XmRi20xnD752vcL9lTtXF+9hCSc+IToJJFYrW2abctwWrRheAS17hcn0/VuF+ytmnj/BzOlPLIZDn07OLBZhBTuF9mlGPD6Hxb0ynvn69xv2SL0cb52eHMliozNJU810Q4yFGShd6YeuSsbtHRYP98jfslS302zs/gXCiJIJp/HuafuVdQCRZ090jUSVzIazJo/3yN+yVLbjbOz/WU1Nmn1sw/66x9+gwlcoIoXQNVRROE1TifqnG/ZOnLxvkZfXaZY/Uyl3ePeVUkQK7ZQ+SAykSEvOj4woEa90u2oGygn0msmAdTEbPUZG45TDIDK4NrpUlrwwktd9Ana9wv2QqygX6mb36giz4zlFHn1YlE9pUqzEuGVTsmzssj7pM17rhLYhcDmmIutacEJDRdtOuzvTdbCi2h156lL5qu9wdq3C9Zh7KBfqYfULPjUT30gQY0NQ+ZTK19io3Q+TzqGo3m52vc5G7FR58YJ/g9ge5BMLdKwMNbMFbnZIgjARrZlxpJ8PFNyAVkxqlqiaV2N4L0Fai0+hYDJw+enICk4SA5p9Bbj6riXS3LozE6ZbvF7UT6csa7Y8bpm53H2bSfKiTfK/jSRsVGOcXliTSdSrDE7VL35bqIWrZArCnE7ueBTlJIxVJp770M02uSRZvNH8Zjp2qgrDvyvlzTQRjZzHUD7cnNA2gDcvANegmhUUjRcqzlg3Wn/DTrrZTHrqC9ZJjxLpIKBJ7JtBseUlCClou6ThipL2/dP+mnWW+FwLoCpEOrWpMLMBx289OZ5ib/BkEdFo8lCy7vGDvppzndSjp9BUi3mGvrqDDKSCAxONA4IqBElOBNxxdRWHLET79kY8pG+hnrrUzSa4cJOEju9lWvFoC7xr63UrPW5YWTk376JWv6rhrpK6ic1KS5FBSLuL2bu6EFCrUALLVHjJwcrUf6pJ9+yQrdjfQzhGUKJYlncJjVkK7RdHpY7M2j9MrB66IGQT7ip2+GyLoCpC3w4lSLgtKshoZeIA1FUJ/mbDQL4Zq12HzET99Ms8kVIJ0LpThaBKHZVKRYQZkJnDlrTSGWuOjY4cONSKe4ab6ZlQdPriv6nQewmlfH0iFlMj+dAoHKHIrv3ZSai1a3xk8/XMN5Gulbib2vAWknGpsr0KPXufTAYrM2HPTCsXmHdTxePb7gWsdJpOVWIrIrQDr1HHIUBSS2LEs8QnY6oA1fJZlSWyS+/JLWaaRvJSK7AqS5dEup1YE559nMnzzk7CpwH72TUMtjjfUOR6y33EpEdg1IW4AdIwdT4sjzEE2Cwk7nFIdn1w30x1cHL8Vl6RGkb4W1vAKknaMUkiMwX+0N6VEgj0gwAmmmTqXxItYyHECab4W1vAKkS8HGqUxew83BHG9Ip9nqrZmrlBgar8mnPR9B+lZYyytAekgTCsrQg1pERpVBhzioc6ojOVXvFnWGuiNI3wpreQVIY53TslghylxF5ZrpdMMB2VdtLnapfU3sLUeyLNqVk8v1nDjkkDvDkDFvu1o+naupeOvoe+9uBL+In5YjSO/KyeWqobFZ1uwrhGZJtcwaSpaM0FlSpoE0ZI31FjyC9K2wlleANIbs89w/1d09l9Wd5dOpQ8NSHffsR1uzvIbTAaRx18gup9NOWhXLssgny6dLrKCGPHRlJLSoLIQ1PSd8pEaGu0Z2uX5vcUqjKJTR89Rp89OjogEfe8XO6mkRa3mkRoa7Rna5+TulTnMNbGujgdSQQSUp0IilhOawPb6PcyGk6UiNDHeN7HLdRc1J15LAJzQ/3efstPQAaZTSCS2rljVZFh2pkbldI7tcb6i0ksgF0K5znWBgSPl+QSi1EIY3nS5rkD5SI3O7Rna5aqjpMyaeC2ApzOXOZZ5wLhCcIgVtJgRrsiw6UiNzu0Z2OX46tBQwmGOm1ub4dJtnNubEfMSkRQzqNREZHqiRke4a2eUisjw46Ozs1+ENX8O8pObBvHYdplMlhTVTtXigRka6a2SXs95ZEVN1ZrPdZC21Qul9WJblTaPTGIxrJuXxQI3MEoON9MW4rGz/Oe+guWQ2uxNDwTmLJ6760IrF5WtqZAdKZJR2ieyC9LRmS6UyYJ1HGFqIYDFaBud8ytQDpbQm9H4YeZ9EGm8l9L6Cdu9CXMJoCB7LbP2tBbJXAUVh1TYn8tYM1T5A+tQOScJbibyvAOhRXO8tJ/AaxVRaZB4+i6AaQrCILGpcPsFxaskzuVsJvK8BaNddYsdQxwzHCs2r7cmBo6zBIzZcNGh5JMO6mdnpK3DS3XmKUTyEwj9vvigcEkTLumJKwbe4BuiH22xOqbTczC6yK9hxgpokdEzQSjMnnRlBJXdwAylkT9TC+sMqp7bOibuVDOsKkOaILjlFIBU0461+brNxMHkNc9+OoyzfUIWndj1bQLiRvlivdx/ckiTQmUaL6/O4yigQMVTFiknD8qMbeHpv0a10IVwB0j5L1REEqsqYM1kd9J7s6CRNu7bclp+iPemnWW+lC+EKdpyI5c8k3byzM8MtgmxfuQKzUbAShWGKvRzpU36a9Va6EK4A6Z5d7q4lsEQrWkRmcKubm5+TxEloUeE1BTI54qfTrXQhXAHSmTqa4TZzbZo9GUuELCmCJdIOtdfm4vKtc6f9dLqVUugVIO24jC7VQchhZllKoDEWkGhpdi8tcV7UAXzET6ddC73c/MZIllmRgHcWlkn1BAlbgd409tSnUq9H+qSfvpl1/VeAdO2YcrKIDDGadx7d7LgF3IZ0DFKQ86rZaT7ip2/mps4VIM05lZIpg9LkpikVKI7tK+eVY8veqS5H+qSfvpmzd1eAdGk9SaUGVE2dJZsd1xIdiNbZ1F+FFp3Jikem7/ytxN7XwHAEJq6NAc1Hzyn5CHmEYEkXFYeBkqn5GqSPTN/5W4m9rwBpRfE8OkF1PoOUIZD9/W20Frr40kjWsNPhyPyGv5XY+wqQHuqciAYoSSz2nsuelSsDp5aiq6i5LdpFdsR6y61EZFeA9ByJ9zk5s9k0QHoKoMFFqKGlGnFoWrRfMByx3nIrEdkVIO1ibxZeK8w7Smaz0XQ6zaF5di3mEjL7Rfz0kdlpvhXW8gqQpipMIzdwnc1PDx6QzXWbs+6cnMs9jEUbqo7MTvOtsJZXgHQaseHkp9tsFZRgsXea8/KRQ4uRuJe0COkjs9N8K6zlFSAdAmEIcwirFLPeNG9laSQovjKmjsWHRazlkdibb4W1vAKkB5fcimcQZdPp0gXUx3lGyQUNoVXpi1jLI7PTtCsnl6uRJZfRewdx0hzCuRjIo0LH1Jo9MhQX3dU5MjtNu3JyOaQde58NaarDFLtihUQ1zZmsXCyxTspr8mk5MjtNu3Jyudg7YG8SFDBNnTYNhpwrQZuGe/QoYdE+BD6yXxBvhbW8AqQt8nIjpmyxt59+OvV5QalaqsVxOLPhbiy6q3OkRoa7RnY5fpo4JSUEarM3NHoEzYZ0CxZ34wic6popeT5SI8NdI7sY0k0pa299LgmlGZEFy6c5gveFc45sadaiHSdHamRu18guyFqOoJwEfMkWkXU2w02+AKIWJ+ii1kW7yI7UyNyukV1uLit6nldKIcdhOj18hxTLvMww1Ay7dPv+GqSP1MjcrpFdrruoFZkLLgAnNS2ZO6gF3TCGQ0+5BNQ1ERkeqZG5XSO7XDXUSeDY53bYbln0mBufa/u4kMyC8u6xrZnLwgM1MtJdI7tcNRTjbP0N5qdHmSXRDIVbBi9Jay2ldr8I6QM1MtJdI7tclsUqpfg5tKEVxBQcLOcSwEzBZx61LtrijgdqZKS7Rna5WUuWbuo8oH68wZErpF4dSCuux0Q9+eW3p/HU7Wm6md3eV9AFPBnLEZsHxw3NTwtB6RagebL0Kg2z3nHRFvcHSJ+6PU03s9v7CpBusY0amEBTGiBUKpgxR0AVtBTbEq6wfHPRqdPTdDOrva8AaPPDrc6zOn2MeWxFZmuoNPCYK1uCldEtH9aRkyuqbiXyvgKg5znL+yNoOVez3a0H0FgLsNi3+2ANvCbyPpBiYbgV030F4Zh2s9ZFEGKeozoGLag6huCdvaD0oHkNOf1wcdEplZabWeF+BUtODNVc86jgWkwglj5DyeakhbSnFmPVRadWHiJ9SqflZla4XwHSLrucnDO3PNeGfkQ6pg7YRqfeaWBbdNDygfE+tTKUb2aF+xUgHTB4xZ7B51n09lEhCwrUwqVn8ewWBd4PkT69uOhW2hCuAGkS6Uo5QPT9fvyuQA5UQFLoll/VMNyiJrIDfppvZoX7NSw58XW47BMwyRzVsa/SoAYNuwTuzQzootOlB/w038wO9ytAOmokImZIeN/Wr3WS0878dLQMS9XXtHwZ2Wk/nW6lFHoFSI8cs1OvZq6xzbqJhyTqodtXklNDzmvSaTnip9Ot5NNXgLTWoiNihlk/AXEUQIfFZr62jMM3x4uOyfMRP512LfRyrUWja4hcAPXjSG2DPJe6YwylW1TeyqKVz3zET8ddDL0c0qEH8T1ANu2eY/IDihjwXH1ukVrStn5F1Uk/HW+lRnYFSA9CkkYZGleZuRVD6SIQxLla557JsH5F1Uk/HW+lRnYFSAc3SKOl0upn5SS6AolbAs/sfE/Ro645UhuPjN/5W4m9r4Dh4ISRKSO0ue1ZQm9QYuhAyWIyKq6grNHpeGT8zt9K7H0FSFMIqm4mWFSj/dEJSmUE9Kmq9ubzopHacGSAw99K7H0FSPNIPvY4D4vPc8SKAnOxCSD1JJbP9hjXDFqGI2Pyciux9xUgLZ1HK2OO32E1pJt57H4/VysFQ0qIuiafDkf8tNxK7H0FSAeiSN1nqPcRmU+m0zyn8UYornLUVtaskgxH/LTcSux9BUhrkppEsrloibPx14MFYQw4eizimzeVX8NaHhmT51vhp68A6Tr9c5qbbBrddyJY7J1qmfsvyLvZ8l3WxN7+yJg83wo/fQVIR5dcSmVuQBALwFOKkAsTWJ7tazU9l77oWNaRMXm+FX76CpAO3TS3Zwdh7p4T0Qipu8lwsIauEmpZxFoeybLoVvjpK0DaoYzSOEDjZDpdm4MShGDUxKGz47TqWNaRMXnaNbLLVU64cGNfYZQyzHpHhYQ6d4hmSd4y6toWnVA6MiZPu0Z2uXxakFmHB43JgYxoERnN3XM9cNHemBct9+YjY/K0a2SXq5FJiS67As3P1ReuBCglJqDetXdnGl0Wjd8dqZHhrpFdDOnSi5JvHXpKs8VIFXLmBJpHLxSKL2HRMrIjNTLcNbLL6bQOinEMoJlqSa0CeViAZmFv0+CJclq0YPBIjQx3jexiSCfSmLFmEA72R5vLvXMY0JtHbqW2gWt0mo7UyNyukV2Q4aiSzB0D3R9D60yQe1YwH91qoJZ1rOkjoyM1MrdrZJfz05xJVPwck7+fni6QSyxAjE1L6p7aIqSP1MjcrpFdru7ts5rJrhA5RZDYAqQyZjW0dpHaS3WLlpEdqJGR7hrZ5ZBmLjnO24YYu2VZzqw3RgSLv6koN8xjTeUED9TISHeN7GJI99kVWMxFj0Sm06PR5LI8VApmO2tsg9ewlnigRka6a2SXi8jaEPPF3cy1IIhFZ3O3IEJV03F0hnZcg/SBEhnpLpFdLiAbBX1ihlFl7gHWDgWVoSduI5ZYu1u/oerUlXG6mS3uV9DuLRaQ0Vzmnbm1ua8/gLoks2GwlJFzrG6Nm36A9Kkj43QzS9yvAGhMqeXoA4Q0V4Zimx0nlCFUjoZ0RLd+VufUjXG6mR3u1wB0rtrZ4i+meS5rlAiFzVNrRAvJMUpf1AL8AOiTayRvZoX77w706y9+sr++/9vfv8vvv/4u//Dv/f1XI799319/8eA7n5715v3X797YT/4m//GHXN729tcn//qBT//mbX7/4U99GLLf/fnN991QI3MICMh/Rvl7j3/v+O8YhZOEf5uf/pfP/vQy77/78T++/vGHD/Zr+8b+fPe+1/nDf/q4Jx//+Ap//S18+13vHx797uY//sV35z96/cX9U7/6//KYnwu8LAIA</AdaptiveCompressedXml>
</file>

<file path=customXml/item4.xml><?xml version="1.0" encoding="utf-8"?>
<AdaptiveCompressedXml>H4sIAAAAAAAEAO19TY9dN5LlfoD5D4JWPYtoMRhBBtmQ3ahx1cLAdHWjXL2Y3jH4MRJGlgylarqMwfz3CabstDLzpZP5pCsIKW5s6b0rvntvnAie+OTzf/77j6+e/J/+9uLlm9ffPMV/dE//+dv/+l+e//Ci93dPvm/fPNUwuMTCEErLwEUYtIYE5FE7ZSUv+emTP5cf+zdP//U7+Eu/ePLH8vPFk3/w/+2prfTkyfOLudYf+3j5+uU7+5WLy0/t87f9pzdv3/1w/dtfvrSvfypv311c/fXq+n+zj9/fGA3F0SskLh44EIG2XMENdpmwaS/49IN/byv8jze1XPuRXz5/2Z68+/kne4D49Mmzm1/W/urVH1p72y8unrx985/fPHVPn9Q3r/72o70vf+L6/91//hafP5v/u/bjz07++vP69uW7/vZlublMf9V/7K/f/WBiKK38ZNfMh/ZPb1w37/71xbvyuvZb33zwnd1xs+f7ww///d//8j+/+9d/+Zd///P3f/3+Tz/g7QeYt3rnkr/e1sWpH6vlVX/dyts/vb/myct5wyk5h7fv+to/+L59i865588++ODkP5hSemJLv3z3818vBZZO3f98ghv3cuqa/sFtYnJ0x03e+s1812/2td/yXjCt/thJAf3ej119c1NEV18YpG4g8wQGnz/7Td1+RwmjS4FJGlCUDiyxQRqmhLVoi9ln5RaOVkK6Qwn9VsIrJcxbCR+vErJzOnLJUCQrcBrVdkJNkGIM3TbG2Fw/Wgn5DiWkrYS/Is50cCvho1VCVUkcA0FNYkpYjSzb5ueBXE8Uuw6X/dFKGO5QQt5KeKWEuJXw8SphHr6MHAaY/AjYxQJJi8Bg2whVkEPNRyvhqeun9oWthFdK6LcSPl4lTC4hixIEI57ANBJkPwSSR0oSu7mE7WgllDuUMG4lvFJC2kr4eJWwFBylVIVOOOloYChdG7iszYs0Jnc4HT2BgUsllK2EV0rIWwkfrxJWrczUphJGo6NNHJQwKvROfmiP0vXwFMUJeVwqYdpKeKWEYSvh41XCFrHWWBy05uKkox6MhTqIEoVDUN/T4SkKdHdoYd5aeKWFcWvh49VCphSGUwVprdhWyAyJagHX0LcWY81jHK6FJ97R+3S922p4pYay1fDxqmGNoROrA4pBgFONxkiDQkVCe0ptfDwjxTurZnbZzG9quMtmHrEaMuPAgA18kQGsmiGVxtCzkrhYon13uBreVTeDu3DmNzXchTOPWA1zzamiF1PDMdWwd1CNFcTXVHwOqZZjgqQiv+nhXa5h+Dp3w2u4XsXZiZf+/h6+DJw1VKaaPQwtDjiY35OFDWcZmyapnooeg7O4gLOv09xfs2mBl+3ng6F2E9OBnVv9sRNb9O//2OfF9SBlrnVAwmT2s0sDpcrQUFqhmgz3x4TWIi/g+ussPfwQazluWJ9TwBA7KrFZaszNnGSfoSBmCD1w86WkKMdUEQVcgPXXWcx3HdYnbvXyqg3r34F14Oi6GNs1mVez1sFDYepAVShzaVTkGBYS3AKsv87yuA+xFnnD+pwWpGQPQ54ho5rJns2AWrtCS90NFoee3SGw5rwA66+z4Owa1iQd58c9Ylynga2mnoA0olGR1EFHE8jKNVBFqiMdg+uwgOuvs4brQ6xRzBvWD4c1Yw04XAVpOQCLdMh1VEg9Ru1ZdBxUmEgrMbevsyrqWiwkbVifBWvJkpRmI7Sf9Q1ksM4KvbQe0bfY+zEshFZCfF9nmdE1WPNy0mLD+kOfMYVRJ6JV0yQh0Wh289CQO6pP1SsfA+sFEhK/zrKd69m4sM31GbgmMo+xlgIYWgWufUBxyUEenfII2o+aW0F+Adc782e43vb6rIyMuYy9mpeYZ+/dwAolkQMkTC26nOpNeveJcO3TAq53ptGwtmH9cFhXauRdL1CyuYpmmx2olg7EWlseynRQS6mnBVjvRCPiMtI2rD8IXQeRQG4i2hu77tVDltpBYsHiuObGx7AQXIiFxJ1o5B24PgPVXloQTgl6RwGOJUNSM9uDSm+K1HyTYwLXKxxk5xlR8iYh54T4enI+srEOid5wLRXSQAeNSAbrcGEcEwvhFWu9E40oSTauH45rqa2x6gCnZFQkcoRcklGR4os0j9HFgxLoC6HruBONhuuwcf1wXIdWEqkgqAyz19kP0KoNWkxMUVmxHlPvxAvVqXFnGinvEN855roNjp3njDtVg/W01Cka2y5IqbARkaPqnVZiITvTSHlb6zNg7Tgb4SAH3ol5jdw65MgBsqTSA0sZckwshBcyMrIzjZR3L8FZCZkUs2CDPLvuuXeDte/DrHV36CTYBwc5jQu9BLITjZR3jO8cbl2wJxwFPI+ZZ6xpjpyP0EOZ065zEjlmjgQv9BLIzjNS2tz6HG4da20aBvhRO7BvBOYlZvCa1dcRUMIxU4pooZdAdp7RNtMN64fDmqOUMqdtheARuOCAgvan5ouWOeOi5GMyMrSQkZGdZ6S0EzLnNTRKy1rAXRanVuqQhlMI6HrHQEn5mHNvaCHAJzvR6P1mIWeFQjD22n0wn5EM19GoSGpYwaO6qPbXTPEYXC9E+GQnGg3XO9F4jr0WlVLn3JvLjoLoBVLOBZBHLqkF8fGgouuVWMhONHq/54WcmWjsPEShMzFwns0EGgd0LyUEGiXxMdWptBIM2YlGw/WerHDOeDxtLkkd4AYarqPzoIkVks+kyWDt6JhWXb8SDdmZRsP1Dl6fk5NRzRWToVnSDF4rQXZpGL+uNGJXh/2YwhC/UMiXdqoRZdPrc04gTZH7GA7GnFhmsK6QpWRoOQeqjRKPY+i1X6jjSzvViDcLGK6u2rD+PWvdpXvsGaSwsZDuCDS6DMHFXuYkEdePmYPjF1rQ0041YtzB63OcRs3Rkwh0mV0yFOPMoFdI4pyZbuzloGOJ/ELwOu1UI26f8azBCrFmFzhCC3O8U5YGudYKLkXfRcMgPiaD7hfK+NJONSLtEN85x6k254tHNBIi5jJmygZr9tAIR+fE5G664p8K1guh67RTjUi7Af2cBvRauKScYfg4ewnQQXEaIJcQfaFpsA8iIQuR67QzjZj9JtdnRa5JRzVIY64T190gPfvQdQRKOYTU8zEZdFyIXKedaUS/C0POmazArRcSY9NoiJ5VfaAZGULsVFtoo+MxgWtcqONLO9GIfpennlPvRJjYU519jGWykGSGWhE0xaRVjYfcDDF9KlivBK53ntFYyI6FnFUXMqRJTTBy6sCk5jSidKAWtGJo4VYH9KfC9ULkOu88467iO+8k79hrRjPPGDwwjukuUgAc6mYNtmQ6ppkAFwLXeacZd5bxLFsdZNTEBWJ0DKxpQBZDtWJrEv0oBu9jUL1Qc513llF22PqcsHXQIUUySA2z8atGSJKqcezcxNgJunbMrBBcyMbknWS82SR9ddFG9e+gOknHhN2DFqMh3A3a2UWCMEquQWpv7SB/cSEZk3eOMe7g3jkzrptILDygzrkKXIeCaitQ3MhaOdTMB6F6IReTd4ox7tjeObyaNMWQCUiLeYuFZ4YxEXRu5ke6OOJBPQQLiZi8E4y74essUx1ENaUM1ZMREI0Fcp0H6wbJXRqncrPx+ROBeiENk3d2cR+JdFb7QEHGJgycWgKmMRMwroPvPac8jyJIx1TuLTTF5J1bpJuVOFdXbVT/DqojmUmeBhoDkpnqMEBDbHNGSIkpDdWb3sonQvVCajHv1OIG9VljytzosVQxAy0B2BWGUlyE4V1W70v3hY4B9UKwGt3OLObtLJ4VrnalkkQFEZznIRn7UIwIKcTqjGYr4zFle3EhXI1u5xbzDu2dVeBUurmFpYPgxLUZbyhDo8E8EfoRiWI5BNdhgYWg29nFHHcpyBm47km7dzP6EbORax4ZssMA2cdgxpojYT0G1wsFTuh2ftHMzTbYZwAbXTfiIQUM12pEhAto7Q2SwV11+Ix4TNQ6LNQ4odspRkTZDPusghCJ4nqGNBjnWV8VNPQOffiajWKXEY7xHMOS57izjIg7JXNWnhExmNdtxtoPAUZNkEpnKL0gz3YZM9/HAHvJddyZRvS8qcg5AxUK9eTFw2i9zIOiOyRKHrxHSlgjJj2mLCQuFDuh29lGdGlX8Z1DRbDE1C4PjmkVuKYKmbuHklKhWp3gOCgzs1DvZELdwHZxJ9LPqQ5xuVYfAnjnAjDN8887MwxXyDA9kX0MsMNCzRO6nXQ0P2OH+86x2LV5n7BBiM0Dp6RQXByQw6hGRzLKzUf9VMBeqHtC3GlHdLzz6WcAuyVyPWYFTxSBRRUyOgTfatPa0XzLg4C9UPtkv76B7WgD+5yBIVila3WA6t2c4J4h93kAR5RehpTgb4ZRP1VN30qCBnfi0dPNRMLVZRvYvwPsEXyRObgsBi1msc1Y52yUu9auqtlxiscc/SUrcWzcmUcD9p7Id850BRHfY2DQ2mZKnRJoxA40YlLCUmo9pg89rjiPuDOPntyOY58DbOzOoREQp3MYDqYIRUaFMIgqhS4tHzNqMi45jzvz6GlHRc6aNWm+SWU3i6BmVGRwhISFQHMM1LRwdscU98Ul53FnHj3xTqmfw7GHN9PcOvQ4W2ecVMO0UW7WHjyHwNQO6jJYqVrFnXn05HeC5pxwXybfW2xQJcyCkdIgG7WG0WLoSUV6PCbcF5eiIjvzaMDeVOScFl4alEZXUPQ4D0RPYOInGILJp1Z8wmMstqwUQeHOPHqmXStyDhVBnyKNDk5kAOcwx+JggMSl1oglhH5Qb/pKEZTfmUfPm4qc1RnWY1TyDKGZ2eY2DNPOKSRtZiokoB5UKyIrRVB+Zx4N2JuKnFUENZyWiuBxdtBE6VBS8OCokmbxMYZj4tiy0kHjd+bRc9oW+5x6bJUUSlSw/wTgoA5yzQJNo/fRudQPoiIf4NrfhesHpGdeFe2vbi7yrv/93bf/1/2/588u/3Tj28t/8sc+Xr5+Odf75eZNya7h/1LiJ6R9Kenv2ynR3sJAPo36kys8f3bjvm48/s0HXR0cw51ziw7aPGGFXZTpS3UYmTCNEikeL+cTqvBezg/IVmw539M4VDXlHDpkjNF8Zn+Zem0QNLcaQ2XVYxjYB3Lmu+T8gOD9lvN9xxa0YWKO4AdlYJYE2sUDlmzflJY9HxP0+0DO4S45PyCWveV8T6iAXXLcHVRlAdYZA6uOIMfhURrXcpP3fHo5n7r+Us4PCO1uOd8T6zSXojqvIKHOYnRXIZV5FklvIYzEIeRjTmT9QM5yl5wfEOnccr5nFEPD7ksYEGW2iZGZ7JyawhiZsWVNTIfvz+kOOT8k8LflfE8ZhfGvHt08R6iY3W5pgKkzQhNMoiXGXo8pVf5Azidew3s5PyAOtuV8j1+VPZnrjJAa1RnxTJADemg99tw1iNzsOvz0csa7AkMPiQttQd8TKIluCNcMMdKY5SMZNASGZr50977EcfPM7gMEfSJ89l7QD6jQ3oK+h4lxNoc5I/RaLmfKNEhVAqhLqNR6TgeN+P9Q0HeFxPwOiX0yQdfcBxNnCG504FAZUtIMtcYWyhiFy+FbNN4VE/M7JvbJBC2jqMwwCTaf57Fhk4u5DtW8LMToRziqH/L+GLd/LDGxE07F55bzGGkenDXlHGTGPgeoWWtI3WlwRs3EHzSX9P4Yt38sMbEvQM65FI1xRAghy4x9ilExLBB7yNTcqHrz4PJPL+e7Ytz+scTEvgA5u16d45AA82X9X23TbpuD1cTF6BJVOVyf74px+8cSE/si5OxTGcWbD43zCOaW5shdgZJ7kYbiQjum+zXcH+OmxxIT+wLkHIq2VImgZS7APToowsmoN6YuVLLDY3LQ4f4YNz2WmNiXIGf1iRnR9uc5vJL6HIUWjXR38b57drEcNG74/hg3PZaQ2Bcg52gUW9xotj/nGfsMBVQogXDP0deMBoSj5XxXjJseS0TsC5BzcIWkBoZAYwArRyi1BBCKmMnP0Z3HzOwMCzFueiwRsS9A0JlokNc5ZtjbthxnMgMrgWvauLXh2B++Qd8Z46bHEhH7AgTdBjoJs6t7VGNiIXn7U85AycWaOyYqhzPuO2PctENin0zQXorWnhJ49nOLdn2W9xZzoTn22gv3erzpvismRjsm9unqAXNxNGqAPtAE7VuA4k2tQ5Lm0YUy6jEaTffHuOmxxMTu6F74rNlJzQWjuc+2LxsXa1FAsxZwLqTie/QpHdOIQitb9GMJin0JgvakcTRzolE9mJ1WKCGzETKmeXyxRHdMQSDd70TzYwmKfQFyHup6byVByPOw6sY8Cz8Fco4x1kGS5ZhBUnR/kJsfS1DsC5BzIO5BzX+uPAsCXamQenUmcQOAJN9TOOZwOVpgYvxYomJfgKBjdHWI8S9HZr15sPlWXTsEnyulYXRcjomK0UK0hB9LWOwLEHSTNmqkWcCdjIp5raAaEDAzBi0yJ6YdLei70hn8WKJiX4CcR62tlk7mWo08d2jbnImbEbNSCXMs6I4ZQ0P3lxvwYwmKfQFy1qEYEhGMymSMO8/jurOJPVEbolK7O95w3+VD82OJlXwBguZQsg8kUKg1YE0RsksM6LvqKEXq8a7VXXkr3rGST9drlVIrEiJEo12zrqSBJl8gVhITtKA7aOIj3V9XwjtU8unkXGruVAOQabUxbhVQSg6yIJGicJfDY2J3eVZhh0rOlPPzZz/ZX38bgvL8Rbn47kV5/b/6xbfv3v6tP3/2wQdXF728+O6XWSh/el30VW/fjvLqwi6+/cXVv3lVLt79pQ+T64u/vvyxf+udJ9sMANNfvfsncv/E+I9MEkOU/5g3f/3qq2UuXrz5z+/evH5nb+17++/bi17ns1/8egd3fv/bE77sb8vb+uLnf7v25De/uf4251v685vWn8w/XGZxa04VvYAvl+n6bjxGYwXxNRWfQ6o3y2/er2L39acp8Jf99rSd6/NvTs2+WRyzc9fcm0tp330Hz9/8dPmufgG4gbH//afyuv1h2Is0ij7f8NMnrf/07sUv39ZXf2vvr3x58cefX5cfX9Zvnk7c3Lyr9zibb/D6x/XFy1em67dMxK333VCZavYwtLjZR1LM8sxTaTI2TVI9FT1hHW6tM0iZax2QcPqTXWy7osrQUFqhmux3TgXqbq2TYkcltlvBbPQm+QwFMUPogZsvJUW5xT6ePzvxuKZhd8DuQXhcej8fg0cfTk/E/nohuXRQ0gokV86lWVhn6RiQzwjJhx8k9VBI3nEQ0tcLyaUJep8RAg8/cunhEDg5JO7rhcDSPOcVq7QyPndhnaVppZ8Rkg8/LOnBkDx92M/XC8mlY3wWoLR0asoKtFcOqVhYZ+lMgM9pbVe47cdAO8dNAa+9cXGjx1IFjGKHmW9mKMVFGN5l9b50X24h6UgELN3PxyHgFmX7uhFQXKkkUUFsfzWdczOfMSfVhFgda1TGJSfAlW76WjoIznVMjFCGRls2GcsdkSjesm1HImnpuT4OSXuXvPbGqVBPXsyDb924cvMdEiUPs/MjoVGupKcSlLclhyWmVo3WtDn8rKbZGNa9OQLJNoHqBMepkrMTvkSu1RtZ986ZLaGSIXVmGK6QLTEXWlpn6QT4ld125cDtz6ghSxr7cRpycor816shxqm6d3Hyvzyp+8iQp0uSfQxmkDgS1hUkoetmy6SALWO8rXMxZ6A3g7d3qsNnPJkhvo3sIFFcN70YfDnEyHhk6EYrh6/m22oZYYlHBoOubayTQs5WTtQEqfTZIFSQHfZgN/c5kb0U2/w4ZO+4zXUEcHRd/OW4cLPZ5oZAYTKntAplLo2KfNa4zdL9fAwCIm8EXHvjMQV2M0ySUU3xuPhpkxRa6m7MwNkcNb2Slxhoe39PQGpszXxt422jCWTlGqgi1bXdn7EGHK7CdM5tt5XZ0zRmOa0Zqp5Fh1uykYySJSkBRaM23Jhmb5RCL828b99i70vPFTgZX5hLqJnHyxhCRuMTDdmMlU/Vr7EjInvJtRTAcMmO+jA2MtPYo1MeQTu3pVjEMH+69zpLyJvJa/YDFSMogISpRZdTTaeqT26zLGrknRG+ksdle7cDVSMVxFpbHsoUbtn+k/gJIoHcXGJ2lfbqIUs1chKNDzquufGt5zrSgizh+WMsCEraKdLr+RZpQYxfQ+9oNCJOwq4GqkGlN0Vqvp2qZL2tsj05H9kwKNHPJIJp/UAHjUgGm+KHsaRqUlszbR3gdE5tjWwqW8yhycWX2S8X3ecNjy2Zxo+BJN2cQvvLNV8tIkMzm6iCoDIMSXnOiqvaoMXEZIxd8XZG8iSS2uDYeQAaP7d1JohSNKAXc40LGybXNkfH2cBnVto7mTPNmm1qkc2BEOPbgaUMWTT+KWYxlzbzNG7dOH/2tpP00t3s+bYPljQkFOwJRwHPY24il067uZA92HuLPSeRU12At99PrOYDhwF+mMln3wjs1WbwmtXXEVDCUq7GdL0UqgVCmLmjgrY5ziySkX4tPmdX8i0LciwNXdj0P0ZjvQ9bZW8yf2N8s9f18pVXI/1pOIVgTnPHQEl5qRjB4Wx996ZbM8PG0XCZmpEkb3Qgqv01061XeiSUlnjfR0JpBzSvQ0lUSp0FH5cqHM2dTGZ/AXkYDzCu4uOStbVdxGy/mM/AxGb9p+g0mrX1UkKgURIvUeSszSWpxkfGPJ0rOqOkiRWSz6TJljG++nnTdQsuxEdR5HDLOl5e89UicqjminMOi6T5xs0tzS7Ztjn7/GNXh32Jj2gyejxsyx4zNmbrVKMQRrdbzkYkGyUeazyiS/fYM4iRmJlksX17lkkFF43amPft+pKzHjRHT0ZpukzmTzFOHmG0XZyzm8Ne0md1/pac2o9C9q76ubG9xZqd7d3QwgzXZDFuWmsFl6LvYtSQeIkBluZ88YiGSDENyZRtHTbGRTg6G2t3cYmRxlq4zMKv4WdcO5v7WJwaGygh+kLzltZKPpTMhbUlMNe5TrclpmOrw6hIDiH1vJRe9cb153w1mOH06dMW0HlGY4jdFDa0YXzys4ZHVsI1H6MhvIMj1/mobarsqU7HsUxAmqs11DxT8yPNJzVIxjWXrQ1pYo7ayLOWidQUBMVMWwtmaEMLlNfiq+bf1WyKphjmON55ClmheZKRusm6JdNSsCYEMbeRC8ToeLbZDQOSraPYmkQ/bBtZ2tJK0GE6b1tRDdP1q9F2j2T4NHJi7vds41qLP0vHhN222GIPx90Wm+PiIYySazCIt7b0nmsT0wVz+ev0j7kOtS2kzRrEkbVyqJnX5GXULoZMQObB2nPxNESJjEs2k4CLI94mfSfvx9isppSherLn0pmFrDNBEiR3aZxKWpK7vRbGNoeQpGaKT2NC0HXw3dz9OXImpCVDHcl+d94FhlnDNp1/DXH2S7sSUzKmEz+urPLG57/q+q9dRD+86P3djd6j2X1z7dP5j54/u7z02/8PYs380jZwAQA=</AdaptiveCompressedXml>
</file>

<file path=customXml/item5.xml><?xml version="1.0" encoding="utf-8"?>
<AdaptiveCompressedXml id="53db68a947034f32b1c058314592b1f6">H4sIAAAAAAAEAO2dS28cxxGA7wHyHwjey+yqrn4ZtAxH9kFA/IAlH5JbdXd1RISiBC4TR/8+PbK1I1FUOJfZZCatgwTNs2d3PlTVfDW9l1//69X12T/19nD1+uarc/zCnH/95I9/uHz+UvXu7Fn96tzZmn2UBByMBW6WIGMx4KJFdokyNn9+9oO80q/Of3wK38rbw3k/wtnZ5WE6xrfarm6u7vrRD++W9uW3+ub17d3zj9f+vrKvfiO3d4fjf4/b/9QXvxuQUjYFC4Pn7IAlJhCNDUSySmFXTNLzD/bvR/jz6yIfneT35Vf17O7tmz7wfgUX91cWvb7+ptZbPRzObl//2j8cPj8rr6//8ap/UOaBHf6ub5/g5cX0z0dnv3jw9Jfl9upOb6/k/mH0Wl/pzd3z/vlLlTd9m+mq6fzedtPwbw53clP0kzUfrOsjrv0Cv3n+p19+/svTH7///pcfnr149t1z/PQCpqF+9pDvh3V46GRFrvWmyu13v21zdjUNODhj8NNRf7TDs/oEjTGXFx8seHCH6Ws664e+unv74t03Fh8a/3QF98by0Db6wTAR2X5mkJ+cM33unPqZcx3X3P/Ujiv6t3zvZnngtri8mBH4D2DUUHwKvoJV7bjmaCCm1MBxcGJN0Sa8Dhj2cTBogHEEgwcYJwVDrWm+SQaLRYArMURnEKxH07SHEuK6Dhj0OBh2gHEEww4wTgqGWMpOqedOlaaI0fMpIU7QTJFkkw/ZrQQGPg4GDzCOYNAA46RgtOhqCa5BZ6BHjOIEcu1gpNh81Za9trIOGOZxMNwA4wgGDjBOCkbMRdBrgIDai2+H1FOp1vOplnx00mwM60SM9DgXfnBx5MIMLk7KhRPJjFjAVKPA5CNk6VEj2cjeUCxVwypcxMe5CIOL91z4NLg4LRfE0ggD+Eo6VRgFUkUDRqlyaSU561fhIjzORRxcHLmIg4sT51GsQQ1BcJmBtfQaPOQeL4KvMfW0isitwoV/nIs0uDhyEQYXpy28OYn3AQEbGeBmLOTWkynUpOjJMOM68cItcHtmgHEEww8wThswPHJM3oArFoFrzdBBQZCqhqPhVNSuAsYS6T2s9wzGsN6nBcPYmqMhhqY9f+I0VRiYPASjpoXqqQeSVcBYIL1xWO8ZjGG9T9wOYpIYnkKE1NJTqZwgRyeA0dkWAjZs6zySogU1Bg7tfSQjbqPIYL8XMqL1uTUtUNl2MmwJII5dL8PV97JcvG1pHTKWVBnDe89kbKPK2A8ZKCU6CgmolQRMzYBMgSOUbKl4zM6vk0zRkjJjiO+ZjG2UGfshI4oNPW+ykJNkYKPTs1qboLCf8iySTOs8mKIldcZQ3zMZ26gz9kOGik+cPEEtPVywbRmyugJRmClrqIyyDhkLumtxyO+ZjG201+6HDKmUvYm9sEA3xYzmIeXkwaPNkthSWqlZiha01+LQ3zMZ2+iv3Q8ZpFSCn/pApnZz7hEEUuIM1bmcDKdYeR39TQv6a3EI8JmMbTTY7ocMReur5AzIrgG3WkAYK8RWGFOtUmilVzIWdNjSMOAzGdtosd0PGWydMGkvuSP5nlKVnk2RCMTgasms6Gidp7a4oMeWhgI/khG20WS7HzLQVUMBI2Q/vd9qK0KKtoLRGopJjlpeaUaEBV22NBz4TMY22mz3Q0Zxknq1naDnsQTspJPhe3KlHGNJ0SivVIHjAgdOw4HPZAwHfuIXM0rLsXCFEILtFXgOnYwq0HxtqWmlTCvFjAUOnIYDn8kYDvy0ZKSijlQjVK7cK/CUIeXIYEgwpoSZUl6noXDBsykaDvxIRtrGs6lo9kIGGTWFnIBPk+kr3kIq6KAHjIAGk8aVyKAldcZw4POzqW3UGfshwzgTsOdPUPM09VoJCFkNQ79Ccd6UJm6dbIqWPJsaDnwmYxvPpvZDRrM9MEjqQUJKAE6UQYLEKYR4jWj7H1yHjCU+YzjwOZvahs/YDxnRWyVysZfcmoFrnCZfCwzaYnPTNCIxruPA7YLuEBoOfCZjG90h+yGD0VcvBkHJCDBN0xI256G60DQGaSmsRMaS+TqHA5/J2EZH4X7IUCfOtFgh5Gx7nZE8SK4EVDGX6jSLieuQsaAL3Q4HPpOxjS70/ZAxTRwSLBEwCnYyigXpCRaESM7FkjLZdbrQ7YI3l+xw4DMZ23hzaT9kFJ9j4FwgW1enCRKmCjwiUJLiWmsScZ1nU3aB6bPDgc9kbMP07YeMIFYxFQFb0QMLR+g3UAAXfTbiOZm4zjt9dkF3iB0OfCZjG90h+yGDVE1xmkAz9jrDaoPsPUEzmCmX5kJcp9fWLjB9djjwmYxh+k5cZ5DxyaYeJKjkXmxYC0mDB8dqbbUhi12JjAWmzw4HPpMxTN+pTV8wllODlk2c5tKhXnHINGFCscKh9MxqnZ8fswtMnx2m7/0tZ80mTB+hf+Cjffic/+NkpBijL9qhsNN8U7H1bCqFCKq1RwtxFd06s+rwgo5CO0zfTMYmOgp3RAb5GEkDQREmYGM7GbYwpJRyUJe9ZlqHjCU/QDZM30zGJhz4jsiwjdmYpECEDrg5hFRMAq+OmzclYFlpvucFDpyH6ZvJ2IQD3xMZNjUJ2UJ514VOEUGcYdAcGY11hXkdn8ELHDgP0zeTsQkHviMyDFXG6BQSll5sIFaQggH619AyKgXidRw4L3DgPEzfTMYmHPiOyBClSmlSGdm4qQy3ICnXKZtKEo0l59bpKOQFDpyH6ZvJ2IQD3xMZLWsMPWbU3HoFnlOvM0Ts9Fo4akVNyOt0FPICB87D9M1kbMKB74gMtFXU1drTp6DAOtUZQgXQN+1hIwfy67y5xAscOA/TN5OxCQe+IzJMUhfFpB4psFfgJnnIMTXQWpMTU5ncSjFjgQPn8bbrTMYmHPieyCDrWsEMpfppvikViGR6zAgsxophs5ID5wUOnIcDP5KBw4GfmAx2tYRop0kJE3ASBbEOoUb1qqEmT+s8m3ILHDgPBz6TMRz4ibvQMZlWzbtfzegxowdtyOwSROtqMMLOmnW6Qz4Agz7XHPL/mUx91KG39DZ74DP/bQyfu80+uaXd4lbAB6/2v3VLX1686f+dD3z5Ug5PX8rN3/TwpMn1QS8vPlhy3Orq8PT3E3x3I/la6/uNP11x3OdaDnc/a+v38MsXV6/0CU0//IoIaF8gf2njl5i+sMGQc/TXy4v7Wx8Pc3j5+tenr2/u+mU/63/fHrRM9/NxuJ9d/9sR3n8Kz1+q3n2r7erm6ojDtPNHS6edLi/ebfrk38V3v+5umQAA</AdaptiveCompressedXml>
</file>

<file path=customXml/itemProps1.xml><?xml version="1.0" encoding="utf-8"?>
<ds:datastoreItem xmlns:ds="http://schemas.openxmlformats.org/officeDocument/2006/customXml" ds:itemID="{C399AEF6-0902-4545-BC53-6BECD1A606E4}">
  <ds:schemaRefs/>
</ds:datastoreItem>
</file>

<file path=customXml/itemProps2.xml><?xml version="1.0" encoding="utf-8"?>
<ds:datastoreItem xmlns:ds="http://schemas.openxmlformats.org/officeDocument/2006/customXml" ds:itemID="{AEDD427A-4528-45F2-A944-471C5C2A3454}">
  <ds:schemaRefs/>
</ds:datastoreItem>
</file>

<file path=customXml/itemProps3.xml><?xml version="1.0" encoding="utf-8"?>
<ds:datastoreItem xmlns:ds="http://schemas.openxmlformats.org/officeDocument/2006/customXml" ds:itemID="{22F97607-E088-4934-AB82-655FD77FB915}">
  <ds:schemaRefs/>
</ds:datastoreItem>
</file>

<file path=customXml/itemProps4.xml><?xml version="1.0" encoding="utf-8"?>
<ds:datastoreItem xmlns:ds="http://schemas.openxmlformats.org/officeDocument/2006/customXml" ds:itemID="{E1CDFB72-AF96-44A0-96C9-A85A2B81CE8C}">
  <ds:schemaRefs/>
</ds:datastoreItem>
</file>

<file path=customXml/itemProps5.xml><?xml version="1.0" encoding="utf-8"?>
<ds:datastoreItem xmlns:ds="http://schemas.openxmlformats.org/officeDocument/2006/customXml" ds:itemID="{E7A70C60-BF2A-4B02-992D-92B7DC966A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 Load</vt:lpstr>
      <vt:lpstr>OC-SNF PMix Anc Days</vt:lpstr>
      <vt:lpstr>OC-Res Days</vt:lpstr>
      <vt:lpstr>REF</vt:lpstr>
      <vt:lpstr>OC-Days</vt:lpstr>
      <vt:lpstr>prior -&gt;</vt:lpstr>
      <vt:lpstr>BudgetPlanDays2023-Pay Mix</vt:lpstr>
      <vt:lpstr>BudgetPlanDays2023-2nd Persons</vt:lpstr>
      <vt:lpstr>2023 CCRC BudgetPlanDays2023 (P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Lacis, Ashley (Asbury)</dc:creator>
  <cp:lastModifiedBy>Mullen, John (ASCC)</cp:lastModifiedBy>
  <cp:lastPrinted>2023-12-18T21:08:07Z</cp:lastPrinted>
  <dcterms:created xsi:type="dcterms:W3CDTF">2021-12-16T14:43:26Z</dcterms:created>
  <dcterms:modified xsi:type="dcterms:W3CDTF">2024-11-14T17:27:06Z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aptiveDocumentId">
    <vt:lpwstr>ed8a73ef-57e3-4464-9683-c54e8a39a485</vt:lpwstr>
  </property>
  <property fmtid="{D5CDD505-2E9C-101B-9397-08002B2CF9AE}" pid="3" name="AdaptiveReportingVersion">
    <vt:lpwstr>5</vt:lpwstr>
  </property>
  <property fmtid="{D5CDD505-2E9C-101B-9397-08002B2CF9AE}" pid="4" name="AdaptiveReportingRevision">
    <vt:lpwstr>0</vt:lpwstr>
  </property>
  <property fmtid="{D5CDD505-2E9C-101B-9397-08002B2CF9AE}" pid="5" name="AdaptiveCustomXmlPartId">
    <vt:lpwstr>aedd427a-4528-45f2-a944-471c5c2a3454</vt:lpwstr>
  </property>
</Properties>
</file>