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I:\Asbury Services\Projections\Projections 2025\2025 Budget\Data Warehouse\"/>
    </mc:Choice>
  </mc:AlternateContent>
  <xr:revisionPtr revIDLastSave="0" documentId="13_ncr:1_{71AD939D-853B-4490-BD79-CB0EF9B3B7F6}" xr6:coauthVersionLast="47" xr6:coauthVersionMax="47" xr10:uidLastSave="{00000000-0000-0000-0000-000000000000}"/>
  <bookViews>
    <workbookView xWindow="-28920" yWindow="-120" windowWidth="29040" windowHeight="16440" firstSheet="2" activeTab="2" xr2:uid="{00000000-000D-0000-FFFF-FFFF00000000}"/>
  </bookViews>
  <sheets>
    <sheet name="CrossfireHiddenWorksheet" sheetId="3" state="veryHidden" r:id="rId1"/>
    <sheet name="OfficeConnectCellHighlights" sheetId="4" state="veryHidden" r:id="rId2"/>
    <sheet name="2025 Load" sheetId="6" r:id="rId3"/>
    <sheet name="2025 Load-Monthly" sheetId="10" r:id="rId4"/>
    <sheet name="OC" sheetId="2" r:id="rId5"/>
    <sheet name="OC-Monthly" sheetId="9" r:id="rId6"/>
    <sheet name="OC-Expand" sheetId="7" r:id="rId7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72" i="10" l="1" a="1"/>
  <c r="J472" i="10" s="1"/>
  <c r="M472" i="10" s="1"/>
  <c r="I472" i="10" a="1"/>
  <c r="I472" i="10" s="1"/>
  <c r="J471" i="10" a="1"/>
  <c r="J471" i="10" s="1"/>
  <c r="I471" i="10" a="1"/>
  <c r="I471" i="10" s="1"/>
  <c r="J470" i="10" a="1"/>
  <c r="J470" i="10" s="1"/>
  <c r="I470" i="10" a="1"/>
  <c r="I470" i="10" s="1"/>
  <c r="J469" i="10" a="1"/>
  <c r="J469" i="10" s="1"/>
  <c r="I469" i="10" a="1"/>
  <c r="I469" i="10" s="1"/>
  <c r="J468" i="10" a="1"/>
  <c r="J468" i="10" s="1"/>
  <c r="I468" i="10" a="1"/>
  <c r="I468" i="10" s="1"/>
  <c r="J467" i="10" a="1"/>
  <c r="J467" i="10" s="1"/>
  <c r="I467" i="10" a="1"/>
  <c r="I467" i="10" s="1"/>
  <c r="J466" i="10" a="1"/>
  <c r="J466" i="10" s="1"/>
  <c r="I466" i="10" a="1"/>
  <c r="I466" i="10" s="1"/>
  <c r="J465" i="10" a="1"/>
  <c r="J465" i="10" s="1"/>
  <c r="I465" i="10" a="1"/>
  <c r="I465" i="10" s="1"/>
  <c r="J464" i="10" a="1"/>
  <c r="J464" i="10" s="1"/>
  <c r="I464" i="10" a="1"/>
  <c r="I464" i="10" s="1"/>
  <c r="J463" i="10" a="1"/>
  <c r="J463" i="10" s="1"/>
  <c r="I463" i="10" a="1"/>
  <c r="I463" i="10" s="1"/>
  <c r="J462" i="10" a="1"/>
  <c r="J462" i="10" s="1"/>
  <c r="I462" i="10" a="1"/>
  <c r="I462" i="10" s="1"/>
  <c r="J461" i="10" a="1"/>
  <c r="J461" i="10" s="1"/>
  <c r="I461" i="10" a="1"/>
  <c r="I461" i="10" s="1"/>
  <c r="J460" i="10" a="1"/>
  <c r="J460" i="10" s="1"/>
  <c r="I460" i="10" a="1"/>
  <c r="I460" i="10" s="1"/>
  <c r="J459" i="10" a="1"/>
  <c r="J459" i="10" s="1"/>
  <c r="I459" i="10" a="1"/>
  <c r="I459" i="10" s="1"/>
  <c r="J458" i="10" a="1"/>
  <c r="J458" i="10" s="1"/>
  <c r="I458" i="10" a="1"/>
  <c r="I458" i="10" s="1"/>
  <c r="J457" i="10" a="1"/>
  <c r="J457" i="10" s="1"/>
  <c r="I457" i="10" a="1"/>
  <c r="I457" i="10" s="1"/>
  <c r="J456" i="10" a="1"/>
  <c r="J456" i="10" s="1"/>
  <c r="I456" i="10" a="1"/>
  <c r="I456" i="10" s="1"/>
  <c r="J455" i="10" a="1"/>
  <c r="J455" i="10" s="1"/>
  <c r="I455" i="10" a="1"/>
  <c r="I455" i="10" s="1"/>
  <c r="J454" i="10" a="1"/>
  <c r="J454" i="10" s="1"/>
  <c r="I454" i="10" a="1"/>
  <c r="I454" i="10" s="1"/>
  <c r="J453" i="10" a="1"/>
  <c r="J453" i="10" s="1"/>
  <c r="I453" i="10" a="1"/>
  <c r="I453" i="10" s="1"/>
  <c r="J452" i="10" a="1"/>
  <c r="J452" i="10" s="1"/>
  <c r="I452" i="10" a="1"/>
  <c r="I452" i="10" s="1"/>
  <c r="J451" i="10" a="1"/>
  <c r="J451" i="10" s="1"/>
  <c r="I451" i="10" a="1"/>
  <c r="I451" i="10" s="1"/>
  <c r="J450" i="10" a="1"/>
  <c r="J450" i="10" s="1"/>
  <c r="I450" i="10" a="1"/>
  <c r="I450" i="10" s="1"/>
  <c r="J449" i="10" a="1"/>
  <c r="J449" i="10" s="1"/>
  <c r="I449" i="10" a="1"/>
  <c r="I449" i="10" s="1"/>
  <c r="J448" i="10" a="1"/>
  <c r="J448" i="10" s="1"/>
  <c r="I448" i="10" a="1"/>
  <c r="I448" i="10" s="1"/>
  <c r="J447" i="10" a="1"/>
  <c r="J447" i="10" s="1"/>
  <c r="I447" i="10" a="1"/>
  <c r="I447" i="10" s="1"/>
  <c r="J446" i="10" a="1"/>
  <c r="J446" i="10" s="1"/>
  <c r="I446" i="10" a="1"/>
  <c r="I446" i="10" s="1"/>
  <c r="J445" i="10" a="1"/>
  <c r="J445" i="10" s="1"/>
  <c r="I445" i="10" a="1"/>
  <c r="I445" i="10" s="1"/>
  <c r="J444" i="10" a="1"/>
  <c r="J444" i="10" s="1"/>
  <c r="I444" i="10" a="1"/>
  <c r="I444" i="10" s="1"/>
  <c r="J443" i="10" a="1"/>
  <c r="J443" i="10" s="1"/>
  <c r="I443" i="10" a="1"/>
  <c r="I443" i="10" s="1"/>
  <c r="J442" i="10" a="1"/>
  <c r="J442" i="10" s="1"/>
  <c r="I442" i="10" a="1"/>
  <c r="I442" i="10" s="1"/>
  <c r="J441" i="10" a="1"/>
  <c r="J441" i="10" s="1"/>
  <c r="I441" i="10" a="1"/>
  <c r="I441" i="10" s="1"/>
  <c r="J440" i="10" a="1"/>
  <c r="J440" i="10" s="1"/>
  <c r="I440" i="10" a="1"/>
  <c r="I440" i="10" s="1"/>
  <c r="J439" i="10" a="1"/>
  <c r="J439" i="10" s="1"/>
  <c r="I439" i="10" a="1"/>
  <c r="I439" i="10" s="1"/>
  <c r="J438" i="10" a="1"/>
  <c r="J438" i="10" s="1"/>
  <c r="I438" i="10" a="1"/>
  <c r="I438" i="10" s="1"/>
  <c r="J437" i="10" a="1"/>
  <c r="J437" i="10" s="1"/>
  <c r="I437" i="10" a="1"/>
  <c r="I437" i="10" s="1"/>
  <c r="J436" i="10" a="1"/>
  <c r="J436" i="10" s="1"/>
  <c r="I436" i="10" a="1"/>
  <c r="I436" i="10" s="1"/>
  <c r="J435" i="10" a="1"/>
  <c r="J435" i="10" s="1"/>
  <c r="I435" i="10" a="1"/>
  <c r="I435" i="10" s="1"/>
  <c r="J434" i="10" a="1"/>
  <c r="J434" i="10" s="1"/>
  <c r="I434" i="10" a="1"/>
  <c r="I434" i="10" s="1"/>
  <c r="J433" i="10" a="1"/>
  <c r="J433" i="10" s="1"/>
  <c r="I433" i="10" a="1"/>
  <c r="I433" i="10" s="1"/>
  <c r="J432" i="10" a="1"/>
  <c r="J432" i="10" s="1"/>
  <c r="I432" i="10" a="1"/>
  <c r="I432" i="10" s="1"/>
  <c r="J431" i="10" a="1"/>
  <c r="J431" i="10" s="1"/>
  <c r="I431" i="10" a="1"/>
  <c r="I431" i="10" s="1"/>
  <c r="J430" i="10" a="1"/>
  <c r="J430" i="10" s="1"/>
  <c r="I430" i="10" a="1"/>
  <c r="I430" i="10" s="1"/>
  <c r="J429" i="10" a="1"/>
  <c r="J429" i="10" s="1"/>
  <c r="I429" i="10" a="1"/>
  <c r="I429" i="10" s="1"/>
  <c r="J428" i="10" a="1"/>
  <c r="J428" i="10" s="1"/>
  <c r="I428" i="10" a="1"/>
  <c r="I428" i="10" s="1"/>
  <c r="J427" i="10" a="1"/>
  <c r="J427" i="10" s="1"/>
  <c r="I427" i="10" a="1"/>
  <c r="I427" i="10" s="1"/>
  <c r="J426" i="10" a="1"/>
  <c r="J426" i="10" s="1"/>
  <c r="I426" i="10" a="1"/>
  <c r="I426" i="10" s="1"/>
  <c r="J425" i="10" a="1"/>
  <c r="J425" i="10" s="1"/>
  <c r="I425" i="10" a="1"/>
  <c r="I425" i="10" s="1"/>
  <c r="J424" i="10" a="1"/>
  <c r="J424" i="10" s="1"/>
  <c r="I424" i="10" a="1"/>
  <c r="I424" i="10" s="1"/>
  <c r="J423" i="10" a="1"/>
  <c r="J423" i="10" s="1"/>
  <c r="I423" i="10" a="1"/>
  <c r="I423" i="10" s="1"/>
  <c r="J422" i="10" a="1"/>
  <c r="J422" i="10" s="1"/>
  <c r="I422" i="10" a="1"/>
  <c r="I422" i="10" s="1"/>
  <c r="J421" i="10" a="1"/>
  <c r="J421" i="10" s="1"/>
  <c r="I421" i="10" a="1"/>
  <c r="I421" i="10" s="1"/>
  <c r="J420" i="10" a="1"/>
  <c r="J420" i="10" s="1"/>
  <c r="I420" i="10" a="1"/>
  <c r="I420" i="10" s="1"/>
  <c r="J419" i="10" a="1"/>
  <c r="J419" i="10" s="1"/>
  <c r="I419" i="10" a="1"/>
  <c r="I419" i="10" s="1"/>
  <c r="J418" i="10" a="1"/>
  <c r="J418" i="10" s="1"/>
  <c r="I418" i="10" a="1"/>
  <c r="I418" i="10" s="1"/>
  <c r="J417" i="10" a="1"/>
  <c r="J417" i="10" s="1"/>
  <c r="I417" i="10" a="1"/>
  <c r="I417" i="10" s="1"/>
  <c r="J416" i="10" a="1"/>
  <c r="J416" i="10" s="1"/>
  <c r="I416" i="10" a="1"/>
  <c r="I416" i="10" s="1"/>
  <c r="J415" i="10" a="1"/>
  <c r="J415" i="10" s="1"/>
  <c r="I415" i="10" a="1"/>
  <c r="I415" i="10" s="1"/>
  <c r="J414" i="10" a="1"/>
  <c r="J414" i="10" s="1"/>
  <c r="I414" i="10" a="1"/>
  <c r="I414" i="10" s="1"/>
  <c r="J413" i="10" a="1"/>
  <c r="J413" i="10" s="1"/>
  <c r="I413" i="10" a="1"/>
  <c r="I413" i="10" s="1"/>
  <c r="J412" i="10" a="1"/>
  <c r="J412" i="10" s="1"/>
  <c r="I412" i="10" a="1"/>
  <c r="I412" i="10" s="1"/>
  <c r="J411" i="10" a="1"/>
  <c r="J411" i="10" s="1"/>
  <c r="I411" i="10" a="1"/>
  <c r="I411" i="10" s="1"/>
  <c r="J410" i="10" a="1"/>
  <c r="J410" i="10" s="1"/>
  <c r="I410" i="10" a="1"/>
  <c r="I410" i="10" s="1"/>
  <c r="J409" i="10" a="1"/>
  <c r="J409" i="10" s="1"/>
  <c r="I409" i="10" a="1"/>
  <c r="I409" i="10" s="1"/>
  <c r="J408" i="10" a="1"/>
  <c r="J408" i="10" s="1"/>
  <c r="I408" i="10" a="1"/>
  <c r="I408" i="10" s="1"/>
  <c r="J407" i="10" a="1"/>
  <c r="J407" i="10" s="1"/>
  <c r="I407" i="10" a="1"/>
  <c r="I407" i="10" s="1"/>
  <c r="J406" i="10" a="1"/>
  <c r="J406" i="10" s="1"/>
  <c r="I406" i="10" a="1"/>
  <c r="I406" i="10" s="1"/>
  <c r="J405" i="10" a="1"/>
  <c r="J405" i="10" s="1"/>
  <c r="I405" i="10" a="1"/>
  <c r="I405" i="10" s="1"/>
  <c r="J404" i="10" a="1"/>
  <c r="J404" i="10" s="1"/>
  <c r="I404" i="10" a="1"/>
  <c r="I404" i="10" s="1"/>
  <c r="J403" i="10" a="1"/>
  <c r="J403" i="10" s="1"/>
  <c r="I403" i="10" a="1"/>
  <c r="I403" i="10" s="1"/>
  <c r="J402" i="10" a="1"/>
  <c r="J402" i="10" s="1"/>
  <c r="I402" i="10" a="1"/>
  <c r="I402" i="10" s="1"/>
  <c r="J401" i="10" a="1"/>
  <c r="J401" i="10" s="1"/>
  <c r="I401" i="10" a="1"/>
  <c r="I401" i="10" s="1"/>
  <c r="J400" i="10" a="1"/>
  <c r="J400" i="10" s="1"/>
  <c r="I400" i="10" a="1"/>
  <c r="I400" i="10" s="1"/>
  <c r="J399" i="10" a="1"/>
  <c r="J399" i="10" s="1"/>
  <c r="I399" i="10" a="1"/>
  <c r="I399" i="10" s="1"/>
  <c r="J398" i="10" a="1"/>
  <c r="J398" i="10" s="1"/>
  <c r="I398" i="10" a="1"/>
  <c r="I398" i="10" s="1"/>
  <c r="J397" i="10" a="1"/>
  <c r="J397" i="10" s="1"/>
  <c r="I397" i="10" a="1"/>
  <c r="I397" i="10" s="1"/>
  <c r="J396" i="10" a="1"/>
  <c r="J396" i="10" s="1"/>
  <c r="I396" i="10" a="1"/>
  <c r="I396" i="10" s="1"/>
  <c r="J395" i="10" a="1"/>
  <c r="J395" i="10" s="1"/>
  <c r="I395" i="10" a="1"/>
  <c r="I395" i="10" s="1"/>
  <c r="J394" i="10" a="1"/>
  <c r="J394" i="10" s="1"/>
  <c r="I394" i="10" a="1"/>
  <c r="I394" i="10" s="1"/>
  <c r="J393" i="10" a="1"/>
  <c r="J393" i="10" s="1"/>
  <c r="I393" i="10" a="1"/>
  <c r="I393" i="10" s="1"/>
  <c r="J392" i="10" a="1"/>
  <c r="J392" i="10" s="1"/>
  <c r="I392" i="10" a="1"/>
  <c r="I392" i="10" s="1"/>
  <c r="J391" i="10" a="1"/>
  <c r="J391" i="10" s="1"/>
  <c r="I391" i="10" a="1"/>
  <c r="I391" i="10" s="1"/>
  <c r="J390" i="10" a="1"/>
  <c r="J390" i="10" s="1"/>
  <c r="I390" i="10" a="1"/>
  <c r="I390" i="10" s="1"/>
  <c r="J389" i="10" a="1"/>
  <c r="J389" i="10" s="1"/>
  <c r="I389" i="10" a="1"/>
  <c r="I389" i="10" s="1"/>
  <c r="J388" i="10" a="1"/>
  <c r="J388" i="10" s="1"/>
  <c r="I388" i="10" a="1"/>
  <c r="I388" i="10" s="1"/>
  <c r="J387" i="10" a="1"/>
  <c r="J387" i="10" s="1"/>
  <c r="I387" i="10" a="1"/>
  <c r="I387" i="10" s="1"/>
  <c r="J386" i="10" a="1"/>
  <c r="J386" i="10" s="1"/>
  <c r="I386" i="10" a="1"/>
  <c r="I386" i="10" s="1"/>
  <c r="J385" i="10" a="1"/>
  <c r="J385" i="10" s="1"/>
  <c r="I385" i="10" a="1"/>
  <c r="I385" i="10" s="1"/>
  <c r="J384" i="10" a="1"/>
  <c r="J384" i="10" s="1"/>
  <c r="I384" i="10" a="1"/>
  <c r="I384" i="10" s="1"/>
  <c r="J383" i="10" a="1"/>
  <c r="J383" i="10" s="1"/>
  <c r="I383" i="10" a="1"/>
  <c r="I383" i="10" s="1"/>
  <c r="J382" i="10" a="1"/>
  <c r="J382" i="10" s="1"/>
  <c r="I382" i="10" a="1"/>
  <c r="I382" i="10" s="1"/>
  <c r="J381" i="10" a="1"/>
  <c r="J381" i="10" s="1"/>
  <c r="I381" i="10" a="1"/>
  <c r="I381" i="10" s="1"/>
  <c r="J380" i="10" a="1"/>
  <c r="J380" i="10" s="1"/>
  <c r="I380" i="10" a="1"/>
  <c r="I380" i="10" s="1"/>
  <c r="J379" i="10" a="1"/>
  <c r="J379" i="10" s="1"/>
  <c r="I379" i="10" a="1"/>
  <c r="I379" i="10" s="1"/>
  <c r="J378" i="10" a="1"/>
  <c r="J378" i="10" s="1"/>
  <c r="I378" i="10" a="1"/>
  <c r="I378" i="10" s="1"/>
  <c r="J377" i="10" a="1"/>
  <c r="J377" i="10" s="1"/>
  <c r="I377" i="10" a="1"/>
  <c r="I377" i="10" s="1"/>
  <c r="J376" i="10" a="1"/>
  <c r="J376" i="10" s="1"/>
  <c r="I376" i="10" a="1"/>
  <c r="I376" i="10" s="1"/>
  <c r="J375" i="10" a="1"/>
  <c r="J375" i="10" s="1"/>
  <c r="I375" i="10" a="1"/>
  <c r="I375" i="10" s="1"/>
  <c r="J374" i="10" a="1"/>
  <c r="J374" i="10" s="1"/>
  <c r="I374" i="10" a="1"/>
  <c r="I374" i="10" s="1"/>
  <c r="J373" i="10" a="1"/>
  <c r="J373" i="10" s="1"/>
  <c r="I373" i="10" a="1"/>
  <c r="I373" i="10" s="1"/>
  <c r="J372" i="10" a="1"/>
  <c r="J372" i="10" s="1"/>
  <c r="I372" i="10" a="1"/>
  <c r="I372" i="10" s="1"/>
  <c r="J371" i="10" a="1"/>
  <c r="J371" i="10" s="1"/>
  <c r="I371" i="10" a="1"/>
  <c r="I371" i="10" s="1"/>
  <c r="J370" i="10" a="1"/>
  <c r="J370" i="10" s="1"/>
  <c r="I370" i="10" a="1"/>
  <c r="I370" i="10" s="1"/>
  <c r="J369" i="10" a="1"/>
  <c r="J369" i="10" s="1"/>
  <c r="I369" i="10" a="1"/>
  <c r="I369" i="10" s="1"/>
  <c r="J368" i="10" a="1"/>
  <c r="J368" i="10" s="1"/>
  <c r="I368" i="10" a="1"/>
  <c r="I368" i="10" s="1"/>
  <c r="J367" i="10" a="1"/>
  <c r="J367" i="10" s="1"/>
  <c r="I367" i="10" a="1"/>
  <c r="I367" i="10" s="1"/>
  <c r="J366" i="10" a="1"/>
  <c r="J366" i="10" s="1"/>
  <c r="I366" i="10" a="1"/>
  <c r="I366" i="10" s="1"/>
  <c r="J365" i="10" a="1"/>
  <c r="J365" i="10" s="1"/>
  <c r="I365" i="10" a="1"/>
  <c r="I365" i="10" s="1"/>
  <c r="J364" i="10" a="1"/>
  <c r="J364" i="10" s="1"/>
  <c r="I364" i="10" a="1"/>
  <c r="I364" i="10" s="1"/>
  <c r="J363" i="10" a="1"/>
  <c r="J363" i="10" s="1"/>
  <c r="I363" i="10" a="1"/>
  <c r="I363" i="10" s="1"/>
  <c r="J362" i="10" a="1"/>
  <c r="J362" i="10" s="1"/>
  <c r="I362" i="10" a="1"/>
  <c r="I362" i="10" s="1"/>
  <c r="J361" i="10" a="1"/>
  <c r="J361" i="10" s="1"/>
  <c r="I361" i="10" a="1"/>
  <c r="I361" i="10" s="1"/>
  <c r="J360" i="10" a="1"/>
  <c r="J360" i="10" s="1"/>
  <c r="I360" i="10" a="1"/>
  <c r="I360" i="10" s="1"/>
  <c r="J359" i="10" a="1"/>
  <c r="J359" i="10" s="1"/>
  <c r="I359" i="10" a="1"/>
  <c r="I359" i="10" s="1"/>
  <c r="J358" i="10" a="1"/>
  <c r="J358" i="10" s="1"/>
  <c r="I358" i="10" a="1"/>
  <c r="I358" i="10" s="1"/>
  <c r="J357" i="10" a="1"/>
  <c r="J357" i="10" s="1"/>
  <c r="I357" i="10" a="1"/>
  <c r="I357" i="10" s="1"/>
  <c r="J356" i="10" a="1"/>
  <c r="J356" i="10" s="1"/>
  <c r="I356" i="10" a="1"/>
  <c r="I356" i="10" s="1"/>
  <c r="J355" i="10" a="1"/>
  <c r="J355" i="10" s="1"/>
  <c r="I355" i="10" a="1"/>
  <c r="I355" i="10" s="1"/>
  <c r="J354" i="10" a="1"/>
  <c r="J354" i="10" s="1"/>
  <c r="I354" i="10" a="1"/>
  <c r="I354" i="10" s="1"/>
  <c r="J353" i="10" a="1"/>
  <c r="J353" i="10" s="1"/>
  <c r="I353" i="10" a="1"/>
  <c r="I353" i="10" s="1"/>
  <c r="J352" i="10" a="1"/>
  <c r="J352" i="10" s="1"/>
  <c r="I352" i="10" a="1"/>
  <c r="I352" i="10" s="1"/>
  <c r="J351" i="10" a="1"/>
  <c r="J351" i="10" s="1"/>
  <c r="I351" i="10" a="1"/>
  <c r="I351" i="10" s="1"/>
  <c r="J350" i="10" a="1"/>
  <c r="J350" i="10" s="1"/>
  <c r="I350" i="10" a="1"/>
  <c r="I350" i="10" s="1"/>
  <c r="J349" i="10" a="1"/>
  <c r="J349" i="10" s="1"/>
  <c r="I349" i="10" a="1"/>
  <c r="I349" i="10" s="1"/>
  <c r="J348" i="10" a="1"/>
  <c r="J348" i="10" s="1"/>
  <c r="I348" i="10" a="1"/>
  <c r="I348" i="10" s="1"/>
  <c r="J347" i="10" a="1"/>
  <c r="J347" i="10" s="1"/>
  <c r="I347" i="10" a="1"/>
  <c r="I347" i="10" s="1"/>
  <c r="J346" i="10" a="1"/>
  <c r="J346" i="10" s="1"/>
  <c r="I346" i="10" a="1"/>
  <c r="I346" i="10" s="1"/>
  <c r="J345" i="10" a="1"/>
  <c r="J345" i="10" s="1"/>
  <c r="I345" i="10" a="1"/>
  <c r="I345" i="10" s="1"/>
  <c r="J344" i="10" a="1"/>
  <c r="J344" i="10" s="1"/>
  <c r="I344" i="10" a="1"/>
  <c r="I344" i="10" s="1"/>
  <c r="J343" i="10" a="1"/>
  <c r="J343" i="10" s="1"/>
  <c r="I343" i="10" a="1"/>
  <c r="I343" i="10" s="1"/>
  <c r="J342" i="10" a="1"/>
  <c r="J342" i="10" s="1"/>
  <c r="I342" i="10" a="1"/>
  <c r="I342" i="10" s="1"/>
  <c r="J341" i="10" a="1"/>
  <c r="J341" i="10" s="1"/>
  <c r="I341" i="10" a="1"/>
  <c r="I341" i="10" s="1"/>
  <c r="J340" i="10" a="1"/>
  <c r="J340" i="10" s="1"/>
  <c r="I340" i="10" a="1"/>
  <c r="I340" i="10" s="1"/>
  <c r="J339" i="10" a="1"/>
  <c r="J339" i="10" s="1"/>
  <c r="I339" i="10" a="1"/>
  <c r="I339" i="10" s="1"/>
  <c r="J338" i="10" a="1"/>
  <c r="J338" i="10" s="1"/>
  <c r="I338" i="10" a="1"/>
  <c r="I338" i="10" s="1"/>
  <c r="J337" i="10" a="1"/>
  <c r="J337" i="10" s="1"/>
  <c r="I337" i="10" a="1"/>
  <c r="I337" i="10" s="1"/>
  <c r="J336" i="10" a="1"/>
  <c r="J336" i="10" s="1"/>
  <c r="I336" i="10" a="1"/>
  <c r="I336" i="10" s="1"/>
  <c r="J335" i="10" a="1"/>
  <c r="J335" i="10" s="1"/>
  <c r="I335" i="10" a="1"/>
  <c r="I335" i="10" s="1"/>
  <c r="J334" i="10" a="1"/>
  <c r="J334" i="10" s="1"/>
  <c r="I334" i="10" a="1"/>
  <c r="I334" i="10" s="1"/>
  <c r="J333" i="10" a="1"/>
  <c r="J333" i="10" s="1"/>
  <c r="I333" i="10" a="1"/>
  <c r="I333" i="10" s="1"/>
  <c r="J332" i="10" a="1"/>
  <c r="J332" i="10" s="1"/>
  <c r="I332" i="10" a="1"/>
  <c r="I332" i="10" s="1"/>
  <c r="J331" i="10" a="1"/>
  <c r="J331" i="10" s="1"/>
  <c r="I331" i="10" a="1"/>
  <c r="I331" i="10" s="1"/>
  <c r="J330" i="10" a="1"/>
  <c r="J330" i="10" s="1"/>
  <c r="I330" i="10" a="1"/>
  <c r="I330" i="10" s="1"/>
  <c r="J329" i="10" a="1"/>
  <c r="J329" i="10" s="1"/>
  <c r="I329" i="10" a="1"/>
  <c r="I329" i="10" s="1"/>
  <c r="J328" i="10" a="1"/>
  <c r="J328" i="10" s="1"/>
  <c r="I328" i="10" a="1"/>
  <c r="I328" i="10" s="1"/>
  <c r="J327" i="10" a="1"/>
  <c r="J327" i="10" s="1"/>
  <c r="I327" i="10" a="1"/>
  <c r="I327" i="10" s="1"/>
  <c r="J326" i="10" a="1"/>
  <c r="J326" i="10" s="1"/>
  <c r="I326" i="10" a="1"/>
  <c r="I326" i="10" s="1"/>
  <c r="J325" i="10" a="1"/>
  <c r="J325" i="10" s="1"/>
  <c r="I325" i="10" a="1"/>
  <c r="I325" i="10" s="1"/>
  <c r="J324" i="10" a="1"/>
  <c r="J324" i="10" s="1"/>
  <c r="I324" i="10" a="1"/>
  <c r="I324" i="10" s="1"/>
  <c r="J323" i="10" a="1"/>
  <c r="J323" i="10" s="1"/>
  <c r="I323" i="10" a="1"/>
  <c r="I323" i="10" s="1"/>
  <c r="J322" i="10" a="1"/>
  <c r="J322" i="10" s="1"/>
  <c r="I322" i="10" a="1"/>
  <c r="I322" i="10" s="1"/>
  <c r="J321" i="10" a="1"/>
  <c r="J321" i="10" s="1"/>
  <c r="I321" i="10" a="1"/>
  <c r="I321" i="10" s="1"/>
  <c r="J320" i="10" a="1"/>
  <c r="J320" i="10" s="1"/>
  <c r="I320" i="10" a="1"/>
  <c r="I320" i="10" s="1"/>
  <c r="J319" i="10" a="1"/>
  <c r="J319" i="10" s="1"/>
  <c r="I319" i="10" a="1"/>
  <c r="I319" i="10" s="1"/>
  <c r="J318" i="10" a="1"/>
  <c r="J318" i="10" s="1"/>
  <c r="I318" i="10" a="1"/>
  <c r="I318" i="10" s="1"/>
  <c r="J317" i="10" a="1"/>
  <c r="J317" i="10" s="1"/>
  <c r="I317" i="10" a="1"/>
  <c r="I317" i="10" s="1"/>
  <c r="J316" i="10" a="1"/>
  <c r="J316" i="10" s="1"/>
  <c r="I316" i="10" a="1"/>
  <c r="I316" i="10" s="1"/>
  <c r="J315" i="10" a="1"/>
  <c r="J315" i="10" s="1"/>
  <c r="I315" i="10" a="1"/>
  <c r="I315" i="10" s="1"/>
  <c r="J314" i="10" a="1"/>
  <c r="J314" i="10" s="1"/>
  <c r="I314" i="10" a="1"/>
  <c r="I314" i="10" s="1"/>
  <c r="J313" i="10" a="1"/>
  <c r="J313" i="10" s="1"/>
  <c r="I313" i="10" a="1"/>
  <c r="I313" i="10" s="1"/>
  <c r="J312" i="10" a="1"/>
  <c r="J312" i="10" s="1"/>
  <c r="I312" i="10" a="1"/>
  <c r="I312" i="10" s="1"/>
  <c r="J311" i="10" a="1"/>
  <c r="J311" i="10" s="1"/>
  <c r="I311" i="10" a="1"/>
  <c r="I311" i="10" s="1"/>
  <c r="J310" i="10" a="1"/>
  <c r="J310" i="10" s="1"/>
  <c r="I310" i="10" a="1"/>
  <c r="I310" i="10" s="1"/>
  <c r="J309" i="10" a="1"/>
  <c r="J309" i="10" s="1"/>
  <c r="I309" i="10" a="1"/>
  <c r="I309" i="10" s="1"/>
  <c r="J308" i="10" a="1"/>
  <c r="J308" i="10" s="1"/>
  <c r="I308" i="10" a="1"/>
  <c r="I308" i="10" s="1"/>
  <c r="J307" i="10" a="1"/>
  <c r="J307" i="10" s="1"/>
  <c r="I307" i="10" a="1"/>
  <c r="I307" i="10" s="1"/>
  <c r="J306" i="10" a="1"/>
  <c r="J306" i="10" s="1"/>
  <c r="I306" i="10" a="1"/>
  <c r="I306" i="10" s="1"/>
  <c r="J305" i="10" a="1"/>
  <c r="J305" i="10" s="1"/>
  <c r="I305" i="10" a="1"/>
  <c r="I305" i="10" s="1"/>
  <c r="J304" i="10" a="1"/>
  <c r="J304" i="10" s="1"/>
  <c r="I304" i="10" a="1"/>
  <c r="I304" i="10" s="1"/>
  <c r="J303" i="10" a="1"/>
  <c r="J303" i="10" s="1"/>
  <c r="I303" i="10" a="1"/>
  <c r="I303" i="10" s="1"/>
  <c r="J302" i="10" a="1"/>
  <c r="J302" i="10" s="1"/>
  <c r="I302" i="10" a="1"/>
  <c r="I302" i="10" s="1"/>
  <c r="J301" i="10" a="1"/>
  <c r="J301" i="10" s="1"/>
  <c r="I301" i="10" a="1"/>
  <c r="I301" i="10" s="1"/>
  <c r="J300" i="10" a="1"/>
  <c r="J300" i="10" s="1"/>
  <c r="I300" i="10" a="1"/>
  <c r="I300" i="10" s="1"/>
  <c r="J299" i="10" a="1"/>
  <c r="J299" i="10" s="1"/>
  <c r="I299" i="10" a="1"/>
  <c r="I299" i="10" s="1"/>
  <c r="J298" i="10" a="1"/>
  <c r="J298" i="10" s="1"/>
  <c r="I298" i="10" a="1"/>
  <c r="I298" i="10" s="1"/>
  <c r="J297" i="10" a="1"/>
  <c r="J297" i="10" s="1"/>
  <c r="I297" i="10" a="1"/>
  <c r="I297" i="10" s="1"/>
  <c r="J296" i="10" a="1"/>
  <c r="J296" i="10" s="1"/>
  <c r="I296" i="10" a="1"/>
  <c r="I296" i="10" s="1"/>
  <c r="J295" i="10" a="1"/>
  <c r="J295" i="10" s="1"/>
  <c r="I295" i="10" a="1"/>
  <c r="I295" i="10" s="1"/>
  <c r="J294" i="10" a="1"/>
  <c r="J294" i="10" s="1"/>
  <c r="I294" i="10" a="1"/>
  <c r="I294" i="10" s="1"/>
  <c r="J293" i="10" a="1"/>
  <c r="J293" i="10" s="1"/>
  <c r="I293" i="10" a="1"/>
  <c r="I293" i="10" s="1"/>
  <c r="J292" i="10" a="1"/>
  <c r="J292" i="10" s="1"/>
  <c r="I292" i="10" a="1"/>
  <c r="I292" i="10" s="1"/>
  <c r="J291" i="10" a="1"/>
  <c r="J291" i="10" s="1"/>
  <c r="I291" i="10" a="1"/>
  <c r="I291" i="10" s="1"/>
  <c r="J290" i="10" a="1"/>
  <c r="J290" i="10" s="1"/>
  <c r="I290" i="10" a="1"/>
  <c r="I290" i="10" s="1"/>
  <c r="J289" i="10" a="1"/>
  <c r="J289" i="10" s="1"/>
  <c r="I289" i="10" a="1"/>
  <c r="I289" i="10" s="1"/>
  <c r="J288" i="10" a="1"/>
  <c r="J288" i="10" s="1"/>
  <c r="I288" i="10" a="1"/>
  <c r="I288" i="10" s="1"/>
  <c r="J287" i="10" a="1"/>
  <c r="J287" i="10" s="1"/>
  <c r="I287" i="10" a="1"/>
  <c r="I287" i="10" s="1"/>
  <c r="J286" i="10" a="1"/>
  <c r="J286" i="10" s="1"/>
  <c r="I286" i="10" a="1"/>
  <c r="I286" i="10" s="1"/>
  <c r="J285" i="10" a="1"/>
  <c r="J285" i="10" s="1"/>
  <c r="I285" i="10" a="1"/>
  <c r="I285" i="10" s="1"/>
  <c r="J284" i="10" a="1"/>
  <c r="J284" i="10" s="1"/>
  <c r="I284" i="10" a="1"/>
  <c r="I284" i="10" s="1"/>
  <c r="J283" i="10" a="1"/>
  <c r="J283" i="10" s="1"/>
  <c r="I283" i="10" a="1"/>
  <c r="I283" i="10" s="1"/>
  <c r="J282" i="10" a="1"/>
  <c r="J282" i="10" s="1"/>
  <c r="I282" i="10" a="1"/>
  <c r="I282" i="10" s="1"/>
  <c r="J281" i="10" a="1"/>
  <c r="J281" i="10" s="1"/>
  <c r="I281" i="10" a="1"/>
  <c r="I281" i="10" s="1"/>
  <c r="J280" i="10" a="1"/>
  <c r="J280" i="10" s="1"/>
  <c r="I280" i="10" a="1"/>
  <c r="I280" i="10" s="1"/>
  <c r="J279" i="10" a="1"/>
  <c r="J279" i="10" s="1"/>
  <c r="I279" i="10" a="1"/>
  <c r="I279" i="10" s="1"/>
  <c r="J278" i="10" a="1"/>
  <c r="J278" i="10" s="1"/>
  <c r="I278" i="10" a="1"/>
  <c r="I278" i="10" s="1"/>
  <c r="J277" i="10" a="1"/>
  <c r="J277" i="10" s="1"/>
  <c r="I277" i="10" a="1"/>
  <c r="I277" i="10" s="1"/>
  <c r="J276" i="10" a="1"/>
  <c r="J276" i="10" s="1"/>
  <c r="I276" i="10" a="1"/>
  <c r="I276" i="10" s="1"/>
  <c r="J275" i="10" a="1"/>
  <c r="J275" i="10" s="1"/>
  <c r="I275" i="10" a="1"/>
  <c r="I275" i="10" s="1"/>
  <c r="J274" i="10" a="1"/>
  <c r="J274" i="10" s="1"/>
  <c r="I274" i="10" a="1"/>
  <c r="I274" i="10" s="1"/>
  <c r="J273" i="10" a="1"/>
  <c r="J273" i="10" s="1"/>
  <c r="I273" i="10" a="1"/>
  <c r="I273" i="10" s="1"/>
  <c r="J272" i="10" a="1"/>
  <c r="J272" i="10" s="1"/>
  <c r="I272" i="10" a="1"/>
  <c r="I272" i="10" s="1"/>
  <c r="J271" i="10" a="1"/>
  <c r="J271" i="10" s="1"/>
  <c r="I271" i="10" a="1"/>
  <c r="I271" i="10" s="1"/>
  <c r="J270" i="10" a="1"/>
  <c r="J270" i="10" s="1"/>
  <c r="I270" i="10" a="1"/>
  <c r="I270" i="10" s="1"/>
  <c r="J269" i="10" a="1"/>
  <c r="J269" i="10" s="1"/>
  <c r="I269" i="10" a="1"/>
  <c r="I269" i="10" s="1"/>
  <c r="J268" i="10" a="1"/>
  <c r="J268" i="10" s="1"/>
  <c r="I268" i="10" a="1"/>
  <c r="I268" i="10" s="1"/>
  <c r="J267" i="10" a="1"/>
  <c r="J267" i="10" s="1"/>
  <c r="I267" i="10" a="1"/>
  <c r="I267" i="10" s="1"/>
  <c r="J266" i="10" a="1"/>
  <c r="J266" i="10" s="1"/>
  <c r="I266" i="10" a="1"/>
  <c r="I266" i="10" s="1"/>
  <c r="J265" i="10" a="1"/>
  <c r="J265" i="10" s="1"/>
  <c r="I265" i="10" a="1"/>
  <c r="I265" i="10" s="1"/>
  <c r="J264" i="10" a="1"/>
  <c r="J264" i="10" s="1"/>
  <c r="I264" i="10" a="1"/>
  <c r="I264" i="10" s="1"/>
  <c r="J263" i="10" a="1"/>
  <c r="J263" i="10" s="1"/>
  <c r="I263" i="10" a="1"/>
  <c r="I263" i="10" s="1"/>
  <c r="J262" i="10" a="1"/>
  <c r="J262" i="10" s="1"/>
  <c r="I262" i="10" a="1"/>
  <c r="I262" i="10" s="1"/>
  <c r="J261" i="10" a="1"/>
  <c r="J261" i="10" s="1"/>
  <c r="I261" i="10" a="1"/>
  <c r="I261" i="10" s="1"/>
  <c r="J260" i="10" a="1"/>
  <c r="J260" i="10" s="1"/>
  <c r="I260" i="10" a="1"/>
  <c r="I260" i="10" s="1"/>
  <c r="J259" i="10" a="1"/>
  <c r="J259" i="10" s="1"/>
  <c r="I259" i="10" a="1"/>
  <c r="I259" i="10" s="1"/>
  <c r="J258" i="10" a="1"/>
  <c r="J258" i="10" s="1"/>
  <c r="I258" i="10" a="1"/>
  <c r="I258" i="10" s="1"/>
  <c r="J257" i="10" a="1"/>
  <c r="J257" i="10" s="1"/>
  <c r="I257" i="10" a="1"/>
  <c r="I257" i="10" s="1"/>
  <c r="J256" i="10" a="1"/>
  <c r="J256" i="10" s="1"/>
  <c r="I256" i="10" a="1"/>
  <c r="I256" i="10" s="1"/>
  <c r="J255" i="10" a="1"/>
  <c r="J255" i="10" s="1"/>
  <c r="I255" i="10" a="1"/>
  <c r="I255" i="10" s="1"/>
  <c r="J254" i="10" a="1"/>
  <c r="J254" i="10" s="1"/>
  <c r="I254" i="10" a="1"/>
  <c r="I254" i="10" s="1"/>
  <c r="J253" i="10" a="1"/>
  <c r="J253" i="10" s="1"/>
  <c r="I253" i="10" a="1"/>
  <c r="I253" i="10" s="1"/>
  <c r="J252" i="10" a="1"/>
  <c r="J252" i="10" s="1"/>
  <c r="I252" i="10" a="1"/>
  <c r="I252" i="10" s="1"/>
  <c r="J251" i="10" a="1"/>
  <c r="J251" i="10" s="1"/>
  <c r="I251" i="10" a="1"/>
  <c r="I251" i="10" s="1"/>
  <c r="J250" i="10" a="1"/>
  <c r="J250" i="10" s="1"/>
  <c r="I250" i="10" a="1"/>
  <c r="I250" i="10" s="1"/>
  <c r="J249" i="10" a="1"/>
  <c r="J249" i="10" s="1"/>
  <c r="I249" i="10" a="1"/>
  <c r="I249" i="10" s="1"/>
  <c r="J248" i="10" a="1"/>
  <c r="J248" i="10" s="1"/>
  <c r="I248" i="10" a="1"/>
  <c r="I248" i="10" s="1"/>
  <c r="J247" i="10" a="1"/>
  <c r="J247" i="10" s="1"/>
  <c r="I247" i="10" a="1"/>
  <c r="I247" i="10" s="1"/>
  <c r="J246" i="10" a="1"/>
  <c r="J246" i="10" s="1"/>
  <c r="I246" i="10" a="1"/>
  <c r="I246" i="10" s="1"/>
  <c r="J245" i="10" a="1"/>
  <c r="J245" i="10" s="1"/>
  <c r="I245" i="10" a="1"/>
  <c r="I245" i="10" s="1"/>
  <c r="J244" i="10" a="1"/>
  <c r="J244" i="10" s="1"/>
  <c r="I244" i="10" a="1"/>
  <c r="I244" i="10" s="1"/>
  <c r="J243" i="10" a="1"/>
  <c r="J243" i="10" s="1"/>
  <c r="I243" i="10" a="1"/>
  <c r="I243" i="10" s="1"/>
  <c r="J242" i="10" a="1"/>
  <c r="J242" i="10" s="1"/>
  <c r="I242" i="10" a="1"/>
  <c r="I242" i="10" s="1"/>
  <c r="J241" i="10" a="1"/>
  <c r="J241" i="10" s="1"/>
  <c r="I241" i="10" a="1"/>
  <c r="I241" i="10" s="1"/>
  <c r="J240" i="10" a="1"/>
  <c r="J240" i="10" s="1"/>
  <c r="I240" i="10" a="1"/>
  <c r="I240" i="10" s="1"/>
  <c r="J239" i="10" a="1"/>
  <c r="J239" i="10" s="1"/>
  <c r="I239" i="10" a="1"/>
  <c r="I239" i="10" s="1"/>
  <c r="J238" i="10" a="1"/>
  <c r="J238" i="10" s="1"/>
  <c r="I238" i="10" a="1"/>
  <c r="I238" i="10" s="1"/>
  <c r="J237" i="10" a="1"/>
  <c r="J237" i="10" s="1"/>
  <c r="I237" i="10" a="1"/>
  <c r="I237" i="10" s="1"/>
  <c r="J236" i="10" a="1"/>
  <c r="J236" i="10" s="1"/>
  <c r="I236" i="10" a="1"/>
  <c r="I236" i="10" s="1"/>
  <c r="J235" i="10" a="1"/>
  <c r="J235" i="10" s="1"/>
  <c r="I235" i="10" a="1"/>
  <c r="I235" i="10" s="1"/>
  <c r="J234" i="10" a="1"/>
  <c r="J234" i="10" s="1"/>
  <c r="I234" i="10" a="1"/>
  <c r="I234" i="10" s="1"/>
  <c r="J233" i="10" a="1"/>
  <c r="J233" i="10" s="1"/>
  <c r="I233" i="10" a="1"/>
  <c r="I233" i="10" s="1"/>
  <c r="J232" i="10" a="1"/>
  <c r="J232" i="10" s="1"/>
  <c r="I232" i="10" a="1"/>
  <c r="I232" i="10" s="1"/>
  <c r="J231" i="10" a="1"/>
  <c r="J231" i="10" s="1"/>
  <c r="I231" i="10" a="1"/>
  <c r="I231" i="10" s="1"/>
  <c r="J230" i="10" a="1"/>
  <c r="J230" i="10" s="1"/>
  <c r="I230" i="10" a="1"/>
  <c r="I230" i="10" s="1"/>
  <c r="J229" i="10" a="1"/>
  <c r="J229" i="10" s="1"/>
  <c r="I229" i="10" a="1"/>
  <c r="I229" i="10" s="1"/>
  <c r="J228" i="10" a="1"/>
  <c r="J228" i="10" s="1"/>
  <c r="I228" i="10" a="1"/>
  <c r="I228" i="10" s="1"/>
  <c r="J227" i="10" a="1"/>
  <c r="J227" i="10" s="1"/>
  <c r="I227" i="10" a="1"/>
  <c r="I227" i="10" s="1"/>
  <c r="J226" i="10" a="1"/>
  <c r="J226" i="10" s="1"/>
  <c r="I226" i="10" a="1"/>
  <c r="I226" i="10" s="1"/>
  <c r="J225" i="10" a="1"/>
  <c r="J225" i="10" s="1"/>
  <c r="I225" i="10" a="1"/>
  <c r="I225" i="10" s="1"/>
  <c r="J224" i="10" a="1"/>
  <c r="J224" i="10" s="1"/>
  <c r="I224" i="10" a="1"/>
  <c r="I224" i="10" s="1"/>
  <c r="J223" i="10" a="1"/>
  <c r="J223" i="10" s="1"/>
  <c r="I223" i="10" a="1"/>
  <c r="I223" i="10" s="1"/>
  <c r="J222" i="10" a="1"/>
  <c r="J222" i="10" s="1"/>
  <c r="I222" i="10" a="1"/>
  <c r="I222" i="10" s="1"/>
  <c r="J221" i="10" a="1"/>
  <c r="J221" i="10" s="1"/>
  <c r="I221" i="10" a="1"/>
  <c r="I221" i="10" s="1"/>
  <c r="J220" i="10" a="1"/>
  <c r="J220" i="10" s="1"/>
  <c r="I220" i="10" a="1"/>
  <c r="I220" i="10" s="1"/>
  <c r="J219" i="10" a="1"/>
  <c r="J219" i="10" s="1"/>
  <c r="I219" i="10" a="1"/>
  <c r="I219" i="10" s="1"/>
  <c r="J218" i="10" a="1"/>
  <c r="J218" i="10" s="1"/>
  <c r="I218" i="10" a="1"/>
  <c r="I218" i="10" s="1"/>
  <c r="J217" i="10" a="1"/>
  <c r="J217" i="10" s="1"/>
  <c r="I217" i="10" a="1"/>
  <c r="I217" i="10" s="1"/>
  <c r="J216" i="10" a="1"/>
  <c r="J216" i="10" s="1"/>
  <c r="I216" i="10" a="1"/>
  <c r="I216" i="10" s="1"/>
  <c r="J215" i="10" a="1"/>
  <c r="J215" i="10" s="1"/>
  <c r="I215" i="10" a="1"/>
  <c r="I215" i="10" s="1"/>
  <c r="J214" i="10" a="1"/>
  <c r="J214" i="10" s="1"/>
  <c r="I214" i="10" a="1"/>
  <c r="I214" i="10" s="1"/>
  <c r="J213" i="10" a="1"/>
  <c r="J213" i="10" s="1"/>
  <c r="I213" i="10" a="1"/>
  <c r="I213" i="10" s="1"/>
  <c r="J212" i="10" a="1"/>
  <c r="J212" i="10" s="1"/>
  <c r="I212" i="10" a="1"/>
  <c r="I212" i="10" s="1"/>
  <c r="J211" i="10" a="1"/>
  <c r="J211" i="10" s="1"/>
  <c r="I211" i="10" a="1"/>
  <c r="I211" i="10" s="1"/>
  <c r="J210" i="10" a="1"/>
  <c r="J210" i="10" s="1"/>
  <c r="I210" i="10" a="1"/>
  <c r="I210" i="10" s="1"/>
  <c r="J209" i="10" a="1"/>
  <c r="J209" i="10" s="1"/>
  <c r="I209" i="10" a="1"/>
  <c r="I209" i="10" s="1"/>
  <c r="J208" i="10" a="1"/>
  <c r="J208" i="10" s="1"/>
  <c r="I208" i="10" a="1"/>
  <c r="I208" i="10" s="1"/>
  <c r="J207" i="10" a="1"/>
  <c r="J207" i="10" s="1"/>
  <c r="I207" i="10" a="1"/>
  <c r="I207" i="10" s="1"/>
  <c r="J206" i="10" a="1"/>
  <c r="J206" i="10" s="1"/>
  <c r="I206" i="10" a="1"/>
  <c r="I206" i="10" s="1"/>
  <c r="J205" i="10" a="1"/>
  <c r="J205" i="10" s="1"/>
  <c r="I205" i="10" a="1"/>
  <c r="I205" i="10" s="1"/>
  <c r="J204" i="10" a="1"/>
  <c r="J204" i="10" s="1"/>
  <c r="I204" i="10" a="1"/>
  <c r="I204" i="10" s="1"/>
  <c r="J203" i="10" a="1"/>
  <c r="J203" i="10" s="1"/>
  <c r="I203" i="10" a="1"/>
  <c r="I203" i="10" s="1"/>
  <c r="J202" i="10" a="1"/>
  <c r="J202" i="10" s="1"/>
  <c r="I202" i="10" a="1"/>
  <c r="I202" i="10" s="1"/>
  <c r="J201" i="10" a="1"/>
  <c r="J201" i="10" s="1"/>
  <c r="I201" i="10" a="1"/>
  <c r="I201" i="10" s="1"/>
  <c r="J200" i="10" a="1"/>
  <c r="J200" i="10" s="1"/>
  <c r="I200" i="10" a="1"/>
  <c r="I200" i="10" s="1"/>
  <c r="J199" i="10" a="1"/>
  <c r="J199" i="10" s="1"/>
  <c r="I199" i="10" a="1"/>
  <c r="I199" i="10" s="1"/>
  <c r="J198" i="10" a="1"/>
  <c r="J198" i="10" s="1"/>
  <c r="I198" i="10" a="1"/>
  <c r="I198" i="10" s="1"/>
  <c r="J197" i="10" a="1"/>
  <c r="J197" i="10" s="1"/>
  <c r="I197" i="10" a="1"/>
  <c r="I197" i="10" s="1"/>
  <c r="J196" i="10" a="1"/>
  <c r="J196" i="10" s="1"/>
  <c r="I196" i="10" a="1"/>
  <c r="I196" i="10" s="1"/>
  <c r="J195" i="10" a="1"/>
  <c r="J195" i="10" s="1"/>
  <c r="I195" i="10" a="1"/>
  <c r="I195" i="10" s="1"/>
  <c r="J194" i="10" a="1"/>
  <c r="J194" i="10" s="1"/>
  <c r="I194" i="10" a="1"/>
  <c r="I194" i="10" s="1"/>
  <c r="J193" i="10" a="1"/>
  <c r="J193" i="10" s="1"/>
  <c r="I193" i="10" a="1"/>
  <c r="I193" i="10" s="1"/>
  <c r="J192" i="10" a="1"/>
  <c r="J192" i="10" s="1"/>
  <c r="I192" i="10" a="1"/>
  <c r="I192" i="10" s="1"/>
  <c r="J191" i="10" a="1"/>
  <c r="J191" i="10" s="1"/>
  <c r="I191" i="10" a="1"/>
  <c r="I191" i="10" s="1"/>
  <c r="J190" i="10" a="1"/>
  <c r="J190" i="10" s="1"/>
  <c r="I190" i="10" a="1"/>
  <c r="I190" i="10" s="1"/>
  <c r="J189" i="10" a="1"/>
  <c r="J189" i="10" s="1"/>
  <c r="I189" i="10" a="1"/>
  <c r="I189" i="10" s="1"/>
  <c r="J188" i="10" a="1"/>
  <c r="J188" i="10" s="1"/>
  <c r="I188" i="10" a="1"/>
  <c r="I188" i="10" s="1"/>
  <c r="J187" i="10" a="1"/>
  <c r="J187" i="10" s="1"/>
  <c r="I187" i="10" a="1"/>
  <c r="I187" i="10" s="1"/>
  <c r="J186" i="10" a="1"/>
  <c r="J186" i="10" s="1"/>
  <c r="I186" i="10" a="1"/>
  <c r="I186" i="10" s="1"/>
  <c r="J185" i="10" a="1"/>
  <c r="J185" i="10" s="1"/>
  <c r="I185" i="10" a="1"/>
  <c r="I185" i="10" s="1"/>
  <c r="J184" i="10" a="1"/>
  <c r="J184" i="10" s="1"/>
  <c r="I184" i="10" a="1"/>
  <c r="I184" i="10" s="1"/>
  <c r="J183" i="10" a="1"/>
  <c r="J183" i="10" s="1"/>
  <c r="I183" i="10" a="1"/>
  <c r="I183" i="10" s="1"/>
  <c r="J182" i="10" a="1"/>
  <c r="J182" i="10" s="1"/>
  <c r="I182" i="10" a="1"/>
  <c r="I182" i="10" s="1"/>
  <c r="J181" i="10" a="1"/>
  <c r="J181" i="10" s="1"/>
  <c r="I181" i="10" a="1"/>
  <c r="I181" i="10" s="1"/>
  <c r="J180" i="10" a="1"/>
  <c r="J180" i="10" s="1"/>
  <c r="I180" i="10" a="1"/>
  <c r="I180" i="10" s="1"/>
  <c r="J179" i="10" a="1"/>
  <c r="J179" i="10" s="1"/>
  <c r="I179" i="10" a="1"/>
  <c r="I179" i="10" s="1"/>
  <c r="J178" i="10" a="1"/>
  <c r="J178" i="10" s="1"/>
  <c r="I178" i="10" a="1"/>
  <c r="I178" i="10" s="1"/>
  <c r="J177" i="10" a="1"/>
  <c r="J177" i="10" s="1"/>
  <c r="I177" i="10" a="1"/>
  <c r="I177" i="10" s="1"/>
  <c r="J176" i="10" a="1"/>
  <c r="J176" i="10" s="1"/>
  <c r="I176" i="10" a="1"/>
  <c r="I176" i="10" s="1"/>
  <c r="J175" i="10" a="1"/>
  <c r="J175" i="10" s="1"/>
  <c r="I175" i="10" a="1"/>
  <c r="I175" i="10" s="1"/>
  <c r="J174" i="10" a="1"/>
  <c r="J174" i="10" s="1"/>
  <c r="I174" i="10" a="1"/>
  <c r="I174" i="10" s="1"/>
  <c r="J173" i="10" a="1"/>
  <c r="J173" i="10" s="1"/>
  <c r="I173" i="10" a="1"/>
  <c r="I173" i="10" s="1"/>
  <c r="J172" i="10" a="1"/>
  <c r="J172" i="10" s="1"/>
  <c r="I172" i="10" a="1"/>
  <c r="I172" i="10" s="1"/>
  <c r="J171" i="10" a="1"/>
  <c r="J171" i="10" s="1"/>
  <c r="I171" i="10" a="1"/>
  <c r="I171" i="10" s="1"/>
  <c r="J170" i="10" a="1"/>
  <c r="J170" i="10" s="1"/>
  <c r="I170" i="10" a="1"/>
  <c r="I170" i="10" s="1"/>
  <c r="J169" i="10" a="1"/>
  <c r="J169" i="10" s="1"/>
  <c r="I169" i="10" a="1"/>
  <c r="I169" i="10" s="1"/>
  <c r="J168" i="10" a="1"/>
  <c r="J168" i="10" s="1"/>
  <c r="I168" i="10" a="1"/>
  <c r="I168" i="10" s="1"/>
  <c r="J167" i="10" a="1"/>
  <c r="J167" i="10" s="1"/>
  <c r="I167" i="10" a="1"/>
  <c r="I167" i="10" s="1"/>
  <c r="J166" i="10" a="1"/>
  <c r="J166" i="10" s="1"/>
  <c r="I166" i="10" a="1"/>
  <c r="I166" i="10" s="1"/>
  <c r="J165" i="10" a="1"/>
  <c r="J165" i="10" s="1"/>
  <c r="I165" i="10" a="1"/>
  <c r="I165" i="10" s="1"/>
  <c r="J164" i="10" a="1"/>
  <c r="J164" i="10" s="1"/>
  <c r="I164" i="10" a="1"/>
  <c r="I164" i="10" s="1"/>
  <c r="J163" i="10" a="1"/>
  <c r="J163" i="10" s="1"/>
  <c r="I163" i="10" a="1"/>
  <c r="I163" i="10" s="1"/>
  <c r="J162" i="10" a="1"/>
  <c r="J162" i="10" s="1"/>
  <c r="I162" i="10" a="1"/>
  <c r="I162" i="10" s="1"/>
  <c r="J161" i="10" a="1"/>
  <c r="J161" i="10" s="1"/>
  <c r="I161" i="10" a="1"/>
  <c r="I161" i="10" s="1"/>
  <c r="J160" i="10" a="1"/>
  <c r="J160" i="10" s="1"/>
  <c r="I160" i="10" a="1"/>
  <c r="I160" i="10" s="1"/>
  <c r="J159" i="10" a="1"/>
  <c r="J159" i="10" s="1"/>
  <c r="I159" i="10" a="1"/>
  <c r="I159" i="10" s="1"/>
  <c r="J158" i="10" a="1"/>
  <c r="J158" i="10" s="1"/>
  <c r="I158" i="10" a="1"/>
  <c r="I158" i="10" s="1"/>
  <c r="J157" i="10" a="1"/>
  <c r="J157" i="10" s="1"/>
  <c r="I157" i="10" a="1"/>
  <c r="I157" i="10" s="1"/>
  <c r="J156" i="10" a="1"/>
  <c r="J156" i="10" s="1"/>
  <c r="I156" i="10" a="1"/>
  <c r="I156" i="10" s="1"/>
  <c r="J155" i="10" a="1"/>
  <c r="J155" i="10" s="1"/>
  <c r="I155" i="10" a="1"/>
  <c r="I155" i="10" s="1"/>
  <c r="J154" i="10" a="1"/>
  <c r="J154" i="10" s="1"/>
  <c r="I154" i="10" a="1"/>
  <c r="I154" i="10" s="1"/>
  <c r="J153" i="10" a="1"/>
  <c r="J153" i="10" s="1"/>
  <c r="I153" i="10" a="1"/>
  <c r="I153" i="10" s="1"/>
  <c r="J152" i="10" a="1"/>
  <c r="J152" i="10" s="1"/>
  <c r="I152" i="10" a="1"/>
  <c r="I152" i="10" s="1"/>
  <c r="J151" i="10" a="1"/>
  <c r="J151" i="10" s="1"/>
  <c r="I151" i="10" a="1"/>
  <c r="I151" i="10" s="1"/>
  <c r="J150" i="10" a="1"/>
  <c r="J150" i="10" s="1"/>
  <c r="I150" i="10" a="1"/>
  <c r="I150" i="10" s="1"/>
  <c r="J149" i="10" a="1"/>
  <c r="J149" i="10" s="1"/>
  <c r="I149" i="10" a="1"/>
  <c r="I149" i="10" s="1"/>
  <c r="J148" i="10" a="1"/>
  <c r="J148" i="10" s="1"/>
  <c r="I148" i="10" a="1"/>
  <c r="I148" i="10" s="1"/>
  <c r="J147" i="10" a="1"/>
  <c r="J147" i="10" s="1"/>
  <c r="I147" i="10" a="1"/>
  <c r="I147" i="10" s="1"/>
  <c r="J146" i="10" a="1"/>
  <c r="J146" i="10" s="1"/>
  <c r="I146" i="10" a="1"/>
  <c r="I146" i="10" s="1"/>
  <c r="J145" i="10" a="1"/>
  <c r="J145" i="10" s="1"/>
  <c r="I145" i="10" a="1"/>
  <c r="I145" i="10" s="1"/>
  <c r="J144" i="10" a="1"/>
  <c r="J144" i="10" s="1"/>
  <c r="I144" i="10" a="1"/>
  <c r="I144" i="10" s="1"/>
  <c r="J143" i="10" a="1"/>
  <c r="J143" i="10" s="1"/>
  <c r="I143" i="10" a="1"/>
  <c r="I143" i="10" s="1"/>
  <c r="J142" i="10" a="1"/>
  <c r="J142" i="10" s="1"/>
  <c r="I142" i="10" a="1"/>
  <c r="I142" i="10" s="1"/>
  <c r="J141" i="10" a="1"/>
  <c r="J141" i="10" s="1"/>
  <c r="I141" i="10" a="1"/>
  <c r="I141" i="10" s="1"/>
  <c r="J140" i="10" a="1"/>
  <c r="J140" i="10" s="1"/>
  <c r="I140" i="10" a="1"/>
  <c r="I140" i="10" s="1"/>
  <c r="J139" i="10" a="1"/>
  <c r="J139" i="10" s="1"/>
  <c r="I139" i="10" a="1"/>
  <c r="I139" i="10" s="1"/>
  <c r="J138" i="10" a="1"/>
  <c r="J138" i="10" s="1"/>
  <c r="I138" i="10" a="1"/>
  <c r="I138" i="10" s="1"/>
  <c r="J137" i="10" a="1"/>
  <c r="J137" i="10" s="1"/>
  <c r="I137" i="10" a="1"/>
  <c r="I137" i="10" s="1"/>
  <c r="J136" i="10" a="1"/>
  <c r="J136" i="10" s="1"/>
  <c r="I136" i="10" a="1"/>
  <c r="I136" i="10" s="1"/>
  <c r="J135" i="10" a="1"/>
  <c r="J135" i="10" s="1"/>
  <c r="I135" i="10" a="1"/>
  <c r="I135" i="10" s="1"/>
  <c r="J134" i="10" a="1"/>
  <c r="J134" i="10" s="1"/>
  <c r="I134" i="10" a="1"/>
  <c r="I134" i="10" s="1"/>
  <c r="J133" i="10" a="1"/>
  <c r="J133" i="10" s="1"/>
  <c r="I133" i="10" a="1"/>
  <c r="I133" i="10" s="1"/>
  <c r="J132" i="10" a="1"/>
  <c r="J132" i="10" s="1"/>
  <c r="I132" i="10" a="1"/>
  <c r="I132" i="10" s="1"/>
  <c r="J131" i="10" a="1"/>
  <c r="J131" i="10" s="1"/>
  <c r="I131" i="10" a="1"/>
  <c r="I131" i="10" s="1"/>
  <c r="J130" i="10" a="1"/>
  <c r="J130" i="10" s="1"/>
  <c r="I130" i="10" a="1"/>
  <c r="I130" i="10" s="1"/>
  <c r="J129" i="10" a="1"/>
  <c r="J129" i="10" s="1"/>
  <c r="I129" i="10" a="1"/>
  <c r="I129" i="10" s="1"/>
  <c r="J128" i="10" a="1"/>
  <c r="J128" i="10" s="1"/>
  <c r="I128" i="10" a="1"/>
  <c r="I128" i="10" s="1"/>
  <c r="J127" i="10" a="1"/>
  <c r="J127" i="10" s="1"/>
  <c r="I127" i="10" a="1"/>
  <c r="I127" i="10" s="1"/>
  <c r="J126" i="10" a="1"/>
  <c r="J126" i="10" s="1"/>
  <c r="I126" i="10" a="1"/>
  <c r="I126" i="10" s="1"/>
  <c r="J125" i="10" a="1"/>
  <c r="J125" i="10" s="1"/>
  <c r="I125" i="10" a="1"/>
  <c r="I125" i="10" s="1"/>
  <c r="J124" i="10" a="1"/>
  <c r="J124" i="10" s="1"/>
  <c r="I124" i="10" a="1"/>
  <c r="I124" i="10" s="1"/>
  <c r="J123" i="10" a="1"/>
  <c r="J123" i="10" s="1"/>
  <c r="I123" i="10" a="1"/>
  <c r="I123" i="10" s="1"/>
  <c r="J122" i="10" a="1"/>
  <c r="J122" i="10" s="1"/>
  <c r="I122" i="10" a="1"/>
  <c r="I122" i="10" s="1"/>
  <c r="J121" i="10" a="1"/>
  <c r="J121" i="10" s="1"/>
  <c r="I121" i="10" a="1"/>
  <c r="I121" i="10" s="1"/>
  <c r="J120" i="10" a="1"/>
  <c r="J120" i="10" s="1"/>
  <c r="I120" i="10" a="1"/>
  <c r="I120" i="10" s="1"/>
  <c r="J119" i="10" a="1"/>
  <c r="J119" i="10" s="1"/>
  <c r="I119" i="10" a="1"/>
  <c r="I119" i="10" s="1"/>
  <c r="J118" i="10" a="1"/>
  <c r="J118" i="10" s="1"/>
  <c r="I118" i="10" a="1"/>
  <c r="I118" i="10" s="1"/>
  <c r="J117" i="10" a="1"/>
  <c r="J117" i="10" s="1"/>
  <c r="I117" i="10" a="1"/>
  <c r="I117" i="10" s="1"/>
  <c r="J116" i="10" a="1"/>
  <c r="J116" i="10" s="1"/>
  <c r="I116" i="10" a="1"/>
  <c r="I116" i="10" s="1"/>
  <c r="J115" i="10" a="1"/>
  <c r="J115" i="10" s="1"/>
  <c r="I115" i="10" a="1"/>
  <c r="I115" i="10" s="1"/>
  <c r="J114" i="10" a="1"/>
  <c r="J114" i="10" s="1"/>
  <c r="I114" i="10" a="1"/>
  <c r="I114" i="10" s="1"/>
  <c r="J113" i="10" a="1"/>
  <c r="J113" i="10" s="1"/>
  <c r="I113" i="10" a="1"/>
  <c r="I113" i="10" s="1"/>
  <c r="J112" i="10" a="1"/>
  <c r="J112" i="10" s="1"/>
  <c r="I112" i="10" a="1"/>
  <c r="I112" i="10" s="1"/>
  <c r="J111" i="10" a="1"/>
  <c r="J111" i="10" s="1"/>
  <c r="I111" i="10" a="1"/>
  <c r="I111" i="10" s="1"/>
  <c r="J110" i="10" a="1"/>
  <c r="J110" i="10" s="1"/>
  <c r="I110" i="10" a="1"/>
  <c r="I110" i="10" s="1"/>
  <c r="J109" i="10" a="1"/>
  <c r="J109" i="10" s="1"/>
  <c r="I109" i="10" a="1"/>
  <c r="I109" i="10" s="1"/>
  <c r="J108" i="10" a="1"/>
  <c r="J108" i="10" s="1"/>
  <c r="I108" i="10" a="1"/>
  <c r="I108" i="10" s="1"/>
  <c r="J107" i="10" a="1"/>
  <c r="J107" i="10" s="1"/>
  <c r="I107" i="10" a="1"/>
  <c r="I107" i="10" s="1"/>
  <c r="J106" i="10" a="1"/>
  <c r="J106" i="10" s="1"/>
  <c r="I106" i="10" a="1"/>
  <c r="I106" i="10" s="1"/>
  <c r="J105" i="10" a="1"/>
  <c r="J105" i="10" s="1"/>
  <c r="I105" i="10" a="1"/>
  <c r="I105" i="10" s="1"/>
  <c r="J104" i="10" a="1"/>
  <c r="J104" i="10" s="1"/>
  <c r="I104" i="10" a="1"/>
  <c r="I104" i="10" s="1"/>
  <c r="J103" i="10" a="1"/>
  <c r="J103" i="10" s="1"/>
  <c r="I103" i="10" a="1"/>
  <c r="I103" i="10" s="1"/>
  <c r="J102" i="10" a="1"/>
  <c r="J102" i="10" s="1"/>
  <c r="I102" i="10" a="1"/>
  <c r="I102" i="10" s="1"/>
  <c r="J101" i="10" a="1"/>
  <c r="J101" i="10" s="1"/>
  <c r="I101" i="10" a="1"/>
  <c r="I101" i="10" s="1"/>
  <c r="J100" i="10" a="1"/>
  <c r="J100" i="10" s="1"/>
  <c r="I100" i="10" a="1"/>
  <c r="I100" i="10" s="1"/>
  <c r="J99" i="10" a="1"/>
  <c r="J99" i="10" s="1"/>
  <c r="I99" i="10" a="1"/>
  <c r="I99" i="10" s="1"/>
  <c r="J98" i="10" a="1"/>
  <c r="J98" i="10" s="1"/>
  <c r="I98" i="10" a="1"/>
  <c r="I98" i="10" s="1"/>
  <c r="J97" i="10" a="1"/>
  <c r="J97" i="10" s="1"/>
  <c r="I97" i="10" a="1"/>
  <c r="I97" i="10" s="1"/>
  <c r="J96" i="10" a="1"/>
  <c r="J96" i="10" s="1"/>
  <c r="I96" i="10" a="1"/>
  <c r="I96" i="10" s="1"/>
  <c r="J95" i="10" a="1"/>
  <c r="J95" i="10" s="1"/>
  <c r="I95" i="10" a="1"/>
  <c r="I95" i="10" s="1"/>
  <c r="J94" i="10" a="1"/>
  <c r="J94" i="10" s="1"/>
  <c r="I94" i="10" a="1"/>
  <c r="I94" i="10" s="1"/>
  <c r="J93" i="10" a="1"/>
  <c r="J93" i="10" s="1"/>
  <c r="I93" i="10" a="1"/>
  <c r="I93" i="10" s="1"/>
  <c r="J92" i="10" a="1"/>
  <c r="J92" i="10" s="1"/>
  <c r="I92" i="10" a="1"/>
  <c r="I92" i="10" s="1"/>
  <c r="J91" i="10" a="1"/>
  <c r="J91" i="10" s="1"/>
  <c r="I91" i="10" a="1"/>
  <c r="I91" i="10" s="1"/>
  <c r="J90" i="10" a="1"/>
  <c r="J90" i="10" s="1"/>
  <c r="I90" i="10" a="1"/>
  <c r="I90" i="10" s="1"/>
  <c r="J89" i="10" a="1"/>
  <c r="J89" i="10" s="1"/>
  <c r="I89" i="10" a="1"/>
  <c r="I89" i="10" s="1"/>
  <c r="J88" i="10" a="1"/>
  <c r="J88" i="10" s="1"/>
  <c r="I88" i="10" a="1"/>
  <c r="I88" i="10" s="1"/>
  <c r="J87" i="10" a="1"/>
  <c r="J87" i="10" s="1"/>
  <c r="I87" i="10" a="1"/>
  <c r="I87" i="10" s="1"/>
  <c r="J86" i="10" a="1"/>
  <c r="J86" i="10" s="1"/>
  <c r="I86" i="10" a="1"/>
  <c r="I86" i="10" s="1"/>
  <c r="J85" i="10" a="1"/>
  <c r="J85" i="10" s="1"/>
  <c r="I85" i="10" a="1"/>
  <c r="I85" i="10" s="1"/>
  <c r="J84" i="10" a="1"/>
  <c r="J84" i="10" s="1"/>
  <c r="I84" i="10" a="1"/>
  <c r="I84" i="10" s="1"/>
  <c r="J83" i="10" a="1"/>
  <c r="J83" i="10" s="1"/>
  <c r="I83" i="10" a="1"/>
  <c r="I83" i="10" s="1"/>
  <c r="J82" i="10" a="1"/>
  <c r="J82" i="10" s="1"/>
  <c r="I82" i="10" a="1"/>
  <c r="I82" i="10" s="1"/>
  <c r="J81" i="10" a="1"/>
  <c r="J81" i="10" s="1"/>
  <c r="I81" i="10" a="1"/>
  <c r="I81" i="10" s="1"/>
  <c r="J80" i="10" a="1"/>
  <c r="J80" i="10" s="1"/>
  <c r="I80" i="10" a="1"/>
  <c r="I80" i="10" s="1"/>
  <c r="J79" i="10" a="1"/>
  <c r="J79" i="10" s="1"/>
  <c r="I79" i="10" a="1"/>
  <c r="I79" i="10" s="1"/>
  <c r="J78" i="10" a="1"/>
  <c r="J78" i="10" s="1"/>
  <c r="I78" i="10" a="1"/>
  <c r="I78" i="10" s="1"/>
  <c r="J77" i="10" a="1"/>
  <c r="J77" i="10" s="1"/>
  <c r="I77" i="10" a="1"/>
  <c r="I77" i="10" s="1"/>
  <c r="J76" i="10" a="1"/>
  <c r="J76" i="10" s="1"/>
  <c r="I76" i="10" a="1"/>
  <c r="I76" i="10" s="1"/>
  <c r="J75" i="10" a="1"/>
  <c r="J75" i="10" s="1"/>
  <c r="I75" i="10" a="1"/>
  <c r="I75" i="10" s="1"/>
  <c r="J74" i="10" a="1"/>
  <c r="J74" i="10" s="1"/>
  <c r="I74" i="10" a="1"/>
  <c r="I74" i="10" s="1"/>
  <c r="J73" i="10" a="1"/>
  <c r="J73" i="10" s="1"/>
  <c r="I73" i="10" a="1"/>
  <c r="I73" i="10" s="1"/>
  <c r="J72" i="10" a="1"/>
  <c r="J72" i="10" s="1"/>
  <c r="I72" i="10" a="1"/>
  <c r="I72" i="10" s="1"/>
  <c r="J71" i="10" a="1"/>
  <c r="J71" i="10" s="1"/>
  <c r="I71" i="10" a="1"/>
  <c r="I71" i="10" s="1"/>
  <c r="J70" i="10" a="1"/>
  <c r="J70" i="10" s="1"/>
  <c r="I70" i="10" a="1"/>
  <c r="I70" i="10" s="1"/>
  <c r="J69" i="10" a="1"/>
  <c r="J69" i="10" s="1"/>
  <c r="I69" i="10" a="1"/>
  <c r="I69" i="10" s="1"/>
  <c r="J68" i="10" a="1"/>
  <c r="J68" i="10" s="1"/>
  <c r="I68" i="10" a="1"/>
  <c r="I68" i="10" s="1"/>
  <c r="J67" i="10" a="1"/>
  <c r="J67" i="10" s="1"/>
  <c r="I67" i="10" a="1"/>
  <c r="I67" i="10" s="1"/>
  <c r="J66" i="10" a="1"/>
  <c r="J66" i="10" s="1"/>
  <c r="I66" i="10" a="1"/>
  <c r="I66" i="10" s="1"/>
  <c r="J65" i="10" a="1"/>
  <c r="J65" i="10" s="1"/>
  <c r="I65" i="10" a="1"/>
  <c r="I65" i="10" s="1"/>
  <c r="J64" i="10" a="1"/>
  <c r="J64" i="10" s="1"/>
  <c r="I64" i="10" a="1"/>
  <c r="I64" i="10" s="1"/>
  <c r="J63" i="10" a="1"/>
  <c r="J63" i="10" s="1"/>
  <c r="I63" i="10" a="1"/>
  <c r="I63" i="10" s="1"/>
  <c r="J62" i="10" a="1"/>
  <c r="J62" i="10" s="1"/>
  <c r="I62" i="10" a="1"/>
  <c r="I62" i="10" s="1"/>
  <c r="J61" i="10" a="1"/>
  <c r="J61" i="10" s="1"/>
  <c r="I61" i="10" a="1"/>
  <c r="I61" i="10" s="1"/>
  <c r="J60" i="10" a="1"/>
  <c r="J60" i="10" s="1"/>
  <c r="I60" i="10" a="1"/>
  <c r="I60" i="10" s="1"/>
  <c r="J59" i="10" a="1"/>
  <c r="J59" i="10" s="1"/>
  <c r="I59" i="10" a="1"/>
  <c r="I59" i="10" s="1"/>
  <c r="J58" i="10" a="1"/>
  <c r="J58" i="10" s="1"/>
  <c r="I58" i="10" a="1"/>
  <c r="I58" i="10" s="1"/>
  <c r="J57" i="10" a="1"/>
  <c r="J57" i="10" s="1"/>
  <c r="I57" i="10" a="1"/>
  <c r="I57" i="10" s="1"/>
  <c r="J56" i="10" a="1"/>
  <c r="J56" i="10" s="1"/>
  <c r="I56" i="10" a="1"/>
  <c r="I56" i="10" s="1"/>
  <c r="J55" i="10" a="1"/>
  <c r="J55" i="10" s="1"/>
  <c r="I55" i="10" a="1"/>
  <c r="I55" i="10" s="1"/>
  <c r="J54" i="10" a="1"/>
  <c r="J54" i="10" s="1"/>
  <c r="I54" i="10" a="1"/>
  <c r="I54" i="10" s="1"/>
  <c r="J53" i="10" a="1"/>
  <c r="J53" i="10" s="1"/>
  <c r="I53" i="10" a="1"/>
  <c r="I53" i="10" s="1"/>
  <c r="J52" i="10" a="1"/>
  <c r="J52" i="10" s="1"/>
  <c r="I52" i="10" a="1"/>
  <c r="I52" i="10" s="1"/>
  <c r="J51" i="10" a="1"/>
  <c r="J51" i="10" s="1"/>
  <c r="I51" i="10" a="1"/>
  <c r="I51" i="10" s="1"/>
  <c r="J50" i="10" a="1"/>
  <c r="J50" i="10" s="1"/>
  <c r="I50" i="10" a="1"/>
  <c r="I50" i="10" s="1"/>
  <c r="J49" i="10" a="1"/>
  <c r="J49" i="10" s="1"/>
  <c r="I49" i="10" a="1"/>
  <c r="I49" i="10" s="1"/>
  <c r="J48" i="10" a="1"/>
  <c r="J48" i="10" s="1"/>
  <c r="I48" i="10" a="1"/>
  <c r="I48" i="10" s="1"/>
  <c r="J47" i="10" a="1"/>
  <c r="J47" i="10" s="1"/>
  <c r="I47" i="10" a="1"/>
  <c r="I47" i="10" s="1"/>
  <c r="J46" i="10" a="1"/>
  <c r="J46" i="10" s="1"/>
  <c r="I46" i="10" a="1"/>
  <c r="I46" i="10" s="1"/>
  <c r="J45" i="10" a="1"/>
  <c r="J45" i="10" s="1"/>
  <c r="I45" i="10" a="1"/>
  <c r="I45" i="10" s="1"/>
  <c r="J44" i="10" a="1"/>
  <c r="J44" i="10" s="1"/>
  <c r="I44" i="10" a="1"/>
  <c r="I44" i="10" s="1"/>
  <c r="J43" i="10" a="1"/>
  <c r="J43" i="10" s="1"/>
  <c r="I43" i="10" a="1"/>
  <c r="I43" i="10" s="1"/>
  <c r="J42" i="10" a="1"/>
  <c r="J42" i="10" s="1"/>
  <c r="I42" i="10" a="1"/>
  <c r="I42" i="10" s="1"/>
  <c r="J41" i="10" a="1"/>
  <c r="J41" i="10" s="1"/>
  <c r="I41" i="10" a="1"/>
  <c r="I41" i="10" s="1"/>
  <c r="J40" i="10" a="1"/>
  <c r="J40" i="10" s="1"/>
  <c r="I40" i="10" a="1"/>
  <c r="I40" i="10" s="1"/>
  <c r="J39" i="10" a="1"/>
  <c r="J39" i="10" s="1"/>
  <c r="I39" i="10" a="1"/>
  <c r="I39" i="10" s="1"/>
  <c r="J38" i="10" a="1"/>
  <c r="J38" i="10" s="1"/>
  <c r="I38" i="10" a="1"/>
  <c r="I38" i="10" s="1"/>
  <c r="J37" i="10" a="1"/>
  <c r="J37" i="10" s="1"/>
  <c r="I37" i="10" a="1"/>
  <c r="I37" i="10" s="1"/>
  <c r="J36" i="10" a="1"/>
  <c r="J36" i="10" s="1"/>
  <c r="I36" i="10" a="1"/>
  <c r="I36" i="10" s="1"/>
  <c r="J35" i="10" a="1"/>
  <c r="J35" i="10" s="1"/>
  <c r="I35" i="10" a="1"/>
  <c r="I35" i="10" s="1"/>
  <c r="J34" i="10" a="1"/>
  <c r="J34" i="10" s="1"/>
  <c r="I34" i="10" a="1"/>
  <c r="I34" i="10" s="1"/>
  <c r="J33" i="10" a="1"/>
  <c r="J33" i="10" s="1"/>
  <c r="I33" i="10" a="1"/>
  <c r="I33" i="10" s="1"/>
  <c r="J32" i="10" a="1"/>
  <c r="J32" i="10" s="1"/>
  <c r="I32" i="10" a="1"/>
  <c r="I32" i="10" s="1"/>
  <c r="J31" i="10" a="1"/>
  <c r="J31" i="10" s="1"/>
  <c r="I31" i="10" a="1"/>
  <c r="I31" i="10" s="1"/>
  <c r="J30" i="10" a="1"/>
  <c r="J30" i="10" s="1"/>
  <c r="I30" i="10" a="1"/>
  <c r="I30" i="10" s="1"/>
  <c r="J29" i="10" a="1"/>
  <c r="J29" i="10" s="1"/>
  <c r="I29" i="10" a="1"/>
  <c r="I29" i="10" s="1"/>
  <c r="J28" i="10" a="1"/>
  <c r="J28" i="10" s="1"/>
  <c r="I28" i="10" a="1"/>
  <c r="I28" i="10" s="1"/>
  <c r="J27" i="10" a="1"/>
  <c r="J27" i="10" s="1"/>
  <c r="I27" i="10" a="1"/>
  <c r="I27" i="10" s="1"/>
  <c r="J26" i="10" a="1"/>
  <c r="J26" i="10" s="1"/>
  <c r="I26" i="10" a="1"/>
  <c r="I26" i="10" s="1"/>
  <c r="J25" i="10" a="1"/>
  <c r="J25" i="10" s="1"/>
  <c r="I25" i="10" a="1"/>
  <c r="I25" i="10" s="1"/>
  <c r="J24" i="10" a="1"/>
  <c r="J24" i="10" s="1"/>
  <c r="I24" i="10" a="1"/>
  <c r="I24" i="10" s="1"/>
  <c r="J23" i="10" a="1"/>
  <c r="J23" i="10" s="1"/>
  <c r="I23" i="10" a="1"/>
  <c r="I23" i="10" s="1"/>
  <c r="J22" i="10" a="1"/>
  <c r="J22" i="10" s="1"/>
  <c r="I22" i="10" a="1"/>
  <c r="I22" i="10" s="1"/>
  <c r="J21" i="10" a="1"/>
  <c r="J21" i="10" s="1"/>
  <c r="I21" i="10" a="1"/>
  <c r="I21" i="10" s="1"/>
  <c r="J20" i="10" a="1"/>
  <c r="J20" i="10" s="1"/>
  <c r="I20" i="10" a="1"/>
  <c r="I20" i="10" s="1"/>
  <c r="J19" i="10" a="1"/>
  <c r="J19" i="10" s="1"/>
  <c r="I19" i="10" a="1"/>
  <c r="I19" i="10" s="1"/>
  <c r="J18" i="10" a="1"/>
  <c r="J18" i="10" s="1"/>
  <c r="I18" i="10" a="1"/>
  <c r="I18" i="10" s="1"/>
  <c r="J17" i="10" a="1"/>
  <c r="J17" i="10" s="1"/>
  <c r="I17" i="10" a="1"/>
  <c r="I17" i="10" s="1"/>
  <c r="J16" i="10" a="1"/>
  <c r="J16" i="10" s="1"/>
  <c r="I16" i="10" a="1"/>
  <c r="I16" i="10" s="1"/>
  <c r="J15" i="10" a="1"/>
  <c r="J15" i="10" s="1"/>
  <c r="I15" i="10" a="1"/>
  <c r="I15" i="10" s="1"/>
  <c r="J14" i="10" a="1"/>
  <c r="J14" i="10" s="1"/>
  <c r="I14" i="10" a="1"/>
  <c r="I14" i="10" s="1"/>
  <c r="J13" i="10" a="1"/>
  <c r="J13" i="10" s="1"/>
  <c r="I13" i="10" a="1"/>
  <c r="I13" i="10" s="1"/>
  <c r="J12" i="10" a="1"/>
  <c r="J12" i="10" s="1"/>
  <c r="I12" i="10" a="1"/>
  <c r="I12" i="10" s="1"/>
  <c r="J11" i="10" a="1"/>
  <c r="J11" i="10" s="1"/>
  <c r="I11" i="10" a="1"/>
  <c r="I11" i="10" s="1"/>
  <c r="J10" i="10" a="1"/>
  <c r="J10" i="10" s="1"/>
  <c r="I10" i="10" a="1"/>
  <c r="I10" i="10" s="1"/>
  <c r="J9" i="10" a="1"/>
  <c r="J9" i="10" s="1"/>
  <c r="I9" i="10" a="1"/>
  <c r="I9" i="10" s="1"/>
  <c r="J8" i="10" a="1"/>
  <c r="J8" i="10" s="1"/>
  <c r="I8" i="10" a="1"/>
  <c r="I8" i="10" s="1"/>
  <c r="J7" i="10" a="1"/>
  <c r="J7" i="10" s="1"/>
  <c r="I7" i="10" a="1"/>
  <c r="I7" i="10" s="1"/>
  <c r="J6" i="10" a="1"/>
  <c r="J6" i="10" s="1"/>
  <c r="I6" i="10" a="1"/>
  <c r="I6" i="10" s="1"/>
  <c r="J5" i="10" a="1"/>
  <c r="J5" i="10" s="1"/>
  <c r="I5" i="10" a="1"/>
  <c r="I5" i="10" s="1"/>
  <c r="M54" i="3"/>
  <c r="M55" i="3"/>
  <c r="M56" i="3"/>
  <c r="M57" i="3"/>
  <c r="M58" i="3"/>
  <c r="M59" i="3"/>
  <c r="A55" i="3"/>
  <c r="A56" i="3"/>
  <c r="A57" i="3"/>
  <c r="A54" i="3"/>
  <c r="F43" i="6"/>
  <c r="F42" i="6"/>
  <c r="B43" i="6"/>
  <c r="B42" i="6"/>
  <c r="C472" i="10"/>
  <c r="C471" i="10"/>
  <c r="C470" i="10"/>
  <c r="C469" i="10"/>
  <c r="C468" i="10"/>
  <c r="C467" i="10"/>
  <c r="C466" i="10"/>
  <c r="C465" i="10"/>
  <c r="C464" i="10"/>
  <c r="C463" i="10"/>
  <c r="C462" i="10"/>
  <c r="C461" i="10"/>
  <c r="C460" i="10"/>
  <c r="C459" i="10"/>
  <c r="C458" i="10"/>
  <c r="C457" i="10"/>
  <c r="C456" i="10"/>
  <c r="C455" i="10"/>
  <c r="C454" i="10"/>
  <c r="C453" i="10"/>
  <c r="C452" i="10"/>
  <c r="C451" i="10"/>
  <c r="C450" i="10"/>
  <c r="C449" i="10"/>
  <c r="C448" i="10"/>
  <c r="C447" i="10"/>
  <c r="C446" i="10"/>
  <c r="C445" i="10"/>
  <c r="C444" i="10"/>
  <c r="C443" i="10"/>
  <c r="C442" i="10"/>
  <c r="C441" i="10"/>
  <c r="C440" i="10"/>
  <c r="C439" i="10"/>
  <c r="C438" i="10"/>
  <c r="C437" i="10"/>
  <c r="C436" i="10"/>
  <c r="C435" i="10"/>
  <c r="C434" i="10"/>
  <c r="C433" i="10"/>
  <c r="C432" i="10"/>
  <c r="C431" i="10"/>
  <c r="C430" i="10"/>
  <c r="C429" i="10"/>
  <c r="C428" i="10"/>
  <c r="C427" i="10"/>
  <c r="C426" i="10"/>
  <c r="C425" i="10"/>
  <c r="C424" i="10"/>
  <c r="C423" i="10"/>
  <c r="C422" i="10"/>
  <c r="C421" i="10"/>
  <c r="C420" i="10"/>
  <c r="C419" i="10"/>
  <c r="C418" i="10"/>
  <c r="C417" i="10"/>
  <c r="C416" i="10"/>
  <c r="C415" i="10"/>
  <c r="C414" i="10"/>
  <c r="C413" i="10"/>
  <c r="C412" i="10"/>
  <c r="C411" i="10"/>
  <c r="C410" i="10"/>
  <c r="C409" i="10"/>
  <c r="C408" i="10"/>
  <c r="C407" i="10"/>
  <c r="C406" i="10"/>
  <c r="C405" i="10"/>
  <c r="C404" i="10"/>
  <c r="C403" i="10"/>
  <c r="C402" i="10"/>
  <c r="C401" i="10"/>
  <c r="C400" i="10"/>
  <c r="C399" i="10"/>
  <c r="C398" i="10"/>
  <c r="C397" i="10"/>
  <c r="C396" i="10"/>
  <c r="C395" i="10"/>
  <c r="C394" i="10"/>
  <c r="C393" i="10"/>
  <c r="C392" i="10"/>
  <c r="C391" i="10"/>
  <c r="C390" i="10"/>
  <c r="C389" i="10"/>
  <c r="C388" i="10"/>
  <c r="C387" i="10"/>
  <c r="C386" i="10"/>
  <c r="C385" i="10"/>
  <c r="C384" i="10"/>
  <c r="C383" i="10"/>
  <c r="C382" i="10"/>
  <c r="C381" i="10"/>
  <c r="C380" i="10"/>
  <c r="C379" i="10"/>
  <c r="C378" i="10"/>
  <c r="C377" i="10"/>
  <c r="C376" i="10"/>
  <c r="C375" i="10"/>
  <c r="C374" i="10"/>
  <c r="C373" i="10"/>
  <c r="C372" i="10"/>
  <c r="C371" i="10"/>
  <c r="C370" i="10"/>
  <c r="C369" i="10"/>
  <c r="C368" i="10"/>
  <c r="C367" i="10"/>
  <c r="C366" i="10"/>
  <c r="C365" i="10"/>
  <c r="C364" i="10"/>
  <c r="C363" i="10"/>
  <c r="C362" i="10"/>
  <c r="C361" i="10"/>
  <c r="C360" i="10"/>
  <c r="C359" i="10"/>
  <c r="C358" i="10"/>
  <c r="C357" i="10"/>
  <c r="C356" i="10"/>
  <c r="C355" i="10"/>
  <c r="C354" i="10"/>
  <c r="C353" i="10"/>
  <c r="C352" i="10"/>
  <c r="C351" i="10"/>
  <c r="C350" i="10"/>
  <c r="C349" i="10"/>
  <c r="C348" i="10"/>
  <c r="C347" i="10"/>
  <c r="C346" i="10"/>
  <c r="C345" i="10"/>
  <c r="C344" i="10"/>
  <c r="C343" i="10"/>
  <c r="C342" i="10"/>
  <c r="C341" i="10"/>
  <c r="C340" i="10"/>
  <c r="C339" i="10"/>
  <c r="C338" i="10"/>
  <c r="C337" i="10"/>
  <c r="C336" i="10"/>
  <c r="C335" i="10"/>
  <c r="C334" i="10"/>
  <c r="C333" i="10"/>
  <c r="C332" i="10"/>
  <c r="C331" i="10"/>
  <c r="C330" i="10"/>
  <c r="C329" i="10"/>
  <c r="C328" i="10"/>
  <c r="C327" i="10"/>
  <c r="C326" i="10"/>
  <c r="C325" i="10"/>
  <c r="C324" i="10"/>
  <c r="C323" i="10"/>
  <c r="C322" i="10"/>
  <c r="C321" i="10"/>
  <c r="C320" i="10"/>
  <c r="C319" i="10"/>
  <c r="C318" i="10"/>
  <c r="C317" i="10"/>
  <c r="C316" i="10"/>
  <c r="C315" i="10"/>
  <c r="C314" i="10"/>
  <c r="C313" i="10"/>
  <c r="C312" i="10"/>
  <c r="C311" i="10"/>
  <c r="C310" i="10"/>
  <c r="C309" i="10"/>
  <c r="C308" i="10"/>
  <c r="C307" i="10"/>
  <c r="C306" i="10"/>
  <c r="C305" i="10"/>
  <c r="C304" i="10"/>
  <c r="C303" i="10"/>
  <c r="C302" i="10"/>
  <c r="C301" i="10"/>
  <c r="C300" i="10"/>
  <c r="C299" i="10"/>
  <c r="C298" i="10"/>
  <c r="C297" i="10"/>
  <c r="C296" i="10"/>
  <c r="C295" i="10"/>
  <c r="C294" i="10"/>
  <c r="C293" i="10"/>
  <c r="C292" i="10"/>
  <c r="C291" i="10"/>
  <c r="C290" i="10"/>
  <c r="C289" i="10"/>
  <c r="C288" i="10"/>
  <c r="C287" i="10"/>
  <c r="C286" i="10"/>
  <c r="C285" i="10"/>
  <c r="C284" i="10"/>
  <c r="C283" i="10"/>
  <c r="C282" i="10"/>
  <c r="C281" i="10"/>
  <c r="C280" i="10"/>
  <c r="C279" i="10"/>
  <c r="C278" i="10"/>
  <c r="C277" i="10"/>
  <c r="C276" i="10"/>
  <c r="C275" i="10"/>
  <c r="C274" i="10"/>
  <c r="C273" i="10"/>
  <c r="C272" i="10"/>
  <c r="C271" i="10"/>
  <c r="C270" i="10"/>
  <c r="C269" i="10"/>
  <c r="C268" i="10"/>
  <c r="C267" i="10"/>
  <c r="C266" i="10"/>
  <c r="C265" i="10"/>
  <c r="C264" i="10"/>
  <c r="C263" i="10"/>
  <c r="C262" i="10"/>
  <c r="C261" i="10"/>
  <c r="C260" i="10"/>
  <c r="C259" i="10"/>
  <c r="C258" i="10"/>
  <c r="C257" i="10"/>
  <c r="C256" i="10"/>
  <c r="C255" i="10"/>
  <c r="C254" i="10"/>
  <c r="C253" i="10"/>
  <c r="C252" i="10"/>
  <c r="C251" i="10"/>
  <c r="C250" i="10"/>
  <c r="C249" i="10"/>
  <c r="C248" i="10"/>
  <c r="C247" i="10"/>
  <c r="C246" i="10"/>
  <c r="C245" i="10"/>
  <c r="C244" i="10"/>
  <c r="C243" i="10"/>
  <c r="C242" i="10"/>
  <c r="C241" i="10"/>
  <c r="C240" i="10"/>
  <c r="C239" i="10"/>
  <c r="C238" i="10"/>
  <c r="C237" i="10"/>
  <c r="C236" i="10"/>
  <c r="C235" i="10"/>
  <c r="C234" i="10"/>
  <c r="C233" i="10"/>
  <c r="C232" i="10"/>
  <c r="C231" i="10"/>
  <c r="C230" i="10"/>
  <c r="C229" i="10"/>
  <c r="C228" i="10"/>
  <c r="C227" i="10"/>
  <c r="C226" i="10"/>
  <c r="C225" i="10"/>
  <c r="C224" i="10"/>
  <c r="C223" i="10"/>
  <c r="C222" i="10"/>
  <c r="C221" i="10"/>
  <c r="C220" i="10"/>
  <c r="C219" i="10"/>
  <c r="C218" i="10"/>
  <c r="C217" i="10"/>
  <c r="C216" i="10"/>
  <c r="C215" i="10"/>
  <c r="C214" i="10"/>
  <c r="C213" i="10"/>
  <c r="C212" i="10"/>
  <c r="C211" i="10"/>
  <c r="C210" i="10"/>
  <c r="C209" i="10"/>
  <c r="C208" i="10"/>
  <c r="C207" i="10"/>
  <c r="C206" i="10"/>
  <c r="C205" i="10"/>
  <c r="C204" i="10"/>
  <c r="C203" i="10"/>
  <c r="C202" i="10"/>
  <c r="C201" i="10"/>
  <c r="C200" i="10"/>
  <c r="C199" i="10"/>
  <c r="C198" i="10"/>
  <c r="C197" i="10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F8" i="6"/>
  <c r="H43" i="6"/>
  <c r="G43" i="6"/>
  <c r="H42" i="6"/>
  <c r="G42" i="6"/>
  <c r="H41" i="6"/>
  <c r="B41" i="6"/>
  <c r="F41" i="6"/>
  <c r="G41" i="6"/>
  <c r="H40" i="6"/>
  <c r="B40" i="6"/>
  <c r="F40" i="6"/>
  <c r="G40" i="6"/>
  <c r="H39" i="6"/>
  <c r="B39" i="6"/>
  <c r="F39" i="6"/>
  <c r="G39" i="6"/>
  <c r="H38" i="6"/>
  <c r="B38" i="6"/>
  <c r="F38" i="6"/>
  <c r="G38" i="6"/>
  <c r="H37" i="6"/>
  <c r="B37" i="6"/>
  <c r="F37" i="6"/>
  <c r="G37" i="6"/>
  <c r="H36" i="6"/>
  <c r="B36" i="6"/>
  <c r="F36" i="6"/>
  <c r="G36" i="6"/>
  <c r="H35" i="6"/>
  <c r="B35" i="6"/>
  <c r="F35" i="6"/>
  <c r="G35" i="6"/>
  <c r="H34" i="6"/>
  <c r="B34" i="6"/>
  <c r="F34" i="6"/>
  <c r="G34" i="6"/>
  <c r="H33" i="6"/>
  <c r="B33" i="6"/>
  <c r="F33" i="6"/>
  <c r="G33" i="6"/>
  <c r="H32" i="6"/>
  <c r="B32" i="6"/>
  <c r="F32" i="6"/>
  <c r="G32" i="6"/>
  <c r="H31" i="6"/>
  <c r="B31" i="6"/>
  <c r="F31" i="6"/>
  <c r="G31" i="6"/>
  <c r="H30" i="6"/>
  <c r="B30" i="6"/>
  <c r="F30" i="6"/>
  <c r="G30" i="6"/>
  <c r="H29" i="6"/>
  <c r="B29" i="6"/>
  <c r="F29" i="6"/>
  <c r="G29" i="6"/>
  <c r="H28" i="6"/>
  <c r="B28" i="6"/>
  <c r="F28" i="6"/>
  <c r="G28" i="6"/>
  <c r="H27" i="6"/>
  <c r="B27" i="6"/>
  <c r="F27" i="6"/>
  <c r="G27" i="6"/>
  <c r="H26" i="6"/>
  <c r="B26" i="6"/>
  <c r="F26" i="6"/>
  <c r="G26" i="6"/>
  <c r="H25" i="6"/>
  <c r="B25" i="6"/>
  <c r="F25" i="6"/>
  <c r="G25" i="6"/>
  <c r="H24" i="6"/>
  <c r="B24" i="6"/>
  <c r="F24" i="6"/>
  <c r="G24" i="6"/>
  <c r="H23" i="6"/>
  <c r="B23" i="6"/>
  <c r="F23" i="6"/>
  <c r="G23" i="6"/>
  <c r="H22" i="6"/>
  <c r="B22" i="6"/>
  <c r="F22" i="6"/>
  <c r="G22" i="6"/>
  <c r="H21" i="6"/>
  <c r="B21" i="6"/>
  <c r="F21" i="6"/>
  <c r="G21" i="6"/>
  <c r="H20" i="6"/>
  <c r="B20" i="6"/>
  <c r="F20" i="6"/>
  <c r="G20" i="6"/>
  <c r="H19" i="6"/>
  <c r="B19" i="6"/>
  <c r="F19" i="6"/>
  <c r="G19" i="6"/>
  <c r="H18" i="6"/>
  <c r="B18" i="6"/>
  <c r="F18" i="6"/>
  <c r="G18" i="6"/>
  <c r="H17" i="6"/>
  <c r="B17" i="6"/>
  <c r="F17" i="6"/>
  <c r="G17" i="6"/>
  <c r="H16" i="6"/>
  <c r="B16" i="6"/>
  <c r="F16" i="6"/>
  <c r="G16" i="6"/>
  <c r="H15" i="6"/>
  <c r="B15" i="6"/>
  <c r="F15" i="6"/>
  <c r="G15" i="6"/>
  <c r="H14" i="6"/>
  <c r="B14" i="6"/>
  <c r="F14" i="6"/>
  <c r="G14" i="6"/>
  <c r="H13" i="6"/>
  <c r="B13" i="6"/>
  <c r="F13" i="6"/>
  <c r="G13" i="6"/>
  <c r="H12" i="6"/>
  <c r="B12" i="6"/>
  <c r="F12" i="6"/>
  <c r="G12" i="6"/>
  <c r="H11" i="6"/>
  <c r="B11" i="6"/>
  <c r="F11" i="6"/>
  <c r="G11" i="6"/>
  <c r="H10" i="6"/>
  <c r="B10" i="6"/>
  <c r="F10" i="6"/>
  <c r="G10" i="6"/>
  <c r="H9" i="6"/>
  <c r="B9" i="6"/>
  <c r="F9" i="6"/>
  <c r="G9" i="6"/>
  <c r="H8" i="6"/>
  <c r="B8" i="6"/>
  <c r="G8" i="6"/>
  <c r="H7" i="6"/>
  <c r="B7" i="6"/>
  <c r="F7" i="6"/>
  <c r="G7" i="6"/>
  <c r="H6" i="6"/>
  <c r="B6" i="6"/>
  <c r="F6" i="6"/>
  <c r="G6" i="6"/>
  <c r="H5" i="6"/>
  <c r="B5" i="6"/>
  <c r="F5" i="6"/>
  <c r="G5" i="6"/>
  <c r="G472" i="10"/>
  <c r="G471" i="10"/>
  <c r="G470" i="10"/>
  <c r="G469" i="10"/>
  <c r="G468" i="10"/>
  <c r="G467" i="10"/>
  <c r="G466" i="10"/>
  <c r="G465" i="10"/>
  <c r="G464" i="10"/>
  <c r="G463" i="10"/>
  <c r="G462" i="10"/>
  <c r="G461" i="10"/>
  <c r="G460" i="10"/>
  <c r="G459" i="10"/>
  <c r="G458" i="10"/>
  <c r="G457" i="10"/>
  <c r="G456" i="10"/>
  <c r="G455" i="10"/>
  <c r="G454" i="10"/>
  <c r="G453" i="10"/>
  <c r="G452" i="10"/>
  <c r="G451" i="10"/>
  <c r="G450" i="10"/>
  <c r="G449" i="10"/>
  <c r="G448" i="10"/>
  <c r="G447" i="10"/>
  <c r="G446" i="10"/>
  <c r="G445" i="10"/>
  <c r="G444" i="10"/>
  <c r="G443" i="10"/>
  <c r="G442" i="10"/>
  <c r="G441" i="10"/>
  <c r="G440" i="10"/>
  <c r="G439" i="10"/>
  <c r="G438" i="10"/>
  <c r="G437" i="10"/>
  <c r="G436" i="10"/>
  <c r="G435" i="10"/>
  <c r="G434" i="10"/>
  <c r="G433" i="10"/>
  <c r="G432" i="10"/>
  <c r="G431" i="10"/>
  <c r="G430" i="10"/>
  <c r="G429" i="10"/>
  <c r="G428" i="10"/>
  <c r="G427" i="10"/>
  <c r="G426" i="10"/>
  <c r="G425" i="10"/>
  <c r="G424" i="10"/>
  <c r="G423" i="10"/>
  <c r="G422" i="10"/>
  <c r="G421" i="10"/>
  <c r="G420" i="10"/>
  <c r="G419" i="10"/>
  <c r="G418" i="10"/>
  <c r="G417" i="10"/>
  <c r="G416" i="10"/>
  <c r="G415" i="10"/>
  <c r="G414" i="10"/>
  <c r="G413" i="10"/>
  <c r="G412" i="10"/>
  <c r="G411" i="10"/>
  <c r="G410" i="10"/>
  <c r="G409" i="10"/>
  <c r="G408" i="10"/>
  <c r="G407" i="10"/>
  <c r="G406" i="10"/>
  <c r="G405" i="10"/>
  <c r="G404" i="10"/>
  <c r="G403" i="10"/>
  <c r="G402" i="10"/>
  <c r="G401" i="10"/>
  <c r="G400" i="10"/>
  <c r="G399" i="10"/>
  <c r="G398" i="10"/>
  <c r="G397" i="10"/>
  <c r="G396" i="10"/>
  <c r="G395" i="10"/>
  <c r="G394" i="10"/>
  <c r="G393" i="10"/>
  <c r="G392" i="10"/>
  <c r="G391" i="10"/>
  <c r="G390" i="10"/>
  <c r="G389" i="10"/>
  <c r="G388" i="10"/>
  <c r="G387" i="10"/>
  <c r="G386" i="10"/>
  <c r="G385" i="10"/>
  <c r="G384" i="10"/>
  <c r="G383" i="10"/>
  <c r="G382" i="10"/>
  <c r="G381" i="10"/>
  <c r="G380" i="10"/>
  <c r="G379" i="10"/>
  <c r="G378" i="10"/>
  <c r="G377" i="10"/>
  <c r="G376" i="10"/>
  <c r="G375" i="10"/>
  <c r="G374" i="10"/>
  <c r="G373" i="10"/>
  <c r="G372" i="10"/>
  <c r="G371" i="10"/>
  <c r="G370" i="10"/>
  <c r="G369" i="10"/>
  <c r="G368" i="10"/>
  <c r="G367" i="10"/>
  <c r="G366" i="10"/>
  <c r="G365" i="10"/>
  <c r="G364" i="10"/>
  <c r="G363" i="10"/>
  <c r="G362" i="10"/>
  <c r="G361" i="10"/>
  <c r="G360" i="10"/>
  <c r="G359" i="10"/>
  <c r="G358" i="10"/>
  <c r="G357" i="10"/>
  <c r="G356" i="10"/>
  <c r="G355" i="10"/>
  <c r="G354" i="10"/>
  <c r="G353" i="10"/>
  <c r="G352" i="10"/>
  <c r="G351" i="10"/>
  <c r="G350" i="10"/>
  <c r="G349" i="10"/>
  <c r="G348" i="10"/>
  <c r="G347" i="10"/>
  <c r="G346" i="10"/>
  <c r="G345" i="10"/>
  <c r="G344" i="10"/>
  <c r="G343" i="10"/>
  <c r="G342" i="10"/>
  <c r="G341" i="10"/>
  <c r="G340" i="10"/>
  <c r="G339" i="10"/>
  <c r="G338" i="10"/>
  <c r="G337" i="10"/>
  <c r="G336" i="10"/>
  <c r="G335" i="10"/>
  <c r="G334" i="10"/>
  <c r="G333" i="10"/>
  <c r="G332" i="10"/>
  <c r="G331" i="10"/>
  <c r="G330" i="10"/>
  <c r="G329" i="10"/>
  <c r="G328" i="10"/>
  <c r="G327" i="10"/>
  <c r="G326" i="10"/>
  <c r="G325" i="10"/>
  <c r="G324" i="10"/>
  <c r="G323" i="10"/>
  <c r="G322" i="10"/>
  <c r="G321" i="10"/>
  <c r="G320" i="10"/>
  <c r="G319" i="10"/>
  <c r="G318" i="10"/>
  <c r="G317" i="10"/>
  <c r="G316" i="10"/>
  <c r="G315" i="10"/>
  <c r="G314" i="10"/>
  <c r="G313" i="10"/>
  <c r="G312" i="10"/>
  <c r="G311" i="10"/>
  <c r="G310" i="10"/>
  <c r="G309" i="10"/>
  <c r="G308" i="10"/>
  <c r="G307" i="10"/>
  <c r="G306" i="10"/>
  <c r="G305" i="10"/>
  <c r="G304" i="10"/>
  <c r="G303" i="10"/>
  <c r="G302" i="10"/>
  <c r="G301" i="10"/>
  <c r="G300" i="10"/>
  <c r="G299" i="10"/>
  <c r="G298" i="10"/>
  <c r="G297" i="10"/>
  <c r="G296" i="10"/>
  <c r="G295" i="10"/>
  <c r="G294" i="10"/>
  <c r="G293" i="10"/>
  <c r="G292" i="10"/>
  <c r="G291" i="10"/>
  <c r="G290" i="10"/>
  <c r="G289" i="10"/>
  <c r="G288" i="10"/>
  <c r="G287" i="10"/>
  <c r="G286" i="10"/>
  <c r="G285" i="10"/>
  <c r="G284" i="10"/>
  <c r="G283" i="10"/>
  <c r="G282" i="10"/>
  <c r="G281" i="10"/>
  <c r="G280" i="10"/>
  <c r="G279" i="10"/>
  <c r="G278" i="10"/>
  <c r="G277" i="10"/>
  <c r="G276" i="10"/>
  <c r="G275" i="10"/>
  <c r="G274" i="10"/>
  <c r="G273" i="10"/>
  <c r="G272" i="10"/>
  <c r="G271" i="10"/>
  <c r="G270" i="10"/>
  <c r="G269" i="10"/>
  <c r="G268" i="10"/>
  <c r="G267" i="10"/>
  <c r="G266" i="10"/>
  <c r="G265" i="10"/>
  <c r="G264" i="10"/>
  <c r="G263" i="10"/>
  <c r="G262" i="10"/>
  <c r="G261" i="10"/>
  <c r="G260" i="10"/>
  <c r="G259" i="10"/>
  <c r="G258" i="10"/>
  <c r="G257" i="10"/>
  <c r="G256" i="10"/>
  <c r="G255" i="10"/>
  <c r="G254" i="10"/>
  <c r="G253" i="10"/>
  <c r="G252" i="10"/>
  <c r="G251" i="10"/>
  <c r="G250" i="10"/>
  <c r="G249" i="10"/>
  <c r="G248" i="10"/>
  <c r="G247" i="10"/>
  <c r="G246" i="10"/>
  <c r="G245" i="10"/>
  <c r="G244" i="10"/>
  <c r="G243" i="10"/>
  <c r="G242" i="10"/>
  <c r="G241" i="10"/>
  <c r="G240" i="10"/>
  <c r="G239" i="10"/>
  <c r="G238" i="10"/>
  <c r="G237" i="10"/>
  <c r="G236" i="10"/>
  <c r="G235" i="10"/>
  <c r="G234" i="10"/>
  <c r="G233" i="10"/>
  <c r="G232" i="10"/>
  <c r="G231" i="10"/>
  <c r="G230" i="10"/>
  <c r="G229" i="10"/>
  <c r="G228" i="10"/>
  <c r="G227" i="10"/>
  <c r="G226" i="10"/>
  <c r="G225" i="10"/>
  <c r="G224" i="10"/>
  <c r="G223" i="10"/>
  <c r="G222" i="10"/>
  <c r="G221" i="10"/>
  <c r="G220" i="10"/>
  <c r="G219" i="10"/>
  <c r="G218" i="10"/>
  <c r="G217" i="10"/>
  <c r="G216" i="10"/>
  <c r="G215" i="10"/>
  <c r="G214" i="10"/>
  <c r="G213" i="10"/>
  <c r="G212" i="10"/>
  <c r="G211" i="10"/>
  <c r="G210" i="10"/>
  <c r="G209" i="10"/>
  <c r="G208" i="10"/>
  <c r="G207" i="10"/>
  <c r="G206" i="10"/>
  <c r="G205" i="10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2" i="10"/>
  <c r="G191" i="10"/>
  <c r="G190" i="10"/>
  <c r="G189" i="10"/>
  <c r="G188" i="10"/>
  <c r="G187" i="10"/>
  <c r="G186" i="10"/>
  <c r="G185" i="10"/>
  <c r="G184" i="10"/>
  <c r="G183" i="10"/>
  <c r="G182" i="10"/>
  <c r="G181" i="10"/>
  <c r="G180" i="10"/>
  <c r="G179" i="10"/>
  <c r="G178" i="10"/>
  <c r="G177" i="10"/>
  <c r="G176" i="10"/>
  <c r="G175" i="10"/>
  <c r="G174" i="10"/>
  <c r="G173" i="10"/>
  <c r="G172" i="10"/>
  <c r="G171" i="10"/>
  <c r="G170" i="10"/>
  <c r="G169" i="10"/>
  <c r="G168" i="10"/>
  <c r="G167" i="10"/>
  <c r="G166" i="10"/>
  <c r="G165" i="10"/>
  <c r="G164" i="10"/>
  <c r="G163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C5" i="10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O19" i="3"/>
  <c r="O20" i="3"/>
  <c r="O21" i="3"/>
  <c r="O22" i="3"/>
  <c r="O23" i="3"/>
  <c r="O24" i="3"/>
  <c r="O25" i="3"/>
  <c r="O26" i="3"/>
  <c r="O27" i="3"/>
  <c r="O28" i="3"/>
  <c r="O29" i="3"/>
  <c r="O30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O7" i="3"/>
  <c r="O8" i="3"/>
  <c r="O9" i="3"/>
  <c r="O10" i="3"/>
  <c r="O11" i="3"/>
  <c r="O12" i="3"/>
  <c r="O13" i="3"/>
  <c r="O14" i="3"/>
  <c r="O15" i="3"/>
  <c r="O16" i="3"/>
  <c r="O17" i="3"/>
  <c r="O18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Q5" i="3"/>
  <c r="Q6" i="3"/>
  <c r="Q7" i="3"/>
  <c r="Q8" i="3"/>
  <c r="Q9" i="3"/>
  <c r="Q10" i="3"/>
  <c r="Q11" i="3"/>
  <c r="Q12" i="3"/>
  <c r="O5" i="3"/>
  <c r="O6" i="3"/>
  <c r="A52" i="3"/>
  <c r="A53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" i="3"/>
  <c r="G6" i="3"/>
  <c r="G5" i="3"/>
  <c r="K5" i="3"/>
  <c r="K6" i="3"/>
  <c r="K7" i="3"/>
  <c r="K8" i="3"/>
  <c r="K9" i="3"/>
  <c r="K10" i="3"/>
  <c r="K11" i="3"/>
  <c r="K12" i="3"/>
  <c r="I5" i="3"/>
  <c r="I6" i="3"/>
  <c r="A50" i="3"/>
  <c r="A51" i="3"/>
  <c r="A46" i="3"/>
  <c r="A47" i="3"/>
  <c r="A48" i="3"/>
  <c r="A49" i="3"/>
  <c r="A36" i="3"/>
  <c r="A37" i="3"/>
  <c r="A38" i="3"/>
  <c r="A39" i="3"/>
  <c r="A40" i="3"/>
  <c r="A41" i="3"/>
  <c r="A42" i="3"/>
  <c r="A43" i="3"/>
  <c r="A44" i="3"/>
  <c r="A45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E12" i="3"/>
  <c r="E11" i="3"/>
  <c r="E10" i="3"/>
  <c r="E9" i="3"/>
  <c r="E8" i="3"/>
  <c r="E7" i="3"/>
  <c r="E6" i="3"/>
  <c r="E5" i="3"/>
  <c r="C5" i="3"/>
  <c r="C6" i="3"/>
  <c r="M412" i="10" l="1"/>
  <c r="M251" i="10"/>
  <c r="M340" i="10"/>
  <c r="M352" i="10"/>
  <c r="M142" i="10"/>
  <c r="M355" i="10"/>
  <c r="M309" i="10"/>
  <c r="M448" i="10"/>
  <c r="M335" i="10"/>
  <c r="M449" i="10"/>
  <c r="M276" i="10"/>
  <c r="M345" i="10"/>
  <c r="M228" i="10"/>
  <c r="M393" i="10"/>
  <c r="M441" i="10"/>
  <c r="M436" i="10"/>
  <c r="M253" i="10"/>
  <c r="M283" i="10"/>
  <c r="M236" i="10"/>
  <c r="M376" i="10"/>
  <c r="M68" i="10"/>
  <c r="M454" i="10"/>
  <c r="M438" i="10"/>
  <c r="M410" i="10"/>
  <c r="M450" i="10"/>
  <c r="M191" i="10"/>
  <c r="M229" i="10"/>
  <c r="M338" i="10"/>
  <c r="M365" i="10"/>
  <c r="M405" i="10"/>
  <c r="M444" i="10"/>
  <c r="M460" i="10"/>
  <c r="M321" i="10"/>
  <c r="M21" i="10"/>
  <c r="M74" i="10"/>
  <c r="M90" i="10"/>
  <c r="M299" i="10"/>
  <c r="M138" i="10"/>
  <c r="M446" i="10"/>
  <c r="M152" i="10"/>
  <c r="M343" i="10"/>
  <c r="M259" i="10"/>
  <c r="M83" i="10"/>
  <c r="M103" i="10"/>
  <c r="M174" i="10"/>
  <c r="M260" i="10"/>
  <c r="M278" i="10"/>
  <c r="M348" i="10"/>
  <c r="K25" i="6"/>
  <c r="K35" i="6"/>
  <c r="M60" i="10"/>
  <c r="M197" i="10"/>
  <c r="M205" i="10"/>
  <c r="M169" i="10"/>
  <c r="M14" i="10"/>
  <c r="M94" i="10"/>
  <c r="M419" i="10"/>
  <c r="M144" i="10"/>
  <c r="M225" i="10"/>
  <c r="M64" i="10"/>
  <c r="M100" i="10"/>
  <c r="M176" i="10"/>
  <c r="M213" i="10"/>
  <c r="M267" i="10"/>
  <c r="M227" i="10"/>
  <c r="M172" i="10"/>
  <c r="M110" i="10"/>
  <c r="M301" i="10"/>
  <c r="M38" i="10"/>
  <c r="M56" i="10"/>
  <c r="M69" i="10"/>
  <c r="M26" i="10"/>
  <c r="M80" i="10"/>
  <c r="M28" i="10"/>
  <c r="M117" i="10"/>
  <c r="K34" i="6"/>
  <c r="K37" i="6"/>
  <c r="K41" i="6"/>
  <c r="M333" i="10"/>
  <c r="M35" i="10"/>
  <c r="M318" i="10"/>
  <c r="M464" i="10"/>
  <c r="M42" i="10"/>
  <c r="M149" i="10"/>
  <c r="M170" i="10"/>
  <c r="M273" i="10"/>
  <c r="M313" i="10"/>
  <c r="M336" i="10"/>
  <c r="M386" i="10"/>
  <c r="M268" i="10"/>
  <c r="M131" i="10"/>
  <c r="M254" i="10"/>
  <c r="M308" i="10"/>
  <c r="M422" i="10"/>
  <c r="M55" i="10"/>
  <c r="M112" i="10"/>
  <c r="M105" i="10"/>
  <c r="M261" i="10"/>
  <c r="M294" i="10"/>
  <c r="M362" i="10"/>
  <c r="M375" i="10"/>
  <c r="M414" i="10"/>
  <c r="M377" i="10"/>
  <c r="M413" i="10"/>
  <c r="M189" i="10"/>
  <c r="M314" i="10"/>
  <c r="M344" i="10"/>
  <c r="M381" i="10"/>
  <c r="M96" i="10"/>
  <c r="M206" i="10"/>
  <c r="M252" i="10"/>
  <c r="M269" i="10"/>
  <c r="M284" i="10"/>
  <c r="M52" i="10"/>
  <c r="M159" i="10"/>
  <c r="M134" i="10"/>
  <c r="M212" i="10"/>
  <c r="M215" i="10"/>
  <c r="M257" i="10"/>
  <c r="M277" i="10"/>
  <c r="M292" i="10"/>
  <c r="M428" i="10"/>
  <c r="M130" i="10"/>
  <c r="M275" i="10"/>
  <c r="M218" i="10"/>
  <c r="M240" i="10"/>
  <c r="M245" i="10"/>
  <c r="M262" i="10"/>
  <c r="M302" i="10"/>
  <c r="M317" i="10"/>
  <c r="M320" i="10"/>
  <c r="M350" i="10"/>
  <c r="M374" i="10"/>
  <c r="M434" i="10"/>
  <c r="M458" i="10"/>
  <c r="M285" i="10"/>
  <c r="M195" i="10"/>
  <c r="M101" i="10"/>
  <c r="M310" i="10"/>
  <c r="M353" i="10"/>
  <c r="M398" i="10"/>
  <c r="M453" i="10"/>
  <c r="M6" i="6"/>
  <c r="M19" i="10"/>
  <c r="M73" i="10"/>
  <c r="M125" i="10"/>
  <c r="M98" i="10"/>
  <c r="M356" i="10"/>
  <c r="M366" i="10"/>
  <c r="M397" i="10"/>
  <c r="M417" i="10"/>
  <c r="M457" i="10"/>
  <c r="M7" i="10"/>
  <c r="M41" i="10"/>
  <c r="M51" i="10"/>
  <c r="M219" i="10"/>
  <c r="M265" i="10"/>
  <c r="M288" i="10"/>
  <c r="M328" i="10"/>
  <c r="M383" i="10"/>
  <c r="M395" i="10"/>
  <c r="M437" i="10"/>
  <c r="M17" i="10"/>
  <c r="M71" i="10"/>
  <c r="M192" i="10"/>
  <c r="M211" i="10"/>
  <c r="M234" i="10"/>
  <c r="M133" i="10"/>
  <c r="M156" i="10"/>
  <c r="M166" i="10"/>
  <c r="M232" i="10"/>
  <c r="M244" i="10"/>
  <c r="M295" i="10"/>
  <c r="M304" i="10"/>
  <c r="M316" i="10"/>
  <c r="M361" i="10"/>
  <c r="M388" i="10"/>
  <c r="M400" i="10"/>
  <c r="M425" i="10"/>
  <c r="M430" i="10"/>
  <c r="M445" i="10"/>
  <c r="M470" i="10"/>
  <c r="M424" i="10"/>
  <c r="M256" i="10"/>
  <c r="M373" i="10"/>
  <c r="M432" i="10"/>
  <c r="M442" i="10"/>
  <c r="M46" i="10"/>
  <c r="M116" i="10"/>
  <c r="M118" i="10"/>
  <c r="M140" i="10"/>
  <c r="M311" i="10"/>
  <c r="M34" i="10"/>
  <c r="M20" i="10"/>
  <c r="M22" i="10"/>
  <c r="M86" i="10"/>
  <c r="M104" i="10"/>
  <c r="M121" i="10"/>
  <c r="M136" i="10"/>
  <c r="M146" i="10"/>
  <c r="M164" i="10"/>
  <c r="M214" i="10"/>
  <c r="M230" i="10"/>
  <c r="M237" i="10"/>
  <c r="M242" i="10"/>
  <c r="M279" i="10"/>
  <c r="M286" i="10"/>
  <c r="M300" i="10"/>
  <c r="M324" i="10"/>
  <c r="M331" i="10"/>
  <c r="M408" i="10"/>
  <c r="M435" i="10"/>
  <c r="M443" i="10"/>
  <c r="M465" i="10"/>
  <c r="M182" i="10"/>
  <c r="M196" i="10"/>
  <c r="M469" i="10"/>
  <c r="M128" i="10"/>
  <c r="M153" i="10"/>
  <c r="M342" i="10"/>
  <c r="M385" i="10"/>
  <c r="M216" i="10"/>
  <c r="M239" i="10"/>
  <c r="M29" i="10"/>
  <c r="M32" i="10"/>
  <c r="M57" i="10"/>
  <c r="M76" i="10"/>
  <c r="M44" i="10"/>
  <c r="M62" i="10"/>
  <c r="M67" i="10"/>
  <c r="M79" i="10"/>
  <c r="M109" i="10"/>
  <c r="M119" i="10"/>
  <c r="M129" i="10"/>
  <c r="M171" i="10"/>
  <c r="M173" i="10"/>
  <c r="M183" i="10"/>
  <c r="M217" i="10"/>
  <c r="M224" i="10"/>
  <c r="M263" i="10"/>
  <c r="M293" i="10"/>
  <c r="M307" i="10"/>
  <c r="M364" i="10"/>
  <c r="M391" i="10"/>
  <c r="M433" i="10"/>
  <c r="M199" i="10"/>
  <c r="M250" i="10"/>
  <c r="M61" i="10"/>
  <c r="M204" i="10"/>
  <c r="M378" i="10"/>
  <c r="M270" i="10"/>
  <c r="M298" i="10"/>
  <c r="M322" i="10"/>
  <c r="M418" i="10"/>
  <c r="M168" i="10"/>
  <c r="M223" i="10"/>
  <c r="M89" i="10"/>
  <c r="M186" i="10"/>
  <c r="M357" i="10"/>
  <c r="M372" i="10"/>
  <c r="M384" i="10"/>
  <c r="M401" i="10"/>
  <c r="M406" i="10"/>
  <c r="M471" i="10"/>
  <c r="M18" i="10"/>
  <c r="M99" i="10"/>
  <c r="M193" i="10"/>
  <c r="M220" i="10"/>
  <c r="M329" i="10"/>
  <c r="M23" i="10"/>
  <c r="M50" i="10"/>
  <c r="M82" i="10"/>
  <c r="M127" i="10"/>
  <c r="M157" i="10"/>
  <c r="M179" i="10"/>
  <c r="M247" i="10"/>
  <c r="M266" i="10"/>
  <c r="M282" i="10"/>
  <c r="M287" i="10"/>
  <c r="M305" i="10"/>
  <c r="M332" i="10"/>
  <c r="M341" i="10"/>
  <c r="M31" i="10"/>
  <c r="M85" i="10"/>
  <c r="M37" i="10"/>
  <c r="M124" i="10"/>
  <c r="M289" i="10"/>
  <c r="M70" i="10"/>
  <c r="M77" i="10"/>
  <c r="M115" i="10"/>
  <c r="M122" i="10"/>
  <c r="M208" i="10"/>
  <c r="M238" i="10"/>
  <c r="M280" i="10"/>
  <c r="M296" i="10"/>
  <c r="M327" i="10"/>
  <c r="M337" i="10"/>
  <c r="M346" i="10"/>
  <c r="M404" i="10"/>
  <c r="M411" i="10"/>
  <c r="M421" i="10"/>
  <c r="M466" i="10"/>
  <c r="M108" i="10"/>
  <c r="M163" i="10"/>
  <c r="I485" i="10"/>
  <c r="M25" i="10"/>
  <c r="M48" i="10"/>
  <c r="M53" i="10"/>
  <c r="M92" i="10"/>
  <c r="M137" i="10"/>
  <c r="M147" i="10"/>
  <c r="M165" i="10"/>
  <c r="M184" i="10"/>
  <c r="M231" i="10"/>
  <c r="M271" i="10"/>
  <c r="M323" i="10"/>
  <c r="M325" i="10"/>
  <c r="M360" i="10"/>
  <c r="M370" i="10"/>
  <c r="M382" i="10"/>
  <c r="M387" i="10"/>
  <c r="M392" i="10"/>
  <c r="M394" i="10"/>
  <c r="M409" i="10"/>
  <c r="M54" i="10"/>
  <c r="M59" i="10"/>
  <c r="M66" i="10"/>
  <c r="M102" i="10"/>
  <c r="M107" i="10"/>
  <c r="M114" i="10"/>
  <c r="M150" i="10"/>
  <c r="M155" i="10"/>
  <c r="I478" i="10"/>
  <c r="M16" i="10"/>
  <c r="M49" i="10"/>
  <c r="M97" i="10"/>
  <c r="M145" i="10"/>
  <c r="M162" i="10"/>
  <c r="M185" i="10"/>
  <c r="M202" i="10"/>
  <c r="M209" i="10"/>
  <c r="M221" i="10"/>
  <c r="I481" i="10"/>
  <c r="M190" i="10"/>
  <c r="J475" i="10"/>
  <c r="M6" i="10"/>
  <c r="J478" i="10"/>
  <c r="M9" i="10"/>
  <c r="M30" i="10"/>
  <c r="M47" i="10"/>
  <c r="M78" i="10"/>
  <c r="M95" i="10"/>
  <c r="M126" i="10"/>
  <c r="M143" i="10"/>
  <c r="M160" i="10"/>
  <c r="M167" i="10"/>
  <c r="M181" i="10"/>
  <c r="M188" i="10"/>
  <c r="M207" i="10"/>
  <c r="M319" i="10"/>
  <c r="I476" i="10"/>
  <c r="J483" i="10"/>
  <c r="M148" i="10"/>
  <c r="M151" i="10"/>
  <c r="M158" i="10"/>
  <c r="M200" i="10"/>
  <c r="M33" i="10"/>
  <c r="M40" i="10"/>
  <c r="M81" i="10"/>
  <c r="M88" i="10"/>
  <c r="M235" i="10"/>
  <c r="J474" i="10"/>
  <c r="M5" i="10"/>
  <c r="J476" i="10"/>
  <c r="J479" i="10"/>
  <c r="M10" i="10"/>
  <c r="M198" i="10"/>
  <c r="M203" i="10"/>
  <c r="M210" i="10"/>
  <c r="M24" i="10"/>
  <c r="M45" i="10"/>
  <c r="M58" i="10"/>
  <c r="M65" i="10"/>
  <c r="M72" i="10"/>
  <c r="M93" i="10"/>
  <c r="M106" i="10"/>
  <c r="M113" i="10"/>
  <c r="M120" i="10"/>
  <c r="M141" i="10"/>
  <c r="M154" i="10"/>
  <c r="M177" i="10"/>
  <c r="I479" i="10"/>
  <c r="M161" i="10"/>
  <c r="M13" i="10"/>
  <c r="M175" i="10"/>
  <c r="M180" i="10"/>
  <c r="M243" i="10"/>
  <c r="M264" i="10"/>
  <c r="J480" i="10"/>
  <c r="M11" i="10"/>
  <c r="I474" i="10"/>
  <c r="I482" i="10"/>
  <c r="I477" i="10"/>
  <c r="J484" i="10"/>
  <c r="M15" i="10"/>
  <c r="M43" i="10"/>
  <c r="M63" i="10"/>
  <c r="M91" i="10"/>
  <c r="M111" i="10"/>
  <c r="M139" i="10"/>
  <c r="M201" i="10"/>
  <c r="J477" i="10"/>
  <c r="M8" i="10"/>
  <c r="I480" i="10"/>
  <c r="M36" i="10"/>
  <c r="M84" i="10"/>
  <c r="M132" i="10"/>
  <c r="M187" i="10"/>
  <c r="M241" i="10"/>
  <c r="M246" i="10"/>
  <c r="M415" i="10"/>
  <c r="M420" i="10"/>
  <c r="I483" i="10"/>
  <c r="M248" i="10"/>
  <c r="M303" i="10"/>
  <c r="M312" i="10"/>
  <c r="M330" i="10"/>
  <c r="M369" i="10"/>
  <c r="M462" i="10"/>
  <c r="M467" i="10"/>
  <c r="M194" i="10"/>
  <c r="M258" i="10"/>
  <c r="M281" i="10"/>
  <c r="M290" i="10"/>
  <c r="M367" i="10"/>
  <c r="M455" i="10"/>
  <c r="J481" i="10"/>
  <c r="M233" i="10"/>
  <c r="M297" i="10"/>
  <c r="M39" i="10"/>
  <c r="M87" i="10"/>
  <c r="M135" i="10"/>
  <c r="M178" i="10"/>
  <c r="M326" i="10"/>
  <c r="I475" i="10"/>
  <c r="M306" i="10"/>
  <c r="J485" i="10"/>
  <c r="M222" i="10"/>
  <c r="M226" i="10"/>
  <c r="M249" i="10"/>
  <c r="M255" i="10"/>
  <c r="M291" i="10"/>
  <c r="M315" i="10"/>
  <c r="M358" i="10"/>
  <c r="I484" i="10"/>
  <c r="M123" i="10"/>
  <c r="M272" i="10"/>
  <c r="M274" i="10"/>
  <c r="M429" i="10"/>
  <c r="J482" i="10"/>
  <c r="M27" i="10"/>
  <c r="M75" i="10"/>
  <c r="M12" i="10"/>
  <c r="M334" i="10"/>
  <c r="M354" i="10"/>
  <c r="M390" i="10"/>
  <c r="M399" i="10"/>
  <c r="M427" i="10"/>
  <c r="M379" i="10"/>
  <c r="M439" i="10"/>
  <c r="M363" i="10"/>
  <c r="M402" i="10"/>
  <c r="M416" i="10"/>
  <c r="M451" i="10"/>
  <c r="M456" i="10"/>
  <c r="M359" i="10"/>
  <c r="M368" i="10"/>
  <c r="M407" i="10"/>
  <c r="M423" i="10"/>
  <c r="M463" i="10"/>
  <c r="M468" i="10"/>
  <c r="M347" i="10"/>
  <c r="M351" i="10"/>
  <c r="M461" i="10"/>
  <c r="M339" i="10"/>
  <c r="M349" i="10"/>
  <c r="M380" i="10"/>
  <c r="M389" i="10"/>
  <c r="M396" i="10"/>
  <c r="M426" i="10"/>
  <c r="M440" i="10"/>
  <c r="M447" i="10"/>
  <c r="M371" i="10"/>
  <c r="M403" i="10"/>
  <c r="M431" i="10"/>
  <c r="M452" i="10"/>
  <c r="M459" i="10"/>
  <c r="M5" i="6"/>
  <c r="N10" i="6"/>
  <c r="N13" i="6"/>
  <c r="N16" i="6"/>
  <c r="N19" i="6"/>
  <c r="N22" i="6"/>
  <c r="N25" i="6"/>
  <c r="N28" i="6"/>
  <c r="N31" i="6"/>
  <c r="N34" i="6"/>
  <c r="N37" i="6"/>
  <c r="N40" i="6"/>
  <c r="N7" i="6"/>
  <c r="M11" i="6"/>
  <c r="M14" i="6"/>
  <c r="M17" i="6"/>
  <c r="M20" i="6"/>
  <c r="M23" i="6"/>
  <c r="M26" i="6"/>
  <c r="M29" i="6"/>
  <c r="M32" i="6"/>
  <c r="M35" i="6"/>
  <c r="M38" i="6"/>
  <c r="M41" i="6"/>
  <c r="M8" i="6"/>
  <c r="N8" i="6"/>
  <c r="N11" i="6"/>
  <c r="N20" i="6"/>
  <c r="N23" i="6"/>
  <c r="N32" i="6"/>
  <c r="N35" i="6"/>
  <c r="M9" i="6"/>
  <c r="M12" i="6"/>
  <c r="M15" i="6"/>
  <c r="M18" i="6"/>
  <c r="M21" i="6"/>
  <c r="M24" i="6"/>
  <c r="M27" i="6"/>
  <c r="M30" i="6"/>
  <c r="M33" i="6"/>
  <c r="M36" i="6"/>
  <c r="M39" i="6"/>
  <c r="M42" i="6"/>
  <c r="N42" i="6"/>
  <c r="M43" i="6"/>
  <c r="N9" i="6"/>
  <c r="N15" i="6"/>
  <c r="N18" i="6"/>
  <c r="N21" i="6"/>
  <c r="N27" i="6"/>
  <c r="N30" i="6"/>
  <c r="N33" i="6"/>
  <c r="N39" i="6"/>
  <c r="N43" i="6"/>
  <c r="N6" i="6"/>
  <c r="M10" i="6"/>
  <c r="M13" i="6"/>
  <c r="M16" i="6"/>
  <c r="M19" i="6"/>
  <c r="M22" i="6"/>
  <c r="M25" i="6"/>
  <c r="M28" i="6"/>
  <c r="M31" i="6"/>
  <c r="M34" i="6"/>
  <c r="M37" i="6"/>
  <c r="M40" i="6"/>
  <c r="M7" i="6"/>
  <c r="K7" i="6"/>
  <c r="K19" i="6"/>
  <c r="K9" i="6"/>
  <c r="K10" i="6"/>
  <c r="K39" i="6"/>
  <c r="K15" i="6"/>
  <c r="K12" i="6"/>
  <c r="K24" i="6"/>
  <c r="K36" i="6"/>
  <c r="K21" i="6"/>
  <c r="K22" i="6"/>
  <c r="K31" i="6"/>
  <c r="H45" i="6"/>
  <c r="H47" i="6" s="1"/>
  <c r="K33" i="6"/>
  <c r="K27" i="6"/>
  <c r="K14" i="6"/>
  <c r="K17" i="6"/>
  <c r="K26" i="6"/>
  <c r="K29" i="6"/>
  <c r="K38" i="6"/>
  <c r="K16" i="6"/>
  <c r="K28" i="6"/>
  <c r="K40" i="6"/>
  <c r="N5" i="6"/>
  <c r="N17" i="6"/>
  <c r="N29" i="6"/>
  <c r="N41" i="6"/>
  <c r="K5" i="6"/>
  <c r="K6" i="6"/>
  <c r="K18" i="6"/>
  <c r="K30" i="6"/>
  <c r="K42" i="6"/>
  <c r="K43" i="6"/>
  <c r="K8" i="6"/>
  <c r="K20" i="6"/>
  <c r="K32" i="6"/>
  <c r="I488" i="10"/>
  <c r="N12" i="6"/>
  <c r="N14" i="6"/>
  <c r="N24" i="6"/>
  <c r="N26" i="6"/>
  <c r="N36" i="6"/>
  <c r="N38" i="6"/>
  <c r="J488" i="10"/>
  <c r="K11" i="6"/>
  <c r="K23" i="6"/>
  <c r="G45" i="6"/>
  <c r="G47" i="6" s="1"/>
  <c r="K13" i="6"/>
  <c r="M485" i="10" l="1"/>
  <c r="N45" i="6"/>
  <c r="M481" i="10"/>
  <c r="M475" i="10"/>
  <c r="M482" i="10"/>
  <c r="M480" i="10"/>
  <c r="M479" i="10"/>
  <c r="M476" i="10"/>
  <c r="M474" i="10"/>
  <c r="M478" i="10"/>
  <c r="J489" i="10"/>
  <c r="M484" i="10"/>
  <c r="M477" i="10"/>
  <c r="M483" i="10"/>
  <c r="M45" i="6"/>
  <c r="I489" i="10"/>
  <c r="K4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<sst xmlns="http://schemas.openxmlformats.org/spreadsheetml/2006/main" count="2445" uniqueCount="152">
  <si>
    <t>Year</t>
  </si>
  <si>
    <t>Entity</t>
  </si>
  <si>
    <t>Target Operating Revenue</t>
  </si>
  <si>
    <t>Target Operating Expenses</t>
  </si>
  <si>
    <t>Path</t>
  </si>
  <si>
    <t>Item Type</t>
  </si>
  <si>
    <t>100 Asbury Methodist Village</t>
  </si>
  <si>
    <t>ReportingandData/Dashboards/Lists/Entity Operating Ratio Target</t>
  </si>
  <si>
    <t>Item</t>
  </si>
  <si>
    <t>200 Asbury Solomons</t>
  </si>
  <si>
    <t>210 Calvert County Nursing Center</t>
  </si>
  <si>
    <t>324 Springhill</t>
  </si>
  <si>
    <t>400 Asbury Foundation</t>
  </si>
  <si>
    <t>500 Asbury Communities</t>
  </si>
  <si>
    <t>610 Inverness Village</t>
  </si>
  <si>
    <t>650 Asbury Place Maryville</t>
  </si>
  <si>
    <t>660 Asbury Place Kingsport</t>
  </si>
  <si>
    <t>701 Asbury HCBS</t>
  </si>
  <si>
    <t>711 Inverness at Home</t>
  </si>
  <si>
    <t>712 Springhill at Home</t>
  </si>
  <si>
    <t>713 AMV at Home</t>
  </si>
  <si>
    <t>714 Solomons at Home</t>
  </si>
  <si>
    <t>715 Bethany Village at Home</t>
  </si>
  <si>
    <t>716 Asbury Place at Home</t>
  </si>
  <si>
    <t>733 AMV Home Health</t>
  </si>
  <si>
    <t>810 Bethany Village</t>
  </si>
  <si>
    <t>900 The Asbury Group</t>
  </si>
  <si>
    <t>815 Bethany Towers</t>
  </si>
  <si>
    <t>670 Forest Ridge Manor</t>
  </si>
  <si>
    <t>835 Riverwoods</t>
  </si>
  <si>
    <t>840 Normandie Ridge</t>
  </si>
  <si>
    <t>845 Normandie Ridge Home Health</t>
  </si>
  <si>
    <t>850 Pharmacy</t>
  </si>
  <si>
    <t>851 LIFE Lancaster</t>
  </si>
  <si>
    <t>852 LIFE Lycoming</t>
  </si>
  <si>
    <t>853 LIFE Lebanon</t>
  </si>
  <si>
    <t>854 LIFE Chester</t>
  </si>
  <si>
    <t>870 Warrior Run Manor</t>
  </si>
  <si>
    <t>888 Eliminations</t>
  </si>
  <si>
    <t>OR</t>
  </si>
  <si>
    <t>855 LIFE Cumberland</t>
  </si>
  <si>
    <t>856 LIFE Franklin</t>
  </si>
  <si>
    <t>859 LIFE Parent</t>
  </si>
  <si>
    <t>910 ThriveWell Tech</t>
  </si>
  <si>
    <t>925 Chandler Estate</t>
  </si>
  <si>
    <t>702 Laboratory</t>
  </si>
  <si>
    <t>717 Riverwoods at Home</t>
  </si>
  <si>
    <t>718 Normandie Ridge at Home</t>
  </si>
  <si>
    <t>Asbury Communities</t>
  </si>
  <si>
    <t>860 ACS Fund Development</t>
  </si>
  <si>
    <t>916 Westview One, LLC</t>
  </si>
  <si>
    <t>e1e453d0-67f4-4098-ad1d-a87e7568f810</t>
  </si>
  <si>
    <t>400 Asbury Foundation, Inc.</t>
  </si>
  <si>
    <t>500 Asbury Communities, Inc.</t>
  </si>
  <si>
    <t>640 Asbury Place Support Center</t>
  </si>
  <si>
    <t>HCBS</t>
  </si>
  <si>
    <t>815 Bethany Development</t>
  </si>
  <si>
    <t>850 ACS Pharmacy</t>
  </si>
  <si>
    <t>861 Meals on Wheels</t>
  </si>
  <si>
    <t>862 Slifer Museum</t>
  </si>
  <si>
    <t>865 Central Office</t>
  </si>
  <si>
    <t>FY2024</t>
  </si>
  <si>
    <t>Budget 2024</t>
  </si>
  <si>
    <t>Operating Ratio Revenue (New)</t>
  </si>
  <si>
    <t>Operating Ratio Expenses (New)</t>
  </si>
  <si>
    <t>Operating_Ratio_Revenue_Metric_New</t>
  </si>
  <si>
    <t>Operating_Ratio_Expenses_Metric_New</t>
  </si>
  <si>
    <t>701 Asbury Communities HCBS, Inc.</t>
  </si>
  <si>
    <t>713 Asbury Methodist Village at Home</t>
  </si>
  <si>
    <t>733 Asbury Methodist Village Home Health</t>
  </si>
  <si>
    <t>889-00-00 IV Eliminations</t>
  </si>
  <si>
    <t>888-00-00 Eliminations</t>
  </si>
  <si>
    <t>Ent</t>
  </si>
  <si>
    <t>OC Name</t>
  </si>
  <si>
    <t>Name for Qlik?</t>
  </si>
  <si>
    <t>2023 Name Format</t>
  </si>
  <si>
    <t>text</t>
  </si>
  <si>
    <t>f(x)</t>
  </si>
  <si>
    <t>For Qlik Load</t>
  </si>
  <si>
    <t>c12bf6ad-161d-474a-ae93-3487acc74e25</t>
  </si>
  <si>
    <t>Top Level (Consolidated)</t>
  </si>
  <si>
    <t>HCBS (Only)</t>
  </si>
  <si>
    <t>Asbury (Only)</t>
  </si>
  <si>
    <t>Asbury</t>
  </si>
  <si>
    <t>Asbury (Consolidated) (Only)</t>
  </si>
  <si>
    <t>Asbury (Consolidated)</t>
  </si>
  <si>
    <t>LIFE (Only)</t>
  </si>
  <si>
    <t>LIFE</t>
  </si>
  <si>
    <t>Albright (Only)</t>
  </si>
  <si>
    <t>Albright</t>
  </si>
  <si>
    <t>Albright (Consolidated) (Only)</t>
  </si>
  <si>
    <t>Albright (Consolidated)</t>
  </si>
  <si>
    <t>Top Level (Consolidated) (Only)</t>
  </si>
  <si>
    <t>350 Grace Park</t>
  </si>
  <si>
    <t>360 Ivy Gables</t>
  </si>
  <si>
    <t>Asbury Communities (Consolidated)</t>
  </si>
  <si>
    <t>MFA McFarlin (Consolidated)</t>
  </si>
  <si>
    <t>Prep</t>
  </si>
  <si>
    <t>2d163a86-cffd-43e5-8e01-bbf10c20e10d</t>
  </si>
  <si>
    <t>Rev</t>
  </si>
  <si>
    <t>Exp</t>
  </si>
  <si>
    <t>Month</t>
  </si>
  <si>
    <t>Annual</t>
  </si>
  <si>
    <t>Check vs Monthly</t>
  </si>
  <si>
    <t>Check1</t>
  </si>
  <si>
    <t>Check2</t>
  </si>
  <si>
    <t>620 MFA Maryville Opco, LLC</t>
  </si>
  <si>
    <t>630 MFA Baysmont Opco, LLC</t>
  </si>
  <si>
    <t>635 MFA Steadman Opco, LLC</t>
  </si>
  <si>
    <t>FY2025</t>
  </si>
  <si>
    <t>Budget 2025</t>
  </si>
  <si>
    <t>Operating Ratio Revenue</t>
  </si>
  <si>
    <t>Operating Ratio Expenses</t>
  </si>
  <si>
    <t>Check</t>
  </si>
  <si>
    <t>Operating Ratio Revenue-Month (current+2)-Budget 2025</t>
  </si>
  <si>
    <t>Operating Ratio Revenue-Month (current+3)-Budget 2025</t>
  </si>
  <si>
    <t>Operating Ratio Revenue-Month (current+4)-Budget 2025</t>
  </si>
  <si>
    <t>Operating Ratio Revenue-Month (current+5)-Budget 2025</t>
  </si>
  <si>
    <t>Operating Ratio Revenue-Month (current+6)-Budget 2025</t>
  </si>
  <si>
    <t>Operating Ratio Revenue-Month (current+7)-Budget 2025</t>
  </si>
  <si>
    <t>Operating Ratio Revenue-Month (current+8)-Budget 2025</t>
  </si>
  <si>
    <t>Operating Ratio Revenue-Month (current+9)-Budget 2025</t>
  </si>
  <si>
    <t>Operating Ratio Revenue-Month (current+10)-Budget 2025</t>
  </si>
  <si>
    <t>Operating Ratio Revenue-Month (current+11)-Budget 2025</t>
  </si>
  <si>
    <t>Operating Ratio Revenue-Month (current+12)-Budget 2025</t>
  </si>
  <si>
    <t>Operating Ratio Revenue-Month (current+13)-Budget 2025</t>
  </si>
  <si>
    <t>Year (current+1)-Operating Ratio Revenue-Budget 2025</t>
  </si>
  <si>
    <t>Operating Ratio Expenses-Month (current+2)-Budget 2025</t>
  </si>
  <si>
    <t>Operating Ratio Expenses-Month (current+3)-Budget 2025</t>
  </si>
  <si>
    <t>Operating Ratio Expenses-Month (current+4)-Budget 2025</t>
  </si>
  <si>
    <t>Operating Ratio Expenses-Month (current+5)-Budget 2025</t>
  </si>
  <si>
    <t>Operating Ratio Expenses-Month (current+6)-Budget 2025</t>
  </si>
  <si>
    <t>Operating Ratio Expenses-Month (current+7)-Budget 2025</t>
  </si>
  <si>
    <t>Operating Ratio Expenses-Month (current+8)-Budget 2025</t>
  </si>
  <si>
    <t>Operating Ratio Expenses-Month (current+9)-Budget 2025</t>
  </si>
  <si>
    <t>Operating Ratio Expenses-Month (current+10)-Budget 2025</t>
  </si>
  <si>
    <t>Operating Ratio Expenses-Month (current+11)-Budget 2025</t>
  </si>
  <si>
    <t>Operating Ratio Expenses-Month (current+12)-Budget 2025</t>
  </si>
  <si>
    <t>Operating Ratio Expenses-Month (current+13)-Budget 2025</t>
  </si>
  <si>
    <t>Year (current+1)-Operating Ratio Expenses-Budget 2025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</si>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</sst>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_);_(* \(#,##0\);_(* &quot;-&quot;??_);_(@_)"/>
    <numFmt numFmtId="166" formatCode="_(* #,##0.0000000_);_(* \(#,##0.00000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49" fontId="0" fillId="0" borderId="0" xfId="0" applyNumberFormat="1"/>
    <xf numFmtId="0" fontId="16" fillId="0" borderId="0" xfId="0" applyFont="1"/>
    <xf numFmtId="10" fontId="16" fillId="0" borderId="0" xfId="42" applyNumberFormat="1" applyFont="1"/>
    <xf numFmtId="165" fontId="0" fillId="0" borderId="0" xfId="44" applyNumberFormat="1" applyFont="1"/>
    <xf numFmtId="0" fontId="16" fillId="0" borderId="0" xfId="0" quotePrefix="1" applyFont="1" applyAlignment="1">
      <alignment horizontal="center" vertical="center" wrapText="1"/>
    </xf>
    <xf numFmtId="0" fontId="19" fillId="0" borderId="0" xfId="0" applyFont="1"/>
    <xf numFmtId="0" fontId="19" fillId="33" borderId="0" xfId="0" applyFont="1" applyFill="1"/>
    <xf numFmtId="0" fontId="0" fillId="34" borderId="0" xfId="0" applyFill="1"/>
    <xf numFmtId="0" fontId="19" fillId="35" borderId="0" xfId="0" applyFont="1" applyFill="1"/>
    <xf numFmtId="0" fontId="0" fillId="35" borderId="0" xfId="0" applyFill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10" fontId="0" fillId="0" borderId="0" xfId="42" applyNumberFormat="1" applyFont="1"/>
    <xf numFmtId="43" fontId="0" fillId="0" borderId="0" xfId="44" applyFont="1"/>
    <xf numFmtId="0" fontId="19" fillId="36" borderId="0" xfId="0" applyFont="1" applyFill="1"/>
    <xf numFmtId="43" fontId="16" fillId="0" borderId="0" xfId="0" applyNumberFormat="1" applyFont="1"/>
    <xf numFmtId="49" fontId="16" fillId="0" borderId="0" xfId="0" applyNumberFormat="1" applyFont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43" fontId="16" fillId="0" borderId="0" xfId="44" applyFont="1"/>
    <xf numFmtId="0" fontId="0" fillId="37" borderId="0" xfId="0" applyFill="1"/>
    <xf numFmtId="43" fontId="0" fillId="37" borderId="0" xfId="0" applyNumberFormat="1" applyFill="1"/>
    <xf numFmtId="0" fontId="16" fillId="37" borderId="0" xfId="0" applyFont="1" applyFill="1"/>
    <xf numFmtId="43" fontId="16" fillId="37" borderId="0" xfId="0" applyNumberFormat="1" applyFont="1" applyFill="1"/>
    <xf numFmtId="166" fontId="0" fillId="37" borderId="0" xfId="44" applyNumberFormat="1" applyFont="1" applyFill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11E67986-7E27-4159-B2CA-F5AEE0EFBB90}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9.bin"/><Relationship Id="rId2" Type="http://schemas.openxmlformats.org/officeDocument/2006/relationships/customProperty" Target="../customProperty8.bin"/><Relationship Id="rId1" Type="http://schemas.openxmlformats.org/officeDocument/2006/relationships/customProperty" Target="../customProperty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9431-EE91-4DCD-A208-1F89C7AAA032}">
  <dimension ref="A3:R108"/>
  <sheetViews>
    <sheetView workbookViewId="0"/>
  </sheetViews>
  <sheetFormatPr defaultRowHeight="15" x14ac:dyDescent="0.25"/>
  <sheetData>
    <row r="3" spans="1:18" x14ac:dyDescent="0.25">
      <c r="A3" t="s">
        <v>51</v>
      </c>
      <c r="B3" t="s">
        <v>79</v>
      </c>
      <c r="C3" t="s">
        <v>98</v>
      </c>
    </row>
    <row r="4" spans="1:18" x14ac:dyDescent="0.25">
      <c r="A4">
        <v>1</v>
      </c>
      <c r="B4">
        <v>7</v>
      </c>
      <c r="C4">
        <v>13</v>
      </c>
    </row>
    <row r="5" spans="1:18" x14ac:dyDescent="0.25">
      <c r="A5" t="str">
        <f>OC!$7:$7</f>
        <v>100 Asbury Methodist Village</v>
      </c>
      <c r="B5">
        <v>12</v>
      </c>
      <c r="C5" t="str">
        <f>OC!$B:$B</f>
        <v>Operating Ratio Revenue</v>
      </c>
      <c r="D5">
        <v>1</v>
      </c>
      <c r="E5" t="str">
        <f>OC!$B$3</f>
        <v>FY2025</v>
      </c>
      <c r="F5">
        <v>3</v>
      </c>
      <c r="G5">
        <f>'OC-Expand'!$69:$69</f>
        <v>0</v>
      </c>
      <c r="H5">
        <v>12</v>
      </c>
      <c r="I5" t="str">
        <f>'OC-Expand'!$B:$B</f>
        <v>Operating Ratio Revenue (New)</v>
      </c>
      <c r="J5">
        <v>1</v>
      </c>
      <c r="K5" t="str">
        <f>'OC-Expand'!$B$3</f>
        <v>FY2024</v>
      </c>
      <c r="L5">
        <v>3</v>
      </c>
      <c r="M5">
        <f>'OC-Monthly'!$25:$25</f>
        <v>499516.0224201635</v>
      </c>
      <c r="N5">
        <v>11</v>
      </c>
      <c r="O5" t="str">
        <f>'OC-Monthly'!$N:$N</f>
        <v>Operating_Ratio_Revenue_Metric_New</v>
      </c>
      <c r="P5">
        <v>1</v>
      </c>
      <c r="Q5" t="str">
        <f>'OC-Monthly'!$N$6</f>
        <v>FY2025</v>
      </c>
      <c r="R5">
        <v>3</v>
      </c>
    </row>
    <row r="6" spans="1:18" x14ac:dyDescent="0.25">
      <c r="A6" t="str">
        <f>OC!$8:$8</f>
        <v>200 Asbury Solomons</v>
      </c>
      <c r="B6">
        <v>13</v>
      </c>
      <c r="C6" t="str">
        <f>OC!$C:$C</f>
        <v>Operating_Ratio_Expenses_Metric_New</v>
      </c>
      <c r="D6">
        <v>2</v>
      </c>
      <c r="E6" t="str">
        <f>OC!$C$3</f>
        <v>FY2025</v>
      </c>
      <c r="F6">
        <v>4</v>
      </c>
      <c r="G6">
        <f>'OC-Expand'!$71:$71</f>
        <v>0</v>
      </c>
      <c r="H6">
        <v>1248</v>
      </c>
      <c r="I6" t="str">
        <f>'OC-Expand'!$C:$C</f>
        <v>Operating_Ratio_Expenses_Metric_New</v>
      </c>
      <c r="J6">
        <v>2</v>
      </c>
      <c r="K6" t="str">
        <f>'OC-Expand'!$C$3</f>
        <v>FY2024</v>
      </c>
      <c r="L6">
        <v>4</v>
      </c>
      <c r="M6">
        <f>'OC-Monthly'!$7:$7</f>
        <v>7620525.3987293122</v>
      </c>
      <c r="N6">
        <v>12</v>
      </c>
      <c r="O6" t="str">
        <f>'OC-Monthly'!$AB:$AB</f>
        <v>FY2025</v>
      </c>
      <c r="P6">
        <v>2</v>
      </c>
      <c r="Q6" t="str">
        <f>'OC-Monthly'!$AB$6</f>
        <v>FY2025</v>
      </c>
      <c r="R6">
        <v>4</v>
      </c>
    </row>
    <row r="7" spans="1:18" x14ac:dyDescent="0.25">
      <c r="A7" t="str">
        <f>OC!$9:$9</f>
        <v>210 Calvert County Nursing Center</v>
      </c>
      <c r="B7">
        <v>14</v>
      </c>
      <c r="E7" t="str">
        <f>OC!$B$4</f>
        <v>Budget 2025</v>
      </c>
      <c r="F7">
        <v>5</v>
      </c>
      <c r="G7">
        <f>'OC-Expand'!$72:$72</f>
        <v>0</v>
      </c>
      <c r="H7">
        <v>1249</v>
      </c>
      <c r="K7" t="str">
        <f>'OC-Expand'!$B$4</f>
        <v>Budget 2024</v>
      </c>
      <c r="L7">
        <v>5</v>
      </c>
      <c r="M7">
        <f>'OC-Monthly'!$8:$8</f>
        <v>1872877.1937883585</v>
      </c>
      <c r="N7">
        <v>13</v>
      </c>
      <c r="O7">
        <f>'OC-Monthly'!$B:$B</f>
        <v>7381980.879760433</v>
      </c>
      <c r="P7">
        <v>60</v>
      </c>
      <c r="Q7" t="str">
        <f>'OC-Monthly'!$N$3</f>
        <v>Budget 2025</v>
      </c>
      <c r="R7">
        <v>5</v>
      </c>
    </row>
    <row r="8" spans="1:18" x14ac:dyDescent="0.25">
      <c r="A8" t="str">
        <f>OC!$10:$10</f>
        <v>324 Springhill</v>
      </c>
      <c r="B8">
        <v>15</v>
      </c>
      <c r="E8" t="str">
        <f>OC!$C$4</f>
        <v>Budget 2025</v>
      </c>
      <c r="F8">
        <v>6</v>
      </c>
      <c r="G8">
        <f>'OC-Expand'!$68:$68</f>
        <v>0</v>
      </c>
      <c r="H8">
        <v>1250</v>
      </c>
      <c r="K8" t="str">
        <f>'OC-Expand'!$C$4</f>
        <v>Budget 2024</v>
      </c>
      <c r="L8">
        <v>6</v>
      </c>
      <c r="M8">
        <f>'OC-Monthly'!$9:$9</f>
        <v>0</v>
      </c>
      <c r="N8">
        <v>14</v>
      </c>
      <c r="O8">
        <f>'OC-Monthly'!$C:$C</f>
        <v>1766045.0085681528</v>
      </c>
      <c r="P8">
        <v>61</v>
      </c>
      <c r="Q8" t="str">
        <f>'OC-Monthly'!$AB$3</f>
        <v>Budget 2025</v>
      </c>
      <c r="R8">
        <v>6</v>
      </c>
    </row>
    <row r="9" spans="1:18" x14ac:dyDescent="0.25">
      <c r="A9" t="str">
        <f>OC!$11:$11</f>
        <v>400 Asbury Foundation, Inc.</v>
      </c>
      <c r="B9">
        <v>16</v>
      </c>
      <c r="E9" t="str">
        <f>OC!$B$5</f>
        <v>Operating Ratio Revenue</v>
      </c>
      <c r="F9">
        <v>7</v>
      </c>
      <c r="G9">
        <f>'OC-Expand'!$67:$67</f>
        <v>0</v>
      </c>
      <c r="H9">
        <v>1251</v>
      </c>
      <c r="K9" t="str">
        <f>'OC-Expand'!$B$5</f>
        <v>Operating Ratio Revenue (New)</v>
      </c>
      <c r="L9">
        <v>7</v>
      </c>
      <c r="M9">
        <f>'OC-Monthly'!$10:$10</f>
        <v>1760294.7709721129</v>
      </c>
      <c r="N9">
        <v>15</v>
      </c>
      <c r="O9">
        <f>'OC-Monthly'!$D:$D</f>
        <v>0</v>
      </c>
      <c r="P9">
        <v>62</v>
      </c>
      <c r="Q9" t="str">
        <f>'OC-Monthly'!$N$4</f>
        <v>Operating Ratio Revenue</v>
      </c>
      <c r="R9">
        <v>7</v>
      </c>
    </row>
    <row r="10" spans="1:18" x14ac:dyDescent="0.25">
      <c r="A10" t="str">
        <f>OC!$12:$12</f>
        <v>500 Asbury Communities, Inc.</v>
      </c>
      <c r="B10">
        <v>17</v>
      </c>
      <c r="E10" t="str">
        <f>OC!$C$5</f>
        <v>Operating Ratio Expenses</v>
      </c>
      <c r="F10">
        <v>8</v>
      </c>
      <c r="G10">
        <f>'OC-Expand'!$66:$66</f>
        <v>0</v>
      </c>
      <c r="H10">
        <v>1252</v>
      </c>
      <c r="K10" t="str">
        <f>'OC-Expand'!$C$5</f>
        <v>Operating Ratio Expenses (New)</v>
      </c>
      <c r="L10">
        <v>8</v>
      </c>
      <c r="M10">
        <f>'OC-Monthly'!$11:$11</f>
        <v>111913.78333802504</v>
      </c>
      <c r="N10">
        <v>16</v>
      </c>
      <c r="O10">
        <f>'OC-Monthly'!$E:$E</f>
        <v>1742303.8538983995</v>
      </c>
      <c r="P10">
        <v>63</v>
      </c>
      <c r="Q10" t="str">
        <f>'OC-Monthly'!$AB$4</f>
        <v>Operating Ratio Expenses</v>
      </c>
      <c r="R10">
        <v>8</v>
      </c>
    </row>
    <row r="11" spans="1:18" x14ac:dyDescent="0.25">
      <c r="A11" t="str">
        <f>OC!$17:$17</f>
        <v>670 Forest Ridge Manor</v>
      </c>
      <c r="B11">
        <v>22</v>
      </c>
      <c r="E11" t="str">
        <f>OC!$B$6</f>
        <v>Operating_Ratio_Revenue_Metric_New</v>
      </c>
      <c r="F11">
        <v>9</v>
      </c>
      <c r="G11">
        <f>'OC-Expand'!$65:$65</f>
        <v>0</v>
      </c>
      <c r="H11">
        <v>1253</v>
      </c>
      <c r="K11" t="str">
        <f>'OC-Expand'!$B$6</f>
        <v>Operating_Ratio_Revenue_Metric_New</v>
      </c>
      <c r="L11">
        <v>9</v>
      </c>
      <c r="M11">
        <f>'OC-Monthly'!$12:$12</f>
        <v>1676939</v>
      </c>
      <c r="N11">
        <v>17</v>
      </c>
      <c r="O11">
        <f>'OC-Monthly'!$F:$F</f>
        <v>24828.067167827619</v>
      </c>
      <c r="P11">
        <v>64</v>
      </c>
      <c r="Q11" t="str">
        <f>'OC-Monthly'!$N$5</f>
        <v>Operating_Ratio_Revenue_Metric_New</v>
      </c>
      <c r="R11">
        <v>9</v>
      </c>
    </row>
    <row r="12" spans="1:18" x14ac:dyDescent="0.25">
      <c r="A12" t="str">
        <f>OC!$42:$42</f>
        <v>HCBS</v>
      </c>
      <c r="B12">
        <v>23</v>
      </c>
      <c r="E12" t="str">
        <f>OC!$C$6</f>
        <v>Operating_Ratio_Expenses_Metric_New</v>
      </c>
      <c r="F12">
        <v>10</v>
      </c>
      <c r="G12">
        <f>'OC-Expand'!$64:$64</f>
        <v>0</v>
      </c>
      <c r="H12">
        <v>1254</v>
      </c>
      <c r="K12" t="str">
        <f>'OC-Expand'!$C$6</f>
        <v>Operating_Ratio_Expenses_Metric_New</v>
      </c>
      <c r="L12">
        <v>10</v>
      </c>
      <c r="M12">
        <f>'OC-Monthly'!$46:$46</f>
        <v>0</v>
      </c>
      <c r="N12">
        <v>18</v>
      </c>
      <c r="O12">
        <f>'OC-Monthly'!$G:$G</f>
        <v>1683439</v>
      </c>
      <c r="P12">
        <v>65</v>
      </c>
      <c r="Q12" t="str">
        <f>'OC-Monthly'!$AB$5</f>
        <v>Operating_Ratio_Expenses_Metric_New</v>
      </c>
      <c r="R12">
        <v>10</v>
      </c>
    </row>
    <row r="13" spans="1:18" x14ac:dyDescent="0.25">
      <c r="A13" t="str">
        <f>OC!$18:$18</f>
        <v>716 Asbury Place at Home</v>
      </c>
      <c r="B13">
        <v>24</v>
      </c>
      <c r="G13">
        <f>'OC-Expand'!$63:$63</f>
        <v>0</v>
      </c>
      <c r="H13">
        <v>1255</v>
      </c>
      <c r="M13">
        <f>'OC-Monthly'!$45:$45</f>
        <v>0</v>
      </c>
      <c r="N13">
        <v>19</v>
      </c>
      <c r="O13">
        <f>'OC-Monthly'!$H:$H</f>
        <v>0</v>
      </c>
      <c r="P13">
        <v>66</v>
      </c>
      <c r="Q13" t="str">
        <f>'OC-Monthly'!$B$6</f>
        <v>Jan-2025</v>
      </c>
      <c r="R13">
        <v>72</v>
      </c>
    </row>
    <row r="14" spans="1:18" x14ac:dyDescent="0.25">
      <c r="A14" t="str">
        <f>OC!$19:$19</f>
        <v>810 Bethany Village</v>
      </c>
      <c r="B14">
        <v>25</v>
      </c>
      <c r="G14">
        <f>'OC-Expand'!$62:$62</f>
        <v>0</v>
      </c>
      <c r="H14">
        <v>1256</v>
      </c>
      <c r="M14">
        <f>'OC-Monthly'!$44:$44</f>
        <v>0</v>
      </c>
      <c r="N14">
        <v>20</v>
      </c>
      <c r="O14">
        <f>'OC-Monthly'!$I:$I</f>
        <v>0</v>
      </c>
      <c r="P14">
        <v>67</v>
      </c>
      <c r="Q14" t="str">
        <f>'OC-Monthly'!$C$6</f>
        <v>Feb-2025</v>
      </c>
      <c r="R14">
        <v>73</v>
      </c>
    </row>
    <row r="15" spans="1:18" x14ac:dyDescent="0.25">
      <c r="A15" t="str">
        <f>OC!$20:$20</f>
        <v>815 Bethany Development</v>
      </c>
      <c r="B15">
        <v>26</v>
      </c>
      <c r="G15">
        <f>'OC-Expand'!$61:$61</f>
        <v>0</v>
      </c>
      <c r="H15">
        <v>1257</v>
      </c>
      <c r="M15">
        <f>'OC-Monthly'!$43:$43</f>
        <v>0</v>
      </c>
      <c r="N15">
        <v>21</v>
      </c>
      <c r="O15">
        <f>'OC-Monthly'!$J:$J</f>
        <v>0</v>
      </c>
      <c r="P15">
        <v>68</v>
      </c>
      <c r="Q15" t="str">
        <f>'OC-Monthly'!$D$6</f>
        <v>Mar-2025</v>
      </c>
      <c r="R15">
        <v>74</v>
      </c>
    </row>
    <row r="16" spans="1:18" x14ac:dyDescent="0.25">
      <c r="A16" t="str">
        <f>OC!$21:$21</f>
        <v>900 The Asbury Group</v>
      </c>
      <c r="B16">
        <v>27</v>
      </c>
      <c r="G16">
        <f>'OC-Expand'!$60:$60</f>
        <v>0</v>
      </c>
      <c r="H16">
        <v>1258</v>
      </c>
      <c r="M16">
        <f>'OC-Monthly'!$17:$17</f>
        <v>29370.166666666664</v>
      </c>
      <c r="N16">
        <v>22</v>
      </c>
      <c r="O16">
        <f>'OC-Monthly'!$K:$K</f>
        <v>0</v>
      </c>
      <c r="P16">
        <v>69</v>
      </c>
      <c r="Q16" t="str">
        <f>'OC-Monthly'!$E$6</f>
        <v>Apr-2025</v>
      </c>
      <c r="R16">
        <v>75</v>
      </c>
    </row>
    <row r="17" spans="1:18" x14ac:dyDescent="0.25">
      <c r="A17" t="str">
        <f>OC!$22:$22</f>
        <v>910 ThriveWell Tech</v>
      </c>
      <c r="B17">
        <v>28</v>
      </c>
      <c r="G17">
        <f>'OC-Expand'!$59:$59</f>
        <v>0</v>
      </c>
      <c r="H17">
        <v>1259</v>
      </c>
      <c r="M17">
        <f>'OC-Monthly'!$42:$42</f>
        <v>7375</v>
      </c>
      <c r="N17">
        <v>23</v>
      </c>
      <c r="O17">
        <f>'OC-Monthly'!$L:$L</f>
        <v>29370.166666666664</v>
      </c>
      <c r="P17">
        <v>70</v>
      </c>
      <c r="Q17" t="str">
        <f>'OC-Monthly'!$F$6</f>
        <v>May-2025</v>
      </c>
      <c r="R17">
        <v>76</v>
      </c>
    </row>
    <row r="18" spans="1:18" x14ac:dyDescent="0.25">
      <c r="A18" t="str">
        <f>OC!$23:$23</f>
        <v>916 Westview One, LLC</v>
      </c>
      <c r="B18">
        <v>29</v>
      </c>
      <c r="G18">
        <f>'OC-Expand'!$58:$58</f>
        <v>0</v>
      </c>
      <c r="H18">
        <v>1260</v>
      </c>
      <c r="M18">
        <f>'OC-Monthly'!$18:$18</f>
        <v>0</v>
      </c>
      <c r="N18">
        <v>24</v>
      </c>
      <c r="O18">
        <f>'OC-Monthly'!$M:$M</f>
        <v>0</v>
      </c>
      <c r="P18">
        <v>71</v>
      </c>
      <c r="Q18" t="str">
        <f>'OC-Monthly'!$G$6</f>
        <v>Jun-2025</v>
      </c>
      <c r="R18">
        <v>77</v>
      </c>
    </row>
    <row r="19" spans="1:18" x14ac:dyDescent="0.25">
      <c r="A19" t="str">
        <f>OC!$24:$24</f>
        <v>925 Chandler Estate</v>
      </c>
      <c r="B19">
        <v>30</v>
      </c>
      <c r="G19">
        <f>'OC-Expand'!$57:$57</f>
        <v>0</v>
      </c>
      <c r="H19">
        <v>1261</v>
      </c>
      <c r="M19">
        <f>'OC-Monthly'!$19:$19</f>
        <v>3312222.1499227765</v>
      </c>
      <c r="N19">
        <v>25</v>
      </c>
      <c r="O19">
        <f>'OC-Monthly'!$P:$P</f>
        <v>2997636.9017766928</v>
      </c>
      <c r="P19">
        <v>120</v>
      </c>
      <c r="Q19" t="str">
        <f>'OC-Monthly'!$H$6</f>
        <v>Jul-2025</v>
      </c>
      <c r="R19">
        <v>78</v>
      </c>
    </row>
    <row r="20" spans="1:18" x14ac:dyDescent="0.25">
      <c r="A20" t="str">
        <f>OC!$25:$25</f>
        <v>835 Riverwoods</v>
      </c>
      <c r="B20">
        <v>31</v>
      </c>
      <c r="G20">
        <f>'OC-Expand'!$56:$56</f>
        <v>0</v>
      </c>
      <c r="H20">
        <v>1262</v>
      </c>
      <c r="M20">
        <f>'OC-Monthly'!$20:$20</f>
        <v>185326.5</v>
      </c>
      <c r="N20">
        <v>26</v>
      </c>
      <c r="O20">
        <f>'OC-Monthly'!$Q:$Q</f>
        <v>106696.25000000004</v>
      </c>
      <c r="P20">
        <v>121</v>
      </c>
      <c r="Q20" t="str">
        <f>'OC-Monthly'!$I$6</f>
        <v>Aug-2025</v>
      </c>
      <c r="R20">
        <v>79</v>
      </c>
    </row>
    <row r="21" spans="1:18" x14ac:dyDescent="0.25">
      <c r="A21" t="str">
        <f>OC!$26:$26</f>
        <v>840 Normandie Ridge</v>
      </c>
      <c r="B21">
        <v>32</v>
      </c>
      <c r="G21">
        <f>'OC-Expand'!$55:$55</f>
        <v>0</v>
      </c>
      <c r="H21">
        <v>1263</v>
      </c>
      <c r="M21">
        <f>'OC-Monthly'!$21:$21</f>
        <v>-67576.333333333328</v>
      </c>
      <c r="N21">
        <v>27</v>
      </c>
      <c r="O21">
        <f>'OC-Monthly'!$R:$R</f>
        <v>21581.166666666664</v>
      </c>
      <c r="P21">
        <v>122</v>
      </c>
      <c r="Q21" t="str">
        <f>'OC-Monthly'!$J$6</f>
        <v>Sep-2025</v>
      </c>
      <c r="R21">
        <v>80</v>
      </c>
    </row>
    <row r="22" spans="1:18" x14ac:dyDescent="0.25">
      <c r="A22" t="str">
        <f>OC!$27:$27</f>
        <v>845 Normandie Ridge Home Health</v>
      </c>
      <c r="B22">
        <v>33</v>
      </c>
      <c r="G22">
        <f>'OC-Expand'!$54:$54</f>
        <v>0</v>
      </c>
      <c r="H22">
        <v>1264</v>
      </c>
      <c r="M22">
        <f>'OC-Monthly'!$22:$22</f>
        <v>868940.7666666666</v>
      </c>
      <c r="N22">
        <v>28</v>
      </c>
      <c r="O22">
        <f>'OC-Monthly'!$S:$S</f>
        <v>662960.83226468612</v>
      </c>
      <c r="P22">
        <v>123</v>
      </c>
      <c r="Q22" t="str">
        <f>'OC-Monthly'!$K$6</f>
        <v>Oct-2025</v>
      </c>
      <c r="R22">
        <v>81</v>
      </c>
    </row>
    <row r="23" spans="1:18" x14ac:dyDescent="0.25">
      <c r="A23" t="str">
        <f>OC!$28:$28</f>
        <v>850 ACS Pharmacy</v>
      </c>
      <c r="B23">
        <v>34</v>
      </c>
      <c r="G23">
        <f>'OC-Expand'!$53:$53</f>
        <v>0</v>
      </c>
      <c r="H23">
        <v>1265</v>
      </c>
      <c r="M23">
        <f>'OC-Monthly'!$23:$23</f>
        <v>0</v>
      </c>
      <c r="N23">
        <v>29</v>
      </c>
      <c r="O23">
        <f>'OC-Monthly'!$T:$T</f>
        <v>416.66666666666669</v>
      </c>
      <c r="P23">
        <v>124</v>
      </c>
      <c r="Q23" t="str">
        <f>'OC-Monthly'!$L$6</f>
        <v>Nov-2025</v>
      </c>
      <c r="R23">
        <v>82</v>
      </c>
    </row>
    <row r="24" spans="1:18" x14ac:dyDescent="0.25">
      <c r="A24" t="str">
        <f>OC!$29:$29</f>
        <v>851 LIFE Lancaster</v>
      </c>
      <c r="B24">
        <v>35</v>
      </c>
      <c r="G24">
        <f>'OC-Expand'!$52:$52</f>
        <v>0</v>
      </c>
      <c r="H24">
        <v>1266</v>
      </c>
      <c r="M24">
        <f>'OC-Monthly'!$24:$24</f>
        <v>287883.05920871242</v>
      </c>
      <c r="N24">
        <v>30</v>
      </c>
      <c r="O24">
        <f>'OC-Monthly'!$U:$U</f>
        <v>248030.98503861396</v>
      </c>
      <c r="P24">
        <v>125</v>
      </c>
      <c r="Q24" t="str">
        <f>'OC-Monthly'!$M$6</f>
        <v>Dec-2025</v>
      </c>
      <c r="R24">
        <v>83</v>
      </c>
    </row>
    <row r="25" spans="1:18" x14ac:dyDescent="0.25">
      <c r="A25" t="str">
        <f>OC!$30:$30</f>
        <v>852 LIFE Lycoming</v>
      </c>
      <c r="B25">
        <v>36</v>
      </c>
      <c r="G25">
        <f>'OC-Expand'!$51:$51</f>
        <v>0</v>
      </c>
      <c r="H25">
        <v>1267</v>
      </c>
      <c r="M25">
        <f>'OC-Monthly'!$26:$26</f>
        <v>1422827.5695318454</v>
      </c>
      <c r="N25">
        <v>31</v>
      </c>
      <c r="O25">
        <f>'OC-Monthly'!$V:$V</f>
        <v>489184.80463103246</v>
      </c>
      <c r="P25">
        <v>126</v>
      </c>
      <c r="Q25" t="str">
        <f>'OC-Monthly'!$B$3</f>
        <v>Budget 2025</v>
      </c>
      <c r="R25">
        <v>84</v>
      </c>
    </row>
    <row r="26" spans="1:18" x14ac:dyDescent="0.25">
      <c r="A26" t="str">
        <f>OC!$31:$31</f>
        <v>853 LIFE Lebanon</v>
      </c>
      <c r="B26">
        <v>37</v>
      </c>
      <c r="G26">
        <f>'OC-Expand'!$50:$50</f>
        <v>0</v>
      </c>
      <c r="H26">
        <v>1268</v>
      </c>
      <c r="M26">
        <f>'OC-Monthly'!$27:$27</f>
        <v>0</v>
      </c>
      <c r="N26">
        <v>32</v>
      </c>
      <c r="O26">
        <f>'OC-Monthly'!$W:$W</f>
        <v>1399301.3778720731</v>
      </c>
      <c r="P26">
        <v>127</v>
      </c>
      <c r="Q26" t="str">
        <f>'OC-Monthly'!$C$3</f>
        <v>Budget 2025</v>
      </c>
      <c r="R26">
        <v>85</v>
      </c>
    </row>
    <row r="27" spans="1:18" x14ac:dyDescent="0.25">
      <c r="A27" t="str">
        <f>OC!$32:$32</f>
        <v>854 LIFE Chester</v>
      </c>
      <c r="B27">
        <v>38</v>
      </c>
      <c r="G27">
        <f>'OC-Expand'!$49:$49</f>
        <v>0</v>
      </c>
      <c r="H27">
        <v>1269</v>
      </c>
      <c r="M27">
        <f>'OC-Monthly'!$28:$28</f>
        <v>956796.94414000004</v>
      </c>
      <c r="N27">
        <v>33</v>
      </c>
      <c r="O27">
        <f>'OC-Monthly'!$X:$X</f>
        <v>0</v>
      </c>
      <c r="P27">
        <v>128</v>
      </c>
      <c r="Q27" t="str">
        <f>'OC-Monthly'!$D$3</f>
        <v>Budget 2025</v>
      </c>
      <c r="R27">
        <v>86</v>
      </c>
    </row>
    <row r="28" spans="1:18" x14ac:dyDescent="0.25">
      <c r="A28" t="str">
        <f>OC!$33:$33</f>
        <v>855 LIFE Cumberland</v>
      </c>
      <c r="B28">
        <v>39</v>
      </c>
      <c r="G28">
        <f>'OC-Expand'!$48:$48</f>
        <v>0</v>
      </c>
      <c r="H28">
        <v>1270</v>
      </c>
      <c r="M28">
        <f>'OC-Monthly'!$29:$29</f>
        <v>640287</v>
      </c>
      <c r="N28">
        <v>34</v>
      </c>
      <c r="O28">
        <f>'OC-Monthly'!$Y:$Y</f>
        <v>946261.94903657003</v>
      </c>
      <c r="P28">
        <v>129</v>
      </c>
      <c r="Q28" t="str">
        <f>'OC-Monthly'!$E$3</f>
        <v>Budget 2025</v>
      </c>
      <c r="R28">
        <v>87</v>
      </c>
    </row>
    <row r="29" spans="1:18" x14ac:dyDescent="0.25">
      <c r="A29" t="str">
        <f>OC!$34:$34</f>
        <v>856 LIFE Franklin</v>
      </c>
      <c r="B29">
        <v>40</v>
      </c>
      <c r="G29">
        <f>'OC-Expand'!$47:$47</f>
        <v>0</v>
      </c>
      <c r="H29">
        <v>1271</v>
      </c>
      <c r="M29">
        <f>'OC-Monthly'!$30:$30</f>
        <v>623980</v>
      </c>
      <c r="N29">
        <v>35</v>
      </c>
      <c r="O29">
        <f>'OC-Monthly'!$Z:$Z</f>
        <v>670272.34413219278</v>
      </c>
      <c r="P29">
        <v>130</v>
      </c>
      <c r="Q29" t="str">
        <f>'OC-Monthly'!$F$3</f>
        <v>Budget 2025</v>
      </c>
      <c r="R29">
        <v>88</v>
      </c>
    </row>
    <row r="30" spans="1:18" x14ac:dyDescent="0.25">
      <c r="A30" t="str">
        <f>OC!$35:$35</f>
        <v>859 LIFE Parent</v>
      </c>
      <c r="B30">
        <v>41</v>
      </c>
      <c r="G30">
        <f>'OC-Expand'!$46:$46</f>
        <v>0</v>
      </c>
      <c r="H30">
        <v>1272</v>
      </c>
      <c r="M30">
        <f>'OC-Monthly'!$31:$31</f>
        <v>478172.97</v>
      </c>
      <c r="N30">
        <v>36</v>
      </c>
      <c r="O30">
        <f>'OC-Monthly'!$AA:$AA</f>
        <v>637514.48479338537</v>
      </c>
      <c r="P30">
        <v>131</v>
      </c>
      <c r="Q30" t="str">
        <f>'OC-Monthly'!$G$3</f>
        <v>Budget 2025</v>
      </c>
      <c r="R30">
        <v>89</v>
      </c>
    </row>
    <row r="31" spans="1:18" x14ac:dyDescent="0.25">
      <c r="A31" t="str">
        <f>OC!$36:$36</f>
        <v>860 ACS Fund Development</v>
      </c>
      <c r="B31">
        <v>42</v>
      </c>
      <c r="G31">
        <f>'OC-Expand'!$45:$45</f>
        <v>0</v>
      </c>
      <c r="H31">
        <v>1273</v>
      </c>
      <c r="M31">
        <f>'OC-Monthly'!$32:$32</f>
        <v>0</v>
      </c>
      <c r="N31">
        <v>37</v>
      </c>
      <c r="Q31" t="str">
        <f>'OC-Monthly'!$H$3</f>
        <v>Budget 2025</v>
      </c>
      <c r="R31">
        <v>90</v>
      </c>
    </row>
    <row r="32" spans="1:18" x14ac:dyDescent="0.25">
      <c r="A32" t="str">
        <f>OC!$37:$37</f>
        <v>861 Meals on Wheels</v>
      </c>
      <c r="B32">
        <v>43</v>
      </c>
      <c r="G32">
        <f>'OC-Expand'!$44:$44</f>
        <v>0</v>
      </c>
      <c r="H32">
        <v>1274</v>
      </c>
      <c r="M32">
        <f>'OC-Monthly'!$33:$33</f>
        <v>534440</v>
      </c>
      <c r="N32">
        <v>38</v>
      </c>
      <c r="Q32" t="str">
        <f>'OC-Monthly'!$I$3</f>
        <v>Budget 2025</v>
      </c>
      <c r="R32">
        <v>91</v>
      </c>
    </row>
    <row r="33" spans="1:18" x14ac:dyDescent="0.25">
      <c r="A33" t="str">
        <f>OC!$38:$38</f>
        <v>862 Slifer Museum</v>
      </c>
      <c r="B33">
        <v>44</v>
      </c>
      <c r="G33">
        <f>'OC-Expand'!$43:$43</f>
        <v>0</v>
      </c>
      <c r="H33">
        <v>1275</v>
      </c>
      <c r="M33">
        <f>'OC-Monthly'!$34:$34</f>
        <v>414294</v>
      </c>
      <c r="N33">
        <v>39</v>
      </c>
      <c r="Q33" t="str">
        <f>'OC-Monthly'!$J$3</f>
        <v>Budget 2025</v>
      </c>
      <c r="R33">
        <v>92</v>
      </c>
    </row>
    <row r="34" spans="1:18" x14ac:dyDescent="0.25">
      <c r="A34" t="str">
        <f>OC!$39:$39</f>
        <v>865 Central Office</v>
      </c>
      <c r="B34">
        <v>45</v>
      </c>
      <c r="G34">
        <f>'OC-Expand'!$42:$42</f>
        <v>0</v>
      </c>
      <c r="H34">
        <v>1276</v>
      </c>
      <c r="M34">
        <f>'OC-Monthly'!$35:$35</f>
        <v>0</v>
      </c>
      <c r="N34">
        <v>40</v>
      </c>
      <c r="Q34" t="str">
        <f>'OC-Monthly'!$K$3</f>
        <v>Budget 2025</v>
      </c>
      <c r="R34">
        <v>93</v>
      </c>
    </row>
    <row r="35" spans="1:18" x14ac:dyDescent="0.25">
      <c r="A35" t="str">
        <f>OC!$40:$40</f>
        <v>870 Warrior Run Manor</v>
      </c>
      <c r="B35">
        <v>46</v>
      </c>
      <c r="G35">
        <f>'OC-Expand'!$41:$41</f>
        <v>0</v>
      </c>
      <c r="H35">
        <v>1277</v>
      </c>
      <c r="M35">
        <f>'OC-Monthly'!$36:$36</f>
        <v>-10483.67</v>
      </c>
      <c r="N35">
        <v>41</v>
      </c>
      <c r="Q35" t="str">
        <f>'OC-Monthly'!$L$3</f>
        <v>Budget 2025</v>
      </c>
      <c r="R35">
        <v>94</v>
      </c>
    </row>
    <row r="36" spans="1:18" x14ac:dyDescent="0.25">
      <c r="A36" t="str">
        <f>OC!$43:$43</f>
        <v>701 Asbury Communities HCBS, Inc.</v>
      </c>
      <c r="B36">
        <v>47</v>
      </c>
      <c r="G36">
        <f>'OC-Expand'!$40:$40</f>
        <v>0</v>
      </c>
      <c r="H36">
        <v>1278</v>
      </c>
      <c r="M36">
        <f>'OC-Monthly'!$37:$37</f>
        <v>0</v>
      </c>
      <c r="N36">
        <v>42</v>
      </c>
      <c r="Q36" t="str">
        <f>'OC-Monthly'!$M$3</f>
        <v>Budget 2025</v>
      </c>
      <c r="R36">
        <v>95</v>
      </c>
    </row>
    <row r="37" spans="1:18" x14ac:dyDescent="0.25">
      <c r="A37" t="str">
        <f>OC!$44:$44</f>
        <v>702 Laboratory</v>
      </c>
      <c r="B37">
        <v>48</v>
      </c>
      <c r="G37">
        <f>'OC-Expand'!$39:$39</f>
        <v>0</v>
      </c>
      <c r="H37">
        <v>1279</v>
      </c>
      <c r="M37">
        <f>'OC-Monthly'!$38:$38</f>
        <v>0</v>
      </c>
      <c r="N37">
        <v>43</v>
      </c>
      <c r="Q37" t="str">
        <f>'OC-Monthly'!$B$4</f>
        <v>Operating Ratio Revenue</v>
      </c>
      <c r="R37">
        <v>96</v>
      </c>
    </row>
    <row r="38" spans="1:18" x14ac:dyDescent="0.25">
      <c r="A38" t="str">
        <f>OC!$45:$45</f>
        <v>711 Inverness at Home</v>
      </c>
      <c r="B38">
        <v>49</v>
      </c>
      <c r="G38">
        <f>'OC-Expand'!$38:$38</f>
        <v>0</v>
      </c>
      <c r="H38">
        <v>1280</v>
      </c>
      <c r="M38">
        <f>'OC-Monthly'!$39:$39</f>
        <v>0</v>
      </c>
      <c r="N38">
        <v>44</v>
      </c>
      <c r="Q38" t="str">
        <f>'OC-Monthly'!$C$4</f>
        <v>Operating Ratio Revenue</v>
      </c>
      <c r="R38">
        <v>97</v>
      </c>
    </row>
    <row r="39" spans="1:18" x14ac:dyDescent="0.25">
      <c r="A39" t="str">
        <f>OC!$46:$46</f>
        <v>712 Springhill at Home</v>
      </c>
      <c r="B39">
        <v>50</v>
      </c>
      <c r="G39">
        <f>'OC-Expand'!$37:$37</f>
        <v>0</v>
      </c>
      <c r="H39">
        <v>1281</v>
      </c>
      <c r="M39">
        <f>'OC-Monthly'!$40:$40</f>
        <v>67010.47191873609</v>
      </c>
      <c r="N39">
        <v>45</v>
      </c>
      <c r="Q39" t="str">
        <f>'OC-Monthly'!$D$4</f>
        <v>Operating Ratio Revenue</v>
      </c>
      <c r="R39">
        <v>98</v>
      </c>
    </row>
    <row r="40" spans="1:18" x14ac:dyDescent="0.25">
      <c r="A40" t="str">
        <f>OC!$47:$47</f>
        <v>713 Asbury Methodist Village at Home</v>
      </c>
      <c r="B40">
        <v>51</v>
      </c>
      <c r="G40">
        <f>'OC-Expand'!$36:$36</f>
        <v>0</v>
      </c>
      <c r="H40">
        <v>1282</v>
      </c>
      <c r="M40">
        <f>'OC-Monthly'!$47:$47</f>
        <v>7375</v>
      </c>
      <c r="N40">
        <v>46</v>
      </c>
      <c r="Q40" t="str">
        <f>'OC-Monthly'!$E$4</f>
        <v>Operating Ratio Revenue</v>
      </c>
      <c r="R40">
        <v>99</v>
      </c>
    </row>
    <row r="41" spans="1:18" x14ac:dyDescent="0.25">
      <c r="A41" t="str">
        <f>OC!$48:$48</f>
        <v>714 Solomons at Home</v>
      </c>
      <c r="B41">
        <v>52</v>
      </c>
      <c r="G41">
        <f>'OC-Expand'!$35:$35</f>
        <v>0</v>
      </c>
      <c r="H41">
        <v>1283</v>
      </c>
      <c r="M41">
        <f>'OC-Monthly'!$48:$48</f>
        <v>0</v>
      </c>
      <c r="N41">
        <v>47</v>
      </c>
      <c r="Q41" t="str">
        <f>'OC-Monthly'!$F$4</f>
        <v>Operating Ratio Revenue</v>
      </c>
      <c r="R41">
        <v>100</v>
      </c>
    </row>
    <row r="42" spans="1:18" x14ac:dyDescent="0.25">
      <c r="A42" t="str">
        <f>OC!$49:$49</f>
        <v>715 Bethany Village at Home</v>
      </c>
      <c r="B42">
        <v>53</v>
      </c>
      <c r="G42">
        <f>'OC-Expand'!$34:$34</f>
        <v>0</v>
      </c>
      <c r="H42">
        <v>1284</v>
      </c>
      <c r="M42">
        <f>'OC-Monthly'!$49:$49</f>
        <v>0</v>
      </c>
      <c r="N42">
        <v>48</v>
      </c>
      <c r="Q42" t="str">
        <f>'OC-Monthly'!$G$4</f>
        <v>Operating Ratio Revenue</v>
      </c>
      <c r="R42">
        <v>101</v>
      </c>
    </row>
    <row r="43" spans="1:18" x14ac:dyDescent="0.25">
      <c r="A43" t="str">
        <f>OC!$50:$50</f>
        <v>717 Riverwoods at Home</v>
      </c>
      <c r="B43">
        <v>54</v>
      </c>
      <c r="G43">
        <f>'OC-Expand'!$33:$33</f>
        <v>0</v>
      </c>
      <c r="H43">
        <v>1285</v>
      </c>
      <c r="M43">
        <f>'OC-Monthly'!$50:$50</f>
        <v>0</v>
      </c>
      <c r="N43">
        <v>49</v>
      </c>
      <c r="Q43" t="str">
        <f>'OC-Monthly'!$H$4</f>
        <v>Operating Ratio Revenue</v>
      </c>
      <c r="R43">
        <v>102</v>
      </c>
    </row>
    <row r="44" spans="1:18" x14ac:dyDescent="0.25">
      <c r="A44" t="str">
        <f>OC!$51:$51</f>
        <v>718 Normandie Ridge at Home</v>
      </c>
      <c r="B44">
        <v>55</v>
      </c>
      <c r="G44">
        <f>'OC-Expand'!$32:$32</f>
        <v>0</v>
      </c>
      <c r="H44">
        <v>1286</v>
      </c>
      <c r="M44">
        <f>'OC-Monthly'!$51:$51</f>
        <v>0</v>
      </c>
      <c r="N44">
        <v>50</v>
      </c>
      <c r="Q44" t="str">
        <f>'OC-Monthly'!$I$4</f>
        <v>Operating Ratio Revenue</v>
      </c>
      <c r="R44">
        <v>103</v>
      </c>
    </row>
    <row r="45" spans="1:18" x14ac:dyDescent="0.25">
      <c r="A45" t="str">
        <f>OC!$52:$52</f>
        <v>733 Asbury Methodist Village Home Health</v>
      </c>
      <c r="B45">
        <v>56</v>
      </c>
      <c r="G45">
        <f>'OC-Expand'!$31:$31</f>
        <v>0</v>
      </c>
      <c r="H45">
        <v>1287</v>
      </c>
      <c r="M45">
        <f>'OC-Monthly'!$52:$52</f>
        <v>0</v>
      </c>
      <c r="N45">
        <v>51</v>
      </c>
      <c r="Q45" t="str">
        <f>'OC-Monthly'!$J$4</f>
        <v>Operating Ratio Revenue</v>
      </c>
      <c r="R45">
        <v>104</v>
      </c>
    </row>
    <row r="46" spans="1:18" x14ac:dyDescent="0.25">
      <c r="A46" t="str">
        <f>OC!$13:$13</f>
        <v>610 Inverness Village</v>
      </c>
      <c r="B46">
        <v>57</v>
      </c>
      <c r="G46">
        <f>'OC-Expand'!$30:$30</f>
        <v>0</v>
      </c>
      <c r="H46">
        <v>1288</v>
      </c>
      <c r="M46">
        <f>'OC-Monthly'!$13:$13</f>
        <v>0</v>
      </c>
      <c r="N46">
        <v>52</v>
      </c>
      <c r="Q46" t="str">
        <f>'OC-Monthly'!$K$4</f>
        <v>Operating Ratio Revenue</v>
      </c>
      <c r="R46">
        <v>105</v>
      </c>
    </row>
    <row r="47" spans="1:18" x14ac:dyDescent="0.25">
      <c r="A47" t="str">
        <f>OC!$14:$14</f>
        <v>640 Asbury Place Support Center</v>
      </c>
      <c r="B47">
        <v>58</v>
      </c>
      <c r="G47">
        <f>'OC-Expand'!$29:$29</f>
        <v>0</v>
      </c>
      <c r="H47">
        <v>1289</v>
      </c>
      <c r="M47">
        <f>'OC-Monthly'!$14:$14</f>
        <v>0</v>
      </c>
      <c r="N47">
        <v>53</v>
      </c>
      <c r="Q47" t="str">
        <f>'OC-Monthly'!$L$4</f>
        <v>Operating Ratio Revenue</v>
      </c>
      <c r="R47">
        <v>106</v>
      </c>
    </row>
    <row r="48" spans="1:18" x14ac:dyDescent="0.25">
      <c r="A48" t="str">
        <f>OC!$15:$15</f>
        <v>650 Asbury Place Maryville</v>
      </c>
      <c r="B48">
        <v>59</v>
      </c>
      <c r="G48">
        <f>'OC-Expand'!$28:$28</f>
        <v>0</v>
      </c>
      <c r="H48">
        <v>1290</v>
      </c>
      <c r="M48">
        <f>'OC-Monthly'!$15:$15</f>
        <v>0</v>
      </c>
      <c r="N48">
        <v>54</v>
      </c>
      <c r="Q48" t="str">
        <f>'OC-Monthly'!$M$4</f>
        <v>Operating Ratio Revenue</v>
      </c>
      <c r="R48">
        <v>107</v>
      </c>
    </row>
    <row r="49" spans="1:18" x14ac:dyDescent="0.25">
      <c r="A49" t="str">
        <f>OC!$16:$16</f>
        <v>660 Asbury Place Kingsport</v>
      </c>
      <c r="B49">
        <v>60</v>
      </c>
      <c r="G49">
        <f>'OC-Expand'!$27:$27</f>
        <v>0</v>
      </c>
      <c r="H49">
        <v>1291</v>
      </c>
      <c r="M49">
        <f>'OC-Monthly'!$16:$16</f>
        <v>0</v>
      </c>
      <c r="N49">
        <v>55</v>
      </c>
      <c r="Q49" t="str">
        <f>'OC-Monthly'!$B$5</f>
        <v>Operating_Ratio_Revenue_Metric_New</v>
      </c>
      <c r="R49">
        <v>108</v>
      </c>
    </row>
    <row r="50" spans="1:18" x14ac:dyDescent="0.25">
      <c r="A50" t="str">
        <f>OC!$54:$54</f>
        <v>889-00-00 IV Eliminations</v>
      </c>
      <c r="B50">
        <v>61</v>
      </c>
      <c r="G50">
        <f>'OC-Expand'!$26:$26</f>
        <v>0</v>
      </c>
      <c r="H50">
        <v>1292</v>
      </c>
      <c r="M50">
        <f>'OC-Monthly'!$54:$54</f>
        <v>0</v>
      </c>
      <c r="N50">
        <v>56</v>
      </c>
      <c r="Q50" t="str">
        <f>'OC-Monthly'!$C$5</f>
        <v>Operating_Ratio_Revenue_Metric_New</v>
      </c>
      <c r="R50">
        <v>109</v>
      </c>
    </row>
    <row r="51" spans="1:18" x14ac:dyDescent="0.25">
      <c r="A51" t="str">
        <f>OC!$55:$55</f>
        <v>888-00-00 Eliminations</v>
      </c>
      <c r="B51">
        <v>62</v>
      </c>
      <c r="G51">
        <f>'OC-Expand'!$25:$25</f>
        <v>0</v>
      </c>
      <c r="H51">
        <v>1293</v>
      </c>
      <c r="M51">
        <f>'OC-Monthly'!$55:$55</f>
        <v>-3083560.8192400001</v>
      </c>
      <c r="N51">
        <v>57</v>
      </c>
      <c r="Q51" t="str">
        <f>'OC-Monthly'!$D$5</f>
        <v>Operating_Ratio_Revenue_Metric_New</v>
      </c>
      <c r="R51">
        <v>110</v>
      </c>
    </row>
    <row r="52" spans="1:18" x14ac:dyDescent="0.25">
      <c r="A52" t="str">
        <f>OC!$57:$57</f>
        <v>350 Grace Park</v>
      </c>
      <c r="B52">
        <v>63</v>
      </c>
      <c r="G52">
        <f>'OC-Expand'!$24:$24</f>
        <v>0</v>
      </c>
      <c r="H52">
        <v>1294</v>
      </c>
      <c r="M52">
        <f>'OC-Monthly'!$57:$57</f>
        <v>542750.35745392903</v>
      </c>
      <c r="N52">
        <v>58</v>
      </c>
      <c r="Q52" t="str">
        <f>'OC-Monthly'!$E$5</f>
        <v>Operating_Ratio_Revenue_Metric_New</v>
      </c>
      <c r="R52">
        <v>111</v>
      </c>
    </row>
    <row r="53" spans="1:18" x14ac:dyDescent="0.25">
      <c r="A53" t="str">
        <f>OC!$58:$58</f>
        <v>360 Ivy Gables</v>
      </c>
      <c r="B53">
        <v>64</v>
      </c>
      <c r="G53">
        <f>'OC-Expand'!$23:$23</f>
        <v>0</v>
      </c>
      <c r="H53">
        <v>1295</v>
      </c>
      <c r="M53">
        <f>'OC-Monthly'!$58:$58</f>
        <v>346957.25465116277</v>
      </c>
      <c r="N53">
        <v>59</v>
      </c>
      <c r="Q53" t="str">
        <f>'OC-Monthly'!$F$5</f>
        <v>Operating_Ratio_Revenue_Metric_New</v>
      </c>
      <c r="R53">
        <v>112</v>
      </c>
    </row>
    <row r="54" spans="1:18" x14ac:dyDescent="0.25">
      <c r="A54" t="str">
        <f>OC!$60:$60</f>
        <v>Asbury Communities (Consolidated)</v>
      </c>
      <c r="B54">
        <v>65</v>
      </c>
      <c r="G54">
        <f>'OC-Expand'!$22:$22</f>
        <v>0</v>
      </c>
      <c r="H54">
        <v>1296</v>
      </c>
      <c r="M54">
        <f>'OC-Monthly'!$60:$60</f>
        <v>21099079.556835137</v>
      </c>
      <c r="N54">
        <v>180</v>
      </c>
      <c r="Q54" t="str">
        <f>'OC-Monthly'!$G$5</f>
        <v>Operating_Ratio_Revenue_Metric_New</v>
      </c>
      <c r="R54">
        <v>113</v>
      </c>
    </row>
    <row r="55" spans="1:18" x14ac:dyDescent="0.25">
      <c r="A55" t="str">
        <f>OC!$63:$63</f>
        <v>620 MFA Maryville Opco, LLC</v>
      </c>
      <c r="B55">
        <v>66</v>
      </c>
      <c r="G55">
        <f>'OC-Expand'!$21:$21</f>
        <v>0</v>
      </c>
      <c r="H55">
        <v>1297</v>
      </c>
      <c r="M55">
        <f>'OC-Monthly'!$61:$61</f>
        <v>0</v>
      </c>
      <c r="N55">
        <v>181</v>
      </c>
      <c r="Q55" t="str">
        <f>'OC-Monthly'!$H$5</f>
        <v>Operating_Ratio_Revenue_Metric_New</v>
      </c>
      <c r="R55">
        <v>114</v>
      </c>
    </row>
    <row r="56" spans="1:18" x14ac:dyDescent="0.25">
      <c r="A56" t="str">
        <f>OC!$64:$64</f>
        <v>630 MFA Baysmont Opco, LLC</v>
      </c>
      <c r="B56">
        <v>67</v>
      </c>
      <c r="G56">
        <f>'OC-Expand'!$20:$20</f>
        <v>0</v>
      </c>
      <c r="H56">
        <v>1298</v>
      </c>
      <c r="M56">
        <f>'OC-Monthly'!$62:$62</f>
        <v>0</v>
      </c>
      <c r="N56">
        <v>182</v>
      </c>
      <c r="Q56" t="str">
        <f>'OC-Monthly'!$I$5</f>
        <v>Operating_Ratio_Revenue_Metric_New</v>
      </c>
      <c r="R56">
        <v>115</v>
      </c>
    </row>
    <row r="57" spans="1:18" x14ac:dyDescent="0.25">
      <c r="A57" t="str">
        <f>OC!$65:$65</f>
        <v>635 MFA Steadman Opco, LLC</v>
      </c>
      <c r="B57">
        <v>68</v>
      </c>
      <c r="G57">
        <f>'OC-Expand'!$19:$19</f>
        <v>0</v>
      </c>
      <c r="H57">
        <v>1299</v>
      </c>
      <c r="M57">
        <f>'OC-Monthly'!$63:$63</f>
        <v>0</v>
      </c>
      <c r="N57">
        <v>183</v>
      </c>
      <c r="Q57" t="str">
        <f>'OC-Monthly'!$J$5</f>
        <v>Operating_Ratio_Revenue_Metric_New</v>
      </c>
      <c r="R57">
        <v>116</v>
      </c>
    </row>
    <row r="58" spans="1:18" x14ac:dyDescent="0.25">
      <c r="G58">
        <f>'OC-Expand'!$18:$18</f>
        <v>0</v>
      </c>
      <c r="H58">
        <v>1300</v>
      </c>
      <c r="M58">
        <f>'OC-Monthly'!$64:$64</f>
        <v>0</v>
      </c>
      <c r="N58">
        <v>184</v>
      </c>
      <c r="Q58" t="str">
        <f>'OC-Monthly'!$K$5</f>
        <v>Operating_Ratio_Revenue_Metric_New</v>
      </c>
      <c r="R58">
        <v>117</v>
      </c>
    </row>
    <row r="59" spans="1:18" x14ac:dyDescent="0.25">
      <c r="G59">
        <f>'OC-Expand'!$17:$17</f>
        <v>0</v>
      </c>
      <c r="H59">
        <v>1301</v>
      </c>
      <c r="M59">
        <f>'OC-Monthly'!$65:$65</f>
        <v>0</v>
      </c>
      <c r="N59">
        <v>185</v>
      </c>
      <c r="Q59" t="str">
        <f>'OC-Monthly'!$L$5</f>
        <v>Operating_Ratio_Revenue_Metric_New</v>
      </c>
      <c r="R59">
        <v>118</v>
      </c>
    </row>
    <row r="60" spans="1:18" x14ac:dyDescent="0.25">
      <c r="G60">
        <f>'OC-Expand'!$16:$16</f>
        <v>0</v>
      </c>
      <c r="H60">
        <v>1302</v>
      </c>
      <c r="Q60" t="str">
        <f>'OC-Monthly'!$M$5</f>
        <v>Operating_Ratio_Revenue_Metric_New</v>
      </c>
      <c r="R60">
        <v>119</v>
      </c>
    </row>
    <row r="61" spans="1:18" x14ac:dyDescent="0.25">
      <c r="G61">
        <f>'OC-Expand'!$15:$15</f>
        <v>0</v>
      </c>
      <c r="H61">
        <v>1303</v>
      </c>
      <c r="Q61" t="str">
        <f>'OC-Monthly'!$P$6</f>
        <v>Jan-2025</v>
      </c>
      <c r="R61">
        <v>132</v>
      </c>
    </row>
    <row r="62" spans="1:18" x14ac:dyDescent="0.25">
      <c r="G62">
        <f>'OC-Expand'!$14:$14</f>
        <v>0</v>
      </c>
      <c r="H62">
        <v>1304</v>
      </c>
      <c r="Q62" t="str">
        <f>'OC-Monthly'!$Q$6</f>
        <v>Feb-2025</v>
      </c>
      <c r="R62">
        <v>133</v>
      </c>
    </row>
    <row r="63" spans="1:18" x14ac:dyDescent="0.25">
      <c r="G63">
        <f>'OC-Expand'!$13:$13</f>
        <v>0</v>
      </c>
      <c r="H63">
        <v>1305</v>
      </c>
      <c r="Q63" t="str">
        <f>'OC-Monthly'!$R$6</f>
        <v>Mar-2025</v>
      </c>
      <c r="R63">
        <v>134</v>
      </c>
    </row>
    <row r="64" spans="1:18" x14ac:dyDescent="0.25">
      <c r="G64">
        <f>'OC-Expand'!$12:$12</f>
        <v>0</v>
      </c>
      <c r="H64">
        <v>1306</v>
      </c>
      <c r="Q64" t="str">
        <f>'OC-Monthly'!$S$6</f>
        <v>Apr-2025</v>
      </c>
      <c r="R64">
        <v>135</v>
      </c>
    </row>
    <row r="65" spans="7:18" x14ac:dyDescent="0.25">
      <c r="G65">
        <f>'OC-Expand'!$11:$11</f>
        <v>0</v>
      </c>
      <c r="H65">
        <v>1307</v>
      </c>
      <c r="Q65" t="str">
        <f>'OC-Monthly'!$T$6</f>
        <v>May-2025</v>
      </c>
      <c r="R65">
        <v>136</v>
      </c>
    </row>
    <row r="66" spans="7:18" x14ac:dyDescent="0.25">
      <c r="G66">
        <f>'OC-Expand'!$10:$10</f>
        <v>0</v>
      </c>
      <c r="H66">
        <v>1308</v>
      </c>
      <c r="Q66" t="str">
        <f>'OC-Monthly'!$U$6</f>
        <v>Jun-2025</v>
      </c>
      <c r="R66">
        <v>137</v>
      </c>
    </row>
    <row r="67" spans="7:18" x14ac:dyDescent="0.25">
      <c r="G67">
        <f>'OC-Expand'!$9:$9</f>
        <v>0</v>
      </c>
      <c r="H67">
        <v>1309</v>
      </c>
      <c r="Q67" t="str">
        <f>'OC-Monthly'!$V$6</f>
        <v>Jul-2025</v>
      </c>
      <c r="R67">
        <v>138</v>
      </c>
    </row>
    <row r="68" spans="7:18" x14ac:dyDescent="0.25">
      <c r="G68">
        <f>'OC-Expand'!$8:$8</f>
        <v>0</v>
      </c>
      <c r="H68">
        <v>1310</v>
      </c>
      <c r="Q68" t="str">
        <f>'OC-Monthly'!$W$6</f>
        <v>Aug-2025</v>
      </c>
      <c r="R68">
        <v>139</v>
      </c>
    </row>
    <row r="69" spans="7:18" x14ac:dyDescent="0.25">
      <c r="G69">
        <f>'OC-Expand'!$7:$7</f>
        <v>0</v>
      </c>
      <c r="H69">
        <v>1311</v>
      </c>
      <c r="Q69" t="str">
        <f>'OC-Monthly'!$X$6</f>
        <v>Sep-2025</v>
      </c>
      <c r="R69">
        <v>140</v>
      </c>
    </row>
    <row r="70" spans="7:18" x14ac:dyDescent="0.25">
      <c r="Q70" t="str">
        <f>'OC-Monthly'!$Y$6</f>
        <v>Oct-2025</v>
      </c>
      <c r="R70">
        <v>141</v>
      </c>
    </row>
    <row r="71" spans="7:18" x14ac:dyDescent="0.25">
      <c r="Q71" t="str">
        <f>'OC-Monthly'!$Z$6</f>
        <v>Nov-2025</v>
      </c>
      <c r="R71">
        <v>142</v>
      </c>
    </row>
    <row r="72" spans="7:18" x14ac:dyDescent="0.25">
      <c r="Q72" t="str">
        <f>'OC-Monthly'!$AA$6</f>
        <v>Dec-2025</v>
      </c>
      <c r="R72">
        <v>143</v>
      </c>
    </row>
    <row r="73" spans="7:18" x14ac:dyDescent="0.25">
      <c r="Q73" t="str">
        <f>'OC-Monthly'!$P$3</f>
        <v>Budget 2025</v>
      </c>
      <c r="R73">
        <v>144</v>
      </c>
    </row>
    <row r="74" spans="7:18" x14ac:dyDescent="0.25">
      <c r="Q74" t="str">
        <f>'OC-Monthly'!$Q$3</f>
        <v>Budget 2025</v>
      </c>
      <c r="R74">
        <v>145</v>
      </c>
    </row>
    <row r="75" spans="7:18" x14ac:dyDescent="0.25">
      <c r="Q75" t="str">
        <f>'OC-Monthly'!$R$3</f>
        <v>Budget 2025</v>
      </c>
      <c r="R75">
        <v>146</v>
      </c>
    </row>
    <row r="76" spans="7:18" x14ac:dyDescent="0.25">
      <c r="Q76" t="str">
        <f>'OC-Monthly'!$S$3</f>
        <v>Budget 2025</v>
      </c>
      <c r="R76">
        <v>147</v>
      </c>
    </row>
    <row r="77" spans="7:18" x14ac:dyDescent="0.25">
      <c r="Q77" t="str">
        <f>'OC-Monthly'!$T$3</f>
        <v>Budget 2025</v>
      </c>
      <c r="R77">
        <v>148</v>
      </c>
    </row>
    <row r="78" spans="7:18" x14ac:dyDescent="0.25">
      <c r="Q78" t="str">
        <f>'OC-Monthly'!$U$3</f>
        <v>Budget 2025</v>
      </c>
      <c r="R78">
        <v>149</v>
      </c>
    </row>
    <row r="79" spans="7:18" x14ac:dyDescent="0.25">
      <c r="Q79" t="str">
        <f>'OC-Monthly'!$V$3</f>
        <v>Budget 2025</v>
      </c>
      <c r="R79">
        <v>150</v>
      </c>
    </row>
    <row r="80" spans="7:18" x14ac:dyDescent="0.25">
      <c r="Q80" t="str">
        <f>'OC-Monthly'!$W$3</f>
        <v>Budget 2025</v>
      </c>
      <c r="R80">
        <v>151</v>
      </c>
    </row>
    <row r="81" spans="17:18" x14ac:dyDescent="0.25">
      <c r="Q81" t="str">
        <f>'OC-Monthly'!$X$3</f>
        <v>Budget 2025</v>
      </c>
      <c r="R81">
        <v>152</v>
      </c>
    </row>
    <row r="82" spans="17:18" x14ac:dyDescent="0.25">
      <c r="Q82" t="str">
        <f>'OC-Monthly'!$Y$3</f>
        <v>Budget 2025</v>
      </c>
      <c r="R82">
        <v>153</v>
      </c>
    </row>
    <row r="83" spans="17:18" x14ac:dyDescent="0.25">
      <c r="Q83" t="str">
        <f>'OC-Monthly'!$Z$3</f>
        <v>Budget 2025</v>
      </c>
      <c r="R83">
        <v>154</v>
      </c>
    </row>
    <row r="84" spans="17:18" x14ac:dyDescent="0.25">
      <c r="Q84" t="str">
        <f>'OC-Monthly'!$AA$3</f>
        <v>Budget 2025</v>
      </c>
      <c r="R84">
        <v>155</v>
      </c>
    </row>
    <row r="85" spans="17:18" x14ac:dyDescent="0.25">
      <c r="Q85" t="str">
        <f>'OC-Monthly'!$P$4</f>
        <v>Operating Ratio Expenses</v>
      </c>
      <c r="R85">
        <v>156</v>
      </c>
    </row>
    <row r="86" spans="17:18" x14ac:dyDescent="0.25">
      <c r="Q86" t="str">
        <f>'OC-Monthly'!$Q$4</f>
        <v>Operating Ratio Expenses</v>
      </c>
      <c r="R86">
        <v>157</v>
      </c>
    </row>
    <row r="87" spans="17:18" x14ac:dyDescent="0.25">
      <c r="Q87" t="str">
        <f>'OC-Monthly'!$R$4</f>
        <v>Operating Ratio Expenses</v>
      </c>
      <c r="R87">
        <v>158</v>
      </c>
    </row>
    <row r="88" spans="17:18" x14ac:dyDescent="0.25">
      <c r="Q88" t="str">
        <f>'OC-Monthly'!$S$4</f>
        <v>Operating Ratio Expenses</v>
      </c>
      <c r="R88">
        <v>159</v>
      </c>
    </row>
    <row r="89" spans="17:18" x14ac:dyDescent="0.25">
      <c r="Q89" t="str">
        <f>'OC-Monthly'!$T$4</f>
        <v>Operating Ratio Expenses</v>
      </c>
      <c r="R89">
        <v>160</v>
      </c>
    </row>
    <row r="90" spans="17:18" x14ac:dyDescent="0.25">
      <c r="Q90" t="str">
        <f>'OC-Monthly'!$U$4</f>
        <v>Operating Ratio Expenses</v>
      </c>
      <c r="R90">
        <v>161</v>
      </c>
    </row>
    <row r="91" spans="17:18" x14ac:dyDescent="0.25">
      <c r="Q91" t="str">
        <f>'OC-Monthly'!$V$4</f>
        <v>Operating Ratio Expenses</v>
      </c>
      <c r="R91">
        <v>162</v>
      </c>
    </row>
    <row r="92" spans="17:18" x14ac:dyDescent="0.25">
      <c r="Q92" t="str">
        <f>'OC-Monthly'!$W$4</f>
        <v>Operating Ratio Expenses</v>
      </c>
      <c r="R92">
        <v>163</v>
      </c>
    </row>
    <row r="93" spans="17:18" x14ac:dyDescent="0.25">
      <c r="Q93" t="str">
        <f>'OC-Monthly'!$X$4</f>
        <v>Operating Ratio Expenses</v>
      </c>
      <c r="R93">
        <v>164</v>
      </c>
    </row>
    <row r="94" spans="17:18" x14ac:dyDescent="0.25">
      <c r="Q94" t="str">
        <f>'OC-Monthly'!$Y$4</f>
        <v>Operating Ratio Expenses</v>
      </c>
      <c r="R94">
        <v>165</v>
      </c>
    </row>
    <row r="95" spans="17:18" x14ac:dyDescent="0.25">
      <c r="Q95" t="str">
        <f>'OC-Monthly'!$Z$4</f>
        <v>Operating Ratio Expenses</v>
      </c>
      <c r="R95">
        <v>166</v>
      </c>
    </row>
    <row r="96" spans="17:18" x14ac:dyDescent="0.25">
      <c r="Q96" t="str">
        <f>'OC-Monthly'!$AA$4</f>
        <v>Operating Ratio Expenses</v>
      </c>
      <c r="R96">
        <v>167</v>
      </c>
    </row>
    <row r="97" spans="17:18" x14ac:dyDescent="0.25">
      <c r="Q97" t="str">
        <f>'OC-Monthly'!$P$5</f>
        <v>Operating_Ratio_Expenses_Metric_New</v>
      </c>
      <c r="R97">
        <v>168</v>
      </c>
    </row>
    <row r="98" spans="17:18" x14ac:dyDescent="0.25">
      <c r="Q98" t="str">
        <f>'OC-Monthly'!$Q$5</f>
        <v>Operating_Ratio_Expenses_Metric_New</v>
      </c>
      <c r="R98">
        <v>169</v>
      </c>
    </row>
    <row r="99" spans="17:18" x14ac:dyDescent="0.25">
      <c r="Q99" t="str">
        <f>'OC-Monthly'!$R$5</f>
        <v>Operating_Ratio_Expenses_Metric_New</v>
      </c>
      <c r="R99">
        <v>170</v>
      </c>
    </row>
    <row r="100" spans="17:18" x14ac:dyDescent="0.25">
      <c r="Q100" t="str">
        <f>'OC-Monthly'!$S$5</f>
        <v>Operating_Ratio_Expenses_Metric_New</v>
      </c>
      <c r="R100">
        <v>171</v>
      </c>
    </row>
    <row r="101" spans="17:18" x14ac:dyDescent="0.25">
      <c r="Q101" t="str">
        <f>'OC-Monthly'!$T$5</f>
        <v>Operating_Ratio_Expenses_Metric_New</v>
      </c>
      <c r="R101">
        <v>172</v>
      </c>
    </row>
    <row r="102" spans="17:18" x14ac:dyDescent="0.25">
      <c r="Q102" t="str">
        <f>'OC-Monthly'!$U$5</f>
        <v>Operating_Ratio_Expenses_Metric_New</v>
      </c>
      <c r="R102">
        <v>173</v>
      </c>
    </row>
    <row r="103" spans="17:18" x14ac:dyDescent="0.25">
      <c r="Q103" t="str">
        <f>'OC-Monthly'!$V$5</f>
        <v>Operating_Ratio_Expenses_Metric_New</v>
      </c>
      <c r="R103">
        <v>174</v>
      </c>
    </row>
    <row r="104" spans="17:18" x14ac:dyDescent="0.25">
      <c r="Q104" t="str">
        <f>'OC-Monthly'!$W$5</f>
        <v>Operating_Ratio_Expenses_Metric_New</v>
      </c>
      <c r="R104">
        <v>175</v>
      </c>
    </row>
    <row r="105" spans="17:18" x14ac:dyDescent="0.25">
      <c r="Q105" t="str">
        <f>'OC-Monthly'!$X$5</f>
        <v>Operating_Ratio_Expenses_Metric_New</v>
      </c>
      <c r="R105">
        <v>176</v>
      </c>
    </row>
    <row r="106" spans="17:18" x14ac:dyDescent="0.25">
      <c r="Q106" t="str">
        <f>'OC-Monthly'!$Y$5</f>
        <v>Operating_Ratio_Expenses_Metric_New</v>
      </c>
      <c r="R106">
        <v>177</v>
      </c>
    </row>
    <row r="107" spans="17:18" x14ac:dyDescent="0.25">
      <c r="Q107" t="str">
        <f>'OC-Monthly'!$Z$5</f>
        <v>Operating_Ratio_Expenses_Metric_New</v>
      </c>
      <c r="R107">
        <v>178</v>
      </c>
    </row>
    <row r="108" spans="17:18" x14ac:dyDescent="0.25">
      <c r="Q108" t="str">
        <f>'OC-Monthly'!$AA$5</f>
        <v>Operating_Ratio_Expenses_Metric_New</v>
      </c>
      <c r="R108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B3B66-4615-4730-B636-2D1D07EF111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44FA4-5A52-4DF8-A080-26B2A99D9FBC}">
  <sheetPr>
    <tabColor rgb="FF92D050"/>
  </sheetPr>
  <dimension ref="A1:N47"/>
  <sheetViews>
    <sheetView tabSelected="1" workbookViewId="0">
      <pane ySplit="4" topLeftCell="A5" activePane="bottomLeft" state="frozen"/>
      <selection activeCell="C6" sqref="C6"/>
      <selection pane="bottomLeft"/>
    </sheetView>
  </sheetViews>
  <sheetFormatPr defaultRowHeight="15" x14ac:dyDescent="0.25"/>
  <cols>
    <col min="1" max="1" width="39.7109375" bestFit="1" customWidth="1"/>
    <col min="3" max="3" width="32.5703125" bestFit="1" customWidth="1"/>
    <col min="4" max="4" width="1.7109375" style="8" customWidth="1"/>
    <col min="6" max="6" width="36.42578125" bestFit="1" customWidth="1"/>
    <col min="7" max="7" width="24.5703125" bestFit="1" customWidth="1"/>
    <col min="8" max="8" width="25" bestFit="1" customWidth="1"/>
    <col min="9" max="9" width="9.85546875" bestFit="1" customWidth="1"/>
    <col min="10" max="10" width="60.85546875" bestFit="1" customWidth="1"/>
    <col min="12" max="12" width="1.7109375" style="8" customWidth="1"/>
    <col min="13" max="13" width="14.28515625" bestFit="1" customWidth="1"/>
    <col min="14" max="14" width="15" customWidth="1"/>
  </cols>
  <sheetData>
    <row r="1" spans="1:14" x14ac:dyDescent="0.25">
      <c r="A1" s="17" t="s">
        <v>97</v>
      </c>
      <c r="B1" s="17"/>
      <c r="C1" s="17"/>
      <c r="E1" s="9" t="s">
        <v>78</v>
      </c>
      <c r="F1" s="10"/>
      <c r="G1" s="10"/>
      <c r="H1" s="10"/>
      <c r="I1" s="10"/>
      <c r="J1" s="10"/>
      <c r="K1" s="10"/>
    </row>
    <row r="2" spans="1:14" x14ac:dyDescent="0.25">
      <c r="A2" s="7" t="s">
        <v>76</v>
      </c>
      <c r="B2" s="7" t="s">
        <v>77</v>
      </c>
      <c r="C2" s="7" t="s">
        <v>76</v>
      </c>
      <c r="E2" s="7" t="s">
        <v>76</v>
      </c>
      <c r="F2" s="7" t="s">
        <v>77</v>
      </c>
      <c r="G2" s="7" t="s">
        <v>77</v>
      </c>
      <c r="H2" s="7" t="s">
        <v>77</v>
      </c>
      <c r="I2" s="7" t="s">
        <v>76</v>
      </c>
      <c r="J2" s="7" t="s">
        <v>76</v>
      </c>
      <c r="K2" s="7" t="s">
        <v>77</v>
      </c>
    </row>
    <row r="3" spans="1:14" x14ac:dyDescent="0.25">
      <c r="C3" s="6" t="s">
        <v>75</v>
      </c>
      <c r="M3" s="25" t="s">
        <v>103</v>
      </c>
      <c r="N3" s="23"/>
    </row>
    <row r="4" spans="1:14" x14ac:dyDescent="0.25">
      <c r="A4" s="2" t="s">
        <v>73</v>
      </c>
      <c r="B4" s="2" t="s">
        <v>72</v>
      </c>
      <c r="C4" s="2" t="s">
        <v>74</v>
      </c>
      <c r="E4" s="2" t="s">
        <v>0</v>
      </c>
      <c r="F4" s="2" t="s">
        <v>1</v>
      </c>
      <c r="G4" s="2" t="s">
        <v>2</v>
      </c>
      <c r="H4" s="2" t="s">
        <v>3</v>
      </c>
      <c r="I4" s="2" t="s">
        <v>5</v>
      </c>
      <c r="J4" s="2" t="s">
        <v>4</v>
      </c>
      <c r="K4" s="2" t="s">
        <v>39</v>
      </c>
      <c r="M4" s="23" t="s">
        <v>99</v>
      </c>
      <c r="N4" s="23" t="s">
        <v>100</v>
      </c>
    </row>
    <row r="5" spans="1:14" x14ac:dyDescent="0.25">
      <c r="A5" t="s">
        <v>6</v>
      </c>
      <c r="B5" t="str">
        <f>LEFT(A5,3)</f>
        <v>100</v>
      </c>
      <c r="C5" t="s">
        <v>6</v>
      </c>
      <c r="E5">
        <v>2025</v>
      </c>
      <c r="F5" t="str">
        <f>C5</f>
        <v>100 Asbury Methodist Village</v>
      </c>
      <c r="G5" s="16">
        <f>_xlfn.XLOOKUP($A5,OC!$A:$A,OC!B:B)</f>
        <v>89288684.690887943</v>
      </c>
      <c r="H5" s="16">
        <f>_xlfn.XLOOKUP($A5,OC!$A:$A,OC!C:C)</f>
        <v>84219595.363949507</v>
      </c>
      <c r="I5" s="1" t="s">
        <v>8</v>
      </c>
      <c r="J5" s="1" t="s">
        <v>7</v>
      </c>
      <c r="K5" s="15">
        <f>IFERROR(H5/G5,"na")</f>
        <v>0.94322808825678961</v>
      </c>
      <c r="M5" s="24">
        <f>G5-SUMIFS('2025 Load-Monthly'!I$5:I$485,'2025 Load-Monthly'!$H$5:$H$485,$F5)</f>
        <v>0</v>
      </c>
      <c r="N5" s="24">
        <f>H5-SUMIFS('2025 Load-Monthly'!J$5:J$485,'2025 Load-Monthly'!$H$5:$H$485,$F5)</f>
        <v>0</v>
      </c>
    </row>
    <row r="6" spans="1:14" x14ac:dyDescent="0.25">
      <c r="A6" t="s">
        <v>9</v>
      </c>
      <c r="B6" t="str">
        <f t="shared" ref="B6:B43" si="0">LEFT(A6,3)</f>
        <v>200</v>
      </c>
      <c r="C6" t="s">
        <v>9</v>
      </c>
      <c r="E6">
        <v>2025</v>
      </c>
      <c r="F6" t="str">
        <f t="shared" ref="F6:F43" si="1">C6</f>
        <v>200 Asbury Solomons</v>
      </c>
      <c r="G6" s="16">
        <f>_xlfn.XLOOKUP($A6,OC!$A:$A,OC!B:B)</f>
        <v>22201273.843279824</v>
      </c>
      <c r="H6" s="16">
        <f>_xlfn.XLOOKUP($A6,OC!$A:$A,OC!C:C)</f>
        <v>20064427.09855666</v>
      </c>
      <c r="I6" s="1" t="s">
        <v>8</v>
      </c>
      <c r="J6" s="1" t="s">
        <v>7</v>
      </c>
      <c r="K6" s="15">
        <f t="shared" ref="K6:K45" si="2">IFERROR(H6/G6,"na")</f>
        <v>0.90375116491930607</v>
      </c>
      <c r="M6" s="24">
        <f>G6-SUMIFS('2025 Load-Monthly'!I$5:I$485,'2025 Load-Monthly'!$H$5:$H$485,$F6)</f>
        <v>0</v>
      </c>
      <c r="N6" s="24">
        <f>H6-SUMIFS('2025 Load-Monthly'!J$5:J$485,'2025 Load-Monthly'!$H$5:$H$485,$F6)</f>
        <v>0</v>
      </c>
    </row>
    <row r="7" spans="1:14" x14ac:dyDescent="0.25">
      <c r="A7" t="s">
        <v>11</v>
      </c>
      <c r="B7" t="str">
        <f t="shared" si="0"/>
        <v>324</v>
      </c>
      <c r="C7" t="s">
        <v>11</v>
      </c>
      <c r="E7">
        <v>2025</v>
      </c>
      <c r="F7" t="str">
        <f t="shared" si="1"/>
        <v>324 Springhill</v>
      </c>
      <c r="G7" s="16">
        <f>_xlfn.XLOOKUP($A7,OC!$A:$A,OC!B:B)</f>
        <v>20835667.102149364</v>
      </c>
      <c r="H7" s="16">
        <f>_xlfn.XLOOKUP($A7,OC!$A:$A,OC!C:C)</f>
        <v>20625422.000363257</v>
      </c>
      <c r="I7" s="1" t="s">
        <v>8</v>
      </c>
      <c r="J7" s="1" t="s">
        <v>7</v>
      </c>
      <c r="K7" s="15">
        <f t="shared" si="2"/>
        <v>0.98990936547625974</v>
      </c>
      <c r="M7" s="24">
        <f>G7-SUMIFS('2025 Load-Monthly'!I$5:I$485,'2025 Load-Monthly'!$H$5:$H$485,$F7)</f>
        <v>0</v>
      </c>
      <c r="N7" s="24">
        <f>H7-SUMIFS('2025 Load-Monthly'!J$5:J$485,'2025 Load-Monthly'!$H$5:$H$485,$F7)</f>
        <v>0</v>
      </c>
    </row>
    <row r="8" spans="1:14" x14ac:dyDescent="0.25">
      <c r="A8" t="s">
        <v>52</v>
      </c>
      <c r="B8" t="str">
        <f t="shared" si="0"/>
        <v>400</v>
      </c>
      <c r="C8" t="s">
        <v>12</v>
      </c>
      <c r="E8">
        <v>2025</v>
      </c>
      <c r="F8" t="str">
        <f t="shared" si="1"/>
        <v>400 Asbury Foundation</v>
      </c>
      <c r="G8" s="16">
        <f>_xlfn.XLOOKUP($A8,OC!$A:$A,OC!B:B)</f>
        <v>791853.00000000012</v>
      </c>
      <c r="H8" s="16">
        <f>_xlfn.XLOOKUP($A8,OC!$A:$A,OC!C:C)</f>
        <v>770786.28999999992</v>
      </c>
      <c r="I8" s="1" t="s">
        <v>8</v>
      </c>
      <c r="J8" s="1" t="s">
        <v>7</v>
      </c>
      <c r="K8" s="15">
        <f t="shared" si="2"/>
        <v>0.97339568076397998</v>
      </c>
      <c r="M8" s="24">
        <f>G8-SUMIFS('2025 Load-Monthly'!I$5:I$485,'2025 Load-Monthly'!$H$5:$H$485,$F8)</f>
        <v>0</v>
      </c>
      <c r="N8" s="24">
        <f>H8-SUMIFS('2025 Load-Monthly'!J$5:J$485,'2025 Load-Monthly'!$H$5:$H$485,$F8)</f>
        <v>0</v>
      </c>
    </row>
    <row r="9" spans="1:14" x14ac:dyDescent="0.25">
      <c r="A9" t="s">
        <v>53</v>
      </c>
      <c r="B9" t="str">
        <f t="shared" si="0"/>
        <v>500</v>
      </c>
      <c r="C9" t="s">
        <v>13</v>
      </c>
      <c r="E9">
        <v>2025</v>
      </c>
      <c r="F9" t="str">
        <f t="shared" si="1"/>
        <v>500 Asbury Communities</v>
      </c>
      <c r="G9" s="16">
        <f>_xlfn.XLOOKUP($A9,OC!$A:$A,OC!B:B)</f>
        <v>20144995</v>
      </c>
      <c r="H9" s="16">
        <f>_xlfn.XLOOKUP($A9,OC!$A:$A,OC!C:C)</f>
        <v>23461764.284189474</v>
      </c>
      <c r="I9" s="1" t="s">
        <v>8</v>
      </c>
      <c r="J9" s="1" t="s">
        <v>7</v>
      </c>
      <c r="K9" s="15">
        <f t="shared" si="2"/>
        <v>1.1646448303506391</v>
      </c>
      <c r="M9" s="24">
        <f>G9-SUMIFS('2025 Load-Monthly'!I$5:I$485,'2025 Load-Monthly'!$H$5:$H$485,$F9)</f>
        <v>0</v>
      </c>
      <c r="N9" s="24">
        <f>H9-SUMIFS('2025 Load-Monthly'!J$5:J$485,'2025 Load-Monthly'!$H$5:$H$485,$F9)</f>
        <v>0</v>
      </c>
    </row>
    <row r="10" spans="1:14" x14ac:dyDescent="0.25">
      <c r="A10" t="s">
        <v>15</v>
      </c>
      <c r="B10" t="str">
        <f t="shared" si="0"/>
        <v>650</v>
      </c>
      <c r="C10" t="s">
        <v>15</v>
      </c>
      <c r="E10">
        <v>2025</v>
      </c>
      <c r="F10" t="str">
        <f t="shared" si="1"/>
        <v>650 Asbury Place Maryville</v>
      </c>
      <c r="G10" s="16">
        <f>_xlfn.XLOOKUP($A10,OC!$A:$A,OC!B:B)</f>
        <v>0</v>
      </c>
      <c r="H10" s="16">
        <f>_xlfn.XLOOKUP($A10,OC!$A:$A,OC!C:C)</f>
        <v>0</v>
      </c>
      <c r="I10" s="1" t="s">
        <v>8</v>
      </c>
      <c r="J10" s="1" t="s">
        <v>7</v>
      </c>
      <c r="K10" s="15" t="str">
        <f t="shared" si="2"/>
        <v>na</v>
      </c>
      <c r="M10" s="24">
        <f>G10-SUMIFS('2025 Load-Monthly'!I$5:I$485,'2025 Load-Monthly'!$H$5:$H$485,$F10)</f>
        <v>0</v>
      </c>
      <c r="N10" s="24">
        <f>H10-SUMIFS('2025 Load-Monthly'!J$5:J$485,'2025 Load-Monthly'!$H$5:$H$485,$F10)</f>
        <v>0</v>
      </c>
    </row>
    <row r="11" spans="1:14" x14ac:dyDescent="0.25">
      <c r="A11" t="s">
        <v>16</v>
      </c>
      <c r="B11" t="str">
        <f t="shared" si="0"/>
        <v>660</v>
      </c>
      <c r="C11" t="s">
        <v>16</v>
      </c>
      <c r="E11">
        <v>2025</v>
      </c>
      <c r="F11" t="str">
        <f t="shared" si="1"/>
        <v>660 Asbury Place Kingsport</v>
      </c>
      <c r="G11" s="16">
        <f>_xlfn.XLOOKUP($A11,OC!$A:$A,OC!B:B)</f>
        <v>0</v>
      </c>
      <c r="H11" s="16">
        <f>_xlfn.XLOOKUP($A11,OC!$A:$A,OC!C:C)</f>
        <v>0</v>
      </c>
      <c r="I11" s="1" t="s">
        <v>8</v>
      </c>
      <c r="J11" s="1" t="s">
        <v>7</v>
      </c>
      <c r="K11" s="15" t="str">
        <f t="shared" si="2"/>
        <v>na</v>
      </c>
      <c r="M11" s="24">
        <f>G11-SUMIFS('2025 Load-Monthly'!I$5:I$485,'2025 Load-Monthly'!$H$5:$H$485,$F11)</f>
        <v>0</v>
      </c>
      <c r="N11" s="24">
        <f>H11-SUMIFS('2025 Load-Monthly'!J$5:J$485,'2025 Load-Monthly'!$H$5:$H$485,$F11)</f>
        <v>0</v>
      </c>
    </row>
    <row r="12" spans="1:14" x14ac:dyDescent="0.25">
      <c r="A12" t="s">
        <v>28</v>
      </c>
      <c r="B12" t="str">
        <f t="shared" si="0"/>
        <v>670</v>
      </c>
      <c r="C12" t="s">
        <v>28</v>
      </c>
      <c r="E12">
        <v>2025</v>
      </c>
      <c r="F12" t="str">
        <f t="shared" si="1"/>
        <v>670 Forest Ridge Manor</v>
      </c>
      <c r="G12" s="16">
        <f>_xlfn.XLOOKUP($A12,OC!$A:$A,OC!B:B)</f>
        <v>352442</v>
      </c>
      <c r="H12" s="16">
        <f>_xlfn.XLOOKUP($A12,OC!$A:$A,OC!C:C)</f>
        <v>291392.99999999994</v>
      </c>
      <c r="I12" s="1" t="s">
        <v>8</v>
      </c>
      <c r="J12" s="1" t="s">
        <v>7</v>
      </c>
      <c r="K12" s="15">
        <f t="shared" si="2"/>
        <v>0.82678284653928857</v>
      </c>
      <c r="M12" s="24">
        <f>G12-SUMIFS('2025 Load-Monthly'!I$5:I$485,'2025 Load-Monthly'!$H$5:$H$485,$F12)</f>
        <v>0</v>
      </c>
      <c r="N12" s="24">
        <f>H12-SUMIFS('2025 Load-Monthly'!J$5:J$485,'2025 Load-Monthly'!$H$5:$H$485,$F12)</f>
        <v>0</v>
      </c>
    </row>
    <row r="13" spans="1:14" x14ac:dyDescent="0.25">
      <c r="A13" t="s">
        <v>23</v>
      </c>
      <c r="B13" t="str">
        <f t="shared" si="0"/>
        <v>716</v>
      </c>
      <c r="C13" t="s">
        <v>23</v>
      </c>
      <c r="E13">
        <v>2025</v>
      </c>
      <c r="F13" t="str">
        <f t="shared" si="1"/>
        <v>716 Asbury Place at Home</v>
      </c>
      <c r="G13" s="16">
        <f>_xlfn.XLOOKUP($A13,OC!$A:$A,OC!B:B)</f>
        <v>0</v>
      </c>
      <c r="H13" s="16">
        <f>_xlfn.XLOOKUP($A13,OC!$A:$A,OC!C:C)</f>
        <v>0</v>
      </c>
      <c r="I13" s="1" t="s">
        <v>8</v>
      </c>
      <c r="J13" s="1" t="s">
        <v>7</v>
      </c>
      <c r="K13" s="15" t="str">
        <f t="shared" si="2"/>
        <v>na</v>
      </c>
      <c r="M13" s="24">
        <f>G13-SUMIFS('2025 Load-Monthly'!I$5:I$485,'2025 Load-Monthly'!$H$5:$H$485,$F13)</f>
        <v>0</v>
      </c>
      <c r="N13" s="24">
        <f>H13-SUMIFS('2025 Load-Monthly'!J$5:J$485,'2025 Load-Monthly'!$H$5:$H$485,$F13)</f>
        <v>0</v>
      </c>
    </row>
    <row r="14" spans="1:14" x14ac:dyDescent="0.25">
      <c r="A14" t="s">
        <v>25</v>
      </c>
      <c r="B14" t="str">
        <f t="shared" si="0"/>
        <v>810</v>
      </c>
      <c r="C14" t="s">
        <v>25</v>
      </c>
      <c r="E14">
        <v>2025</v>
      </c>
      <c r="F14" t="str">
        <f t="shared" si="1"/>
        <v>810 Bethany Village</v>
      </c>
      <c r="G14" s="16">
        <f>_xlfn.XLOOKUP($A14,OC!$A:$A,OC!B:B)</f>
        <v>38530792.723092809</v>
      </c>
      <c r="H14" s="16">
        <f>_xlfn.XLOOKUP($A14,OC!$A:$A,OC!C:C)</f>
        <v>35404571.53710977</v>
      </c>
      <c r="I14" s="1" t="s">
        <v>8</v>
      </c>
      <c r="J14" s="1" t="s">
        <v>7</v>
      </c>
      <c r="K14" s="15">
        <f t="shared" si="2"/>
        <v>0.91886434290490504</v>
      </c>
      <c r="M14" s="24">
        <f>G14-SUMIFS('2025 Load-Monthly'!I$5:I$485,'2025 Load-Monthly'!$H$5:$H$485,$F14)</f>
        <v>0</v>
      </c>
      <c r="N14" s="24">
        <f>H14-SUMIFS('2025 Load-Monthly'!J$5:J$485,'2025 Load-Monthly'!$H$5:$H$485,$F14)</f>
        <v>0</v>
      </c>
    </row>
    <row r="15" spans="1:14" x14ac:dyDescent="0.25">
      <c r="A15" t="s">
        <v>56</v>
      </c>
      <c r="B15" t="str">
        <f t="shared" si="0"/>
        <v>815</v>
      </c>
      <c r="C15" t="s">
        <v>27</v>
      </c>
      <c r="E15">
        <v>2025</v>
      </c>
      <c r="F15" t="str">
        <f t="shared" si="1"/>
        <v>815 Bethany Towers</v>
      </c>
      <c r="G15" s="16">
        <f>_xlfn.XLOOKUP($A15,OC!$A:$A,OC!B:B)</f>
        <v>2223918</v>
      </c>
      <c r="H15" s="16">
        <f>_xlfn.XLOOKUP($A15,OC!$A:$A,OC!C:C)</f>
        <v>1280355.0000000007</v>
      </c>
      <c r="I15" s="1" t="s">
        <v>8</v>
      </c>
      <c r="J15" s="1" t="s">
        <v>7</v>
      </c>
      <c r="K15" s="15">
        <f t="shared" si="2"/>
        <v>0.5757204177492159</v>
      </c>
      <c r="M15" s="24">
        <f>G15-SUMIFS('2025 Load-Monthly'!I$5:I$485,'2025 Load-Monthly'!$H$5:$H$485,$F15)</f>
        <v>0</v>
      </c>
      <c r="N15" s="24">
        <f>H15-SUMIFS('2025 Load-Monthly'!J$5:J$485,'2025 Load-Monthly'!$H$5:$H$485,$F15)</f>
        <v>0</v>
      </c>
    </row>
    <row r="16" spans="1:14" x14ac:dyDescent="0.25">
      <c r="A16" t="s">
        <v>26</v>
      </c>
      <c r="B16" t="str">
        <f t="shared" si="0"/>
        <v>900</v>
      </c>
      <c r="C16" t="s">
        <v>26</v>
      </c>
      <c r="E16">
        <v>2025</v>
      </c>
      <c r="F16" t="str">
        <f t="shared" si="1"/>
        <v>900 The Asbury Group</v>
      </c>
      <c r="G16" s="16">
        <f>_xlfn.XLOOKUP($A16,OC!$A:$A,OC!B:B)</f>
        <v>-810916.00000000012</v>
      </c>
      <c r="H16" s="16">
        <f>_xlfn.XLOOKUP($A16,OC!$A:$A,OC!C:C)</f>
        <v>256403.05999999991</v>
      </c>
      <c r="I16" s="1" t="s">
        <v>8</v>
      </c>
      <c r="J16" s="1" t="s">
        <v>7</v>
      </c>
      <c r="K16" s="15">
        <f t="shared" si="2"/>
        <v>-0.31618942035919856</v>
      </c>
      <c r="M16" s="24">
        <f>G16-SUMIFS('2025 Load-Monthly'!I$5:I$485,'2025 Load-Monthly'!$H$5:$H$485,$F16)</f>
        <v>0</v>
      </c>
      <c r="N16" s="24">
        <f>H16-SUMIFS('2025 Load-Monthly'!J$5:J$485,'2025 Load-Monthly'!$H$5:$H$485,$F16)</f>
        <v>0</v>
      </c>
    </row>
    <row r="17" spans="1:14" x14ac:dyDescent="0.25">
      <c r="A17" t="s">
        <v>43</v>
      </c>
      <c r="B17" t="str">
        <f t="shared" si="0"/>
        <v>910</v>
      </c>
      <c r="C17" t="s">
        <v>43</v>
      </c>
      <c r="E17">
        <v>2025</v>
      </c>
      <c r="F17" t="str">
        <f t="shared" si="1"/>
        <v>910 ThriveWell Tech</v>
      </c>
      <c r="G17" s="16">
        <f>_xlfn.XLOOKUP($A17,OC!$A:$A,OC!B:B)</f>
        <v>8970112.4800000004</v>
      </c>
      <c r="H17" s="16">
        <f>_xlfn.XLOOKUP($A17,OC!$A:$A,OC!C:C)</f>
        <v>7996058.1804037411</v>
      </c>
      <c r="I17" s="1" t="s">
        <v>8</v>
      </c>
      <c r="J17" s="1" t="s">
        <v>7</v>
      </c>
      <c r="K17" s="15">
        <f t="shared" si="2"/>
        <v>0.89141113873788802</v>
      </c>
      <c r="M17" s="24">
        <f>G17-SUMIFS('2025 Load-Monthly'!I$5:I$485,'2025 Load-Monthly'!$H$5:$H$485,$F17)</f>
        <v>0</v>
      </c>
      <c r="N17" s="24">
        <f>H17-SUMIFS('2025 Load-Monthly'!J$5:J$485,'2025 Load-Monthly'!$H$5:$H$485,$F17)</f>
        <v>0</v>
      </c>
    </row>
    <row r="18" spans="1:14" x14ac:dyDescent="0.25">
      <c r="A18" t="s">
        <v>50</v>
      </c>
      <c r="B18" t="str">
        <f t="shared" si="0"/>
        <v>916</v>
      </c>
      <c r="C18" t="s">
        <v>50</v>
      </c>
      <c r="E18">
        <v>2025</v>
      </c>
      <c r="F18" t="str">
        <f t="shared" si="1"/>
        <v>916 Westview One, LLC</v>
      </c>
      <c r="G18" s="16">
        <f>_xlfn.XLOOKUP($A18,OC!$A:$A,OC!B:B)</f>
        <v>0</v>
      </c>
      <c r="H18" s="16">
        <f>_xlfn.XLOOKUP($A18,OC!$A:$A,OC!C:C)</f>
        <v>5000</v>
      </c>
      <c r="I18" s="1" t="s">
        <v>8</v>
      </c>
      <c r="J18" s="1" t="s">
        <v>7</v>
      </c>
      <c r="K18" s="15" t="str">
        <f t="shared" si="2"/>
        <v>na</v>
      </c>
      <c r="M18" s="24">
        <f>G18-SUMIFS('2025 Load-Monthly'!I$5:I$485,'2025 Load-Monthly'!$H$5:$H$485,$F18)</f>
        <v>0</v>
      </c>
      <c r="N18" s="24">
        <f>H18-SUMIFS('2025 Load-Monthly'!J$5:J$485,'2025 Load-Monthly'!$H$5:$H$485,$F18)</f>
        <v>0</v>
      </c>
    </row>
    <row r="19" spans="1:14" x14ac:dyDescent="0.25">
      <c r="A19" t="s">
        <v>44</v>
      </c>
      <c r="B19" t="str">
        <f t="shared" si="0"/>
        <v>925</v>
      </c>
      <c r="C19" t="s">
        <v>44</v>
      </c>
      <c r="E19">
        <v>2025</v>
      </c>
      <c r="F19" t="str">
        <f t="shared" si="1"/>
        <v>925 Chandler Estate</v>
      </c>
      <c r="G19" s="16">
        <f>_xlfn.XLOOKUP($A19,OC!$A:$A,OC!B:B)</f>
        <v>3436922.5310173696</v>
      </c>
      <c r="H19" s="16">
        <f>_xlfn.XLOOKUP($A19,OC!$A:$A,OC!C:C)</f>
        <v>3091721.1318114302</v>
      </c>
      <c r="I19" s="1" t="s">
        <v>8</v>
      </c>
      <c r="J19" s="1" t="s">
        <v>7</v>
      </c>
      <c r="K19" s="15">
        <f t="shared" si="2"/>
        <v>0.89956090191426119</v>
      </c>
      <c r="M19" s="24">
        <f>G19-SUMIFS('2025 Load-Monthly'!I$5:I$485,'2025 Load-Monthly'!$H$5:$H$485,$F19)</f>
        <v>0</v>
      </c>
      <c r="N19" s="24">
        <f>H19-SUMIFS('2025 Load-Monthly'!J$5:J$485,'2025 Load-Monthly'!$H$5:$H$485,$F19)</f>
        <v>0</v>
      </c>
    </row>
    <row r="20" spans="1:14" x14ac:dyDescent="0.25">
      <c r="A20" t="s">
        <v>29</v>
      </c>
      <c r="B20" t="str">
        <f t="shared" si="0"/>
        <v>835</v>
      </c>
      <c r="C20" t="s">
        <v>29</v>
      </c>
      <c r="E20">
        <v>2025</v>
      </c>
      <c r="F20" t="str">
        <f t="shared" si="1"/>
        <v>835 Riverwoods</v>
      </c>
      <c r="G20" s="16">
        <f>_xlfn.XLOOKUP($A20,OC!$A:$A,OC!B:B)</f>
        <v>5921383.6509049777</v>
      </c>
      <c r="H20" s="16">
        <f>_xlfn.XLOOKUP($A20,OC!$A:$A,OC!C:C)</f>
        <v>5876005.0855325963</v>
      </c>
      <c r="I20" s="1" t="s">
        <v>8</v>
      </c>
      <c r="J20" s="1" t="s">
        <v>7</v>
      </c>
      <c r="K20" s="15">
        <f t="shared" si="2"/>
        <v>0.99233649294697435</v>
      </c>
      <c r="M20" s="24">
        <f>G20-SUMIFS('2025 Load-Monthly'!I$5:I$485,'2025 Load-Monthly'!$H$5:$H$485,$F20)</f>
        <v>0</v>
      </c>
      <c r="N20" s="24">
        <f>H20-SUMIFS('2025 Load-Monthly'!J$5:J$485,'2025 Load-Monthly'!$H$5:$H$485,$F20)</f>
        <v>0</v>
      </c>
    </row>
    <row r="21" spans="1:14" x14ac:dyDescent="0.25">
      <c r="A21" t="s">
        <v>30</v>
      </c>
      <c r="B21" t="str">
        <f t="shared" si="0"/>
        <v>840</v>
      </c>
      <c r="C21" t="s">
        <v>30</v>
      </c>
      <c r="E21">
        <v>2025</v>
      </c>
      <c r="F21" t="str">
        <f t="shared" si="1"/>
        <v>840 Normandie Ridge</v>
      </c>
      <c r="G21" s="16">
        <f>_xlfn.XLOOKUP($A21,OC!$A:$A,OC!B:B)</f>
        <v>16712038.242449736</v>
      </c>
      <c r="H21" s="16">
        <f>_xlfn.XLOOKUP($A21,OC!$A:$A,OC!C:C)</f>
        <v>16866872.285849068</v>
      </c>
      <c r="I21" s="1" t="s">
        <v>8</v>
      </c>
      <c r="J21" s="1" t="s">
        <v>7</v>
      </c>
      <c r="K21" s="15">
        <f t="shared" si="2"/>
        <v>1.0092648210321853</v>
      </c>
      <c r="M21" s="24">
        <f>G21-SUMIFS('2025 Load-Monthly'!I$5:I$485,'2025 Load-Monthly'!$H$5:$H$485,$F21)</f>
        <v>0</v>
      </c>
      <c r="N21" s="24">
        <f>H21-SUMIFS('2025 Load-Monthly'!J$5:J$485,'2025 Load-Monthly'!$H$5:$H$485,$F21)</f>
        <v>0</v>
      </c>
    </row>
    <row r="22" spans="1:14" x14ac:dyDescent="0.25">
      <c r="A22" t="s">
        <v>31</v>
      </c>
      <c r="B22" t="str">
        <f t="shared" si="0"/>
        <v>845</v>
      </c>
      <c r="C22" t="s">
        <v>31</v>
      </c>
      <c r="E22">
        <v>2025</v>
      </c>
      <c r="F22" t="str">
        <f t="shared" si="1"/>
        <v>845 Normandie Ridge Home Health</v>
      </c>
      <c r="G22" s="16">
        <f>_xlfn.XLOOKUP($A22,OC!$A:$A,OC!B:B)</f>
        <v>0</v>
      </c>
      <c r="H22" s="16">
        <f>_xlfn.XLOOKUP($A22,OC!$A:$A,OC!C:C)</f>
        <v>0</v>
      </c>
      <c r="I22" s="1" t="s">
        <v>8</v>
      </c>
      <c r="J22" s="1" t="s">
        <v>7</v>
      </c>
      <c r="K22" s="15" t="str">
        <f t="shared" si="2"/>
        <v>na</v>
      </c>
      <c r="M22" s="24">
        <f>G22-SUMIFS('2025 Load-Monthly'!I$5:I$485,'2025 Load-Monthly'!$H$5:$H$485,$F22)</f>
        <v>0</v>
      </c>
      <c r="N22" s="24">
        <f>H22-SUMIFS('2025 Load-Monthly'!J$5:J$485,'2025 Load-Monthly'!$H$5:$H$485,$F22)</f>
        <v>0</v>
      </c>
    </row>
    <row r="23" spans="1:14" x14ac:dyDescent="0.25">
      <c r="A23" t="s">
        <v>57</v>
      </c>
      <c r="B23" t="str">
        <f t="shared" si="0"/>
        <v>850</v>
      </c>
      <c r="C23" t="s">
        <v>32</v>
      </c>
      <c r="E23">
        <v>2025</v>
      </c>
      <c r="F23" t="str">
        <f t="shared" si="1"/>
        <v>850 Pharmacy</v>
      </c>
      <c r="G23" s="16">
        <f>_xlfn.XLOOKUP($A23,OC!$A:$A,OC!B:B)</f>
        <v>10931711.03968</v>
      </c>
      <c r="H23" s="16">
        <f>_xlfn.XLOOKUP($A23,OC!$A:$A,OC!C:C)</f>
        <v>10930714.180414682</v>
      </c>
      <c r="I23" s="1" t="s">
        <v>8</v>
      </c>
      <c r="J23" s="1" t="s">
        <v>7</v>
      </c>
      <c r="K23" s="15">
        <f t="shared" si="2"/>
        <v>0.99990881031691203</v>
      </c>
      <c r="M23" s="24">
        <f>G23-SUMIFS('2025 Load-Monthly'!I$5:I$485,'2025 Load-Monthly'!$H$5:$H$485,$F23)</f>
        <v>0</v>
      </c>
      <c r="N23" s="24">
        <f>H23-SUMIFS('2025 Load-Monthly'!J$5:J$485,'2025 Load-Monthly'!$H$5:$H$485,$F23)</f>
        <v>0</v>
      </c>
    </row>
    <row r="24" spans="1:14" x14ac:dyDescent="0.25">
      <c r="A24" t="s">
        <v>33</v>
      </c>
      <c r="B24" t="str">
        <f t="shared" si="0"/>
        <v>851</v>
      </c>
      <c r="C24" t="s">
        <v>33</v>
      </c>
      <c r="E24">
        <v>2025</v>
      </c>
      <c r="F24" t="str">
        <f t="shared" si="1"/>
        <v>851 LIFE Lancaster</v>
      </c>
      <c r="G24" s="16">
        <f>_xlfn.XLOOKUP($A24,OC!$A:$A,OC!B:B)</f>
        <v>6790394</v>
      </c>
      <c r="H24" s="16">
        <f>_xlfn.XLOOKUP($A24,OC!$A:$A,OC!C:C)</f>
        <v>7958075.6234161574</v>
      </c>
      <c r="I24" s="1" t="s">
        <v>8</v>
      </c>
      <c r="J24" s="1" t="s">
        <v>7</v>
      </c>
      <c r="K24" s="15">
        <f t="shared" si="2"/>
        <v>1.1719608057229312</v>
      </c>
      <c r="M24" s="24">
        <f>G24-SUMIFS('2025 Load-Monthly'!I$5:I$485,'2025 Load-Monthly'!$H$5:$H$485,$F24)</f>
        <v>0</v>
      </c>
      <c r="N24" s="24">
        <f>H24-SUMIFS('2025 Load-Monthly'!J$5:J$485,'2025 Load-Monthly'!$H$5:$H$485,$F24)</f>
        <v>0</v>
      </c>
    </row>
    <row r="25" spans="1:14" x14ac:dyDescent="0.25">
      <c r="A25" t="s">
        <v>34</v>
      </c>
      <c r="B25" t="str">
        <f t="shared" si="0"/>
        <v>852</v>
      </c>
      <c r="C25" t="s">
        <v>34</v>
      </c>
      <c r="E25">
        <v>2025</v>
      </c>
      <c r="F25" t="str">
        <f t="shared" si="1"/>
        <v>852 LIFE Lycoming</v>
      </c>
      <c r="G25" s="16">
        <f>_xlfn.XLOOKUP($A25,OC!$A:$A,OC!B:B)</f>
        <v>6722708</v>
      </c>
      <c r="H25" s="16">
        <f>_xlfn.XLOOKUP($A25,OC!$A:$A,OC!C:C)</f>
        <v>7466740.8243143233</v>
      </c>
      <c r="I25" s="1" t="s">
        <v>8</v>
      </c>
      <c r="J25" s="1" t="s">
        <v>7</v>
      </c>
      <c r="K25" s="15">
        <f t="shared" si="2"/>
        <v>1.1106745710678381</v>
      </c>
      <c r="M25" s="24">
        <f>G25-SUMIFS('2025 Load-Monthly'!I$5:I$485,'2025 Load-Monthly'!$H$5:$H$485,$F25)</f>
        <v>0</v>
      </c>
      <c r="N25" s="24">
        <f>H25-SUMIFS('2025 Load-Monthly'!J$5:J$485,'2025 Load-Monthly'!$H$5:$H$485,$F25)</f>
        <v>0</v>
      </c>
    </row>
    <row r="26" spans="1:14" x14ac:dyDescent="0.25">
      <c r="A26" t="s">
        <v>35</v>
      </c>
      <c r="B26" t="str">
        <f t="shared" si="0"/>
        <v>853</v>
      </c>
      <c r="C26" t="s">
        <v>35</v>
      </c>
      <c r="E26">
        <v>2025</v>
      </c>
      <c r="F26" t="str">
        <f t="shared" si="1"/>
        <v>853 LIFE Lebanon</v>
      </c>
      <c r="G26" s="16">
        <f>_xlfn.XLOOKUP($A26,OC!$A:$A,OC!B:B)</f>
        <v>5142124.29</v>
      </c>
      <c r="H26" s="16">
        <f>_xlfn.XLOOKUP($A26,OC!$A:$A,OC!C:C)</f>
        <v>5044393.4824906318</v>
      </c>
      <c r="I26" s="1" t="s">
        <v>8</v>
      </c>
      <c r="J26" s="1" t="s">
        <v>7</v>
      </c>
      <c r="K26" s="15">
        <f t="shared" si="2"/>
        <v>0.98099407910084413</v>
      </c>
      <c r="M26" s="24">
        <f>G26-SUMIFS('2025 Load-Monthly'!I$5:I$485,'2025 Load-Monthly'!$H$5:$H$485,$F26)</f>
        <v>0</v>
      </c>
      <c r="N26" s="24">
        <f>H26-SUMIFS('2025 Load-Monthly'!J$5:J$485,'2025 Load-Monthly'!$H$5:$H$485,$F26)</f>
        <v>0</v>
      </c>
    </row>
    <row r="27" spans="1:14" x14ac:dyDescent="0.25">
      <c r="A27" t="s">
        <v>36</v>
      </c>
      <c r="B27" t="str">
        <f t="shared" si="0"/>
        <v>854</v>
      </c>
      <c r="C27" t="s">
        <v>36</v>
      </c>
      <c r="E27">
        <v>2025</v>
      </c>
      <c r="F27" t="str">
        <f t="shared" si="1"/>
        <v>854 LIFE Chester</v>
      </c>
      <c r="G27" s="16">
        <f>_xlfn.XLOOKUP($A27,OC!$A:$A,OC!B:B)</f>
        <v>0</v>
      </c>
      <c r="H27" s="16">
        <f>_xlfn.XLOOKUP($A27,OC!$A:$A,OC!C:C)</f>
        <v>0</v>
      </c>
      <c r="I27" s="1" t="s">
        <v>8</v>
      </c>
      <c r="J27" s="1" t="s">
        <v>7</v>
      </c>
      <c r="K27" s="15" t="str">
        <f t="shared" si="2"/>
        <v>na</v>
      </c>
      <c r="M27" s="24">
        <f>G27-SUMIFS('2025 Load-Monthly'!I$5:I$485,'2025 Load-Monthly'!$H$5:$H$485,$F27)</f>
        <v>0</v>
      </c>
      <c r="N27" s="24">
        <f>H27-SUMIFS('2025 Load-Monthly'!J$5:J$485,'2025 Load-Monthly'!$H$5:$H$485,$F27)</f>
        <v>0</v>
      </c>
    </row>
    <row r="28" spans="1:14" x14ac:dyDescent="0.25">
      <c r="A28" t="s">
        <v>40</v>
      </c>
      <c r="B28" t="str">
        <f t="shared" si="0"/>
        <v>855</v>
      </c>
      <c r="C28" t="s">
        <v>40</v>
      </c>
      <c r="E28">
        <v>2025</v>
      </c>
      <c r="F28" t="str">
        <f t="shared" si="1"/>
        <v>855 LIFE Cumberland</v>
      </c>
      <c r="G28" s="16">
        <f>_xlfn.XLOOKUP($A28,OC!$A:$A,OC!B:B)</f>
        <v>5773498</v>
      </c>
      <c r="H28" s="16">
        <f>_xlfn.XLOOKUP($A28,OC!$A:$A,OC!C:C)</f>
        <v>6473528.1421762425</v>
      </c>
      <c r="I28" s="1" t="s">
        <v>8</v>
      </c>
      <c r="J28" s="1" t="s">
        <v>7</v>
      </c>
      <c r="K28" s="15">
        <f t="shared" si="2"/>
        <v>1.1212488758420358</v>
      </c>
      <c r="M28" s="24">
        <f>G28-SUMIFS('2025 Load-Monthly'!I$5:I$485,'2025 Load-Monthly'!$H$5:$H$485,$F28)</f>
        <v>0</v>
      </c>
      <c r="N28" s="24">
        <f>H28-SUMIFS('2025 Load-Monthly'!J$5:J$485,'2025 Load-Monthly'!$H$5:$H$485,$F28)</f>
        <v>0</v>
      </c>
    </row>
    <row r="29" spans="1:14" x14ac:dyDescent="0.25">
      <c r="A29" t="s">
        <v>41</v>
      </c>
      <c r="B29" t="str">
        <f t="shared" si="0"/>
        <v>856</v>
      </c>
      <c r="C29" t="s">
        <v>41</v>
      </c>
      <c r="E29">
        <v>2025</v>
      </c>
      <c r="F29" t="str">
        <f t="shared" si="1"/>
        <v>856 LIFE Franklin</v>
      </c>
      <c r="G29" s="16">
        <f>_xlfn.XLOOKUP($A29,OC!$A:$A,OC!B:B)</f>
        <v>4380892</v>
      </c>
      <c r="H29" s="16">
        <f>_xlfn.XLOOKUP($A29,OC!$A:$A,OC!C:C)</f>
        <v>5296191.1599542387</v>
      </c>
      <c r="I29" s="1" t="s">
        <v>8</v>
      </c>
      <c r="J29" s="1" t="s">
        <v>7</v>
      </c>
      <c r="K29" s="15">
        <f t="shared" si="2"/>
        <v>1.208929861761997</v>
      </c>
      <c r="M29" s="24">
        <f>G29-SUMIFS('2025 Load-Monthly'!I$5:I$485,'2025 Load-Monthly'!$H$5:$H$485,$F29)</f>
        <v>0</v>
      </c>
      <c r="N29" s="24">
        <f>H29-SUMIFS('2025 Load-Monthly'!J$5:J$485,'2025 Load-Monthly'!$H$5:$H$485,$F29)</f>
        <v>0</v>
      </c>
    </row>
    <row r="30" spans="1:14" x14ac:dyDescent="0.25">
      <c r="A30" t="s">
        <v>42</v>
      </c>
      <c r="B30" t="str">
        <f t="shared" si="0"/>
        <v>859</v>
      </c>
      <c r="C30" t="s">
        <v>42</v>
      </c>
      <c r="E30">
        <v>2025</v>
      </c>
      <c r="F30" t="str">
        <f t="shared" si="1"/>
        <v>859 LIFE Parent</v>
      </c>
      <c r="G30" s="16">
        <f>_xlfn.XLOOKUP($A30,OC!$A:$A,OC!B:B)</f>
        <v>0</v>
      </c>
      <c r="H30" s="16">
        <f>_xlfn.XLOOKUP($A30,OC!$A:$A,OC!C:C)</f>
        <v>-1.7592743202840211E-2</v>
      </c>
      <c r="I30" s="1" t="s">
        <v>8</v>
      </c>
      <c r="J30" s="1" t="s">
        <v>7</v>
      </c>
      <c r="K30" s="15" t="str">
        <f t="shared" si="2"/>
        <v>na</v>
      </c>
      <c r="M30" s="24">
        <f>G30-SUMIFS('2025 Load-Monthly'!I$5:I$485,'2025 Load-Monthly'!$H$5:$H$485,$F30)</f>
        <v>0</v>
      </c>
      <c r="N30" s="24">
        <f>H30-SUMIFS('2025 Load-Monthly'!J$5:J$485,'2025 Load-Monthly'!$H$5:$H$485,$F30)</f>
        <v>0</v>
      </c>
    </row>
    <row r="31" spans="1:14" x14ac:dyDescent="0.25">
      <c r="A31" t="s">
        <v>49</v>
      </c>
      <c r="B31" t="str">
        <f t="shared" si="0"/>
        <v>860</v>
      </c>
      <c r="C31" t="s">
        <v>49</v>
      </c>
      <c r="E31">
        <v>2025</v>
      </c>
      <c r="F31" t="str">
        <f t="shared" si="1"/>
        <v>860 ACS Fund Development</v>
      </c>
      <c r="G31" s="16">
        <f>_xlfn.XLOOKUP($A31,OC!$A:$A,OC!B:B)</f>
        <v>-130804.04</v>
      </c>
      <c r="H31" s="16">
        <f>_xlfn.XLOOKUP($A31,OC!$A:$A,OC!C:C)</f>
        <v>113144.01</v>
      </c>
      <c r="I31" s="1" t="s">
        <v>8</v>
      </c>
      <c r="J31" s="1" t="s">
        <v>7</v>
      </c>
      <c r="K31" s="15">
        <f t="shared" si="2"/>
        <v>-0.86498865019765447</v>
      </c>
      <c r="M31" s="24">
        <f>G31-SUMIFS('2025 Load-Monthly'!I$5:I$485,'2025 Load-Monthly'!$H$5:$H$485,$F31)</f>
        <v>0</v>
      </c>
      <c r="N31" s="24">
        <f>H31-SUMIFS('2025 Load-Monthly'!J$5:J$485,'2025 Load-Monthly'!$H$5:$H$485,$F31)</f>
        <v>0</v>
      </c>
    </row>
    <row r="32" spans="1:14" x14ac:dyDescent="0.25">
      <c r="A32" t="s">
        <v>37</v>
      </c>
      <c r="B32" t="str">
        <f t="shared" si="0"/>
        <v>870</v>
      </c>
      <c r="C32" t="s">
        <v>37</v>
      </c>
      <c r="E32">
        <v>2025</v>
      </c>
      <c r="F32" t="str">
        <f t="shared" si="1"/>
        <v>870 Warrior Run Manor</v>
      </c>
      <c r="G32" s="16">
        <f>_xlfn.XLOOKUP($A32,OC!$A:$A,OC!B:B)</f>
        <v>798943</v>
      </c>
      <c r="H32" s="16">
        <f>_xlfn.XLOOKUP($A32,OC!$A:$A,OC!C:C)</f>
        <v>631741.99999999988</v>
      </c>
      <c r="I32" s="1" t="s">
        <v>8</v>
      </c>
      <c r="J32" s="1" t="s">
        <v>7</v>
      </c>
      <c r="K32" s="15">
        <f t="shared" si="2"/>
        <v>0.79072224176192785</v>
      </c>
      <c r="M32" s="24">
        <f>G32-SUMIFS('2025 Load-Monthly'!I$5:I$485,'2025 Load-Monthly'!$H$5:$H$485,$F32)</f>
        <v>0</v>
      </c>
      <c r="N32" s="24">
        <f>H32-SUMIFS('2025 Load-Monthly'!J$5:J$485,'2025 Load-Monthly'!$H$5:$H$485,$F32)</f>
        <v>0</v>
      </c>
    </row>
    <row r="33" spans="1:14" x14ac:dyDescent="0.25">
      <c r="A33" t="s">
        <v>67</v>
      </c>
      <c r="B33" t="str">
        <f t="shared" si="0"/>
        <v>701</v>
      </c>
      <c r="C33" t="s">
        <v>17</v>
      </c>
      <c r="E33">
        <v>2025</v>
      </c>
      <c r="F33" t="str">
        <f t="shared" si="1"/>
        <v>701 Asbury HCBS</v>
      </c>
      <c r="G33" s="16">
        <f>_xlfn.XLOOKUP($A33,OC!$A:$A,OC!B:B)</f>
        <v>0</v>
      </c>
      <c r="H33" s="16">
        <f>_xlfn.XLOOKUP($A33,OC!$A:$A,OC!C:C)</f>
        <v>0</v>
      </c>
      <c r="I33" s="1" t="s">
        <v>8</v>
      </c>
      <c r="J33" s="1" t="s">
        <v>7</v>
      </c>
      <c r="K33" s="15" t="str">
        <f t="shared" si="2"/>
        <v>na</v>
      </c>
      <c r="M33" s="24">
        <f>G33-SUMIFS('2025 Load-Monthly'!I$5:I$485,'2025 Load-Monthly'!$H$5:$H$485,$F33)</f>
        <v>0</v>
      </c>
      <c r="N33" s="24">
        <f>H33-SUMIFS('2025 Load-Monthly'!J$5:J$485,'2025 Load-Monthly'!$H$5:$H$485,$F33)</f>
        <v>0</v>
      </c>
    </row>
    <row r="34" spans="1:14" x14ac:dyDescent="0.25">
      <c r="A34" t="s">
        <v>45</v>
      </c>
      <c r="B34" t="str">
        <f t="shared" si="0"/>
        <v>702</v>
      </c>
      <c r="C34" t="s">
        <v>45</v>
      </c>
      <c r="E34">
        <v>2025</v>
      </c>
      <c r="F34" t="str">
        <f t="shared" si="1"/>
        <v>702 Laboratory</v>
      </c>
      <c r="G34" s="16">
        <f>_xlfn.XLOOKUP($A34,OC!$A:$A,OC!B:B)</f>
        <v>0</v>
      </c>
      <c r="H34" s="16">
        <f>_xlfn.XLOOKUP($A34,OC!$A:$A,OC!C:C)</f>
        <v>0</v>
      </c>
      <c r="I34" s="1" t="s">
        <v>8</v>
      </c>
      <c r="J34" s="1" t="s">
        <v>7</v>
      </c>
      <c r="K34" s="15" t="str">
        <f t="shared" si="2"/>
        <v>na</v>
      </c>
      <c r="M34" s="24">
        <f>G34-SUMIFS('2025 Load-Monthly'!I$5:I$485,'2025 Load-Monthly'!$H$5:$H$485,$F34)</f>
        <v>0</v>
      </c>
      <c r="N34" s="24">
        <f>H34-SUMIFS('2025 Load-Monthly'!J$5:J$485,'2025 Load-Monthly'!$H$5:$H$485,$F34)</f>
        <v>0</v>
      </c>
    </row>
    <row r="35" spans="1:14" x14ac:dyDescent="0.25">
      <c r="A35" t="s">
        <v>19</v>
      </c>
      <c r="B35" t="str">
        <f t="shared" si="0"/>
        <v>712</v>
      </c>
      <c r="C35" t="s">
        <v>19</v>
      </c>
      <c r="E35">
        <v>2025</v>
      </c>
      <c r="F35" t="str">
        <f t="shared" si="1"/>
        <v>712 Springhill at Home</v>
      </c>
      <c r="G35" s="16">
        <f>_xlfn.XLOOKUP($A35,OC!$A:$A,OC!B:B)</f>
        <v>0</v>
      </c>
      <c r="H35" s="16">
        <f>_xlfn.XLOOKUP($A35,OC!$A:$A,OC!C:C)</f>
        <v>0</v>
      </c>
      <c r="I35" s="1" t="s">
        <v>8</v>
      </c>
      <c r="J35" s="1" t="s">
        <v>7</v>
      </c>
      <c r="K35" s="15" t="str">
        <f t="shared" si="2"/>
        <v>na</v>
      </c>
      <c r="M35" s="24">
        <f>G35-SUMIFS('2025 Load-Monthly'!I$5:I$485,'2025 Load-Monthly'!$H$5:$H$485,$F35)</f>
        <v>0</v>
      </c>
      <c r="N35" s="24">
        <f>H35-SUMIFS('2025 Load-Monthly'!J$5:J$485,'2025 Load-Monthly'!$H$5:$H$485,$F35)</f>
        <v>0</v>
      </c>
    </row>
    <row r="36" spans="1:14" x14ac:dyDescent="0.25">
      <c r="A36" t="s">
        <v>68</v>
      </c>
      <c r="B36" t="str">
        <f t="shared" si="0"/>
        <v>713</v>
      </c>
      <c r="C36" t="s">
        <v>20</v>
      </c>
      <c r="E36">
        <v>2025</v>
      </c>
      <c r="F36" t="str">
        <f t="shared" si="1"/>
        <v>713 AMV at Home</v>
      </c>
      <c r="G36" s="16">
        <f>_xlfn.XLOOKUP($A36,OC!$A:$A,OC!B:B)</f>
        <v>88500</v>
      </c>
      <c r="H36" s="16">
        <f>_xlfn.XLOOKUP($A36,OC!$A:$A,OC!C:C)</f>
        <v>54999.999999999978</v>
      </c>
      <c r="I36" s="1" t="s">
        <v>8</v>
      </c>
      <c r="J36" s="1" t="s">
        <v>7</v>
      </c>
      <c r="K36" s="15">
        <f t="shared" si="2"/>
        <v>0.62146892655367203</v>
      </c>
      <c r="M36" s="24">
        <f>G36-SUMIFS('2025 Load-Monthly'!I$5:I$485,'2025 Load-Monthly'!$H$5:$H$485,$F36)</f>
        <v>0</v>
      </c>
      <c r="N36" s="24">
        <f>H36-SUMIFS('2025 Load-Monthly'!J$5:J$485,'2025 Load-Monthly'!$H$5:$H$485,$F36)</f>
        <v>0</v>
      </c>
    </row>
    <row r="37" spans="1:14" x14ac:dyDescent="0.25">
      <c r="A37" t="s">
        <v>22</v>
      </c>
      <c r="B37" t="str">
        <f t="shared" si="0"/>
        <v>715</v>
      </c>
      <c r="C37" t="s">
        <v>22</v>
      </c>
      <c r="E37">
        <v>2025</v>
      </c>
      <c r="F37" t="str">
        <f t="shared" si="1"/>
        <v>715 Bethany Village at Home</v>
      </c>
      <c r="G37" s="16">
        <f>_xlfn.XLOOKUP($A37,OC!$A:$A,OC!B:B)</f>
        <v>0</v>
      </c>
      <c r="H37" s="16">
        <f>_xlfn.XLOOKUP($A37,OC!$A:$A,OC!C:C)</f>
        <v>0</v>
      </c>
      <c r="I37" s="1" t="s">
        <v>8</v>
      </c>
      <c r="J37" s="1" t="s">
        <v>7</v>
      </c>
      <c r="K37" s="15" t="str">
        <f t="shared" si="2"/>
        <v>na</v>
      </c>
      <c r="M37" s="24">
        <f>G37-SUMIFS('2025 Load-Monthly'!I$5:I$485,'2025 Load-Monthly'!$H$5:$H$485,$F37)</f>
        <v>0</v>
      </c>
      <c r="N37" s="24">
        <f>H37-SUMIFS('2025 Load-Monthly'!J$5:J$485,'2025 Load-Monthly'!$H$5:$H$485,$F37)</f>
        <v>0</v>
      </c>
    </row>
    <row r="38" spans="1:14" x14ac:dyDescent="0.25">
      <c r="A38" t="s">
        <v>46</v>
      </c>
      <c r="B38" t="str">
        <f t="shared" si="0"/>
        <v>717</v>
      </c>
      <c r="C38" t="s">
        <v>46</v>
      </c>
      <c r="E38">
        <v>2025</v>
      </c>
      <c r="F38" t="str">
        <f t="shared" si="1"/>
        <v>717 Riverwoods at Home</v>
      </c>
      <c r="G38" s="16">
        <f>_xlfn.XLOOKUP($A38,OC!$A:$A,OC!B:B)</f>
        <v>0</v>
      </c>
      <c r="H38" s="16">
        <f>_xlfn.XLOOKUP($A38,OC!$A:$A,OC!C:C)</f>
        <v>0</v>
      </c>
      <c r="I38" s="1" t="s">
        <v>8</v>
      </c>
      <c r="J38" s="1" t="s">
        <v>7</v>
      </c>
      <c r="K38" s="15" t="str">
        <f t="shared" si="2"/>
        <v>na</v>
      </c>
      <c r="M38" s="24">
        <f>G38-SUMIFS('2025 Load-Monthly'!I$5:I$485,'2025 Load-Monthly'!$H$5:$H$485,$F38)</f>
        <v>0</v>
      </c>
      <c r="N38" s="24">
        <f>H38-SUMIFS('2025 Load-Monthly'!J$5:J$485,'2025 Load-Monthly'!$H$5:$H$485,$F38)</f>
        <v>0</v>
      </c>
    </row>
    <row r="39" spans="1:14" x14ac:dyDescent="0.25">
      <c r="A39" t="s">
        <v>47</v>
      </c>
      <c r="B39" t="str">
        <f t="shared" si="0"/>
        <v>718</v>
      </c>
      <c r="C39" t="s">
        <v>47</v>
      </c>
      <c r="E39">
        <v>2025</v>
      </c>
      <c r="F39" t="str">
        <f t="shared" si="1"/>
        <v>718 Normandie Ridge at Home</v>
      </c>
      <c r="G39" s="16">
        <f>_xlfn.XLOOKUP($A39,OC!$A:$A,OC!B:B)</f>
        <v>0</v>
      </c>
      <c r="H39" s="16">
        <f>_xlfn.XLOOKUP($A39,OC!$A:$A,OC!C:C)</f>
        <v>0</v>
      </c>
      <c r="I39" s="1" t="s">
        <v>8</v>
      </c>
      <c r="J39" s="1" t="s">
        <v>7</v>
      </c>
      <c r="K39" s="15" t="str">
        <f t="shared" si="2"/>
        <v>na</v>
      </c>
      <c r="M39" s="24">
        <f>G39-SUMIFS('2025 Load-Monthly'!I$5:I$485,'2025 Load-Monthly'!$H$5:$H$485,$F39)</f>
        <v>0</v>
      </c>
      <c r="N39" s="24">
        <f>H39-SUMIFS('2025 Load-Monthly'!J$5:J$485,'2025 Load-Monthly'!$H$5:$H$485,$F39)</f>
        <v>0</v>
      </c>
    </row>
    <row r="40" spans="1:14" x14ac:dyDescent="0.25">
      <c r="A40" t="s">
        <v>69</v>
      </c>
      <c r="B40" t="str">
        <f t="shared" si="0"/>
        <v>733</v>
      </c>
      <c r="C40" t="s">
        <v>24</v>
      </c>
      <c r="E40">
        <v>2025</v>
      </c>
      <c r="F40" t="str">
        <f t="shared" si="1"/>
        <v>733 AMV Home Health</v>
      </c>
      <c r="G40" s="16">
        <f>_xlfn.XLOOKUP($A40,OC!$A:$A,OC!B:B)</f>
        <v>0</v>
      </c>
      <c r="H40" s="16">
        <f>_xlfn.XLOOKUP($A40,OC!$A:$A,OC!C:C)</f>
        <v>0</v>
      </c>
      <c r="I40" s="1" t="s">
        <v>8</v>
      </c>
      <c r="J40" s="1" t="s">
        <v>7</v>
      </c>
      <c r="K40" s="15" t="str">
        <f t="shared" si="2"/>
        <v>na</v>
      </c>
      <c r="M40" s="24">
        <f>G40-SUMIFS('2025 Load-Monthly'!I$5:I$485,'2025 Load-Monthly'!$H$5:$H$485,$F40)</f>
        <v>0</v>
      </c>
      <c r="N40" s="24">
        <f>H40-SUMIFS('2025 Load-Monthly'!J$5:J$485,'2025 Load-Monthly'!$H$5:$H$485,$F40)</f>
        <v>0</v>
      </c>
    </row>
    <row r="41" spans="1:14" x14ac:dyDescent="0.25">
      <c r="A41" t="s">
        <v>71</v>
      </c>
      <c r="B41" t="str">
        <f t="shared" si="0"/>
        <v>888</v>
      </c>
      <c r="C41" t="s">
        <v>38</v>
      </c>
      <c r="E41">
        <v>2025</v>
      </c>
      <c r="F41" t="str">
        <f t="shared" si="1"/>
        <v>888 Eliminations</v>
      </c>
      <c r="G41" s="16">
        <f>_xlfn.XLOOKUP($A41,OC!$A:$A,OC!B:B)</f>
        <v>-35069358.482879996</v>
      </c>
      <c r="H41" s="16">
        <f>_xlfn.XLOOKUP($A41,OC!$A:$A,OC!C:C)</f>
        <v>-35069356.482880004</v>
      </c>
      <c r="I41" s="1" t="s">
        <v>8</v>
      </c>
      <c r="J41" s="1" t="s">
        <v>7</v>
      </c>
      <c r="K41" s="15">
        <f t="shared" si="2"/>
        <v>0.99999994297015748</v>
      </c>
      <c r="M41" s="24">
        <f>G41-SUMIFS('2025 Load-Monthly'!I$5:I$485,'2025 Load-Monthly'!$H$5:$H$485,$F41)</f>
        <v>0</v>
      </c>
      <c r="N41" s="24">
        <f>H41-SUMIFS('2025 Load-Monthly'!J$5:J$485,'2025 Load-Monthly'!$H$5:$H$485,$F41)</f>
        <v>0</v>
      </c>
    </row>
    <row r="42" spans="1:14" x14ac:dyDescent="0.25">
      <c r="A42" t="s">
        <v>93</v>
      </c>
      <c r="B42" t="str">
        <f t="shared" si="0"/>
        <v>350</v>
      </c>
      <c r="C42" t="s">
        <v>93</v>
      </c>
      <c r="E42">
        <v>2025</v>
      </c>
      <c r="F42" t="str">
        <f t="shared" si="1"/>
        <v>350 Grace Park</v>
      </c>
      <c r="G42" s="16">
        <f>_xlfn.XLOOKUP($A42,OC!$A:$A,OC!B:B)</f>
        <v>6393662.9761138158</v>
      </c>
      <c r="H42" s="16">
        <f>_xlfn.XLOOKUP($A42,OC!$A:$A,OC!C:C)</f>
        <v>5648300.4671748755</v>
      </c>
      <c r="I42" s="1" t="s">
        <v>8</v>
      </c>
      <c r="J42" s="1" t="s">
        <v>7</v>
      </c>
      <c r="K42" s="15">
        <f t="shared" si="2"/>
        <v>0.88342167678785199</v>
      </c>
      <c r="M42" s="24">
        <f>G42-SUMIFS('2025 Load-Monthly'!I$5:I$485,'2025 Load-Monthly'!$H$5:$H$485,$F42)</f>
        <v>0</v>
      </c>
      <c r="N42" s="24">
        <f>H42-SUMIFS('2025 Load-Monthly'!J$5:J$485,'2025 Load-Monthly'!$H$5:$H$485,$F42)</f>
        <v>0</v>
      </c>
    </row>
    <row r="43" spans="1:14" x14ac:dyDescent="0.25">
      <c r="A43" t="s">
        <v>94</v>
      </c>
      <c r="B43" t="str">
        <f t="shared" si="0"/>
        <v>360</v>
      </c>
      <c r="C43" t="s">
        <v>94</v>
      </c>
      <c r="E43">
        <v>2025</v>
      </c>
      <c r="F43" t="str">
        <f t="shared" si="1"/>
        <v>360 Ivy Gables</v>
      </c>
      <c r="G43" s="16">
        <f>_xlfn.XLOOKUP($A43,OC!$A:$A,OC!B:B)</f>
        <v>4040214.6335658911</v>
      </c>
      <c r="H43" s="16">
        <f>_xlfn.XLOOKUP($A43,OC!$A:$A,OC!C:C)</f>
        <v>4486071.9037148003</v>
      </c>
      <c r="I43" s="1" t="s">
        <v>8</v>
      </c>
      <c r="J43" s="1" t="s">
        <v>7</v>
      </c>
      <c r="K43" s="15">
        <f t="shared" si="2"/>
        <v>1.1103548475976377</v>
      </c>
      <c r="M43" s="24">
        <f>G43-SUMIFS('2025 Load-Monthly'!I$5:I$485,'2025 Load-Monthly'!$H$5:$H$485,$F43)</f>
        <v>0</v>
      </c>
      <c r="N43" s="24">
        <f>H43-SUMIFS('2025 Load-Monthly'!J$5:J$485,'2025 Load-Monthly'!$H$5:$H$485,$F43)</f>
        <v>0</v>
      </c>
    </row>
    <row r="44" spans="1:14" x14ac:dyDescent="0.25">
      <c r="M44" s="23"/>
      <c r="N44" s="23"/>
    </row>
    <row r="45" spans="1:14" x14ac:dyDescent="0.25">
      <c r="E45" s="2">
        <v>2025</v>
      </c>
      <c r="F45" s="2" t="s">
        <v>48</v>
      </c>
      <c r="G45" s="18">
        <f>SUM(G5:G43)</f>
        <v>244461652.68026176</v>
      </c>
      <c r="H45" s="18">
        <f>SUM(H5:H43)</f>
        <v>239244919.61094874</v>
      </c>
      <c r="I45" s="19" t="s">
        <v>8</v>
      </c>
      <c r="J45" s="19" t="s">
        <v>7</v>
      </c>
      <c r="K45" s="3">
        <f t="shared" si="2"/>
        <v>0.97866032151825411</v>
      </c>
      <c r="M45" s="24">
        <f>G45-SUMIFS('2025 Load-Monthly'!I$5:I$485,'2025 Load-Monthly'!$H$5:$H$485,$F45)</f>
        <v>0</v>
      </c>
      <c r="N45" s="24">
        <f>H45-SUMIFS('2025 Load-Monthly'!J$5:J$485,'2025 Load-Monthly'!$H$5:$H$485,$F45)</f>
        <v>0</v>
      </c>
    </row>
    <row r="47" spans="1:14" x14ac:dyDescent="0.25">
      <c r="E47" s="23"/>
      <c r="F47" s="25" t="s">
        <v>113</v>
      </c>
      <c r="G47" s="26">
        <f>G45-SUM(G5:G43)</f>
        <v>0</v>
      </c>
      <c r="H47" s="26">
        <f>H45-SUM(H5:H43)</f>
        <v>0</v>
      </c>
      <c r="I47" s="23"/>
      <c r="J47" s="23"/>
      <c r="K47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A290-9A1D-4F3D-A2AE-E7C7FAC85121}">
  <sheetPr>
    <tabColor rgb="FF92D050"/>
  </sheetPr>
  <dimension ref="A1:M489"/>
  <sheetViews>
    <sheetView topLeftCell="B1" workbookViewId="0">
      <pane ySplit="4" topLeftCell="A5" activePane="bottomLeft" state="frozen"/>
      <selection activeCell="C6" sqref="C6"/>
      <selection pane="bottomLeft" activeCell="L35" sqref="L35"/>
    </sheetView>
  </sheetViews>
  <sheetFormatPr defaultRowHeight="15" x14ac:dyDescent="0.25"/>
  <cols>
    <col min="1" max="1" width="39.7109375" bestFit="1" customWidth="1"/>
    <col min="4" max="4" width="32.5703125" bestFit="1" customWidth="1"/>
    <col min="5" max="5" width="1.7109375" style="8" customWidth="1"/>
    <col min="8" max="8" width="36.42578125" bestFit="1" customWidth="1"/>
    <col min="9" max="9" width="24.5703125" bestFit="1" customWidth="1"/>
    <col min="10" max="10" width="25" bestFit="1" customWidth="1"/>
    <col min="11" max="11" width="9.85546875" bestFit="1" customWidth="1"/>
    <col min="12" max="12" width="60.85546875" bestFit="1" customWidth="1"/>
  </cols>
  <sheetData>
    <row r="1" spans="1:13" x14ac:dyDescent="0.25">
      <c r="A1" s="17" t="s">
        <v>97</v>
      </c>
      <c r="B1" s="17"/>
      <c r="C1" s="17"/>
      <c r="D1" s="17"/>
      <c r="F1" s="9" t="s">
        <v>78</v>
      </c>
      <c r="G1" s="9"/>
      <c r="H1" s="10"/>
      <c r="I1" s="10"/>
      <c r="J1" s="10"/>
      <c r="K1" s="10"/>
      <c r="L1" s="10"/>
      <c r="M1" s="10"/>
    </row>
    <row r="2" spans="1:13" x14ac:dyDescent="0.25">
      <c r="A2" s="7" t="s">
        <v>76</v>
      </c>
      <c r="B2" s="7" t="s">
        <v>76</v>
      </c>
      <c r="C2" s="7" t="s">
        <v>77</v>
      </c>
      <c r="D2" s="7" t="s">
        <v>77</v>
      </c>
      <c r="F2" s="7" t="s">
        <v>76</v>
      </c>
      <c r="G2" s="7" t="s">
        <v>77</v>
      </c>
      <c r="H2" s="7" t="s">
        <v>77</v>
      </c>
      <c r="I2" s="7" t="s">
        <v>77</v>
      </c>
      <c r="J2" s="7" t="s">
        <v>77</v>
      </c>
      <c r="K2" s="7" t="s">
        <v>76</v>
      </c>
      <c r="L2" s="7" t="s">
        <v>76</v>
      </c>
      <c r="M2" s="7" t="s">
        <v>77</v>
      </c>
    </row>
    <row r="3" spans="1:13" x14ac:dyDescent="0.25">
      <c r="B3" s="6"/>
      <c r="D3" s="6" t="s">
        <v>75</v>
      </c>
    </row>
    <row r="4" spans="1:13" x14ac:dyDescent="0.25">
      <c r="A4" s="2" t="s">
        <v>73</v>
      </c>
      <c r="B4" s="2" t="s">
        <v>101</v>
      </c>
      <c r="C4" s="2" t="s">
        <v>72</v>
      </c>
      <c r="D4" s="2" t="s">
        <v>74</v>
      </c>
      <c r="F4" s="2" t="s">
        <v>0</v>
      </c>
      <c r="G4" s="2" t="s">
        <v>101</v>
      </c>
      <c r="H4" s="2" t="s">
        <v>1</v>
      </c>
      <c r="I4" s="2" t="s">
        <v>2</v>
      </c>
      <c r="J4" s="2" t="s">
        <v>3</v>
      </c>
      <c r="K4" s="2" t="s">
        <v>5</v>
      </c>
      <c r="L4" s="2" t="s">
        <v>4</v>
      </c>
      <c r="M4" s="2" t="s">
        <v>39</v>
      </c>
    </row>
    <row r="5" spans="1:13" x14ac:dyDescent="0.25">
      <c r="A5" t="s">
        <v>6</v>
      </c>
      <c r="B5">
        <v>1</v>
      </c>
      <c r="C5" t="str">
        <f>LEFT(A5,3)</f>
        <v>100</v>
      </c>
      <c r="D5" t="s">
        <v>6</v>
      </c>
      <c r="F5">
        <v>2025</v>
      </c>
      <c r="G5">
        <f>B5</f>
        <v>1</v>
      </c>
      <c r="H5" t="str">
        <f>D5</f>
        <v>100 Asbury Methodist Village</v>
      </c>
      <c r="I5" s="16" cm="1">
        <f t="array" ref="I5">INDEX('OC-Monthly'!$B$7:$N$65,_xlfn.XMATCH($A5,'OC-Monthly'!$A$7:$A$65),_xlfn.XMATCH($B5,'OC-Monthly'!$B$1:$N$1))</f>
        <v>7381980.879760433</v>
      </c>
      <c r="J5" s="16" cm="1">
        <f t="array" ref="J5">INDEX('OC-Monthly'!$P$7:$AB$65,_xlfn.XMATCH($A5,'OC-Monthly'!$A$7:$A$65),_xlfn.XMATCH($B5,'OC-Monthly'!$P$1:$AB$1))</f>
        <v>6993133.1851006262</v>
      </c>
      <c r="K5" s="1" t="s">
        <v>8</v>
      </c>
      <c r="L5" s="1" t="s">
        <v>7</v>
      </c>
      <c r="M5" s="15">
        <f>IFERROR(J5/I5,"na")</f>
        <v>0.9473247491434269</v>
      </c>
    </row>
    <row r="6" spans="1:13" x14ac:dyDescent="0.25">
      <c r="A6" t="s">
        <v>6</v>
      </c>
      <c r="B6">
        <v>2</v>
      </c>
      <c r="C6" t="str">
        <f t="shared" ref="C6:C69" si="0">LEFT(A6,3)</f>
        <v>100</v>
      </c>
      <c r="D6" t="s">
        <v>6</v>
      </c>
      <c r="F6">
        <v>2025</v>
      </c>
      <c r="G6">
        <f t="shared" ref="G6:G69" si="1">B6</f>
        <v>2</v>
      </c>
      <c r="H6" t="str">
        <f t="shared" ref="H6:H69" si="2">D6</f>
        <v>100 Asbury Methodist Village</v>
      </c>
      <c r="I6" s="16" cm="1">
        <f t="array" ref="I6">INDEX('OC-Monthly'!$B$7:$N$65,_xlfn.XMATCH($A6,'OC-Monthly'!$A$7:$A$65),_xlfn.XMATCH($B6,'OC-Monthly'!$B$1:$N$1))</f>
        <v>6904590.1672164099</v>
      </c>
      <c r="J6" s="16" cm="1">
        <f t="array" ref="J6">INDEX('OC-Monthly'!$P$7:$AB$65,_xlfn.XMATCH($A6,'OC-Monthly'!$A$7:$A$65),_xlfn.XMATCH($B6,'OC-Monthly'!$P$1:$AB$1))</f>
        <v>6702047.2954518395</v>
      </c>
      <c r="K6" s="1" t="s">
        <v>8</v>
      </c>
      <c r="L6" s="1" t="s">
        <v>7</v>
      </c>
      <c r="M6" s="15">
        <f t="shared" ref="M6:M69" si="3">IFERROR(J6/I6,"na")</f>
        <v>0.97066547516081958</v>
      </c>
    </row>
    <row r="7" spans="1:13" x14ac:dyDescent="0.25">
      <c r="A7" t="s">
        <v>6</v>
      </c>
      <c r="B7">
        <v>3</v>
      </c>
      <c r="C7" t="str">
        <f t="shared" si="0"/>
        <v>100</v>
      </c>
      <c r="D7" t="s">
        <v>6</v>
      </c>
      <c r="F7">
        <v>2025</v>
      </c>
      <c r="G7">
        <f t="shared" si="1"/>
        <v>3</v>
      </c>
      <c r="H7" t="str">
        <f t="shared" si="2"/>
        <v>100 Asbury Methodist Village</v>
      </c>
      <c r="I7" s="16" cm="1">
        <f t="array" ref="I7">INDEX('OC-Monthly'!$B$7:$N$65,_xlfn.XMATCH($A7,'OC-Monthly'!$A$7:$A$65),_xlfn.XMATCH($B7,'OC-Monthly'!$B$1:$N$1))</f>
        <v>7429922.9199724523</v>
      </c>
      <c r="J7" s="16" cm="1">
        <f t="array" ref="J7">INDEX('OC-Monthly'!$P$7:$AB$65,_xlfn.XMATCH($A7,'OC-Monthly'!$A$7:$A$65),_xlfn.XMATCH($B7,'OC-Monthly'!$P$1:$AB$1))</f>
        <v>7119523.646855901</v>
      </c>
      <c r="K7" s="1" t="s">
        <v>8</v>
      </c>
      <c r="L7" s="1" t="s">
        <v>7</v>
      </c>
      <c r="M7" s="15">
        <f t="shared" si="3"/>
        <v>0.95822308300370607</v>
      </c>
    </row>
    <row r="8" spans="1:13" x14ac:dyDescent="0.25">
      <c r="A8" t="s">
        <v>6</v>
      </c>
      <c r="B8">
        <v>4</v>
      </c>
      <c r="C8" t="str">
        <f t="shared" si="0"/>
        <v>100</v>
      </c>
      <c r="D8" t="s">
        <v>6</v>
      </c>
      <c r="F8">
        <v>2025</v>
      </c>
      <c r="G8">
        <f t="shared" si="1"/>
        <v>4</v>
      </c>
      <c r="H8" t="str">
        <f t="shared" si="2"/>
        <v>100 Asbury Methodist Village</v>
      </c>
      <c r="I8" s="16" cm="1">
        <f t="array" ref="I8">INDEX('OC-Monthly'!$B$7:$N$65,_xlfn.XMATCH($A8,'OC-Monthly'!$A$7:$A$65),_xlfn.XMATCH($B8,'OC-Monthly'!$B$1:$N$1))</f>
        <v>7424602.2844046894</v>
      </c>
      <c r="J8" s="16" cm="1">
        <f t="array" ref="J8">INDEX('OC-Monthly'!$P$7:$AB$65,_xlfn.XMATCH($A8,'OC-Monthly'!$A$7:$A$65),_xlfn.XMATCH($B8,'OC-Monthly'!$P$1:$AB$1))</f>
        <v>6938577.2912052106</v>
      </c>
      <c r="K8" s="1" t="s">
        <v>8</v>
      </c>
      <c r="L8" s="1" t="s">
        <v>7</v>
      </c>
      <c r="M8" s="15">
        <f t="shared" si="3"/>
        <v>0.93453858205706586</v>
      </c>
    </row>
    <row r="9" spans="1:13" x14ac:dyDescent="0.25">
      <c r="A9" t="s">
        <v>6</v>
      </c>
      <c r="B9">
        <v>5</v>
      </c>
      <c r="C9" t="str">
        <f t="shared" si="0"/>
        <v>100</v>
      </c>
      <c r="D9" t="s">
        <v>6</v>
      </c>
      <c r="F9">
        <v>2025</v>
      </c>
      <c r="G9">
        <f t="shared" si="1"/>
        <v>5</v>
      </c>
      <c r="H9" t="str">
        <f t="shared" si="2"/>
        <v>100 Asbury Methodist Village</v>
      </c>
      <c r="I9" s="16" cm="1">
        <f t="array" ref="I9">INDEX('OC-Monthly'!$B$7:$N$65,_xlfn.XMATCH($A9,'OC-Monthly'!$A$7:$A$65),_xlfn.XMATCH($B9,'OC-Monthly'!$B$1:$N$1))</f>
        <v>7446333.5049361372</v>
      </c>
      <c r="J9" s="16" cm="1">
        <f t="array" ref="J9">INDEX('OC-Monthly'!$P$7:$AB$65,_xlfn.XMATCH($A9,'OC-Monthly'!$A$7:$A$65),_xlfn.XMATCH($B9,'OC-Monthly'!$P$1:$AB$1))</f>
        <v>7054113.8370393328</v>
      </c>
      <c r="K9" s="1" t="s">
        <v>8</v>
      </c>
      <c r="L9" s="1" t="s">
        <v>7</v>
      </c>
      <c r="M9" s="15">
        <f t="shared" si="3"/>
        <v>0.94732714192336354</v>
      </c>
    </row>
    <row r="10" spans="1:13" x14ac:dyDescent="0.25">
      <c r="A10" t="s">
        <v>6</v>
      </c>
      <c r="B10">
        <v>6</v>
      </c>
      <c r="C10" t="str">
        <f t="shared" si="0"/>
        <v>100</v>
      </c>
      <c r="D10" t="s">
        <v>6</v>
      </c>
      <c r="F10">
        <v>2025</v>
      </c>
      <c r="G10">
        <f t="shared" si="1"/>
        <v>6</v>
      </c>
      <c r="H10" t="str">
        <f t="shared" si="2"/>
        <v>100 Asbury Methodist Village</v>
      </c>
      <c r="I10" s="16" cm="1">
        <f t="array" ref="I10">INDEX('OC-Monthly'!$B$7:$N$65,_xlfn.XMATCH($A10,'OC-Monthly'!$A$7:$A$65),_xlfn.XMATCH($B10,'OC-Monthly'!$B$1:$N$1))</f>
        <v>7396584.4059851822</v>
      </c>
      <c r="J10" s="16" cm="1">
        <f t="array" ref="J10">INDEX('OC-Monthly'!$P$7:$AB$65,_xlfn.XMATCH($A10,'OC-Monthly'!$A$7:$A$65),_xlfn.XMATCH($B10,'OC-Monthly'!$P$1:$AB$1))</f>
        <v>7030665.635976295</v>
      </c>
      <c r="K10" s="1" t="s">
        <v>8</v>
      </c>
      <c r="L10" s="1" t="s">
        <v>7</v>
      </c>
      <c r="M10" s="15">
        <f t="shared" si="3"/>
        <v>0.95052868325104323</v>
      </c>
    </row>
    <row r="11" spans="1:13" x14ac:dyDescent="0.25">
      <c r="A11" t="s">
        <v>6</v>
      </c>
      <c r="B11">
        <v>7</v>
      </c>
      <c r="C11" t="str">
        <f t="shared" si="0"/>
        <v>100</v>
      </c>
      <c r="D11" t="s">
        <v>6</v>
      </c>
      <c r="F11">
        <v>2025</v>
      </c>
      <c r="G11">
        <f t="shared" si="1"/>
        <v>7</v>
      </c>
      <c r="H11" t="str">
        <f t="shared" si="2"/>
        <v>100 Asbury Methodist Village</v>
      </c>
      <c r="I11" s="16" cm="1">
        <f t="array" ref="I11">INDEX('OC-Monthly'!$B$7:$N$65,_xlfn.XMATCH($A11,'OC-Monthly'!$A$7:$A$65),_xlfn.XMATCH($B11,'OC-Monthly'!$B$1:$N$1))</f>
        <v>7595365.5464792652</v>
      </c>
      <c r="J11" s="16" cm="1">
        <f t="array" ref="J11">INDEX('OC-Monthly'!$P$7:$AB$65,_xlfn.XMATCH($A11,'OC-Monthly'!$A$7:$A$65),_xlfn.XMATCH($B11,'OC-Monthly'!$P$1:$AB$1))</f>
        <v>7112593.416842185</v>
      </c>
      <c r="K11" s="1" t="s">
        <v>8</v>
      </c>
      <c r="L11" s="1" t="s">
        <v>7</v>
      </c>
      <c r="M11" s="15">
        <f t="shared" si="3"/>
        <v>0.93643859183830025</v>
      </c>
    </row>
    <row r="12" spans="1:13" x14ac:dyDescent="0.25">
      <c r="A12" t="s">
        <v>6</v>
      </c>
      <c r="B12">
        <v>8</v>
      </c>
      <c r="C12" t="str">
        <f t="shared" si="0"/>
        <v>100</v>
      </c>
      <c r="D12" t="s">
        <v>6</v>
      </c>
      <c r="F12">
        <v>2025</v>
      </c>
      <c r="G12">
        <f t="shared" si="1"/>
        <v>8</v>
      </c>
      <c r="H12" t="str">
        <f t="shared" si="2"/>
        <v>100 Asbury Methodist Village</v>
      </c>
      <c r="I12" s="16" cm="1">
        <f t="array" ref="I12">INDEX('OC-Monthly'!$B$7:$N$65,_xlfn.XMATCH($A12,'OC-Monthly'!$A$7:$A$65),_xlfn.XMATCH($B12,'OC-Monthly'!$B$1:$N$1))</f>
        <v>7520910.7211586488</v>
      </c>
      <c r="J12" s="16" cm="1">
        <f t="array" ref="J12">INDEX('OC-Monthly'!$P$7:$AB$65,_xlfn.XMATCH($A12,'OC-Monthly'!$A$7:$A$65),_xlfn.XMATCH($B12,'OC-Monthly'!$P$1:$AB$1))</f>
        <v>7105823.5516255107</v>
      </c>
      <c r="K12" s="1" t="s">
        <v>8</v>
      </c>
      <c r="L12" s="1" t="s">
        <v>7</v>
      </c>
      <c r="M12" s="15">
        <f t="shared" si="3"/>
        <v>0.94480892209431899</v>
      </c>
    </row>
    <row r="13" spans="1:13" x14ac:dyDescent="0.25">
      <c r="A13" t="s">
        <v>6</v>
      </c>
      <c r="B13">
        <v>9</v>
      </c>
      <c r="C13" t="str">
        <f t="shared" si="0"/>
        <v>100</v>
      </c>
      <c r="D13" t="s">
        <v>6</v>
      </c>
      <c r="F13">
        <v>2025</v>
      </c>
      <c r="G13">
        <f t="shared" si="1"/>
        <v>9</v>
      </c>
      <c r="H13" t="str">
        <f t="shared" si="2"/>
        <v>100 Asbury Methodist Village</v>
      </c>
      <c r="I13" s="16" cm="1">
        <f t="array" ref="I13">INDEX('OC-Monthly'!$B$7:$N$65,_xlfn.XMATCH($A13,'OC-Monthly'!$A$7:$A$65),_xlfn.XMATCH($B13,'OC-Monthly'!$B$1:$N$1))</f>
        <v>7448387.6554443352</v>
      </c>
      <c r="J13" s="16" cm="1">
        <f t="array" ref="J13">INDEX('OC-Monthly'!$P$7:$AB$65,_xlfn.XMATCH($A13,'OC-Monthly'!$A$7:$A$65),_xlfn.XMATCH($B13,'OC-Monthly'!$P$1:$AB$1))</f>
        <v>7045077.2269784976</v>
      </c>
      <c r="K13" s="1" t="s">
        <v>8</v>
      </c>
      <c r="L13" s="1" t="s">
        <v>7</v>
      </c>
      <c r="M13" s="15">
        <f t="shared" si="3"/>
        <v>0.94585265333618329</v>
      </c>
    </row>
    <row r="14" spans="1:13" x14ac:dyDescent="0.25">
      <c r="A14" t="s">
        <v>6</v>
      </c>
      <c r="B14">
        <v>10</v>
      </c>
      <c r="C14" t="str">
        <f t="shared" si="0"/>
        <v>100</v>
      </c>
      <c r="D14" t="s">
        <v>6</v>
      </c>
      <c r="F14">
        <v>2025</v>
      </c>
      <c r="G14">
        <f t="shared" si="1"/>
        <v>10</v>
      </c>
      <c r="H14" t="str">
        <f t="shared" si="2"/>
        <v>100 Asbury Methodist Village</v>
      </c>
      <c r="I14" s="16" cm="1">
        <f t="array" ref="I14">INDEX('OC-Monthly'!$B$7:$N$65,_xlfn.XMATCH($A14,'OC-Monthly'!$A$7:$A$65),_xlfn.XMATCH($B14,'OC-Monthly'!$B$1:$N$1))</f>
        <v>7694093.3660289189</v>
      </c>
      <c r="J14" s="16" cm="1">
        <f t="array" ref="J14">INDEX('OC-Monthly'!$P$7:$AB$65,_xlfn.XMATCH($A14,'OC-Monthly'!$A$7:$A$65),_xlfn.XMATCH($B14,'OC-Monthly'!$P$1:$AB$1))</f>
        <v>7106093.5648604259</v>
      </c>
      <c r="K14" s="1" t="s">
        <v>8</v>
      </c>
      <c r="L14" s="1" t="s">
        <v>7</v>
      </c>
      <c r="M14" s="15">
        <f t="shared" si="3"/>
        <v>0.92357776632076771</v>
      </c>
    </row>
    <row r="15" spans="1:13" x14ac:dyDescent="0.25">
      <c r="A15" t="s">
        <v>6</v>
      </c>
      <c r="B15">
        <v>11</v>
      </c>
      <c r="C15" t="str">
        <f t="shared" si="0"/>
        <v>100</v>
      </c>
      <c r="D15" t="s">
        <v>6</v>
      </c>
      <c r="F15">
        <v>2025</v>
      </c>
      <c r="G15">
        <f t="shared" si="1"/>
        <v>11</v>
      </c>
      <c r="H15" t="str">
        <f t="shared" si="2"/>
        <v>100 Asbury Methodist Village</v>
      </c>
      <c r="I15" s="16" cm="1">
        <f t="array" ref="I15">INDEX('OC-Monthly'!$B$7:$N$65,_xlfn.XMATCH($A15,'OC-Monthly'!$A$7:$A$65),_xlfn.XMATCH($B15,'OC-Monthly'!$B$1:$N$1))</f>
        <v>7425387.8407721575</v>
      </c>
      <c r="J15" s="16" cm="1">
        <f t="array" ref="J15">INDEX('OC-Monthly'!$P$7:$AB$65,_xlfn.XMATCH($A15,'OC-Monthly'!$A$7:$A$65),_xlfn.XMATCH($B15,'OC-Monthly'!$P$1:$AB$1))</f>
        <v>6927751.3332969639</v>
      </c>
      <c r="K15" s="1" t="s">
        <v>8</v>
      </c>
      <c r="L15" s="1" t="s">
        <v>7</v>
      </c>
      <c r="M15" s="15">
        <f t="shared" si="3"/>
        <v>0.93298174881280749</v>
      </c>
    </row>
    <row r="16" spans="1:13" x14ac:dyDescent="0.25">
      <c r="A16" t="s">
        <v>6</v>
      </c>
      <c r="B16">
        <v>12</v>
      </c>
      <c r="C16" t="str">
        <f t="shared" si="0"/>
        <v>100</v>
      </c>
      <c r="D16" t="s">
        <v>6</v>
      </c>
      <c r="F16">
        <v>2025</v>
      </c>
      <c r="G16">
        <f t="shared" si="1"/>
        <v>12</v>
      </c>
      <c r="H16" t="str">
        <f t="shared" si="2"/>
        <v>100 Asbury Methodist Village</v>
      </c>
      <c r="I16" s="16" cm="1">
        <f t="array" ref="I16">INDEX('OC-Monthly'!$B$7:$N$65,_xlfn.XMATCH($A16,'OC-Monthly'!$A$7:$A$65),_xlfn.XMATCH($B16,'OC-Monthly'!$B$1:$N$1))</f>
        <v>7620525.3987293122</v>
      </c>
      <c r="J16" s="16" cm="1">
        <f t="array" ref="J16">INDEX('OC-Monthly'!$P$7:$AB$65,_xlfn.XMATCH($A16,'OC-Monthly'!$A$7:$A$65),_xlfn.XMATCH($B16,'OC-Monthly'!$P$1:$AB$1))</f>
        <v>7084195.3787167212</v>
      </c>
      <c r="K16" s="1" t="s">
        <v>8</v>
      </c>
      <c r="L16" s="1" t="s">
        <v>7</v>
      </c>
      <c r="M16" s="15">
        <f t="shared" si="3"/>
        <v>0.92962033561333957</v>
      </c>
    </row>
    <row r="17" spans="1:13" x14ac:dyDescent="0.25">
      <c r="A17" t="s">
        <v>9</v>
      </c>
      <c r="B17">
        <v>1</v>
      </c>
      <c r="C17" t="str">
        <f t="shared" si="0"/>
        <v>200</v>
      </c>
      <c r="D17" t="s">
        <v>9</v>
      </c>
      <c r="F17">
        <v>2025</v>
      </c>
      <c r="G17">
        <f t="shared" si="1"/>
        <v>1</v>
      </c>
      <c r="H17" t="str">
        <f t="shared" si="2"/>
        <v>200 Asbury Solomons</v>
      </c>
      <c r="I17" s="16" cm="1">
        <f t="array" ref="I17">INDEX('OC-Monthly'!$B$7:$N$65,_xlfn.XMATCH($A17,'OC-Monthly'!$A$7:$A$65),_xlfn.XMATCH($B17,'OC-Monthly'!$B$1:$N$1))</f>
        <v>1844823.9437883585</v>
      </c>
      <c r="J17" s="16" cm="1">
        <f t="array" ref="J17">INDEX('OC-Monthly'!$P$7:$AB$65,_xlfn.XMATCH($A17,'OC-Monthly'!$A$7:$A$65),_xlfn.XMATCH($B17,'OC-Monthly'!$P$1:$AB$1))</f>
        <v>1708053.3345978896</v>
      </c>
      <c r="K17" s="1" t="s">
        <v>8</v>
      </c>
      <c r="L17" s="1" t="s">
        <v>7</v>
      </c>
      <c r="M17" s="15">
        <f t="shared" si="3"/>
        <v>0.92586251406212261</v>
      </c>
    </row>
    <row r="18" spans="1:13" x14ac:dyDescent="0.25">
      <c r="A18" t="s">
        <v>9</v>
      </c>
      <c r="B18">
        <v>2</v>
      </c>
      <c r="C18" t="str">
        <f t="shared" si="0"/>
        <v>200</v>
      </c>
      <c r="D18" t="s">
        <v>9</v>
      </c>
      <c r="F18">
        <v>2025</v>
      </c>
      <c r="G18">
        <f t="shared" si="1"/>
        <v>2</v>
      </c>
      <c r="H18" t="str">
        <f t="shared" si="2"/>
        <v>200 Asbury Solomons</v>
      </c>
      <c r="I18" s="16" cm="1">
        <f t="array" ref="I18">INDEX('OC-Monthly'!$B$7:$N$65,_xlfn.XMATCH($A18,'OC-Monthly'!$A$7:$A$65),_xlfn.XMATCH($B18,'OC-Monthly'!$B$1:$N$1))</f>
        <v>1766045.0085681528</v>
      </c>
      <c r="J18" s="16" cm="1">
        <f t="array" ref="J18">INDEX('OC-Monthly'!$P$7:$AB$65,_xlfn.XMATCH($A18,'OC-Monthly'!$A$7:$A$65),_xlfn.XMATCH($B18,'OC-Monthly'!$P$1:$AB$1))</f>
        <v>1586887.6211425168</v>
      </c>
      <c r="K18" s="1" t="s">
        <v>8</v>
      </c>
      <c r="L18" s="1" t="s">
        <v>7</v>
      </c>
      <c r="M18" s="15">
        <f t="shared" si="3"/>
        <v>0.89855446120770699</v>
      </c>
    </row>
    <row r="19" spans="1:13" x14ac:dyDescent="0.25">
      <c r="A19" t="s">
        <v>9</v>
      </c>
      <c r="B19">
        <v>3</v>
      </c>
      <c r="C19" t="str">
        <f t="shared" si="0"/>
        <v>200</v>
      </c>
      <c r="D19" t="s">
        <v>9</v>
      </c>
      <c r="F19">
        <v>2025</v>
      </c>
      <c r="G19">
        <f t="shared" si="1"/>
        <v>3</v>
      </c>
      <c r="H19" t="str">
        <f t="shared" si="2"/>
        <v>200 Asbury Solomons</v>
      </c>
      <c r="I19" s="16" cm="1">
        <f t="array" ref="I19">INDEX('OC-Monthly'!$B$7:$N$65,_xlfn.XMATCH($A19,'OC-Monthly'!$A$7:$A$65),_xlfn.XMATCH($B19,'OC-Monthly'!$B$1:$N$1))</f>
        <v>1845144.9437883585</v>
      </c>
      <c r="J19" s="16" cm="1">
        <f t="array" ref="J19">INDEX('OC-Monthly'!$P$7:$AB$65,_xlfn.XMATCH($A19,'OC-Monthly'!$A$7:$A$65),_xlfn.XMATCH($B19,'OC-Monthly'!$P$1:$AB$1))</f>
        <v>1688150.2898450629</v>
      </c>
      <c r="K19" s="1" t="s">
        <v>8</v>
      </c>
      <c r="L19" s="1" t="s">
        <v>7</v>
      </c>
      <c r="M19" s="15">
        <f t="shared" si="3"/>
        <v>0.91491473096906839</v>
      </c>
    </row>
    <row r="20" spans="1:13" x14ac:dyDescent="0.25">
      <c r="A20" t="s">
        <v>9</v>
      </c>
      <c r="B20">
        <v>4</v>
      </c>
      <c r="C20" t="str">
        <f t="shared" si="0"/>
        <v>200</v>
      </c>
      <c r="D20" t="s">
        <v>9</v>
      </c>
      <c r="F20">
        <v>2025</v>
      </c>
      <c r="G20">
        <f t="shared" si="1"/>
        <v>4</v>
      </c>
      <c r="H20" t="str">
        <f t="shared" si="2"/>
        <v>200 Asbury Solomons</v>
      </c>
      <c r="I20" s="16" cm="1">
        <f t="array" ref="I20">INDEX('OC-Monthly'!$B$7:$N$65,_xlfn.XMATCH($A20,'OC-Monthly'!$A$7:$A$65),_xlfn.XMATCH($B20,'OC-Monthly'!$B$1:$N$1))</f>
        <v>1851617.43204829</v>
      </c>
      <c r="J20" s="16" cm="1">
        <f t="array" ref="J20">INDEX('OC-Monthly'!$P$7:$AB$65,_xlfn.XMATCH($A20,'OC-Monthly'!$A$7:$A$65),_xlfn.XMATCH($B20,'OC-Monthly'!$P$1:$AB$1))</f>
        <v>1740940.7856266189</v>
      </c>
      <c r="K20" s="1" t="s">
        <v>8</v>
      </c>
      <c r="L20" s="1" t="s">
        <v>7</v>
      </c>
      <c r="M20" s="15">
        <f t="shared" si="3"/>
        <v>0.94022704447147121</v>
      </c>
    </row>
    <row r="21" spans="1:13" x14ac:dyDescent="0.25">
      <c r="A21" t="s">
        <v>9</v>
      </c>
      <c r="B21">
        <v>5</v>
      </c>
      <c r="C21" t="str">
        <f t="shared" si="0"/>
        <v>200</v>
      </c>
      <c r="D21" t="s">
        <v>9</v>
      </c>
      <c r="F21">
        <v>2025</v>
      </c>
      <c r="G21">
        <f t="shared" si="1"/>
        <v>5</v>
      </c>
      <c r="H21" t="str">
        <f t="shared" si="2"/>
        <v>200 Asbury Solomons</v>
      </c>
      <c r="I21" s="16" cm="1">
        <f t="array" ref="I21">INDEX('OC-Monthly'!$B$7:$N$65,_xlfn.XMATCH($A21,'OC-Monthly'!$A$7:$A$65),_xlfn.XMATCH($B21,'OC-Monthly'!$B$1:$N$1))</f>
        <v>1853627.0737883579</v>
      </c>
      <c r="J21" s="16" cm="1">
        <f t="array" ref="J21">INDEX('OC-Monthly'!$P$7:$AB$65,_xlfn.XMATCH($A21,'OC-Monthly'!$A$7:$A$65),_xlfn.XMATCH($B21,'OC-Monthly'!$P$1:$AB$1))</f>
        <v>1678743.8489897945</v>
      </c>
      <c r="K21" s="1" t="s">
        <v>8</v>
      </c>
      <c r="L21" s="1" t="s">
        <v>7</v>
      </c>
      <c r="M21" s="15">
        <f t="shared" si="3"/>
        <v>0.90565350103505715</v>
      </c>
    </row>
    <row r="22" spans="1:13" x14ac:dyDescent="0.25">
      <c r="A22" t="s">
        <v>9</v>
      </c>
      <c r="B22">
        <v>6</v>
      </c>
      <c r="C22" t="str">
        <f t="shared" si="0"/>
        <v>200</v>
      </c>
      <c r="D22" t="s">
        <v>9</v>
      </c>
      <c r="F22">
        <v>2025</v>
      </c>
      <c r="G22">
        <f t="shared" si="1"/>
        <v>6</v>
      </c>
      <c r="H22" t="str">
        <f t="shared" si="2"/>
        <v>200 Asbury Solomons</v>
      </c>
      <c r="I22" s="16" cm="1">
        <f t="array" ref="I22">INDEX('OC-Monthly'!$B$7:$N$65,_xlfn.XMATCH($A22,'OC-Monthly'!$A$7:$A$65),_xlfn.XMATCH($B22,'OC-Monthly'!$B$1:$N$1))</f>
        <v>1838351.43204829</v>
      </c>
      <c r="J22" s="16" cm="1">
        <f t="array" ref="J22">INDEX('OC-Monthly'!$P$7:$AB$65,_xlfn.XMATCH($A22,'OC-Monthly'!$A$7:$A$65),_xlfn.XMATCH($B22,'OC-Monthly'!$P$1:$AB$1))</f>
        <v>1647167.4471625816</v>
      </c>
      <c r="K22" s="1" t="s">
        <v>8</v>
      </c>
      <c r="L22" s="1" t="s">
        <v>7</v>
      </c>
      <c r="M22" s="15">
        <f t="shared" si="3"/>
        <v>0.89600248268488503</v>
      </c>
    </row>
    <row r="23" spans="1:13" x14ac:dyDescent="0.25">
      <c r="A23" t="s">
        <v>9</v>
      </c>
      <c r="B23">
        <v>7</v>
      </c>
      <c r="C23" t="str">
        <f t="shared" si="0"/>
        <v>200</v>
      </c>
      <c r="D23" t="s">
        <v>9</v>
      </c>
      <c r="F23">
        <v>2025</v>
      </c>
      <c r="G23">
        <f t="shared" si="1"/>
        <v>7</v>
      </c>
      <c r="H23" t="str">
        <f t="shared" si="2"/>
        <v>200 Asbury Solomons</v>
      </c>
      <c r="I23" s="16" cm="1">
        <f t="array" ref="I23">INDEX('OC-Monthly'!$B$7:$N$65,_xlfn.XMATCH($A23,'OC-Monthly'!$A$7:$A$65),_xlfn.XMATCH($B23,'OC-Monthly'!$B$1:$N$1))</f>
        <v>1872556.1937883585</v>
      </c>
      <c r="J23" s="16" cm="1">
        <f t="array" ref="J23">INDEX('OC-Monthly'!$P$7:$AB$65,_xlfn.XMATCH($A23,'OC-Monthly'!$A$7:$A$65),_xlfn.XMATCH($B23,'OC-Monthly'!$P$1:$AB$1))</f>
        <v>1669199.8192979172</v>
      </c>
      <c r="K23" s="1" t="s">
        <v>8</v>
      </c>
      <c r="L23" s="1" t="s">
        <v>7</v>
      </c>
      <c r="M23" s="15">
        <f t="shared" si="3"/>
        <v>0.89140172392955963</v>
      </c>
    </row>
    <row r="24" spans="1:13" x14ac:dyDescent="0.25">
      <c r="A24" t="s">
        <v>9</v>
      </c>
      <c r="B24">
        <v>8</v>
      </c>
      <c r="C24" t="str">
        <f t="shared" si="0"/>
        <v>200</v>
      </c>
      <c r="D24" t="s">
        <v>9</v>
      </c>
      <c r="F24">
        <v>2025</v>
      </c>
      <c r="G24">
        <f t="shared" si="1"/>
        <v>8</v>
      </c>
      <c r="H24" t="str">
        <f t="shared" si="2"/>
        <v>200 Asbury Solomons</v>
      </c>
      <c r="I24" s="16" cm="1">
        <f t="array" ref="I24">INDEX('OC-Monthly'!$B$7:$N$65,_xlfn.XMATCH($A24,'OC-Monthly'!$A$7:$A$65),_xlfn.XMATCH($B24,'OC-Monthly'!$B$1:$N$1))</f>
        <v>1867430.1937883585</v>
      </c>
      <c r="J24" s="16" cm="1">
        <f t="array" ref="J24">INDEX('OC-Monthly'!$P$7:$AB$65,_xlfn.XMATCH($A24,'OC-Monthly'!$A$7:$A$65),_xlfn.XMATCH($B24,'OC-Monthly'!$P$1:$AB$1))</f>
        <v>1678112.8938915348</v>
      </c>
      <c r="K24" s="1" t="s">
        <v>8</v>
      </c>
      <c r="L24" s="1" t="s">
        <v>7</v>
      </c>
      <c r="M24" s="15">
        <f t="shared" si="3"/>
        <v>0.89862148500835493</v>
      </c>
    </row>
    <row r="25" spans="1:13" x14ac:dyDescent="0.25">
      <c r="A25" t="s">
        <v>9</v>
      </c>
      <c r="B25">
        <v>9</v>
      </c>
      <c r="C25" t="str">
        <f t="shared" si="0"/>
        <v>200</v>
      </c>
      <c r="D25" t="s">
        <v>9</v>
      </c>
      <c r="F25">
        <v>2025</v>
      </c>
      <c r="G25">
        <f t="shared" si="1"/>
        <v>9</v>
      </c>
      <c r="H25" t="str">
        <f t="shared" si="2"/>
        <v>200 Asbury Solomons</v>
      </c>
      <c r="I25" s="16" cm="1">
        <f t="array" ref="I25">INDEX('OC-Monthly'!$B$7:$N$65,_xlfn.XMATCH($A25,'OC-Monthly'!$A$7:$A$65),_xlfn.XMATCH($B25,'OC-Monthly'!$B$1:$N$1))</f>
        <v>1846380.5520482899</v>
      </c>
      <c r="J25" s="16" cm="1">
        <f t="array" ref="J25">INDEX('OC-Monthly'!$P$7:$AB$65,_xlfn.XMATCH($A25,'OC-Monthly'!$A$7:$A$65),_xlfn.XMATCH($B25,'OC-Monthly'!$P$1:$AB$1))</f>
        <v>1645394.0648438861</v>
      </c>
      <c r="K25" s="1" t="s">
        <v>8</v>
      </c>
      <c r="L25" s="1" t="s">
        <v>7</v>
      </c>
      <c r="M25" s="15">
        <f t="shared" si="3"/>
        <v>0.89114568663462213</v>
      </c>
    </row>
    <row r="26" spans="1:13" x14ac:dyDescent="0.25">
      <c r="A26" t="s">
        <v>9</v>
      </c>
      <c r="B26">
        <v>10</v>
      </c>
      <c r="C26" t="str">
        <f t="shared" si="0"/>
        <v>200</v>
      </c>
      <c r="D26" t="s">
        <v>9</v>
      </c>
      <c r="F26">
        <v>2025</v>
      </c>
      <c r="G26">
        <f t="shared" si="1"/>
        <v>10</v>
      </c>
      <c r="H26" t="str">
        <f t="shared" si="2"/>
        <v>200 Asbury Solomons</v>
      </c>
      <c r="I26" s="16" cm="1">
        <f t="array" ref="I26">INDEX('OC-Monthly'!$B$7:$N$65,_xlfn.XMATCH($A26,'OC-Monthly'!$A$7:$A$65),_xlfn.XMATCH($B26,'OC-Monthly'!$B$1:$N$1))</f>
        <v>1892239.3237883579</v>
      </c>
      <c r="J26" s="16" cm="1">
        <f t="array" ref="J26">INDEX('OC-Monthly'!$P$7:$AB$65,_xlfn.XMATCH($A26,'OC-Monthly'!$A$7:$A$65),_xlfn.XMATCH($B26,'OC-Monthly'!$P$1:$AB$1))</f>
        <v>1689450.1326917373</v>
      </c>
      <c r="K26" s="1" t="s">
        <v>8</v>
      </c>
      <c r="L26" s="1" t="s">
        <v>7</v>
      </c>
      <c r="M26" s="15">
        <f t="shared" si="3"/>
        <v>0.89283110833431656</v>
      </c>
    </row>
    <row r="27" spans="1:13" x14ac:dyDescent="0.25">
      <c r="A27" t="s">
        <v>9</v>
      </c>
      <c r="B27">
        <v>11</v>
      </c>
      <c r="C27" t="str">
        <f t="shared" si="0"/>
        <v>200</v>
      </c>
      <c r="D27" t="s">
        <v>9</v>
      </c>
      <c r="F27">
        <v>2025</v>
      </c>
      <c r="G27">
        <f t="shared" si="1"/>
        <v>11</v>
      </c>
      <c r="H27" t="str">
        <f t="shared" si="2"/>
        <v>200 Asbury Solomons</v>
      </c>
      <c r="I27" s="16" cm="1">
        <f t="array" ref="I27">INDEX('OC-Monthly'!$B$7:$N$65,_xlfn.XMATCH($A27,'OC-Monthly'!$A$7:$A$65),_xlfn.XMATCH($B27,'OC-Monthly'!$B$1:$N$1))</f>
        <v>1850180.5520482899</v>
      </c>
      <c r="J27" s="16" cm="1">
        <f t="array" ref="J27">INDEX('OC-Monthly'!$P$7:$AB$65,_xlfn.XMATCH($A27,'OC-Monthly'!$A$7:$A$65),_xlfn.XMATCH($B27,'OC-Monthly'!$P$1:$AB$1))</f>
        <v>1630650.9861443548</v>
      </c>
      <c r="K27" s="1" t="s">
        <v>8</v>
      </c>
      <c r="L27" s="1" t="s">
        <v>7</v>
      </c>
      <c r="M27" s="15">
        <f t="shared" si="3"/>
        <v>0.88134694980935824</v>
      </c>
    </row>
    <row r="28" spans="1:13" x14ac:dyDescent="0.25">
      <c r="A28" t="s">
        <v>9</v>
      </c>
      <c r="B28">
        <v>12</v>
      </c>
      <c r="C28" t="str">
        <f t="shared" si="0"/>
        <v>200</v>
      </c>
      <c r="D28" t="s">
        <v>9</v>
      </c>
      <c r="F28">
        <v>2025</v>
      </c>
      <c r="G28">
        <f t="shared" si="1"/>
        <v>12</v>
      </c>
      <c r="H28" t="str">
        <f t="shared" si="2"/>
        <v>200 Asbury Solomons</v>
      </c>
      <c r="I28" s="16" cm="1">
        <f t="array" ref="I28">INDEX('OC-Monthly'!$B$7:$N$65,_xlfn.XMATCH($A28,'OC-Monthly'!$A$7:$A$65),_xlfn.XMATCH($B28,'OC-Monthly'!$B$1:$N$1))</f>
        <v>1872877.1937883585</v>
      </c>
      <c r="J28" s="16" cm="1">
        <f t="array" ref="J28">INDEX('OC-Monthly'!$P$7:$AB$65,_xlfn.XMATCH($A28,'OC-Monthly'!$A$7:$A$65),_xlfn.XMATCH($B28,'OC-Monthly'!$P$1:$AB$1))</f>
        <v>1701675.8743227627</v>
      </c>
      <c r="K28" s="1" t="s">
        <v>8</v>
      </c>
      <c r="L28" s="1" t="s">
        <v>7</v>
      </c>
      <c r="M28" s="15">
        <f t="shared" si="3"/>
        <v>0.90858913759353399</v>
      </c>
    </row>
    <row r="29" spans="1:13" x14ac:dyDescent="0.25">
      <c r="A29" t="s">
        <v>11</v>
      </c>
      <c r="B29">
        <v>1</v>
      </c>
      <c r="C29" t="str">
        <f t="shared" si="0"/>
        <v>324</v>
      </c>
      <c r="D29" t="s">
        <v>11</v>
      </c>
      <c r="F29">
        <v>2025</v>
      </c>
      <c r="G29">
        <f t="shared" si="1"/>
        <v>1</v>
      </c>
      <c r="H29" t="str">
        <f t="shared" si="2"/>
        <v>324 Springhill</v>
      </c>
      <c r="I29" s="16" cm="1">
        <f t="array" ref="I29">INDEX('OC-Monthly'!$B$7:$N$65,_xlfn.XMATCH($A29,'OC-Monthly'!$A$7:$A$65),_xlfn.XMATCH($B29,'OC-Monthly'!$B$1:$N$1))</f>
        <v>1748791.8509721127</v>
      </c>
      <c r="J29" s="16" cm="1">
        <f t="array" ref="J29">INDEX('OC-Monthly'!$P$7:$AB$65,_xlfn.XMATCH($A29,'OC-Monthly'!$A$7:$A$65),_xlfn.XMATCH($B29,'OC-Monthly'!$P$1:$AB$1))</f>
        <v>1756903.032044319</v>
      </c>
      <c r="K29" s="1" t="s">
        <v>8</v>
      </c>
      <c r="L29" s="1" t="s">
        <v>7</v>
      </c>
      <c r="M29" s="15">
        <f t="shared" si="3"/>
        <v>1.0046381626650978</v>
      </c>
    </row>
    <row r="30" spans="1:13" x14ac:dyDescent="0.25">
      <c r="A30" t="s">
        <v>11</v>
      </c>
      <c r="B30">
        <v>2</v>
      </c>
      <c r="C30" t="str">
        <f t="shared" si="0"/>
        <v>324</v>
      </c>
      <c r="D30" t="s">
        <v>11</v>
      </c>
      <c r="F30">
        <v>2025</v>
      </c>
      <c r="G30">
        <f t="shared" si="1"/>
        <v>2</v>
      </c>
      <c r="H30" t="str">
        <f t="shared" si="2"/>
        <v>324 Springhill</v>
      </c>
      <c r="I30" s="16" cm="1">
        <f t="array" ref="I30">INDEX('OC-Monthly'!$B$7:$N$65,_xlfn.XMATCH($A30,'OC-Monthly'!$A$7:$A$65),_xlfn.XMATCH($B30,'OC-Monthly'!$B$1:$N$1))</f>
        <v>1635222.6497509719</v>
      </c>
      <c r="J30" s="16" cm="1">
        <f t="array" ref="J30">INDEX('OC-Monthly'!$P$7:$AB$65,_xlfn.XMATCH($A30,'OC-Monthly'!$A$7:$A$65),_xlfn.XMATCH($B30,'OC-Monthly'!$P$1:$AB$1))</f>
        <v>1633260.6984392598</v>
      </c>
      <c r="K30" s="1" t="s">
        <v>8</v>
      </c>
      <c r="L30" s="1" t="s">
        <v>7</v>
      </c>
      <c r="M30" s="15">
        <f t="shared" si="3"/>
        <v>0.99880019316512592</v>
      </c>
    </row>
    <row r="31" spans="1:13" x14ac:dyDescent="0.25">
      <c r="A31" t="s">
        <v>11</v>
      </c>
      <c r="B31">
        <v>3</v>
      </c>
      <c r="C31" t="str">
        <f t="shared" si="0"/>
        <v>324</v>
      </c>
      <c r="D31" t="s">
        <v>11</v>
      </c>
      <c r="F31">
        <v>2025</v>
      </c>
      <c r="G31">
        <f t="shared" si="1"/>
        <v>3</v>
      </c>
      <c r="H31" t="str">
        <f t="shared" si="2"/>
        <v>324 Springhill</v>
      </c>
      <c r="I31" s="16" cm="1">
        <f t="array" ref="I31">INDEX('OC-Monthly'!$B$7:$N$65,_xlfn.XMATCH($A31,'OC-Monthly'!$A$7:$A$65),_xlfn.XMATCH($B31,'OC-Monthly'!$B$1:$N$1))</f>
        <v>1749235.0709721127</v>
      </c>
      <c r="J31" s="16" cm="1">
        <f t="array" ref="J31">INDEX('OC-Monthly'!$P$7:$AB$65,_xlfn.XMATCH($A31,'OC-Monthly'!$A$7:$A$65),_xlfn.XMATCH($B31,'OC-Monthly'!$P$1:$AB$1))</f>
        <v>1755568.347626819</v>
      </c>
      <c r="K31" s="1" t="s">
        <v>8</v>
      </c>
      <c r="L31" s="1" t="s">
        <v>7</v>
      </c>
      <c r="M31" s="15">
        <f t="shared" si="3"/>
        <v>1.0036205978028938</v>
      </c>
    </row>
    <row r="32" spans="1:13" x14ac:dyDescent="0.25">
      <c r="A32" t="s">
        <v>11</v>
      </c>
      <c r="B32">
        <v>4</v>
      </c>
      <c r="C32" t="str">
        <f t="shared" si="0"/>
        <v>324</v>
      </c>
      <c r="D32" t="s">
        <v>11</v>
      </c>
      <c r="F32">
        <v>2025</v>
      </c>
      <c r="G32">
        <f t="shared" si="1"/>
        <v>4</v>
      </c>
      <c r="H32" t="str">
        <f t="shared" si="2"/>
        <v>324 Springhill</v>
      </c>
      <c r="I32" s="16" cm="1">
        <f t="array" ref="I32">INDEX('OC-Monthly'!$B$7:$N$65,_xlfn.XMATCH($A32,'OC-Monthly'!$A$7:$A$65),_xlfn.XMATCH($B32,'OC-Monthly'!$B$1:$N$1))</f>
        <v>1742303.8538983995</v>
      </c>
      <c r="J32" s="16" cm="1">
        <f t="array" ref="J32">INDEX('OC-Monthly'!$P$7:$AB$65,_xlfn.XMATCH($A32,'OC-Monthly'!$A$7:$A$65),_xlfn.XMATCH($B32,'OC-Monthly'!$P$1:$AB$1))</f>
        <v>1703734.763109267</v>
      </c>
      <c r="K32" s="1" t="s">
        <v>8</v>
      </c>
      <c r="L32" s="1" t="s">
        <v>7</v>
      </c>
      <c r="M32" s="15">
        <f t="shared" si="3"/>
        <v>0.97786316623083036</v>
      </c>
    </row>
    <row r="33" spans="1:13" x14ac:dyDescent="0.25">
      <c r="A33" t="s">
        <v>11</v>
      </c>
      <c r="B33">
        <v>5</v>
      </c>
      <c r="C33" t="str">
        <f t="shared" si="0"/>
        <v>324</v>
      </c>
      <c r="D33" t="s">
        <v>11</v>
      </c>
      <c r="F33">
        <v>2025</v>
      </c>
      <c r="G33">
        <f t="shared" si="1"/>
        <v>5</v>
      </c>
      <c r="H33" t="str">
        <f t="shared" si="2"/>
        <v>324 Springhill</v>
      </c>
      <c r="I33" s="16" cm="1">
        <f t="array" ref="I33">INDEX('OC-Monthly'!$B$7:$N$65,_xlfn.XMATCH($A33,'OC-Monthly'!$A$7:$A$65),_xlfn.XMATCH($B33,'OC-Monthly'!$B$1:$N$1))</f>
        <v>1752793.7009721126</v>
      </c>
      <c r="J33" s="16" cm="1">
        <f t="array" ref="J33">INDEX('OC-Monthly'!$P$7:$AB$65,_xlfn.XMATCH($A33,'OC-Monthly'!$A$7:$A$65),_xlfn.XMATCH($B33,'OC-Monthly'!$P$1:$AB$1))</f>
        <v>1724704.9012688436</v>
      </c>
      <c r="K33" s="1" t="s">
        <v>8</v>
      </c>
      <c r="L33" s="1" t="s">
        <v>7</v>
      </c>
      <c r="M33" s="15">
        <f t="shared" si="3"/>
        <v>0.98397483988692402</v>
      </c>
    </row>
    <row r="34" spans="1:13" x14ac:dyDescent="0.25">
      <c r="A34" t="s">
        <v>11</v>
      </c>
      <c r="B34">
        <v>6</v>
      </c>
      <c r="C34" t="str">
        <f t="shared" si="0"/>
        <v>324</v>
      </c>
      <c r="D34" t="s">
        <v>11</v>
      </c>
      <c r="F34">
        <v>2025</v>
      </c>
      <c r="G34">
        <f t="shared" si="1"/>
        <v>6</v>
      </c>
      <c r="H34" t="str">
        <f t="shared" si="2"/>
        <v>324 Springhill</v>
      </c>
      <c r="I34" s="16" cm="1">
        <f t="array" ref="I34">INDEX('OC-Monthly'!$B$7:$N$65,_xlfn.XMATCH($A34,'OC-Monthly'!$A$7:$A$65),_xlfn.XMATCH($B34,'OC-Monthly'!$B$1:$N$1))</f>
        <v>1717311.8538983995</v>
      </c>
      <c r="J34" s="16" cm="1">
        <f t="array" ref="J34">INDEX('OC-Monthly'!$P$7:$AB$65,_xlfn.XMATCH($A34,'OC-Monthly'!$A$7:$A$65),_xlfn.XMATCH($B34,'OC-Monthly'!$P$1:$AB$1))</f>
        <v>1724033.7996262889</v>
      </c>
      <c r="K34" s="1" t="s">
        <v>8</v>
      </c>
      <c r="L34" s="1" t="s">
        <v>7</v>
      </c>
      <c r="M34" s="15">
        <f t="shared" si="3"/>
        <v>1.0039142254289053</v>
      </c>
    </row>
    <row r="35" spans="1:13" x14ac:dyDescent="0.25">
      <c r="A35" t="s">
        <v>11</v>
      </c>
      <c r="B35">
        <v>7</v>
      </c>
      <c r="C35" t="str">
        <f t="shared" si="0"/>
        <v>324</v>
      </c>
      <c r="D35" t="s">
        <v>11</v>
      </c>
      <c r="F35">
        <v>2025</v>
      </c>
      <c r="G35">
        <f t="shared" si="1"/>
        <v>7</v>
      </c>
      <c r="H35" t="str">
        <f t="shared" si="2"/>
        <v>324 Springhill</v>
      </c>
      <c r="I35" s="16" cm="1">
        <f t="array" ref="I35">INDEX('OC-Monthly'!$B$7:$N$65,_xlfn.XMATCH($A35,'OC-Monthly'!$A$7:$A$65),_xlfn.XMATCH($B35,'OC-Monthly'!$B$1:$N$1))</f>
        <v>1760603.5509721127</v>
      </c>
      <c r="J35" s="16" cm="1">
        <f t="array" ref="J35">INDEX('OC-Monthly'!$P$7:$AB$65,_xlfn.XMATCH($A35,'OC-Monthly'!$A$7:$A$65),_xlfn.XMATCH($B35,'OC-Monthly'!$P$1:$AB$1))</f>
        <v>1724097.1931757252</v>
      </c>
      <c r="K35" s="1" t="s">
        <v>8</v>
      </c>
      <c r="L35" s="1" t="s">
        <v>7</v>
      </c>
      <c r="M35" s="15">
        <f t="shared" si="3"/>
        <v>0.97926486188430628</v>
      </c>
    </row>
    <row r="36" spans="1:13" x14ac:dyDescent="0.25">
      <c r="A36" t="s">
        <v>11</v>
      </c>
      <c r="B36">
        <v>8</v>
      </c>
      <c r="C36" t="str">
        <f t="shared" si="0"/>
        <v>324</v>
      </c>
      <c r="D36" t="s">
        <v>11</v>
      </c>
      <c r="F36">
        <v>2025</v>
      </c>
      <c r="G36">
        <f t="shared" si="1"/>
        <v>8</v>
      </c>
      <c r="H36" t="str">
        <f t="shared" si="2"/>
        <v>324 Springhill</v>
      </c>
      <c r="I36" s="16" cm="1">
        <f t="array" ref="I36">INDEX('OC-Monthly'!$B$7:$N$65,_xlfn.XMATCH($A36,'OC-Monthly'!$A$7:$A$65),_xlfn.XMATCH($B36,'OC-Monthly'!$B$1:$N$1))</f>
        <v>1758231.2109721126</v>
      </c>
      <c r="J36" s="16" cm="1">
        <f t="array" ref="J36">INDEX('OC-Monthly'!$P$7:$AB$65,_xlfn.XMATCH($A36,'OC-Monthly'!$A$7:$A$65),_xlfn.XMATCH($B36,'OC-Monthly'!$P$1:$AB$1))</f>
        <v>1710088.6768979966</v>
      </c>
      <c r="K36" s="1" t="s">
        <v>8</v>
      </c>
      <c r="L36" s="1" t="s">
        <v>7</v>
      </c>
      <c r="M36" s="15">
        <f t="shared" si="3"/>
        <v>0.97261876949192683</v>
      </c>
    </row>
    <row r="37" spans="1:13" x14ac:dyDescent="0.25">
      <c r="A37" t="s">
        <v>11</v>
      </c>
      <c r="B37">
        <v>9</v>
      </c>
      <c r="C37" t="str">
        <f t="shared" si="0"/>
        <v>324</v>
      </c>
      <c r="D37" t="s">
        <v>11</v>
      </c>
      <c r="F37">
        <v>2025</v>
      </c>
      <c r="G37">
        <f t="shared" si="1"/>
        <v>9</v>
      </c>
      <c r="H37" t="str">
        <f t="shared" si="2"/>
        <v>324 Springhill</v>
      </c>
      <c r="I37" s="16" cm="1">
        <f t="array" ref="I37">INDEX('OC-Monthly'!$B$7:$N$65,_xlfn.XMATCH($A37,'OC-Monthly'!$A$7:$A$65),_xlfn.XMATCH($B37,'OC-Monthly'!$B$1:$N$1))</f>
        <v>1723403.4838983994</v>
      </c>
      <c r="J37" s="16" cm="1">
        <f t="array" ref="J37">INDEX('OC-Monthly'!$P$7:$AB$65,_xlfn.XMATCH($A37,'OC-Monthly'!$A$7:$A$65),_xlfn.XMATCH($B37,'OC-Monthly'!$P$1:$AB$1))</f>
        <v>1743260.5944243923</v>
      </c>
      <c r="K37" s="1" t="s">
        <v>8</v>
      </c>
      <c r="L37" s="1" t="s">
        <v>7</v>
      </c>
      <c r="M37" s="15">
        <f t="shared" si="3"/>
        <v>1.0115220322527581</v>
      </c>
    </row>
    <row r="38" spans="1:13" x14ac:dyDescent="0.25">
      <c r="A38" t="s">
        <v>11</v>
      </c>
      <c r="B38">
        <v>10</v>
      </c>
      <c r="C38" t="str">
        <f t="shared" si="0"/>
        <v>324</v>
      </c>
      <c r="D38" t="s">
        <v>11</v>
      </c>
      <c r="F38">
        <v>2025</v>
      </c>
      <c r="G38">
        <f t="shared" si="1"/>
        <v>10</v>
      </c>
      <c r="H38" t="str">
        <f t="shared" si="2"/>
        <v>324 Springhill</v>
      </c>
      <c r="I38" s="16" cm="1">
        <f t="array" ref="I38">INDEX('OC-Monthly'!$B$7:$N$65,_xlfn.XMATCH($A38,'OC-Monthly'!$A$7:$A$65),_xlfn.XMATCH($B38,'OC-Monthly'!$B$1:$N$1))</f>
        <v>1765575.6209721128</v>
      </c>
      <c r="J38" s="16" cm="1">
        <f t="array" ref="J38">INDEX('OC-Monthly'!$P$7:$AB$65,_xlfn.XMATCH($A38,'OC-Monthly'!$A$7:$A$65),_xlfn.XMATCH($B38,'OC-Monthly'!$P$1:$AB$1))</f>
        <v>1720061.9922685579</v>
      </c>
      <c r="K38" s="1" t="s">
        <v>8</v>
      </c>
      <c r="L38" s="1" t="s">
        <v>7</v>
      </c>
      <c r="M38" s="15">
        <f t="shared" si="3"/>
        <v>0.97422164864368965</v>
      </c>
    </row>
    <row r="39" spans="1:13" x14ac:dyDescent="0.25">
      <c r="A39" t="s">
        <v>11</v>
      </c>
      <c r="B39">
        <v>11</v>
      </c>
      <c r="C39" t="str">
        <f t="shared" si="0"/>
        <v>324</v>
      </c>
      <c r="D39" t="s">
        <v>11</v>
      </c>
      <c r="F39">
        <v>2025</v>
      </c>
      <c r="G39">
        <f t="shared" si="1"/>
        <v>11</v>
      </c>
      <c r="H39" t="str">
        <f t="shared" si="2"/>
        <v>324 Springhill</v>
      </c>
      <c r="I39" s="16" cm="1">
        <f t="array" ref="I39">INDEX('OC-Monthly'!$B$7:$N$65,_xlfn.XMATCH($A39,'OC-Monthly'!$A$7:$A$65),_xlfn.XMATCH($B39,'OC-Monthly'!$B$1:$N$1))</f>
        <v>1721899.4838983996</v>
      </c>
      <c r="J39" s="16" cm="1">
        <f t="array" ref="J39">INDEX('OC-Monthly'!$P$7:$AB$65,_xlfn.XMATCH($A39,'OC-Monthly'!$A$7:$A$65),_xlfn.XMATCH($B39,'OC-Monthly'!$P$1:$AB$1))</f>
        <v>1704948.0824099835</v>
      </c>
      <c r="K39" s="1" t="s">
        <v>8</v>
      </c>
      <c r="L39" s="1" t="s">
        <v>7</v>
      </c>
      <c r="M39" s="15">
        <f t="shared" si="3"/>
        <v>0.99015540590671536</v>
      </c>
    </row>
    <row r="40" spans="1:13" x14ac:dyDescent="0.25">
      <c r="A40" t="s">
        <v>11</v>
      </c>
      <c r="B40">
        <v>12</v>
      </c>
      <c r="C40" t="str">
        <f t="shared" si="0"/>
        <v>324</v>
      </c>
      <c r="D40" t="s">
        <v>11</v>
      </c>
      <c r="F40">
        <v>2025</v>
      </c>
      <c r="G40">
        <f t="shared" si="1"/>
        <v>12</v>
      </c>
      <c r="H40" t="str">
        <f t="shared" si="2"/>
        <v>324 Springhill</v>
      </c>
      <c r="I40" s="16" cm="1">
        <f t="array" ref="I40">INDEX('OC-Monthly'!$B$7:$N$65,_xlfn.XMATCH($A40,'OC-Monthly'!$A$7:$A$65),_xlfn.XMATCH($B40,'OC-Monthly'!$B$1:$N$1))</f>
        <v>1760294.7709721129</v>
      </c>
      <c r="J40" s="16" cm="1">
        <f t="array" ref="J40">INDEX('OC-Monthly'!$P$7:$AB$65,_xlfn.XMATCH($A40,'OC-Monthly'!$A$7:$A$65),_xlfn.XMATCH($B40,'OC-Monthly'!$P$1:$AB$1))</f>
        <v>1724759.9190718038</v>
      </c>
      <c r="K40" s="1" t="s">
        <v>8</v>
      </c>
      <c r="L40" s="1" t="s">
        <v>7</v>
      </c>
      <c r="M40" s="15">
        <f t="shared" si="3"/>
        <v>0.97981312420721156</v>
      </c>
    </row>
    <row r="41" spans="1:13" x14ac:dyDescent="0.25">
      <c r="A41" t="s">
        <v>93</v>
      </c>
      <c r="B41">
        <v>1</v>
      </c>
      <c r="C41" t="str">
        <f t="shared" si="0"/>
        <v>350</v>
      </c>
      <c r="D41" t="s">
        <v>93</v>
      </c>
      <c r="F41">
        <v>2025</v>
      </c>
      <c r="G41">
        <f t="shared" si="1"/>
        <v>1</v>
      </c>
      <c r="H41" t="str">
        <f t="shared" si="2"/>
        <v>350 Grace Park</v>
      </c>
      <c r="I41" s="16" cm="1">
        <f t="array" ref="I41">INDEX('OC-Monthly'!$B$7:$N$65,_xlfn.XMATCH($A41,'OC-Monthly'!$A$7:$A$65),_xlfn.XMATCH($B41,'OC-Monthly'!$B$1:$N$1))</f>
        <v>542000.35745392903</v>
      </c>
      <c r="J41" s="16" cm="1">
        <f t="array" ref="J41">INDEX('OC-Monthly'!$P$7:$AB$65,_xlfn.XMATCH($A41,'OC-Monthly'!$A$7:$A$65),_xlfn.XMATCH($B41,'OC-Monthly'!$P$1:$AB$1))</f>
        <v>483562.892585036</v>
      </c>
      <c r="K41" s="1" t="s">
        <v>8</v>
      </c>
      <c r="L41" s="1" t="s">
        <v>7</v>
      </c>
      <c r="M41" s="15">
        <f t="shared" si="3"/>
        <v>0.89218187024192075</v>
      </c>
    </row>
    <row r="42" spans="1:13" x14ac:dyDescent="0.25">
      <c r="A42" t="s">
        <v>93</v>
      </c>
      <c r="B42">
        <v>2</v>
      </c>
      <c r="C42" t="str">
        <f t="shared" si="0"/>
        <v>350</v>
      </c>
      <c r="D42" t="s">
        <v>93</v>
      </c>
      <c r="F42">
        <v>2025</v>
      </c>
      <c r="G42">
        <f t="shared" si="1"/>
        <v>2</v>
      </c>
      <c r="H42" t="str">
        <f t="shared" si="2"/>
        <v>350 Grace Park</v>
      </c>
      <c r="I42" s="16" cm="1">
        <f t="array" ref="I42">INDEX('OC-Monthly'!$B$7:$N$65,_xlfn.XMATCH($A42,'OC-Monthly'!$A$7:$A$65),_xlfn.XMATCH($B42,'OC-Monthly'!$B$1:$N$1))</f>
        <v>490871.66316821461</v>
      </c>
      <c r="J42" s="16" cm="1">
        <f t="array" ref="J42">INDEX('OC-Monthly'!$P$7:$AB$65,_xlfn.XMATCH($A42,'OC-Monthly'!$A$7:$A$65),_xlfn.XMATCH($B42,'OC-Monthly'!$P$1:$AB$1))</f>
        <v>463304.28181052546</v>
      </c>
      <c r="K42" s="1" t="s">
        <v>8</v>
      </c>
      <c r="L42" s="1" t="s">
        <v>7</v>
      </c>
      <c r="M42" s="15">
        <f t="shared" si="3"/>
        <v>0.94383994142224048</v>
      </c>
    </row>
    <row r="43" spans="1:13" x14ac:dyDescent="0.25">
      <c r="A43" t="s">
        <v>93</v>
      </c>
      <c r="B43">
        <v>3</v>
      </c>
      <c r="C43" t="str">
        <f t="shared" si="0"/>
        <v>350</v>
      </c>
      <c r="D43" t="s">
        <v>93</v>
      </c>
      <c r="F43">
        <v>2025</v>
      </c>
      <c r="G43">
        <f t="shared" si="1"/>
        <v>3</v>
      </c>
      <c r="H43" t="str">
        <f t="shared" si="2"/>
        <v>350 Grace Park</v>
      </c>
      <c r="I43" s="16" cm="1">
        <f t="array" ref="I43">INDEX('OC-Monthly'!$B$7:$N$65,_xlfn.XMATCH($A43,'OC-Monthly'!$A$7:$A$65),_xlfn.XMATCH($B43,'OC-Monthly'!$B$1:$N$1))</f>
        <v>542750.35745392903</v>
      </c>
      <c r="J43" s="16" cm="1">
        <f t="array" ref="J43">INDEX('OC-Monthly'!$P$7:$AB$65,_xlfn.XMATCH($A43,'OC-Monthly'!$A$7:$A$65),_xlfn.XMATCH($B43,'OC-Monthly'!$P$1:$AB$1))</f>
        <v>481914.50272872834</v>
      </c>
      <c r="K43" s="1" t="s">
        <v>8</v>
      </c>
      <c r="L43" s="1" t="s">
        <v>7</v>
      </c>
      <c r="M43" s="15">
        <f t="shared" si="3"/>
        <v>0.88791190297766931</v>
      </c>
    </row>
    <row r="44" spans="1:13" x14ac:dyDescent="0.25">
      <c r="A44" t="s">
        <v>93</v>
      </c>
      <c r="B44">
        <v>4</v>
      </c>
      <c r="C44" t="str">
        <f t="shared" si="0"/>
        <v>350</v>
      </c>
      <c r="D44" t="s">
        <v>93</v>
      </c>
      <c r="F44">
        <v>2025</v>
      </c>
      <c r="G44">
        <f t="shared" si="1"/>
        <v>4</v>
      </c>
      <c r="H44" t="str">
        <f t="shared" si="2"/>
        <v>350 Grace Park</v>
      </c>
      <c r="I44" s="16" cm="1">
        <f t="array" ref="I44">INDEX('OC-Monthly'!$B$7:$N$65,_xlfn.XMATCH($A44,'OC-Monthly'!$A$7:$A$65),_xlfn.XMATCH($B44,'OC-Monthly'!$B$1:$N$1))</f>
        <v>530916.45269202418</v>
      </c>
      <c r="J44" s="16" cm="1">
        <f t="array" ref="J44">INDEX('OC-Monthly'!$P$7:$AB$65,_xlfn.XMATCH($A44,'OC-Monthly'!$A$7:$A$65),_xlfn.XMATCH($B44,'OC-Monthly'!$P$1:$AB$1))</f>
        <v>481040.49625973823</v>
      </c>
      <c r="K44" s="1" t="s">
        <v>8</v>
      </c>
      <c r="L44" s="1" t="s">
        <v>7</v>
      </c>
      <c r="M44" s="15">
        <f t="shared" si="3"/>
        <v>0.90605686416499476</v>
      </c>
    </row>
    <row r="45" spans="1:13" x14ac:dyDescent="0.25">
      <c r="A45" t="s">
        <v>93</v>
      </c>
      <c r="B45">
        <v>5</v>
      </c>
      <c r="C45" t="str">
        <f t="shared" si="0"/>
        <v>350</v>
      </c>
      <c r="D45" t="s">
        <v>93</v>
      </c>
      <c r="F45">
        <v>2025</v>
      </c>
      <c r="G45">
        <f t="shared" si="1"/>
        <v>5</v>
      </c>
      <c r="H45" t="str">
        <f t="shared" si="2"/>
        <v>350 Grace Park</v>
      </c>
      <c r="I45" s="16" cm="1">
        <f t="array" ref="I45">INDEX('OC-Monthly'!$B$7:$N$65,_xlfn.XMATCH($A45,'OC-Monthly'!$A$7:$A$65),_xlfn.XMATCH($B45,'OC-Monthly'!$B$1:$N$1))</f>
        <v>542000.35745392903</v>
      </c>
      <c r="J45" s="16" cm="1">
        <f t="array" ref="J45">INDEX('OC-Monthly'!$P$7:$AB$65,_xlfn.XMATCH($A45,'OC-Monthly'!$A$7:$A$65),_xlfn.XMATCH($B45,'OC-Monthly'!$P$1:$AB$1))</f>
        <v>467220.24182894995</v>
      </c>
      <c r="K45" s="1" t="s">
        <v>8</v>
      </c>
      <c r="L45" s="1" t="s">
        <v>7</v>
      </c>
      <c r="M45" s="15">
        <f t="shared" si="3"/>
        <v>0.86202939795785005</v>
      </c>
    </row>
    <row r="46" spans="1:13" x14ac:dyDescent="0.25">
      <c r="A46" t="s">
        <v>93</v>
      </c>
      <c r="B46">
        <v>6</v>
      </c>
      <c r="C46" t="str">
        <f t="shared" si="0"/>
        <v>350</v>
      </c>
      <c r="D46" t="s">
        <v>93</v>
      </c>
      <c r="F46">
        <v>2025</v>
      </c>
      <c r="G46">
        <f t="shared" si="1"/>
        <v>6</v>
      </c>
      <c r="H46" t="str">
        <f t="shared" si="2"/>
        <v>350 Grace Park</v>
      </c>
      <c r="I46" s="16" cm="1">
        <f t="array" ref="I46">INDEX('OC-Monthly'!$B$7:$N$65,_xlfn.XMATCH($A46,'OC-Monthly'!$A$7:$A$65),_xlfn.XMATCH($B46,'OC-Monthly'!$B$1:$N$1))</f>
        <v>525707.45269202406</v>
      </c>
      <c r="J46" s="16" cm="1">
        <f t="array" ref="J46">INDEX('OC-Monthly'!$P$7:$AB$65,_xlfn.XMATCH($A46,'OC-Monthly'!$A$7:$A$65),_xlfn.XMATCH($B46,'OC-Monthly'!$P$1:$AB$1))</f>
        <v>456458.76663369936</v>
      </c>
      <c r="K46" s="1" t="s">
        <v>8</v>
      </c>
      <c r="L46" s="1" t="s">
        <v>7</v>
      </c>
      <c r="M46" s="15">
        <f t="shared" si="3"/>
        <v>0.868275243762061</v>
      </c>
    </row>
    <row r="47" spans="1:13" x14ac:dyDescent="0.25">
      <c r="A47" t="s">
        <v>93</v>
      </c>
      <c r="B47">
        <v>7</v>
      </c>
      <c r="C47" t="str">
        <f t="shared" si="0"/>
        <v>350</v>
      </c>
      <c r="D47" t="s">
        <v>93</v>
      </c>
      <c r="F47">
        <v>2025</v>
      </c>
      <c r="G47">
        <f t="shared" si="1"/>
        <v>7</v>
      </c>
      <c r="H47" t="str">
        <f t="shared" si="2"/>
        <v>350 Grace Park</v>
      </c>
      <c r="I47" s="16" cm="1">
        <f t="array" ref="I47">INDEX('OC-Monthly'!$B$7:$N$65,_xlfn.XMATCH($A47,'OC-Monthly'!$A$7:$A$65),_xlfn.XMATCH($B47,'OC-Monthly'!$B$1:$N$1))</f>
        <v>542000.35745392903</v>
      </c>
      <c r="J47" s="16" cm="1">
        <f t="array" ref="J47">INDEX('OC-Monthly'!$P$7:$AB$65,_xlfn.XMATCH($A47,'OC-Monthly'!$A$7:$A$65),_xlfn.XMATCH($B47,'OC-Monthly'!$P$1:$AB$1))</f>
        <v>474437.24997992505</v>
      </c>
      <c r="K47" s="1" t="s">
        <v>8</v>
      </c>
      <c r="L47" s="1" t="s">
        <v>7</v>
      </c>
      <c r="M47" s="15">
        <f t="shared" si="3"/>
        <v>0.87534490236983475</v>
      </c>
    </row>
    <row r="48" spans="1:13" x14ac:dyDescent="0.25">
      <c r="A48" t="s">
        <v>93</v>
      </c>
      <c r="B48">
        <v>8</v>
      </c>
      <c r="C48" t="str">
        <f t="shared" si="0"/>
        <v>350</v>
      </c>
      <c r="D48" t="s">
        <v>93</v>
      </c>
      <c r="F48">
        <v>2025</v>
      </c>
      <c r="G48">
        <f t="shared" si="1"/>
        <v>8</v>
      </c>
      <c r="H48" t="str">
        <f t="shared" si="2"/>
        <v>350 Grace Park</v>
      </c>
      <c r="I48" s="16" cm="1">
        <f t="array" ref="I48">INDEX('OC-Monthly'!$B$7:$N$65,_xlfn.XMATCH($A48,'OC-Monthly'!$A$7:$A$65),_xlfn.XMATCH($B48,'OC-Monthly'!$B$1:$N$1))</f>
        <v>542000.35745392903</v>
      </c>
      <c r="J48" s="16" cm="1">
        <f t="array" ref="J48">INDEX('OC-Monthly'!$P$7:$AB$65,_xlfn.XMATCH($A48,'OC-Monthly'!$A$7:$A$65),_xlfn.XMATCH($B48,'OC-Monthly'!$P$1:$AB$1))</f>
        <v>470278.26390533597</v>
      </c>
      <c r="K48" s="1" t="s">
        <v>8</v>
      </c>
      <c r="L48" s="1" t="s">
        <v>7</v>
      </c>
      <c r="M48" s="15">
        <f t="shared" si="3"/>
        <v>0.8676715013888352</v>
      </c>
    </row>
    <row r="49" spans="1:13" x14ac:dyDescent="0.25">
      <c r="A49" t="s">
        <v>93</v>
      </c>
      <c r="B49">
        <v>9</v>
      </c>
      <c r="C49" t="str">
        <f t="shared" si="0"/>
        <v>350</v>
      </c>
      <c r="D49" t="s">
        <v>93</v>
      </c>
      <c r="F49">
        <v>2025</v>
      </c>
      <c r="G49">
        <f t="shared" si="1"/>
        <v>9</v>
      </c>
      <c r="H49" t="str">
        <f t="shared" si="2"/>
        <v>350 Grace Park</v>
      </c>
      <c r="I49" s="16" cm="1">
        <f t="array" ref="I49">INDEX('OC-Monthly'!$B$7:$N$65,_xlfn.XMATCH($A49,'OC-Monthly'!$A$7:$A$65),_xlfn.XMATCH($B49,'OC-Monthly'!$B$1:$N$1))</f>
        <v>525707.45269202406</v>
      </c>
      <c r="J49" s="16" cm="1">
        <f t="array" ref="J49">INDEX('OC-Monthly'!$P$7:$AB$65,_xlfn.XMATCH($A49,'OC-Monthly'!$A$7:$A$65),_xlfn.XMATCH($B49,'OC-Monthly'!$P$1:$AB$1))</f>
        <v>459612.0525202995</v>
      </c>
      <c r="K49" s="1" t="s">
        <v>8</v>
      </c>
      <c r="L49" s="1" t="s">
        <v>7</v>
      </c>
      <c r="M49" s="15">
        <f t="shared" si="3"/>
        <v>0.87427341987779406</v>
      </c>
    </row>
    <row r="50" spans="1:13" x14ac:dyDescent="0.25">
      <c r="A50" t="s">
        <v>93</v>
      </c>
      <c r="B50">
        <v>10</v>
      </c>
      <c r="C50" t="str">
        <f t="shared" si="0"/>
        <v>350</v>
      </c>
      <c r="D50" t="s">
        <v>93</v>
      </c>
      <c r="F50">
        <v>2025</v>
      </c>
      <c r="G50">
        <f t="shared" si="1"/>
        <v>10</v>
      </c>
      <c r="H50" t="str">
        <f t="shared" si="2"/>
        <v>350 Grace Park</v>
      </c>
      <c r="I50" s="16" cm="1">
        <f t="array" ref="I50">INDEX('OC-Monthly'!$B$7:$N$65,_xlfn.XMATCH($A50,'OC-Monthly'!$A$7:$A$65),_xlfn.XMATCH($B50,'OC-Monthly'!$B$1:$N$1))</f>
        <v>542000.35745392903</v>
      </c>
      <c r="J50" s="16" cm="1">
        <f t="array" ref="J50">INDEX('OC-Monthly'!$P$7:$AB$65,_xlfn.XMATCH($A50,'OC-Monthly'!$A$7:$A$65),_xlfn.XMATCH($B50,'OC-Monthly'!$P$1:$AB$1))</f>
        <v>471849.67390533601</v>
      </c>
      <c r="K50" s="1" t="s">
        <v>8</v>
      </c>
      <c r="L50" s="1" t="s">
        <v>7</v>
      </c>
      <c r="M50" s="15">
        <f t="shared" si="3"/>
        <v>0.87057077991953913</v>
      </c>
    </row>
    <row r="51" spans="1:13" x14ac:dyDescent="0.25">
      <c r="A51" t="s">
        <v>93</v>
      </c>
      <c r="B51">
        <v>11</v>
      </c>
      <c r="C51" t="str">
        <f t="shared" si="0"/>
        <v>350</v>
      </c>
      <c r="D51" t="s">
        <v>93</v>
      </c>
      <c r="F51">
        <v>2025</v>
      </c>
      <c r="G51">
        <f t="shared" si="1"/>
        <v>11</v>
      </c>
      <c r="H51" t="str">
        <f t="shared" si="2"/>
        <v>350 Grace Park</v>
      </c>
      <c r="I51" s="16" cm="1">
        <f t="array" ref="I51">INDEX('OC-Monthly'!$B$7:$N$65,_xlfn.XMATCH($A51,'OC-Monthly'!$A$7:$A$65),_xlfn.XMATCH($B51,'OC-Monthly'!$B$1:$N$1))</f>
        <v>524957.45269202418</v>
      </c>
      <c r="J51" s="16" cm="1">
        <f t="array" ref="J51">INDEX('OC-Monthly'!$P$7:$AB$65,_xlfn.XMATCH($A51,'OC-Monthly'!$A$7:$A$65),_xlfn.XMATCH($B51,'OC-Monthly'!$P$1:$AB$1))</f>
        <v>464064.74918696616</v>
      </c>
      <c r="K51" s="1" t="s">
        <v>8</v>
      </c>
      <c r="L51" s="1" t="s">
        <v>7</v>
      </c>
      <c r="M51" s="15">
        <f t="shared" si="3"/>
        <v>0.88400449752109367</v>
      </c>
    </row>
    <row r="52" spans="1:13" x14ac:dyDescent="0.25">
      <c r="A52" t="s">
        <v>93</v>
      </c>
      <c r="B52">
        <v>12</v>
      </c>
      <c r="C52" t="str">
        <f t="shared" si="0"/>
        <v>350</v>
      </c>
      <c r="D52" t="s">
        <v>93</v>
      </c>
      <c r="F52">
        <v>2025</v>
      </c>
      <c r="G52">
        <f t="shared" si="1"/>
        <v>12</v>
      </c>
      <c r="H52" t="str">
        <f t="shared" si="2"/>
        <v>350 Grace Park</v>
      </c>
      <c r="I52" s="16" cm="1">
        <f t="array" ref="I52">INDEX('OC-Monthly'!$B$7:$N$65,_xlfn.XMATCH($A52,'OC-Monthly'!$A$7:$A$65),_xlfn.XMATCH($B52,'OC-Monthly'!$B$1:$N$1))</f>
        <v>542750.35745392903</v>
      </c>
      <c r="J52" s="16" cm="1">
        <f t="array" ref="J52">INDEX('OC-Monthly'!$P$7:$AB$65,_xlfn.XMATCH($A52,'OC-Monthly'!$A$7:$A$65),_xlfn.XMATCH($B52,'OC-Monthly'!$P$1:$AB$1))</f>
        <v>474557.29583033599</v>
      </c>
      <c r="K52" s="1" t="s">
        <v>8</v>
      </c>
      <c r="L52" s="1" t="s">
        <v>7</v>
      </c>
      <c r="M52" s="15">
        <f t="shared" si="3"/>
        <v>0.87435648694274415</v>
      </c>
    </row>
    <row r="53" spans="1:13" x14ac:dyDescent="0.25">
      <c r="A53" t="s">
        <v>94</v>
      </c>
      <c r="B53">
        <v>1</v>
      </c>
      <c r="C53" t="str">
        <f t="shared" si="0"/>
        <v>360</v>
      </c>
      <c r="D53" t="s">
        <v>94</v>
      </c>
      <c r="F53">
        <v>2025</v>
      </c>
      <c r="G53">
        <f t="shared" si="1"/>
        <v>1</v>
      </c>
      <c r="H53" t="str">
        <f t="shared" si="2"/>
        <v>360 Ivy Gables</v>
      </c>
      <c r="I53" s="16" cm="1">
        <f t="array" ref="I53">INDEX('OC-Monthly'!$B$7:$N$65,_xlfn.XMATCH($A53,'OC-Monthly'!$A$7:$A$65),_xlfn.XMATCH($B53,'OC-Monthly'!$B$1:$N$1))</f>
        <v>325491.55697674409</v>
      </c>
      <c r="J53" s="16" cm="1">
        <f t="array" ref="J53">INDEX('OC-Monthly'!$P$7:$AB$65,_xlfn.XMATCH($A53,'OC-Monthly'!$A$7:$A$65),_xlfn.XMATCH($B53,'OC-Monthly'!$P$1:$AB$1))</f>
        <v>371132.23218350305</v>
      </c>
      <c r="K53" s="1" t="s">
        <v>8</v>
      </c>
      <c r="L53" s="1" t="s">
        <v>7</v>
      </c>
      <c r="M53" s="15">
        <f t="shared" si="3"/>
        <v>1.1402207652655638</v>
      </c>
    </row>
    <row r="54" spans="1:13" x14ac:dyDescent="0.25">
      <c r="A54" t="s">
        <v>94</v>
      </c>
      <c r="B54">
        <v>2</v>
      </c>
      <c r="C54" t="str">
        <f t="shared" si="0"/>
        <v>360</v>
      </c>
      <c r="D54" t="s">
        <v>94</v>
      </c>
      <c r="F54">
        <v>2025</v>
      </c>
      <c r="G54">
        <f t="shared" si="1"/>
        <v>2</v>
      </c>
      <c r="H54" t="str">
        <f t="shared" si="2"/>
        <v>360 Ivy Gables</v>
      </c>
      <c r="I54" s="16" cm="1">
        <f t="array" ref="I54">INDEX('OC-Monthly'!$B$7:$N$65,_xlfn.XMATCH($A54,'OC-Monthly'!$A$7:$A$65),_xlfn.XMATCH($B54,'OC-Monthly'!$B$1:$N$1))</f>
        <v>297738.13441860466</v>
      </c>
      <c r="J54" s="16" cm="1">
        <f t="array" ref="J54">INDEX('OC-Monthly'!$P$7:$AB$65,_xlfn.XMATCH($A54,'OC-Monthly'!$A$7:$A$65),_xlfn.XMATCH($B54,'OC-Monthly'!$P$1:$AB$1))</f>
        <v>356008.47092554183</v>
      </c>
      <c r="K54" s="1" t="s">
        <v>8</v>
      </c>
      <c r="L54" s="1" t="s">
        <v>7</v>
      </c>
      <c r="M54" s="15">
        <f t="shared" si="3"/>
        <v>1.1957100208904112</v>
      </c>
    </row>
    <row r="55" spans="1:13" x14ac:dyDescent="0.25">
      <c r="A55" t="s">
        <v>94</v>
      </c>
      <c r="B55">
        <v>3</v>
      </c>
      <c r="C55" t="str">
        <f t="shared" si="0"/>
        <v>360</v>
      </c>
      <c r="D55" t="s">
        <v>94</v>
      </c>
      <c r="F55">
        <v>2025</v>
      </c>
      <c r="G55">
        <f t="shared" si="1"/>
        <v>3</v>
      </c>
      <c r="H55" t="str">
        <f t="shared" si="2"/>
        <v>360 Ivy Gables</v>
      </c>
      <c r="I55" s="16" cm="1">
        <f t="array" ref="I55">INDEX('OC-Monthly'!$B$7:$N$65,_xlfn.XMATCH($A55,'OC-Monthly'!$A$7:$A$65),_xlfn.XMATCH($B55,'OC-Monthly'!$B$1:$N$1))</f>
        <v>339802.02209302329</v>
      </c>
      <c r="J55" s="16" cm="1">
        <f t="array" ref="J55">INDEX('OC-Monthly'!$P$7:$AB$65,_xlfn.XMATCH($A55,'OC-Monthly'!$A$7:$A$65),_xlfn.XMATCH($B55,'OC-Monthly'!$P$1:$AB$1))</f>
        <v>381704.24936175829</v>
      </c>
      <c r="K55" s="1" t="s">
        <v>8</v>
      </c>
      <c r="L55" s="1" t="s">
        <v>7</v>
      </c>
      <c r="M55" s="15">
        <f t="shared" si="3"/>
        <v>1.1233136489613471</v>
      </c>
    </row>
    <row r="56" spans="1:13" x14ac:dyDescent="0.25">
      <c r="A56" t="s">
        <v>94</v>
      </c>
      <c r="B56">
        <v>4</v>
      </c>
      <c r="C56" t="str">
        <f t="shared" si="0"/>
        <v>360</v>
      </c>
      <c r="D56" t="s">
        <v>94</v>
      </c>
      <c r="F56">
        <v>2025</v>
      </c>
      <c r="G56">
        <f t="shared" si="1"/>
        <v>4</v>
      </c>
      <c r="H56" t="str">
        <f t="shared" si="2"/>
        <v>360 Ivy Gables</v>
      </c>
      <c r="I56" s="16" cm="1">
        <f t="array" ref="I56">INDEX('OC-Monthly'!$B$7:$N$65,_xlfn.XMATCH($A56,'OC-Monthly'!$A$7:$A$65),_xlfn.XMATCH($B56,'OC-Monthly'!$B$1:$N$1))</f>
        <v>337818.41170542635</v>
      </c>
      <c r="J56" s="16" cm="1">
        <f t="array" ref="J56">INDEX('OC-Monthly'!$P$7:$AB$65,_xlfn.XMATCH($A56,'OC-Monthly'!$A$7:$A$65),_xlfn.XMATCH($B56,'OC-Monthly'!$P$1:$AB$1))</f>
        <v>372506.86891789152</v>
      </c>
      <c r="K56" s="1" t="s">
        <v>8</v>
      </c>
      <c r="L56" s="1" t="s">
        <v>7</v>
      </c>
      <c r="M56" s="15">
        <f t="shared" si="3"/>
        <v>1.1026837378026426</v>
      </c>
    </row>
    <row r="57" spans="1:13" x14ac:dyDescent="0.25">
      <c r="A57" t="s">
        <v>94</v>
      </c>
      <c r="B57">
        <v>5</v>
      </c>
      <c r="C57" t="str">
        <f t="shared" si="0"/>
        <v>360</v>
      </c>
      <c r="D57" t="s">
        <v>94</v>
      </c>
      <c r="F57">
        <v>2025</v>
      </c>
      <c r="G57">
        <f t="shared" si="1"/>
        <v>5</v>
      </c>
      <c r="H57" t="str">
        <f t="shared" si="2"/>
        <v>360 Ivy Gables</v>
      </c>
      <c r="I57" s="16" cm="1">
        <f t="array" ref="I57">INDEX('OC-Monthly'!$B$7:$N$65,_xlfn.XMATCH($A57,'OC-Monthly'!$A$7:$A$65),_xlfn.XMATCH($B57,'OC-Monthly'!$B$1:$N$1))</f>
        <v>346957.25465116277</v>
      </c>
      <c r="J57" s="16" cm="1">
        <f t="array" ref="J57">INDEX('OC-Monthly'!$P$7:$AB$65,_xlfn.XMATCH($A57,'OC-Monthly'!$A$7:$A$65),_xlfn.XMATCH($B57,'OC-Monthly'!$P$1:$AB$1))</f>
        <v>369968.81373814779</v>
      </c>
      <c r="K57" s="1" t="s">
        <v>8</v>
      </c>
      <c r="L57" s="1" t="s">
        <v>7</v>
      </c>
      <c r="M57" s="15">
        <f t="shared" si="3"/>
        <v>1.0663239023784681</v>
      </c>
    </row>
    <row r="58" spans="1:13" x14ac:dyDescent="0.25">
      <c r="A58" t="s">
        <v>94</v>
      </c>
      <c r="B58">
        <v>6</v>
      </c>
      <c r="C58" t="str">
        <f t="shared" si="0"/>
        <v>360</v>
      </c>
      <c r="D58" t="s">
        <v>94</v>
      </c>
      <c r="F58">
        <v>2025</v>
      </c>
      <c r="G58">
        <f t="shared" si="1"/>
        <v>6</v>
      </c>
      <c r="H58" t="str">
        <f t="shared" si="2"/>
        <v>360 Ivy Gables</v>
      </c>
      <c r="I58" s="16" cm="1">
        <f t="array" ref="I58">INDEX('OC-Monthly'!$B$7:$N$65,_xlfn.XMATCH($A58,'OC-Monthly'!$A$7:$A$65),_xlfn.XMATCH($B58,'OC-Monthly'!$B$1:$N$1))</f>
        <v>334859.41170542635</v>
      </c>
      <c r="J58" s="16" cm="1">
        <f t="array" ref="J58">INDEX('OC-Monthly'!$P$7:$AB$65,_xlfn.XMATCH($A58,'OC-Monthly'!$A$7:$A$65),_xlfn.XMATCH($B58,'OC-Monthly'!$P$1:$AB$1))</f>
        <v>374809.2426928833</v>
      </c>
      <c r="K58" s="1" t="s">
        <v>8</v>
      </c>
      <c r="L58" s="1" t="s">
        <v>7</v>
      </c>
      <c r="M58" s="15">
        <f t="shared" si="3"/>
        <v>1.1193032944303223</v>
      </c>
    </row>
    <row r="59" spans="1:13" x14ac:dyDescent="0.25">
      <c r="A59" t="s">
        <v>94</v>
      </c>
      <c r="B59">
        <v>7</v>
      </c>
      <c r="C59" t="str">
        <f t="shared" si="0"/>
        <v>360</v>
      </c>
      <c r="D59" t="s">
        <v>94</v>
      </c>
      <c r="F59">
        <v>2025</v>
      </c>
      <c r="G59">
        <f t="shared" si="1"/>
        <v>7</v>
      </c>
      <c r="H59" t="str">
        <f t="shared" si="2"/>
        <v>360 Ivy Gables</v>
      </c>
      <c r="I59" s="16" cm="1">
        <f t="array" ref="I59">INDEX('OC-Monthly'!$B$7:$N$65,_xlfn.XMATCH($A59,'OC-Monthly'!$A$7:$A$65),_xlfn.XMATCH($B59,'OC-Monthly'!$B$1:$N$1))</f>
        <v>346957.25465116277</v>
      </c>
      <c r="J59" s="16" cm="1">
        <f t="array" ref="J59">INDEX('OC-Monthly'!$P$7:$AB$65,_xlfn.XMATCH($A59,'OC-Monthly'!$A$7:$A$65),_xlfn.XMATCH($B59,'OC-Monthly'!$P$1:$AB$1))</f>
        <v>373908.4189292498</v>
      </c>
      <c r="K59" s="1" t="s">
        <v>8</v>
      </c>
      <c r="L59" s="1" t="s">
        <v>7</v>
      </c>
      <c r="M59" s="15">
        <f t="shared" si="3"/>
        <v>1.0776786301966339</v>
      </c>
    </row>
    <row r="60" spans="1:13" x14ac:dyDescent="0.25">
      <c r="A60" t="s">
        <v>94</v>
      </c>
      <c r="B60">
        <v>8</v>
      </c>
      <c r="C60" t="str">
        <f t="shared" si="0"/>
        <v>360</v>
      </c>
      <c r="D60" t="s">
        <v>94</v>
      </c>
      <c r="F60">
        <v>2025</v>
      </c>
      <c r="G60">
        <f t="shared" si="1"/>
        <v>8</v>
      </c>
      <c r="H60" t="str">
        <f t="shared" si="2"/>
        <v>360 Ivy Gables</v>
      </c>
      <c r="I60" s="16" cm="1">
        <f t="array" ref="I60">INDEX('OC-Monthly'!$B$7:$N$65,_xlfn.XMATCH($A60,'OC-Monthly'!$A$7:$A$65),_xlfn.XMATCH($B60,'OC-Monthly'!$B$1:$N$1))</f>
        <v>346957.25465116277</v>
      </c>
      <c r="J60" s="16" cm="1">
        <f t="array" ref="J60">INDEX('OC-Monthly'!$P$7:$AB$65,_xlfn.XMATCH($A60,'OC-Monthly'!$A$7:$A$65),_xlfn.XMATCH($B60,'OC-Monthly'!$P$1:$AB$1))</f>
        <v>376923.57277540368</v>
      </c>
      <c r="K60" s="1" t="s">
        <v>8</v>
      </c>
      <c r="L60" s="1" t="s">
        <v>7</v>
      </c>
      <c r="M60" s="15">
        <f t="shared" si="3"/>
        <v>1.0863689048795639</v>
      </c>
    </row>
    <row r="61" spans="1:13" x14ac:dyDescent="0.25">
      <c r="A61" t="s">
        <v>94</v>
      </c>
      <c r="B61">
        <v>9</v>
      </c>
      <c r="C61" t="str">
        <f t="shared" si="0"/>
        <v>360</v>
      </c>
      <c r="D61" t="s">
        <v>94</v>
      </c>
      <c r="F61">
        <v>2025</v>
      </c>
      <c r="G61">
        <f t="shared" si="1"/>
        <v>9</v>
      </c>
      <c r="H61" t="str">
        <f t="shared" si="2"/>
        <v>360 Ivy Gables</v>
      </c>
      <c r="I61" s="16" cm="1">
        <f t="array" ref="I61">INDEX('OC-Monthly'!$B$7:$N$65,_xlfn.XMATCH($A61,'OC-Monthly'!$A$7:$A$65),_xlfn.XMATCH($B61,'OC-Monthly'!$B$1:$N$1))</f>
        <v>334859.41170542635</v>
      </c>
      <c r="J61" s="16" cm="1">
        <f t="array" ref="J61">INDEX('OC-Monthly'!$P$7:$AB$65,_xlfn.XMATCH($A61,'OC-Monthly'!$A$7:$A$65),_xlfn.XMATCH($B61,'OC-Monthly'!$P$1:$AB$1))</f>
        <v>377196.41269288323</v>
      </c>
      <c r="K61" s="1" t="s">
        <v>8</v>
      </c>
      <c r="L61" s="1" t="s">
        <v>7</v>
      </c>
      <c r="M61" s="15">
        <f t="shared" si="3"/>
        <v>1.1264321667766066</v>
      </c>
    </row>
    <row r="62" spans="1:13" x14ac:dyDescent="0.25">
      <c r="A62" t="s">
        <v>94</v>
      </c>
      <c r="B62">
        <v>10</v>
      </c>
      <c r="C62" t="str">
        <f t="shared" si="0"/>
        <v>360</v>
      </c>
      <c r="D62" t="s">
        <v>94</v>
      </c>
      <c r="F62">
        <v>2025</v>
      </c>
      <c r="G62">
        <f t="shared" si="1"/>
        <v>10</v>
      </c>
      <c r="H62" t="str">
        <f t="shared" si="2"/>
        <v>360 Ivy Gables</v>
      </c>
      <c r="I62" s="16" cm="1">
        <f t="array" ref="I62">INDEX('OC-Monthly'!$B$7:$N$65,_xlfn.XMATCH($A62,'OC-Monthly'!$A$7:$A$65),_xlfn.XMATCH($B62,'OC-Monthly'!$B$1:$N$1))</f>
        <v>346957.25465116277</v>
      </c>
      <c r="J62" s="16" cm="1">
        <f t="array" ref="J62">INDEX('OC-Monthly'!$P$7:$AB$65,_xlfn.XMATCH($A62,'OC-Monthly'!$A$7:$A$65),_xlfn.XMATCH($B62,'OC-Monthly'!$P$1:$AB$1))</f>
        <v>376504.20642924984</v>
      </c>
      <c r="K62" s="1" t="s">
        <v>8</v>
      </c>
      <c r="L62" s="1" t="s">
        <v>7</v>
      </c>
      <c r="M62" s="15">
        <f t="shared" si="3"/>
        <v>1.0851602074376399</v>
      </c>
    </row>
    <row r="63" spans="1:13" x14ac:dyDescent="0.25">
      <c r="A63" t="s">
        <v>94</v>
      </c>
      <c r="B63">
        <v>11</v>
      </c>
      <c r="C63" t="str">
        <f t="shared" si="0"/>
        <v>360</v>
      </c>
      <c r="D63" t="s">
        <v>94</v>
      </c>
      <c r="F63">
        <v>2025</v>
      </c>
      <c r="G63">
        <f t="shared" si="1"/>
        <v>11</v>
      </c>
      <c r="H63" t="str">
        <f t="shared" si="2"/>
        <v>360 Ivy Gables</v>
      </c>
      <c r="I63" s="16" cm="1">
        <f t="array" ref="I63">INDEX('OC-Monthly'!$B$7:$N$65,_xlfn.XMATCH($A63,'OC-Monthly'!$A$7:$A$65),_xlfn.XMATCH($B63,'OC-Monthly'!$B$1:$N$1))</f>
        <v>334859.41170542635</v>
      </c>
      <c r="J63" s="16" cm="1">
        <f t="array" ref="J63">INDEX('OC-Monthly'!$P$7:$AB$65,_xlfn.XMATCH($A63,'OC-Monthly'!$A$7:$A$65),_xlfn.XMATCH($B63,'OC-Monthly'!$P$1:$AB$1))</f>
        <v>369275.35403903708</v>
      </c>
      <c r="K63" s="1" t="s">
        <v>8</v>
      </c>
      <c r="L63" s="1" t="s">
        <v>7</v>
      </c>
      <c r="M63" s="15">
        <f t="shared" si="3"/>
        <v>1.1027772884098781</v>
      </c>
    </row>
    <row r="64" spans="1:13" x14ac:dyDescent="0.25">
      <c r="A64" t="s">
        <v>94</v>
      </c>
      <c r="B64">
        <v>12</v>
      </c>
      <c r="C64" t="str">
        <f t="shared" si="0"/>
        <v>360</v>
      </c>
      <c r="D64" t="s">
        <v>94</v>
      </c>
      <c r="F64">
        <v>2025</v>
      </c>
      <c r="G64">
        <f t="shared" si="1"/>
        <v>12</v>
      </c>
      <c r="H64" t="str">
        <f t="shared" si="2"/>
        <v>360 Ivy Gables</v>
      </c>
      <c r="I64" s="16" cm="1">
        <f t="array" ref="I64">INDEX('OC-Monthly'!$B$7:$N$65,_xlfn.XMATCH($A64,'OC-Monthly'!$A$7:$A$65),_xlfn.XMATCH($B64,'OC-Monthly'!$B$1:$N$1))</f>
        <v>346957.25465116277</v>
      </c>
      <c r="J64" s="16" cm="1">
        <f t="array" ref="J64">INDEX('OC-Monthly'!$P$7:$AB$65,_xlfn.XMATCH($A64,'OC-Monthly'!$A$7:$A$65),_xlfn.XMATCH($B64,'OC-Monthly'!$P$1:$AB$1))</f>
        <v>386134.0610292498</v>
      </c>
      <c r="K64" s="1" t="s">
        <v>8</v>
      </c>
      <c r="L64" s="1" t="s">
        <v>7</v>
      </c>
      <c r="M64" s="15">
        <f t="shared" si="3"/>
        <v>1.1129153688326134</v>
      </c>
    </row>
    <row r="65" spans="1:13" x14ac:dyDescent="0.25">
      <c r="A65" t="s">
        <v>52</v>
      </c>
      <c r="B65">
        <v>1</v>
      </c>
      <c r="C65" t="str">
        <f t="shared" si="0"/>
        <v>400</v>
      </c>
      <c r="D65" t="s">
        <v>12</v>
      </c>
      <c r="F65">
        <v>2025</v>
      </c>
      <c r="G65">
        <f t="shared" si="1"/>
        <v>1</v>
      </c>
      <c r="H65" t="str">
        <f t="shared" si="2"/>
        <v>400 Asbury Foundation</v>
      </c>
      <c r="I65" s="16" cm="1">
        <f t="array" ref="I65">INDEX('OC-Monthly'!$B$7:$N$65,_xlfn.XMATCH($A65,'OC-Monthly'!$A$7:$A$65),_xlfn.XMATCH($B65,'OC-Monthly'!$B$1:$N$1))</f>
        <v>35474.883690428513</v>
      </c>
      <c r="J65" s="16" cm="1">
        <f t="array" ref="J65">INDEX('OC-Monthly'!$P$7:$AB$65,_xlfn.XMATCH($A65,'OC-Monthly'!$A$7:$A$65),_xlfn.XMATCH($B65,'OC-Monthly'!$P$1:$AB$1))</f>
        <v>56252.841666666667</v>
      </c>
      <c r="K65" s="1" t="s">
        <v>8</v>
      </c>
      <c r="L65" s="1" t="s">
        <v>7</v>
      </c>
      <c r="M65" s="15">
        <f t="shared" si="3"/>
        <v>1.5857089809668428</v>
      </c>
    </row>
    <row r="66" spans="1:13" x14ac:dyDescent="0.25">
      <c r="A66" t="s">
        <v>52</v>
      </c>
      <c r="B66">
        <v>2</v>
      </c>
      <c r="C66" t="str">
        <f t="shared" si="0"/>
        <v>400</v>
      </c>
      <c r="D66" t="s">
        <v>12</v>
      </c>
      <c r="F66">
        <v>2025</v>
      </c>
      <c r="G66">
        <f t="shared" si="1"/>
        <v>2</v>
      </c>
      <c r="H66" t="str">
        <f t="shared" si="2"/>
        <v>400 Asbury Foundation</v>
      </c>
      <c r="I66" s="16" cm="1">
        <f t="array" ref="I66">INDEX('OC-Monthly'!$B$7:$N$65,_xlfn.XMATCH($A66,'OC-Monthly'!$A$7:$A$65),_xlfn.XMATCH($B66,'OC-Monthly'!$B$1:$N$1))</f>
        <v>59973.684976645163</v>
      </c>
      <c r="J66" s="16" cm="1">
        <f t="array" ref="J66">INDEX('OC-Monthly'!$P$7:$AB$65,_xlfn.XMATCH($A66,'OC-Monthly'!$A$7:$A$65),_xlfn.XMATCH($B66,'OC-Monthly'!$P$1:$AB$1))</f>
        <v>54596.281666666655</v>
      </c>
      <c r="K66" s="1" t="s">
        <v>8</v>
      </c>
      <c r="L66" s="1" t="s">
        <v>7</v>
      </c>
      <c r="M66" s="15">
        <f t="shared" si="3"/>
        <v>0.91033728689386739</v>
      </c>
    </row>
    <row r="67" spans="1:13" x14ac:dyDescent="0.25">
      <c r="A67" t="s">
        <v>52</v>
      </c>
      <c r="B67">
        <v>3</v>
      </c>
      <c r="C67" t="str">
        <f t="shared" si="0"/>
        <v>400</v>
      </c>
      <c r="D67" t="s">
        <v>12</v>
      </c>
      <c r="F67">
        <v>2025</v>
      </c>
      <c r="G67">
        <f t="shared" si="1"/>
        <v>3</v>
      </c>
      <c r="H67" t="str">
        <f t="shared" si="2"/>
        <v>400 Asbury Foundation</v>
      </c>
      <c r="I67" s="16" cm="1">
        <f t="array" ref="I67">INDEX('OC-Monthly'!$B$7:$N$65,_xlfn.XMATCH($A67,'OC-Monthly'!$A$7:$A$65),_xlfn.XMATCH($B67,'OC-Monthly'!$B$1:$N$1))</f>
        <v>147474.27031537518</v>
      </c>
      <c r="J67" s="16" cm="1">
        <f t="array" ref="J67">INDEX('OC-Monthly'!$P$7:$AB$65,_xlfn.XMATCH($A67,'OC-Monthly'!$A$7:$A$65),_xlfn.XMATCH($B67,'OC-Monthly'!$P$1:$AB$1))</f>
        <v>58314.521666666667</v>
      </c>
      <c r="K67" s="1" t="s">
        <v>8</v>
      </c>
      <c r="L67" s="1" t="s">
        <v>7</v>
      </c>
      <c r="M67" s="15">
        <f t="shared" si="3"/>
        <v>0.39542166604357826</v>
      </c>
    </row>
    <row r="68" spans="1:13" x14ac:dyDescent="0.25">
      <c r="A68" t="s">
        <v>52</v>
      </c>
      <c r="B68">
        <v>4</v>
      </c>
      <c r="C68" t="str">
        <f t="shared" si="0"/>
        <v>400</v>
      </c>
      <c r="D68" t="s">
        <v>12</v>
      </c>
      <c r="F68">
        <v>2025</v>
      </c>
      <c r="G68">
        <f t="shared" si="1"/>
        <v>4</v>
      </c>
      <c r="H68" t="str">
        <f t="shared" si="2"/>
        <v>400 Asbury Foundation</v>
      </c>
      <c r="I68" s="16" cm="1">
        <f t="array" ref="I68">INDEX('OC-Monthly'!$B$7:$N$65,_xlfn.XMATCH($A68,'OC-Monthly'!$A$7:$A$65),_xlfn.XMATCH($B68,'OC-Monthly'!$B$1:$N$1))</f>
        <v>14620.277152582181</v>
      </c>
      <c r="J68" s="16" cm="1">
        <f t="array" ref="J68">INDEX('OC-Monthly'!$P$7:$AB$65,_xlfn.XMATCH($A68,'OC-Monthly'!$A$7:$A$65),_xlfn.XMATCH($B68,'OC-Monthly'!$P$1:$AB$1))</f>
        <v>64948.611666666686</v>
      </c>
      <c r="K68" s="1" t="s">
        <v>8</v>
      </c>
      <c r="L68" s="1" t="s">
        <v>7</v>
      </c>
      <c r="M68" s="15">
        <f t="shared" si="3"/>
        <v>4.44236528410788</v>
      </c>
    </row>
    <row r="69" spans="1:13" x14ac:dyDescent="0.25">
      <c r="A69" t="s">
        <v>52</v>
      </c>
      <c r="B69">
        <v>5</v>
      </c>
      <c r="C69" t="str">
        <f t="shared" si="0"/>
        <v>400</v>
      </c>
      <c r="D69" t="s">
        <v>12</v>
      </c>
      <c r="F69">
        <v>2025</v>
      </c>
      <c r="G69">
        <f t="shared" si="1"/>
        <v>5</v>
      </c>
      <c r="H69" t="str">
        <f t="shared" si="2"/>
        <v>400 Asbury Foundation</v>
      </c>
      <c r="I69" s="16" cm="1">
        <f t="array" ref="I69">INDEX('OC-Monthly'!$B$7:$N$65,_xlfn.XMATCH($A69,'OC-Monthly'!$A$7:$A$65),_xlfn.XMATCH($B69,'OC-Monthly'!$B$1:$N$1))</f>
        <v>24828.067167827619</v>
      </c>
      <c r="J69" s="16" cm="1">
        <f t="array" ref="J69">INDEX('OC-Monthly'!$P$7:$AB$65,_xlfn.XMATCH($A69,'OC-Monthly'!$A$7:$A$65),_xlfn.XMATCH($B69,'OC-Monthly'!$P$1:$AB$1))</f>
        <v>60754.521666666675</v>
      </c>
      <c r="K69" s="1" t="s">
        <v>8</v>
      </c>
      <c r="L69" s="1" t="s">
        <v>7</v>
      </c>
      <c r="M69" s="15">
        <f t="shared" si="3"/>
        <v>2.4470097191211404</v>
      </c>
    </row>
    <row r="70" spans="1:13" x14ac:dyDescent="0.25">
      <c r="A70" t="s">
        <v>52</v>
      </c>
      <c r="B70">
        <v>6</v>
      </c>
      <c r="C70" t="str">
        <f t="shared" ref="C70:C133" si="4">LEFT(A70,3)</f>
        <v>400</v>
      </c>
      <c r="D70" t="s">
        <v>12</v>
      </c>
      <c r="F70">
        <v>2025</v>
      </c>
      <c r="G70">
        <f t="shared" ref="G70:G133" si="5">B70</f>
        <v>6</v>
      </c>
      <c r="H70" t="str">
        <f t="shared" ref="H70:H133" si="6">D70</f>
        <v>400 Asbury Foundation</v>
      </c>
      <c r="I70" s="16" cm="1">
        <f t="array" ref="I70">INDEX('OC-Monthly'!$B$7:$N$65,_xlfn.XMATCH($A70,'OC-Monthly'!$A$7:$A$65),_xlfn.XMATCH($B70,'OC-Monthly'!$B$1:$N$1))</f>
        <v>134609.65346035117</v>
      </c>
      <c r="J70" s="16" cm="1">
        <f t="array" ref="J70">INDEX('OC-Monthly'!$P$7:$AB$65,_xlfn.XMATCH($A70,'OC-Monthly'!$A$7:$A$65),_xlfn.XMATCH($B70,'OC-Monthly'!$P$1:$AB$1))</f>
        <v>57427.611666666671</v>
      </c>
      <c r="K70" s="1" t="s">
        <v>8</v>
      </c>
      <c r="L70" s="1" t="s">
        <v>7</v>
      </c>
      <c r="M70" s="15">
        <f t="shared" ref="M70:M133" si="7">IFERROR(J70/I70,"na")</f>
        <v>0.42662327842320602</v>
      </c>
    </row>
    <row r="71" spans="1:13" x14ac:dyDescent="0.25">
      <c r="A71" t="s">
        <v>52</v>
      </c>
      <c r="B71">
        <v>7</v>
      </c>
      <c r="C71" t="str">
        <f t="shared" si="4"/>
        <v>400</v>
      </c>
      <c r="D71" t="s">
        <v>12</v>
      </c>
      <c r="F71">
        <v>2025</v>
      </c>
      <c r="G71">
        <f t="shared" si="5"/>
        <v>7</v>
      </c>
      <c r="H71" t="str">
        <f t="shared" si="6"/>
        <v>400 Asbury Foundation</v>
      </c>
      <c r="I71" s="16" cm="1">
        <f t="array" ref="I71">INDEX('OC-Monthly'!$B$7:$N$65,_xlfn.XMATCH($A71,'OC-Monthly'!$A$7:$A$65),_xlfn.XMATCH($B71,'OC-Monthly'!$B$1:$N$1))</f>
        <v>10069.452787155518</v>
      </c>
      <c r="J71" s="16" cm="1">
        <f t="array" ref="J71">INDEX('OC-Monthly'!$P$7:$AB$65,_xlfn.XMATCH($A71,'OC-Monthly'!$A$7:$A$65),_xlfn.XMATCH($B71,'OC-Monthly'!$P$1:$AB$1))</f>
        <v>62104.021666666653</v>
      </c>
      <c r="K71" s="1" t="s">
        <v>8</v>
      </c>
      <c r="L71" s="1" t="s">
        <v>7</v>
      </c>
      <c r="M71" s="15">
        <f t="shared" si="7"/>
        <v>6.1675666969595264</v>
      </c>
    </row>
    <row r="72" spans="1:13" x14ac:dyDescent="0.25">
      <c r="A72" t="s">
        <v>52</v>
      </c>
      <c r="B72">
        <v>8</v>
      </c>
      <c r="C72" t="str">
        <f t="shared" si="4"/>
        <v>400</v>
      </c>
      <c r="D72" t="s">
        <v>12</v>
      </c>
      <c r="F72">
        <v>2025</v>
      </c>
      <c r="G72">
        <f t="shared" si="5"/>
        <v>8</v>
      </c>
      <c r="H72" t="str">
        <f t="shared" si="6"/>
        <v>400 Asbury Foundation</v>
      </c>
      <c r="I72" s="16" cm="1">
        <f t="array" ref="I72">INDEX('OC-Monthly'!$B$7:$N$65,_xlfn.XMATCH($A72,'OC-Monthly'!$A$7:$A$65),_xlfn.XMATCH($B72,'OC-Monthly'!$B$1:$N$1))</f>
        <v>27632.427317067428</v>
      </c>
      <c r="J72" s="16" cm="1">
        <f t="array" ref="J72">INDEX('OC-Monthly'!$P$7:$AB$65,_xlfn.XMATCH($A72,'OC-Monthly'!$A$7:$A$65),_xlfn.XMATCH($B72,'OC-Monthly'!$P$1:$AB$1))</f>
        <v>66188.341666666689</v>
      </c>
      <c r="K72" s="1" t="s">
        <v>8</v>
      </c>
      <c r="L72" s="1" t="s">
        <v>7</v>
      </c>
      <c r="M72" s="15">
        <f t="shared" si="7"/>
        <v>2.3953140600784222</v>
      </c>
    </row>
    <row r="73" spans="1:13" x14ac:dyDescent="0.25">
      <c r="A73" t="s">
        <v>52</v>
      </c>
      <c r="B73">
        <v>9</v>
      </c>
      <c r="C73" t="str">
        <f t="shared" si="4"/>
        <v>400</v>
      </c>
      <c r="D73" t="s">
        <v>12</v>
      </c>
      <c r="F73">
        <v>2025</v>
      </c>
      <c r="G73">
        <f t="shared" si="5"/>
        <v>9</v>
      </c>
      <c r="H73" t="str">
        <f t="shared" si="6"/>
        <v>400 Asbury Foundation</v>
      </c>
      <c r="I73" s="16" cm="1">
        <f t="array" ref="I73">INDEX('OC-Monthly'!$B$7:$N$65,_xlfn.XMATCH($A73,'OC-Monthly'!$A$7:$A$65),_xlfn.XMATCH($B73,'OC-Monthly'!$B$1:$N$1))</f>
        <v>192182.44401444535</v>
      </c>
      <c r="J73" s="16" cm="1">
        <f t="array" ref="J73">INDEX('OC-Monthly'!$P$7:$AB$65,_xlfn.XMATCH($A73,'OC-Monthly'!$A$7:$A$65),_xlfn.XMATCH($B73,'OC-Monthly'!$P$1:$AB$1))</f>
        <v>103578.86166666669</v>
      </c>
      <c r="K73" s="1" t="s">
        <v>8</v>
      </c>
      <c r="L73" s="1" t="s">
        <v>7</v>
      </c>
      <c r="M73" s="15">
        <f t="shared" si="7"/>
        <v>0.53896110124856778</v>
      </c>
    </row>
    <row r="74" spans="1:13" x14ac:dyDescent="0.25">
      <c r="A74" t="s">
        <v>52</v>
      </c>
      <c r="B74">
        <v>10</v>
      </c>
      <c r="C74" t="str">
        <f t="shared" si="4"/>
        <v>400</v>
      </c>
      <c r="D74" t="s">
        <v>12</v>
      </c>
      <c r="F74">
        <v>2025</v>
      </c>
      <c r="G74">
        <f t="shared" si="5"/>
        <v>10</v>
      </c>
      <c r="H74" t="str">
        <f t="shared" si="6"/>
        <v>400 Asbury Foundation</v>
      </c>
      <c r="I74" s="16" cm="1">
        <f t="array" ref="I74">INDEX('OC-Monthly'!$B$7:$N$65,_xlfn.XMATCH($A74,'OC-Monthly'!$A$7:$A$65),_xlfn.XMATCH($B74,'OC-Monthly'!$B$1:$N$1))</f>
        <v>10007.637899662075</v>
      </c>
      <c r="J74" s="16" cm="1">
        <f t="array" ref="J74">INDEX('OC-Monthly'!$P$7:$AB$65,_xlfn.XMATCH($A74,'OC-Monthly'!$A$7:$A$65),_xlfn.XMATCH($B74,'OC-Monthly'!$P$1:$AB$1))</f>
        <v>63600.021666666638</v>
      </c>
      <c r="K74" s="1" t="s">
        <v>8</v>
      </c>
      <c r="L74" s="1" t="s">
        <v>7</v>
      </c>
      <c r="M74" s="15">
        <f t="shared" si="7"/>
        <v>6.3551481682619837</v>
      </c>
    </row>
    <row r="75" spans="1:13" x14ac:dyDescent="0.25">
      <c r="A75" t="s">
        <v>52</v>
      </c>
      <c r="B75">
        <v>11</v>
      </c>
      <c r="C75" t="str">
        <f t="shared" si="4"/>
        <v>400</v>
      </c>
      <c r="D75" t="s">
        <v>12</v>
      </c>
      <c r="F75">
        <v>2025</v>
      </c>
      <c r="G75">
        <f t="shared" si="5"/>
        <v>11</v>
      </c>
      <c r="H75" t="str">
        <f t="shared" si="6"/>
        <v>400 Asbury Foundation</v>
      </c>
      <c r="I75" s="16" cm="1">
        <f t="array" ref="I75">INDEX('OC-Monthly'!$B$7:$N$65,_xlfn.XMATCH($A75,'OC-Monthly'!$A$7:$A$65),_xlfn.XMATCH($B75,'OC-Monthly'!$B$1:$N$1))</f>
        <v>23066.41788043483</v>
      </c>
      <c r="J75" s="16" cm="1">
        <f t="array" ref="J75">INDEX('OC-Monthly'!$P$7:$AB$65,_xlfn.XMATCH($A75,'OC-Monthly'!$A$7:$A$65),_xlfn.XMATCH($B75,'OC-Monthly'!$P$1:$AB$1))</f>
        <v>58452.611666666642</v>
      </c>
      <c r="K75" s="1" t="s">
        <v>8</v>
      </c>
      <c r="L75" s="1" t="s">
        <v>7</v>
      </c>
      <c r="M75" s="15">
        <f t="shared" si="7"/>
        <v>2.5341000917288827</v>
      </c>
    </row>
    <row r="76" spans="1:13" x14ac:dyDescent="0.25">
      <c r="A76" t="s">
        <v>52</v>
      </c>
      <c r="B76">
        <v>12</v>
      </c>
      <c r="C76" t="str">
        <f t="shared" si="4"/>
        <v>400</v>
      </c>
      <c r="D76" t="s">
        <v>12</v>
      </c>
      <c r="F76">
        <v>2025</v>
      </c>
      <c r="G76">
        <f t="shared" si="5"/>
        <v>12</v>
      </c>
      <c r="H76" t="str">
        <f t="shared" si="6"/>
        <v>400 Asbury Foundation</v>
      </c>
      <c r="I76" s="16" cm="1">
        <f t="array" ref="I76">INDEX('OC-Monthly'!$B$7:$N$65,_xlfn.XMATCH($A76,'OC-Monthly'!$A$7:$A$65),_xlfn.XMATCH($B76,'OC-Monthly'!$B$1:$N$1))</f>
        <v>111913.78333802504</v>
      </c>
      <c r="J76" s="16" cm="1">
        <f t="array" ref="J76">INDEX('OC-Monthly'!$P$7:$AB$65,_xlfn.XMATCH($A76,'OC-Monthly'!$A$7:$A$65),_xlfn.XMATCH($B76,'OC-Monthly'!$P$1:$AB$1))</f>
        <v>64568.04166666665</v>
      </c>
      <c r="K76" s="1" t="s">
        <v>8</v>
      </c>
      <c r="L76" s="1" t="s">
        <v>7</v>
      </c>
      <c r="M76" s="15">
        <f t="shared" si="7"/>
        <v>0.57694449906715206</v>
      </c>
    </row>
    <row r="77" spans="1:13" x14ac:dyDescent="0.25">
      <c r="A77" t="s">
        <v>53</v>
      </c>
      <c r="B77">
        <v>1</v>
      </c>
      <c r="C77" t="str">
        <f t="shared" si="4"/>
        <v>500</v>
      </c>
      <c r="D77" t="s">
        <v>13</v>
      </c>
      <c r="F77">
        <v>2025</v>
      </c>
      <c r="G77">
        <f t="shared" si="5"/>
        <v>1</v>
      </c>
      <c r="H77" t="str">
        <f t="shared" si="6"/>
        <v>500 Asbury Communities</v>
      </c>
      <c r="I77" s="16" cm="1">
        <f t="array" ref="I77">INDEX('OC-Monthly'!$B$7:$N$65,_xlfn.XMATCH($A77,'OC-Monthly'!$A$7:$A$65),_xlfn.XMATCH($B77,'OC-Monthly'!$B$1:$N$1))</f>
        <v>1676489</v>
      </c>
      <c r="J77" s="16" cm="1">
        <f t="array" ref="J77">INDEX('OC-Monthly'!$P$7:$AB$65,_xlfn.XMATCH($A77,'OC-Monthly'!$A$7:$A$65),_xlfn.XMATCH($B77,'OC-Monthly'!$P$1:$AB$1))</f>
        <v>1997369.181483421</v>
      </c>
      <c r="K77" s="1" t="s">
        <v>8</v>
      </c>
      <c r="L77" s="1" t="s">
        <v>7</v>
      </c>
      <c r="M77" s="15">
        <f t="shared" si="7"/>
        <v>1.191400111473097</v>
      </c>
    </row>
    <row r="78" spans="1:13" x14ac:dyDescent="0.25">
      <c r="A78" t="s">
        <v>53</v>
      </c>
      <c r="B78">
        <v>2</v>
      </c>
      <c r="C78" t="str">
        <f t="shared" si="4"/>
        <v>500</v>
      </c>
      <c r="D78" t="s">
        <v>13</v>
      </c>
      <c r="F78">
        <v>2025</v>
      </c>
      <c r="G78">
        <f t="shared" si="5"/>
        <v>2</v>
      </c>
      <c r="H78" t="str">
        <f t="shared" si="6"/>
        <v>500 Asbury Communities</v>
      </c>
      <c r="I78" s="16" cm="1">
        <f t="array" ref="I78">INDEX('OC-Monthly'!$B$7:$N$65,_xlfn.XMATCH($A78,'OC-Monthly'!$A$7:$A$65),_xlfn.XMATCH($B78,'OC-Monthly'!$B$1:$N$1))</f>
        <v>1670325</v>
      </c>
      <c r="J78" s="16" cm="1">
        <f t="array" ref="J78">INDEX('OC-Monthly'!$P$7:$AB$65,_xlfn.XMATCH($A78,'OC-Monthly'!$A$7:$A$65),_xlfn.XMATCH($B78,'OC-Monthly'!$P$1:$AB$1))</f>
        <v>1852131.9436433448</v>
      </c>
      <c r="K78" s="1" t="s">
        <v>8</v>
      </c>
      <c r="L78" s="1" t="s">
        <v>7</v>
      </c>
      <c r="M78" s="15">
        <f t="shared" si="7"/>
        <v>1.1088452508603683</v>
      </c>
    </row>
    <row r="79" spans="1:13" x14ac:dyDescent="0.25">
      <c r="A79" t="s">
        <v>53</v>
      </c>
      <c r="B79">
        <v>3</v>
      </c>
      <c r="C79" t="str">
        <f t="shared" si="4"/>
        <v>500</v>
      </c>
      <c r="D79" t="s">
        <v>13</v>
      </c>
      <c r="F79">
        <v>2025</v>
      </c>
      <c r="G79">
        <f t="shared" si="5"/>
        <v>3</v>
      </c>
      <c r="H79" t="str">
        <f t="shared" si="6"/>
        <v>500 Asbury Communities</v>
      </c>
      <c r="I79" s="16" cm="1">
        <f t="array" ref="I79">INDEX('OC-Monthly'!$B$7:$N$65,_xlfn.XMATCH($A79,'OC-Monthly'!$A$7:$A$65),_xlfn.XMATCH($B79,'OC-Monthly'!$B$1:$N$1))</f>
        <v>1679439</v>
      </c>
      <c r="J79" s="16" cm="1">
        <f t="array" ref="J79">INDEX('OC-Monthly'!$P$7:$AB$65,_xlfn.XMATCH($A79,'OC-Monthly'!$A$7:$A$65),_xlfn.XMATCH($B79,'OC-Monthly'!$P$1:$AB$1))</f>
        <v>1954143.1054077104</v>
      </c>
      <c r="K79" s="1" t="s">
        <v>8</v>
      </c>
      <c r="L79" s="1" t="s">
        <v>7</v>
      </c>
      <c r="M79" s="15">
        <f t="shared" si="7"/>
        <v>1.1635689688090549</v>
      </c>
    </row>
    <row r="80" spans="1:13" x14ac:dyDescent="0.25">
      <c r="A80" t="s">
        <v>53</v>
      </c>
      <c r="B80">
        <v>4</v>
      </c>
      <c r="C80" t="str">
        <f t="shared" si="4"/>
        <v>500</v>
      </c>
      <c r="D80" t="s">
        <v>13</v>
      </c>
      <c r="F80">
        <v>2025</v>
      </c>
      <c r="G80">
        <f t="shared" si="5"/>
        <v>4</v>
      </c>
      <c r="H80" t="str">
        <f t="shared" si="6"/>
        <v>500 Asbury Communities</v>
      </c>
      <c r="I80" s="16" cm="1">
        <f t="array" ref="I80">INDEX('OC-Monthly'!$B$7:$N$65,_xlfn.XMATCH($A80,'OC-Monthly'!$A$7:$A$65),_xlfn.XMATCH($B80,'OC-Monthly'!$B$1:$N$1))</f>
        <v>1692824</v>
      </c>
      <c r="J80" s="16" cm="1">
        <f t="array" ref="J80">INDEX('OC-Monthly'!$P$7:$AB$65,_xlfn.XMATCH($A80,'OC-Monthly'!$A$7:$A$65),_xlfn.XMATCH($B80,'OC-Monthly'!$P$1:$AB$1))</f>
        <v>1966593.5247965795</v>
      </c>
      <c r="K80" s="1" t="s">
        <v>8</v>
      </c>
      <c r="L80" s="1" t="s">
        <v>7</v>
      </c>
      <c r="M80" s="15">
        <f t="shared" si="7"/>
        <v>1.1617235606280272</v>
      </c>
    </row>
    <row r="81" spans="1:13" x14ac:dyDescent="0.25">
      <c r="A81" t="s">
        <v>53</v>
      </c>
      <c r="B81">
        <v>5</v>
      </c>
      <c r="C81" t="str">
        <f t="shared" si="4"/>
        <v>500</v>
      </c>
      <c r="D81" t="s">
        <v>13</v>
      </c>
      <c r="F81">
        <v>2025</v>
      </c>
      <c r="G81">
        <f t="shared" si="5"/>
        <v>5</v>
      </c>
      <c r="H81" t="str">
        <f t="shared" si="6"/>
        <v>500 Asbury Communities</v>
      </c>
      <c r="I81" s="16" cm="1">
        <f t="array" ref="I81">INDEX('OC-Monthly'!$B$7:$N$65,_xlfn.XMATCH($A81,'OC-Monthly'!$A$7:$A$65),_xlfn.XMATCH($B81,'OC-Monthly'!$B$1:$N$1))</f>
        <v>1675913</v>
      </c>
      <c r="J81" s="16" cm="1">
        <f t="array" ref="J81">INDEX('OC-Monthly'!$P$7:$AB$65,_xlfn.XMATCH($A81,'OC-Monthly'!$A$7:$A$65),_xlfn.XMATCH($B81,'OC-Monthly'!$P$1:$AB$1))</f>
        <v>2098029.6102333656</v>
      </c>
      <c r="K81" s="1" t="s">
        <v>8</v>
      </c>
      <c r="L81" s="1" t="s">
        <v>7</v>
      </c>
      <c r="M81" s="15">
        <f t="shared" si="7"/>
        <v>1.251872627178956</v>
      </c>
    </row>
    <row r="82" spans="1:13" x14ac:dyDescent="0.25">
      <c r="A82" t="s">
        <v>53</v>
      </c>
      <c r="B82">
        <v>6</v>
      </c>
      <c r="C82" t="str">
        <f t="shared" si="4"/>
        <v>500</v>
      </c>
      <c r="D82" t="s">
        <v>13</v>
      </c>
      <c r="F82">
        <v>2025</v>
      </c>
      <c r="G82">
        <f t="shared" si="5"/>
        <v>6</v>
      </c>
      <c r="H82" t="str">
        <f t="shared" si="6"/>
        <v>500 Asbury Communities</v>
      </c>
      <c r="I82" s="16" cm="1">
        <f t="array" ref="I82">INDEX('OC-Monthly'!$B$7:$N$65,_xlfn.XMATCH($A82,'OC-Monthly'!$A$7:$A$65),_xlfn.XMATCH($B82,'OC-Monthly'!$B$1:$N$1))</f>
        <v>1683439</v>
      </c>
      <c r="J82" s="16" cm="1">
        <f t="array" ref="J82">INDEX('OC-Monthly'!$P$7:$AB$65,_xlfn.XMATCH($A82,'OC-Monthly'!$A$7:$A$65),_xlfn.XMATCH($B82,'OC-Monthly'!$P$1:$AB$1))</f>
        <v>1917467.9701549164</v>
      </c>
      <c r="K82" s="1" t="s">
        <v>8</v>
      </c>
      <c r="L82" s="1" t="s">
        <v>7</v>
      </c>
      <c r="M82" s="15">
        <f t="shared" si="7"/>
        <v>1.1390183844825481</v>
      </c>
    </row>
    <row r="83" spans="1:13" x14ac:dyDescent="0.25">
      <c r="A83" t="s">
        <v>53</v>
      </c>
      <c r="B83">
        <v>7</v>
      </c>
      <c r="C83" t="str">
        <f t="shared" si="4"/>
        <v>500</v>
      </c>
      <c r="D83" t="s">
        <v>13</v>
      </c>
      <c r="F83">
        <v>2025</v>
      </c>
      <c r="G83">
        <f t="shared" si="5"/>
        <v>7</v>
      </c>
      <c r="H83" t="str">
        <f t="shared" si="6"/>
        <v>500 Asbury Communities</v>
      </c>
      <c r="I83" s="16" cm="1">
        <f t="array" ref="I83">INDEX('OC-Monthly'!$B$7:$N$65,_xlfn.XMATCH($A83,'OC-Monthly'!$A$7:$A$65),_xlfn.XMATCH($B83,'OC-Monthly'!$B$1:$N$1))</f>
        <v>1682989</v>
      </c>
      <c r="J83" s="16" cm="1">
        <f t="array" ref="J83">INDEX('OC-Monthly'!$P$7:$AB$65,_xlfn.XMATCH($A83,'OC-Monthly'!$A$7:$A$65),_xlfn.XMATCH($B83,'OC-Monthly'!$P$1:$AB$1))</f>
        <v>1991042.3905169589</v>
      </c>
      <c r="K83" s="1" t="s">
        <v>8</v>
      </c>
      <c r="L83" s="1" t="s">
        <v>7</v>
      </c>
      <c r="M83" s="15">
        <f t="shared" si="7"/>
        <v>1.1830394557046771</v>
      </c>
    </row>
    <row r="84" spans="1:13" x14ac:dyDescent="0.25">
      <c r="A84" t="s">
        <v>53</v>
      </c>
      <c r="B84">
        <v>8</v>
      </c>
      <c r="C84" t="str">
        <f t="shared" si="4"/>
        <v>500</v>
      </c>
      <c r="D84" t="s">
        <v>13</v>
      </c>
      <c r="F84">
        <v>2025</v>
      </c>
      <c r="G84">
        <f t="shared" si="5"/>
        <v>8</v>
      </c>
      <c r="H84" t="str">
        <f t="shared" si="6"/>
        <v>500 Asbury Communities</v>
      </c>
      <c r="I84" s="16" cm="1">
        <f t="array" ref="I84">INDEX('OC-Monthly'!$B$7:$N$65,_xlfn.XMATCH($A84,'OC-Monthly'!$A$7:$A$65),_xlfn.XMATCH($B84,'OC-Monthly'!$B$1:$N$1))</f>
        <v>1675825</v>
      </c>
      <c r="J84" s="16" cm="1">
        <f t="array" ref="J84">INDEX('OC-Monthly'!$P$7:$AB$65,_xlfn.XMATCH($A84,'OC-Monthly'!$A$7:$A$65),_xlfn.XMATCH($B84,'OC-Monthly'!$P$1:$AB$1))</f>
        <v>1992841.3687996245</v>
      </c>
      <c r="K84" s="1" t="s">
        <v>8</v>
      </c>
      <c r="L84" s="1" t="s">
        <v>7</v>
      </c>
      <c r="M84" s="15">
        <f t="shared" si="7"/>
        <v>1.1891703303146954</v>
      </c>
    </row>
    <row r="85" spans="1:13" x14ac:dyDescent="0.25">
      <c r="A85" t="s">
        <v>53</v>
      </c>
      <c r="B85">
        <v>9</v>
      </c>
      <c r="C85" t="str">
        <f t="shared" si="4"/>
        <v>500</v>
      </c>
      <c r="D85" t="s">
        <v>13</v>
      </c>
      <c r="F85">
        <v>2025</v>
      </c>
      <c r="G85">
        <f t="shared" si="5"/>
        <v>9</v>
      </c>
      <c r="H85" t="str">
        <f t="shared" si="6"/>
        <v>500 Asbury Communities</v>
      </c>
      <c r="I85" s="16" cm="1">
        <f t="array" ref="I85">INDEX('OC-Monthly'!$B$7:$N$65,_xlfn.XMATCH($A85,'OC-Monthly'!$A$7:$A$65),_xlfn.XMATCH($B85,'OC-Monthly'!$B$1:$N$1))</f>
        <v>1681439</v>
      </c>
      <c r="J85" s="16" cm="1">
        <f t="array" ref="J85">INDEX('OC-Monthly'!$P$7:$AB$65,_xlfn.XMATCH($A85,'OC-Monthly'!$A$7:$A$65),_xlfn.XMATCH($B85,'OC-Monthly'!$P$1:$AB$1))</f>
        <v>1892249.4126826704</v>
      </c>
      <c r="K85" s="1" t="s">
        <v>8</v>
      </c>
      <c r="L85" s="1" t="s">
        <v>7</v>
      </c>
      <c r="M85" s="15">
        <f t="shared" si="7"/>
        <v>1.1253749988448409</v>
      </c>
    </row>
    <row r="86" spans="1:13" x14ac:dyDescent="0.25">
      <c r="A86" t="s">
        <v>53</v>
      </c>
      <c r="B86">
        <v>10</v>
      </c>
      <c r="C86" t="str">
        <f t="shared" si="4"/>
        <v>500</v>
      </c>
      <c r="D86" t="s">
        <v>13</v>
      </c>
      <c r="F86">
        <v>2025</v>
      </c>
      <c r="G86">
        <f t="shared" si="5"/>
        <v>10</v>
      </c>
      <c r="H86" t="str">
        <f t="shared" si="6"/>
        <v>500 Asbury Communities</v>
      </c>
      <c r="I86" s="16" cm="1">
        <f t="array" ref="I86">INDEX('OC-Monthly'!$B$7:$N$65,_xlfn.XMATCH($A86,'OC-Monthly'!$A$7:$A$65),_xlfn.XMATCH($B86,'OC-Monthly'!$B$1:$N$1))</f>
        <v>1678961</v>
      </c>
      <c r="J86" s="16" cm="1">
        <f t="array" ref="J86">INDEX('OC-Monthly'!$P$7:$AB$65,_xlfn.XMATCH($A86,'OC-Monthly'!$A$7:$A$65),_xlfn.XMATCH($B86,'OC-Monthly'!$P$1:$AB$1))</f>
        <v>2024939.0106682864</v>
      </c>
      <c r="K86" s="1" t="s">
        <v>8</v>
      </c>
      <c r="L86" s="1" t="s">
        <v>7</v>
      </c>
      <c r="M86" s="15">
        <f t="shared" si="7"/>
        <v>1.2060667345270595</v>
      </c>
    </row>
    <row r="87" spans="1:13" x14ac:dyDescent="0.25">
      <c r="A87" t="s">
        <v>53</v>
      </c>
      <c r="B87">
        <v>11</v>
      </c>
      <c r="C87" t="str">
        <f t="shared" si="4"/>
        <v>500</v>
      </c>
      <c r="D87" t="s">
        <v>13</v>
      </c>
      <c r="F87">
        <v>2025</v>
      </c>
      <c r="G87">
        <f t="shared" si="5"/>
        <v>11</v>
      </c>
      <c r="H87" t="str">
        <f t="shared" si="6"/>
        <v>500 Asbury Communities</v>
      </c>
      <c r="I87" s="16" cm="1">
        <f t="array" ref="I87">INDEX('OC-Monthly'!$B$7:$N$65,_xlfn.XMATCH($A87,'OC-Monthly'!$A$7:$A$65),_xlfn.XMATCH($B87,'OC-Monthly'!$B$1:$N$1))</f>
        <v>1670413</v>
      </c>
      <c r="J87" s="16" cm="1">
        <f t="array" ref="J87">INDEX('OC-Monthly'!$P$7:$AB$65,_xlfn.XMATCH($A87,'OC-Monthly'!$A$7:$A$65),_xlfn.XMATCH($B87,'OC-Monthly'!$P$1:$AB$1))</f>
        <v>1862936.5490935128</v>
      </c>
      <c r="K87" s="1" t="s">
        <v>8</v>
      </c>
      <c r="L87" s="1" t="s">
        <v>7</v>
      </c>
      <c r="M87" s="15">
        <f t="shared" si="7"/>
        <v>1.1152550591341859</v>
      </c>
    </row>
    <row r="88" spans="1:13" x14ac:dyDescent="0.25">
      <c r="A88" t="s">
        <v>53</v>
      </c>
      <c r="B88">
        <v>12</v>
      </c>
      <c r="C88" t="str">
        <f t="shared" si="4"/>
        <v>500</v>
      </c>
      <c r="D88" t="s">
        <v>13</v>
      </c>
      <c r="F88">
        <v>2025</v>
      </c>
      <c r="G88">
        <f t="shared" si="5"/>
        <v>12</v>
      </c>
      <c r="H88" t="str">
        <f t="shared" si="6"/>
        <v>500 Asbury Communities</v>
      </c>
      <c r="I88" s="16" cm="1">
        <f t="array" ref="I88">INDEX('OC-Monthly'!$B$7:$N$65,_xlfn.XMATCH($A88,'OC-Monthly'!$A$7:$A$65),_xlfn.XMATCH($B88,'OC-Monthly'!$B$1:$N$1))</f>
        <v>1676939</v>
      </c>
      <c r="J88" s="16" cm="1">
        <f t="array" ref="J88">INDEX('OC-Monthly'!$P$7:$AB$65,_xlfn.XMATCH($A88,'OC-Monthly'!$A$7:$A$65),_xlfn.XMATCH($B88,'OC-Monthly'!$P$1:$AB$1))</f>
        <v>1912020.2167090825</v>
      </c>
      <c r="K88" s="1" t="s">
        <v>8</v>
      </c>
      <c r="L88" s="1" t="s">
        <v>7</v>
      </c>
      <c r="M88" s="15">
        <f t="shared" si="7"/>
        <v>1.140184715549631</v>
      </c>
    </row>
    <row r="89" spans="1:13" x14ac:dyDescent="0.25">
      <c r="A89" t="s">
        <v>15</v>
      </c>
      <c r="B89">
        <v>1</v>
      </c>
      <c r="C89" t="str">
        <f t="shared" si="4"/>
        <v>650</v>
      </c>
      <c r="D89" t="s">
        <v>15</v>
      </c>
      <c r="F89">
        <v>2025</v>
      </c>
      <c r="G89">
        <f t="shared" si="5"/>
        <v>1</v>
      </c>
      <c r="H89" t="str">
        <f t="shared" si="6"/>
        <v>650 Asbury Place Maryville</v>
      </c>
      <c r="I89" s="16" cm="1">
        <f t="array" ref="I89">INDEX('OC-Monthly'!$B$7:$N$65,_xlfn.XMATCH($A89,'OC-Monthly'!$A$7:$A$65),_xlfn.XMATCH($B89,'OC-Monthly'!$B$1:$N$1))</f>
        <v>0</v>
      </c>
      <c r="J89" s="16" cm="1">
        <f t="array" ref="J89">INDEX('OC-Monthly'!$P$7:$AB$65,_xlfn.XMATCH($A89,'OC-Monthly'!$A$7:$A$65),_xlfn.XMATCH($B89,'OC-Monthly'!$P$1:$AB$1))</f>
        <v>0</v>
      </c>
      <c r="K89" s="1" t="s">
        <v>8</v>
      </c>
      <c r="L89" s="1" t="s">
        <v>7</v>
      </c>
      <c r="M89" s="15" t="str">
        <f t="shared" si="7"/>
        <v>na</v>
      </c>
    </row>
    <row r="90" spans="1:13" x14ac:dyDescent="0.25">
      <c r="A90" t="s">
        <v>15</v>
      </c>
      <c r="B90">
        <v>2</v>
      </c>
      <c r="C90" t="str">
        <f t="shared" si="4"/>
        <v>650</v>
      </c>
      <c r="D90" t="s">
        <v>15</v>
      </c>
      <c r="F90">
        <v>2025</v>
      </c>
      <c r="G90">
        <f t="shared" si="5"/>
        <v>2</v>
      </c>
      <c r="H90" t="str">
        <f t="shared" si="6"/>
        <v>650 Asbury Place Maryville</v>
      </c>
      <c r="I90" s="16" cm="1">
        <f t="array" ref="I90">INDEX('OC-Monthly'!$B$7:$N$65,_xlfn.XMATCH($A90,'OC-Monthly'!$A$7:$A$65),_xlfn.XMATCH($B90,'OC-Monthly'!$B$1:$N$1))</f>
        <v>0</v>
      </c>
      <c r="J90" s="16" cm="1">
        <f t="array" ref="J90">INDEX('OC-Monthly'!$P$7:$AB$65,_xlfn.XMATCH($A90,'OC-Monthly'!$A$7:$A$65),_xlfn.XMATCH($B90,'OC-Monthly'!$P$1:$AB$1))</f>
        <v>0</v>
      </c>
      <c r="K90" s="1" t="s">
        <v>8</v>
      </c>
      <c r="L90" s="1" t="s">
        <v>7</v>
      </c>
      <c r="M90" s="15" t="str">
        <f t="shared" si="7"/>
        <v>na</v>
      </c>
    </row>
    <row r="91" spans="1:13" x14ac:dyDescent="0.25">
      <c r="A91" t="s">
        <v>15</v>
      </c>
      <c r="B91">
        <v>3</v>
      </c>
      <c r="C91" t="str">
        <f t="shared" si="4"/>
        <v>650</v>
      </c>
      <c r="D91" t="s">
        <v>15</v>
      </c>
      <c r="F91">
        <v>2025</v>
      </c>
      <c r="G91">
        <f t="shared" si="5"/>
        <v>3</v>
      </c>
      <c r="H91" t="str">
        <f t="shared" si="6"/>
        <v>650 Asbury Place Maryville</v>
      </c>
      <c r="I91" s="16" cm="1">
        <f t="array" ref="I91">INDEX('OC-Monthly'!$B$7:$N$65,_xlfn.XMATCH($A91,'OC-Monthly'!$A$7:$A$65),_xlfn.XMATCH($B91,'OC-Monthly'!$B$1:$N$1))</f>
        <v>0</v>
      </c>
      <c r="J91" s="16" cm="1">
        <f t="array" ref="J91">INDEX('OC-Monthly'!$P$7:$AB$65,_xlfn.XMATCH($A91,'OC-Monthly'!$A$7:$A$65),_xlfn.XMATCH($B91,'OC-Monthly'!$P$1:$AB$1))</f>
        <v>0</v>
      </c>
      <c r="K91" s="1" t="s">
        <v>8</v>
      </c>
      <c r="L91" s="1" t="s">
        <v>7</v>
      </c>
      <c r="M91" s="15" t="str">
        <f t="shared" si="7"/>
        <v>na</v>
      </c>
    </row>
    <row r="92" spans="1:13" x14ac:dyDescent="0.25">
      <c r="A92" t="s">
        <v>15</v>
      </c>
      <c r="B92">
        <v>4</v>
      </c>
      <c r="C92" t="str">
        <f t="shared" si="4"/>
        <v>650</v>
      </c>
      <c r="D92" t="s">
        <v>15</v>
      </c>
      <c r="F92">
        <v>2025</v>
      </c>
      <c r="G92">
        <f t="shared" si="5"/>
        <v>4</v>
      </c>
      <c r="H92" t="str">
        <f t="shared" si="6"/>
        <v>650 Asbury Place Maryville</v>
      </c>
      <c r="I92" s="16" cm="1">
        <f t="array" ref="I92">INDEX('OC-Monthly'!$B$7:$N$65,_xlfn.XMATCH($A92,'OC-Monthly'!$A$7:$A$65),_xlfn.XMATCH($B92,'OC-Monthly'!$B$1:$N$1))</f>
        <v>0</v>
      </c>
      <c r="J92" s="16" cm="1">
        <f t="array" ref="J92">INDEX('OC-Monthly'!$P$7:$AB$65,_xlfn.XMATCH($A92,'OC-Monthly'!$A$7:$A$65),_xlfn.XMATCH($B92,'OC-Monthly'!$P$1:$AB$1))</f>
        <v>0</v>
      </c>
      <c r="K92" s="1" t="s">
        <v>8</v>
      </c>
      <c r="L92" s="1" t="s">
        <v>7</v>
      </c>
      <c r="M92" s="15" t="str">
        <f t="shared" si="7"/>
        <v>na</v>
      </c>
    </row>
    <row r="93" spans="1:13" x14ac:dyDescent="0.25">
      <c r="A93" t="s">
        <v>15</v>
      </c>
      <c r="B93">
        <v>5</v>
      </c>
      <c r="C93" t="str">
        <f t="shared" si="4"/>
        <v>650</v>
      </c>
      <c r="D93" t="s">
        <v>15</v>
      </c>
      <c r="F93">
        <v>2025</v>
      </c>
      <c r="G93">
        <f t="shared" si="5"/>
        <v>5</v>
      </c>
      <c r="H93" t="str">
        <f t="shared" si="6"/>
        <v>650 Asbury Place Maryville</v>
      </c>
      <c r="I93" s="16" cm="1">
        <f t="array" ref="I93">INDEX('OC-Monthly'!$B$7:$N$65,_xlfn.XMATCH($A93,'OC-Monthly'!$A$7:$A$65),_xlfn.XMATCH($B93,'OC-Monthly'!$B$1:$N$1))</f>
        <v>0</v>
      </c>
      <c r="J93" s="16" cm="1">
        <f t="array" ref="J93">INDEX('OC-Monthly'!$P$7:$AB$65,_xlfn.XMATCH($A93,'OC-Monthly'!$A$7:$A$65),_xlfn.XMATCH($B93,'OC-Monthly'!$P$1:$AB$1))</f>
        <v>0</v>
      </c>
      <c r="K93" s="1" t="s">
        <v>8</v>
      </c>
      <c r="L93" s="1" t="s">
        <v>7</v>
      </c>
      <c r="M93" s="15" t="str">
        <f t="shared" si="7"/>
        <v>na</v>
      </c>
    </row>
    <row r="94" spans="1:13" x14ac:dyDescent="0.25">
      <c r="A94" t="s">
        <v>15</v>
      </c>
      <c r="B94">
        <v>6</v>
      </c>
      <c r="C94" t="str">
        <f t="shared" si="4"/>
        <v>650</v>
      </c>
      <c r="D94" t="s">
        <v>15</v>
      </c>
      <c r="F94">
        <v>2025</v>
      </c>
      <c r="G94">
        <f t="shared" si="5"/>
        <v>6</v>
      </c>
      <c r="H94" t="str">
        <f t="shared" si="6"/>
        <v>650 Asbury Place Maryville</v>
      </c>
      <c r="I94" s="16" cm="1">
        <f t="array" ref="I94">INDEX('OC-Monthly'!$B$7:$N$65,_xlfn.XMATCH($A94,'OC-Monthly'!$A$7:$A$65),_xlfn.XMATCH($B94,'OC-Monthly'!$B$1:$N$1))</f>
        <v>0</v>
      </c>
      <c r="J94" s="16" cm="1">
        <f t="array" ref="J94">INDEX('OC-Monthly'!$P$7:$AB$65,_xlfn.XMATCH($A94,'OC-Monthly'!$A$7:$A$65),_xlfn.XMATCH($B94,'OC-Monthly'!$P$1:$AB$1))</f>
        <v>0</v>
      </c>
      <c r="K94" s="1" t="s">
        <v>8</v>
      </c>
      <c r="L94" s="1" t="s">
        <v>7</v>
      </c>
      <c r="M94" s="15" t="str">
        <f t="shared" si="7"/>
        <v>na</v>
      </c>
    </row>
    <row r="95" spans="1:13" x14ac:dyDescent="0.25">
      <c r="A95" t="s">
        <v>15</v>
      </c>
      <c r="B95">
        <v>7</v>
      </c>
      <c r="C95" t="str">
        <f t="shared" si="4"/>
        <v>650</v>
      </c>
      <c r="D95" t="s">
        <v>15</v>
      </c>
      <c r="F95">
        <v>2025</v>
      </c>
      <c r="G95">
        <f t="shared" si="5"/>
        <v>7</v>
      </c>
      <c r="H95" t="str">
        <f t="shared" si="6"/>
        <v>650 Asbury Place Maryville</v>
      </c>
      <c r="I95" s="16" cm="1">
        <f t="array" ref="I95">INDEX('OC-Monthly'!$B$7:$N$65,_xlfn.XMATCH($A95,'OC-Monthly'!$A$7:$A$65),_xlfn.XMATCH($B95,'OC-Monthly'!$B$1:$N$1))</f>
        <v>0</v>
      </c>
      <c r="J95" s="16" cm="1">
        <f t="array" ref="J95">INDEX('OC-Monthly'!$P$7:$AB$65,_xlfn.XMATCH($A95,'OC-Monthly'!$A$7:$A$65),_xlfn.XMATCH($B95,'OC-Monthly'!$P$1:$AB$1))</f>
        <v>0</v>
      </c>
      <c r="K95" s="1" t="s">
        <v>8</v>
      </c>
      <c r="L95" s="1" t="s">
        <v>7</v>
      </c>
      <c r="M95" s="15" t="str">
        <f t="shared" si="7"/>
        <v>na</v>
      </c>
    </row>
    <row r="96" spans="1:13" x14ac:dyDescent="0.25">
      <c r="A96" t="s">
        <v>15</v>
      </c>
      <c r="B96">
        <v>8</v>
      </c>
      <c r="C96" t="str">
        <f t="shared" si="4"/>
        <v>650</v>
      </c>
      <c r="D96" t="s">
        <v>15</v>
      </c>
      <c r="F96">
        <v>2025</v>
      </c>
      <c r="G96">
        <f t="shared" si="5"/>
        <v>8</v>
      </c>
      <c r="H96" t="str">
        <f t="shared" si="6"/>
        <v>650 Asbury Place Maryville</v>
      </c>
      <c r="I96" s="16" cm="1">
        <f t="array" ref="I96">INDEX('OC-Monthly'!$B$7:$N$65,_xlfn.XMATCH($A96,'OC-Monthly'!$A$7:$A$65),_xlfn.XMATCH($B96,'OC-Monthly'!$B$1:$N$1))</f>
        <v>0</v>
      </c>
      <c r="J96" s="16" cm="1">
        <f t="array" ref="J96">INDEX('OC-Monthly'!$P$7:$AB$65,_xlfn.XMATCH($A96,'OC-Monthly'!$A$7:$A$65),_xlfn.XMATCH($B96,'OC-Monthly'!$P$1:$AB$1))</f>
        <v>0</v>
      </c>
      <c r="K96" s="1" t="s">
        <v>8</v>
      </c>
      <c r="L96" s="1" t="s">
        <v>7</v>
      </c>
      <c r="M96" s="15" t="str">
        <f t="shared" si="7"/>
        <v>na</v>
      </c>
    </row>
    <row r="97" spans="1:13" x14ac:dyDescent="0.25">
      <c r="A97" t="s">
        <v>15</v>
      </c>
      <c r="B97">
        <v>9</v>
      </c>
      <c r="C97" t="str">
        <f t="shared" si="4"/>
        <v>650</v>
      </c>
      <c r="D97" t="s">
        <v>15</v>
      </c>
      <c r="F97">
        <v>2025</v>
      </c>
      <c r="G97">
        <f t="shared" si="5"/>
        <v>9</v>
      </c>
      <c r="H97" t="str">
        <f t="shared" si="6"/>
        <v>650 Asbury Place Maryville</v>
      </c>
      <c r="I97" s="16" cm="1">
        <f t="array" ref="I97">INDEX('OC-Monthly'!$B$7:$N$65,_xlfn.XMATCH($A97,'OC-Monthly'!$A$7:$A$65),_xlfn.XMATCH($B97,'OC-Monthly'!$B$1:$N$1))</f>
        <v>0</v>
      </c>
      <c r="J97" s="16" cm="1">
        <f t="array" ref="J97">INDEX('OC-Monthly'!$P$7:$AB$65,_xlfn.XMATCH($A97,'OC-Monthly'!$A$7:$A$65),_xlfn.XMATCH($B97,'OC-Monthly'!$P$1:$AB$1))</f>
        <v>0</v>
      </c>
      <c r="K97" s="1" t="s">
        <v>8</v>
      </c>
      <c r="L97" s="1" t="s">
        <v>7</v>
      </c>
      <c r="M97" s="15" t="str">
        <f t="shared" si="7"/>
        <v>na</v>
      </c>
    </row>
    <row r="98" spans="1:13" x14ac:dyDescent="0.25">
      <c r="A98" t="s">
        <v>15</v>
      </c>
      <c r="B98">
        <v>10</v>
      </c>
      <c r="C98" t="str">
        <f t="shared" si="4"/>
        <v>650</v>
      </c>
      <c r="D98" t="s">
        <v>15</v>
      </c>
      <c r="F98">
        <v>2025</v>
      </c>
      <c r="G98">
        <f t="shared" si="5"/>
        <v>10</v>
      </c>
      <c r="H98" t="str">
        <f t="shared" si="6"/>
        <v>650 Asbury Place Maryville</v>
      </c>
      <c r="I98" s="16" cm="1">
        <f t="array" ref="I98">INDEX('OC-Monthly'!$B$7:$N$65,_xlfn.XMATCH($A98,'OC-Monthly'!$A$7:$A$65),_xlfn.XMATCH($B98,'OC-Monthly'!$B$1:$N$1))</f>
        <v>0</v>
      </c>
      <c r="J98" s="16" cm="1">
        <f t="array" ref="J98">INDEX('OC-Monthly'!$P$7:$AB$65,_xlfn.XMATCH($A98,'OC-Monthly'!$A$7:$A$65),_xlfn.XMATCH($B98,'OC-Monthly'!$P$1:$AB$1))</f>
        <v>0</v>
      </c>
      <c r="K98" s="1" t="s">
        <v>8</v>
      </c>
      <c r="L98" s="1" t="s">
        <v>7</v>
      </c>
      <c r="M98" s="15" t="str">
        <f t="shared" si="7"/>
        <v>na</v>
      </c>
    </row>
    <row r="99" spans="1:13" x14ac:dyDescent="0.25">
      <c r="A99" t="s">
        <v>15</v>
      </c>
      <c r="B99">
        <v>11</v>
      </c>
      <c r="C99" t="str">
        <f t="shared" si="4"/>
        <v>650</v>
      </c>
      <c r="D99" t="s">
        <v>15</v>
      </c>
      <c r="F99">
        <v>2025</v>
      </c>
      <c r="G99">
        <f t="shared" si="5"/>
        <v>11</v>
      </c>
      <c r="H99" t="str">
        <f t="shared" si="6"/>
        <v>650 Asbury Place Maryville</v>
      </c>
      <c r="I99" s="16" cm="1">
        <f t="array" ref="I99">INDEX('OC-Monthly'!$B$7:$N$65,_xlfn.XMATCH($A99,'OC-Monthly'!$A$7:$A$65),_xlfn.XMATCH($B99,'OC-Monthly'!$B$1:$N$1))</f>
        <v>0</v>
      </c>
      <c r="J99" s="16" cm="1">
        <f t="array" ref="J99">INDEX('OC-Monthly'!$P$7:$AB$65,_xlfn.XMATCH($A99,'OC-Monthly'!$A$7:$A$65),_xlfn.XMATCH($B99,'OC-Monthly'!$P$1:$AB$1))</f>
        <v>0</v>
      </c>
      <c r="K99" s="1" t="s">
        <v>8</v>
      </c>
      <c r="L99" s="1" t="s">
        <v>7</v>
      </c>
      <c r="M99" s="15" t="str">
        <f t="shared" si="7"/>
        <v>na</v>
      </c>
    </row>
    <row r="100" spans="1:13" x14ac:dyDescent="0.25">
      <c r="A100" t="s">
        <v>15</v>
      </c>
      <c r="B100">
        <v>12</v>
      </c>
      <c r="C100" t="str">
        <f t="shared" si="4"/>
        <v>650</v>
      </c>
      <c r="D100" t="s">
        <v>15</v>
      </c>
      <c r="F100">
        <v>2025</v>
      </c>
      <c r="G100">
        <f t="shared" si="5"/>
        <v>12</v>
      </c>
      <c r="H100" t="str">
        <f t="shared" si="6"/>
        <v>650 Asbury Place Maryville</v>
      </c>
      <c r="I100" s="16" cm="1">
        <f t="array" ref="I100">INDEX('OC-Monthly'!$B$7:$N$65,_xlfn.XMATCH($A100,'OC-Monthly'!$A$7:$A$65),_xlfn.XMATCH($B100,'OC-Monthly'!$B$1:$N$1))</f>
        <v>0</v>
      </c>
      <c r="J100" s="16" cm="1">
        <f t="array" ref="J100">INDEX('OC-Monthly'!$P$7:$AB$65,_xlfn.XMATCH($A100,'OC-Monthly'!$A$7:$A$65),_xlfn.XMATCH($B100,'OC-Monthly'!$P$1:$AB$1))</f>
        <v>0</v>
      </c>
      <c r="K100" s="1" t="s">
        <v>8</v>
      </c>
      <c r="L100" s="1" t="s">
        <v>7</v>
      </c>
      <c r="M100" s="15" t="str">
        <f t="shared" si="7"/>
        <v>na</v>
      </c>
    </row>
    <row r="101" spans="1:13" x14ac:dyDescent="0.25">
      <c r="A101" t="s">
        <v>16</v>
      </c>
      <c r="B101">
        <v>1</v>
      </c>
      <c r="C101" t="str">
        <f t="shared" si="4"/>
        <v>660</v>
      </c>
      <c r="D101" t="s">
        <v>16</v>
      </c>
      <c r="F101">
        <v>2025</v>
      </c>
      <c r="G101">
        <f t="shared" si="5"/>
        <v>1</v>
      </c>
      <c r="H101" t="str">
        <f t="shared" si="6"/>
        <v>660 Asbury Place Kingsport</v>
      </c>
      <c r="I101" s="16" cm="1">
        <f t="array" ref="I101">INDEX('OC-Monthly'!$B$7:$N$65,_xlfn.XMATCH($A101,'OC-Monthly'!$A$7:$A$65),_xlfn.XMATCH($B101,'OC-Monthly'!$B$1:$N$1))</f>
        <v>0</v>
      </c>
      <c r="J101" s="16" cm="1">
        <f t="array" ref="J101">INDEX('OC-Monthly'!$P$7:$AB$65,_xlfn.XMATCH($A101,'OC-Monthly'!$A$7:$A$65),_xlfn.XMATCH($B101,'OC-Monthly'!$P$1:$AB$1))</f>
        <v>0</v>
      </c>
      <c r="K101" s="1" t="s">
        <v>8</v>
      </c>
      <c r="L101" s="1" t="s">
        <v>7</v>
      </c>
      <c r="M101" s="15" t="str">
        <f t="shared" si="7"/>
        <v>na</v>
      </c>
    </row>
    <row r="102" spans="1:13" x14ac:dyDescent="0.25">
      <c r="A102" t="s">
        <v>16</v>
      </c>
      <c r="B102">
        <v>2</v>
      </c>
      <c r="C102" t="str">
        <f t="shared" si="4"/>
        <v>660</v>
      </c>
      <c r="D102" t="s">
        <v>16</v>
      </c>
      <c r="F102">
        <v>2025</v>
      </c>
      <c r="G102">
        <f t="shared" si="5"/>
        <v>2</v>
      </c>
      <c r="H102" t="str">
        <f t="shared" si="6"/>
        <v>660 Asbury Place Kingsport</v>
      </c>
      <c r="I102" s="16" cm="1">
        <f t="array" ref="I102">INDEX('OC-Monthly'!$B$7:$N$65,_xlfn.XMATCH($A102,'OC-Monthly'!$A$7:$A$65),_xlfn.XMATCH($B102,'OC-Monthly'!$B$1:$N$1))</f>
        <v>0</v>
      </c>
      <c r="J102" s="16" cm="1">
        <f t="array" ref="J102">INDEX('OC-Monthly'!$P$7:$AB$65,_xlfn.XMATCH($A102,'OC-Monthly'!$A$7:$A$65),_xlfn.XMATCH($B102,'OC-Monthly'!$P$1:$AB$1))</f>
        <v>0</v>
      </c>
      <c r="K102" s="1" t="s">
        <v>8</v>
      </c>
      <c r="L102" s="1" t="s">
        <v>7</v>
      </c>
      <c r="M102" s="15" t="str">
        <f t="shared" si="7"/>
        <v>na</v>
      </c>
    </row>
    <row r="103" spans="1:13" x14ac:dyDescent="0.25">
      <c r="A103" t="s">
        <v>16</v>
      </c>
      <c r="B103">
        <v>3</v>
      </c>
      <c r="C103" t="str">
        <f t="shared" si="4"/>
        <v>660</v>
      </c>
      <c r="D103" t="s">
        <v>16</v>
      </c>
      <c r="F103">
        <v>2025</v>
      </c>
      <c r="G103">
        <f t="shared" si="5"/>
        <v>3</v>
      </c>
      <c r="H103" t="str">
        <f t="shared" si="6"/>
        <v>660 Asbury Place Kingsport</v>
      </c>
      <c r="I103" s="16" cm="1">
        <f t="array" ref="I103">INDEX('OC-Monthly'!$B$7:$N$65,_xlfn.XMATCH($A103,'OC-Monthly'!$A$7:$A$65),_xlfn.XMATCH($B103,'OC-Monthly'!$B$1:$N$1))</f>
        <v>0</v>
      </c>
      <c r="J103" s="16" cm="1">
        <f t="array" ref="J103">INDEX('OC-Monthly'!$P$7:$AB$65,_xlfn.XMATCH($A103,'OC-Monthly'!$A$7:$A$65),_xlfn.XMATCH($B103,'OC-Monthly'!$P$1:$AB$1))</f>
        <v>0</v>
      </c>
      <c r="K103" s="1" t="s">
        <v>8</v>
      </c>
      <c r="L103" s="1" t="s">
        <v>7</v>
      </c>
      <c r="M103" s="15" t="str">
        <f t="shared" si="7"/>
        <v>na</v>
      </c>
    </row>
    <row r="104" spans="1:13" x14ac:dyDescent="0.25">
      <c r="A104" t="s">
        <v>16</v>
      </c>
      <c r="B104">
        <v>4</v>
      </c>
      <c r="C104" t="str">
        <f t="shared" si="4"/>
        <v>660</v>
      </c>
      <c r="D104" t="s">
        <v>16</v>
      </c>
      <c r="F104">
        <v>2025</v>
      </c>
      <c r="G104">
        <f t="shared" si="5"/>
        <v>4</v>
      </c>
      <c r="H104" t="str">
        <f t="shared" si="6"/>
        <v>660 Asbury Place Kingsport</v>
      </c>
      <c r="I104" s="16" cm="1">
        <f t="array" ref="I104">INDEX('OC-Monthly'!$B$7:$N$65,_xlfn.XMATCH($A104,'OC-Monthly'!$A$7:$A$65),_xlfn.XMATCH($B104,'OC-Monthly'!$B$1:$N$1))</f>
        <v>0</v>
      </c>
      <c r="J104" s="16" cm="1">
        <f t="array" ref="J104">INDEX('OC-Monthly'!$P$7:$AB$65,_xlfn.XMATCH($A104,'OC-Monthly'!$A$7:$A$65),_xlfn.XMATCH($B104,'OC-Monthly'!$P$1:$AB$1))</f>
        <v>0</v>
      </c>
      <c r="K104" s="1" t="s">
        <v>8</v>
      </c>
      <c r="L104" s="1" t="s">
        <v>7</v>
      </c>
      <c r="M104" s="15" t="str">
        <f t="shared" si="7"/>
        <v>na</v>
      </c>
    </row>
    <row r="105" spans="1:13" x14ac:dyDescent="0.25">
      <c r="A105" t="s">
        <v>16</v>
      </c>
      <c r="B105">
        <v>5</v>
      </c>
      <c r="C105" t="str">
        <f t="shared" si="4"/>
        <v>660</v>
      </c>
      <c r="D105" t="s">
        <v>16</v>
      </c>
      <c r="F105">
        <v>2025</v>
      </c>
      <c r="G105">
        <f t="shared" si="5"/>
        <v>5</v>
      </c>
      <c r="H105" t="str">
        <f t="shared" si="6"/>
        <v>660 Asbury Place Kingsport</v>
      </c>
      <c r="I105" s="16" cm="1">
        <f t="array" ref="I105">INDEX('OC-Monthly'!$B$7:$N$65,_xlfn.XMATCH($A105,'OC-Monthly'!$A$7:$A$65),_xlfn.XMATCH($B105,'OC-Monthly'!$B$1:$N$1))</f>
        <v>0</v>
      </c>
      <c r="J105" s="16" cm="1">
        <f t="array" ref="J105">INDEX('OC-Monthly'!$P$7:$AB$65,_xlfn.XMATCH($A105,'OC-Monthly'!$A$7:$A$65),_xlfn.XMATCH($B105,'OC-Monthly'!$P$1:$AB$1))</f>
        <v>0</v>
      </c>
      <c r="K105" s="1" t="s">
        <v>8</v>
      </c>
      <c r="L105" s="1" t="s">
        <v>7</v>
      </c>
      <c r="M105" s="15" t="str">
        <f t="shared" si="7"/>
        <v>na</v>
      </c>
    </row>
    <row r="106" spans="1:13" x14ac:dyDescent="0.25">
      <c r="A106" t="s">
        <v>16</v>
      </c>
      <c r="B106">
        <v>6</v>
      </c>
      <c r="C106" t="str">
        <f t="shared" si="4"/>
        <v>660</v>
      </c>
      <c r="D106" t="s">
        <v>16</v>
      </c>
      <c r="F106">
        <v>2025</v>
      </c>
      <c r="G106">
        <f t="shared" si="5"/>
        <v>6</v>
      </c>
      <c r="H106" t="str">
        <f t="shared" si="6"/>
        <v>660 Asbury Place Kingsport</v>
      </c>
      <c r="I106" s="16" cm="1">
        <f t="array" ref="I106">INDEX('OC-Monthly'!$B$7:$N$65,_xlfn.XMATCH($A106,'OC-Monthly'!$A$7:$A$65),_xlfn.XMATCH($B106,'OC-Monthly'!$B$1:$N$1))</f>
        <v>0</v>
      </c>
      <c r="J106" s="16" cm="1">
        <f t="array" ref="J106">INDEX('OC-Monthly'!$P$7:$AB$65,_xlfn.XMATCH($A106,'OC-Monthly'!$A$7:$A$65),_xlfn.XMATCH($B106,'OC-Monthly'!$P$1:$AB$1))</f>
        <v>0</v>
      </c>
      <c r="K106" s="1" t="s">
        <v>8</v>
      </c>
      <c r="L106" s="1" t="s">
        <v>7</v>
      </c>
      <c r="M106" s="15" t="str">
        <f t="shared" si="7"/>
        <v>na</v>
      </c>
    </row>
    <row r="107" spans="1:13" x14ac:dyDescent="0.25">
      <c r="A107" t="s">
        <v>16</v>
      </c>
      <c r="B107">
        <v>7</v>
      </c>
      <c r="C107" t="str">
        <f t="shared" si="4"/>
        <v>660</v>
      </c>
      <c r="D107" t="s">
        <v>16</v>
      </c>
      <c r="F107">
        <v>2025</v>
      </c>
      <c r="G107">
        <f t="shared" si="5"/>
        <v>7</v>
      </c>
      <c r="H107" t="str">
        <f t="shared" si="6"/>
        <v>660 Asbury Place Kingsport</v>
      </c>
      <c r="I107" s="16" cm="1">
        <f t="array" ref="I107">INDEX('OC-Monthly'!$B$7:$N$65,_xlfn.XMATCH($A107,'OC-Monthly'!$A$7:$A$65),_xlfn.XMATCH($B107,'OC-Monthly'!$B$1:$N$1))</f>
        <v>0</v>
      </c>
      <c r="J107" s="16" cm="1">
        <f t="array" ref="J107">INDEX('OC-Monthly'!$P$7:$AB$65,_xlfn.XMATCH($A107,'OC-Monthly'!$A$7:$A$65),_xlfn.XMATCH($B107,'OC-Monthly'!$P$1:$AB$1))</f>
        <v>0</v>
      </c>
      <c r="K107" s="1" t="s">
        <v>8</v>
      </c>
      <c r="L107" s="1" t="s">
        <v>7</v>
      </c>
      <c r="M107" s="15" t="str">
        <f t="shared" si="7"/>
        <v>na</v>
      </c>
    </row>
    <row r="108" spans="1:13" x14ac:dyDescent="0.25">
      <c r="A108" t="s">
        <v>16</v>
      </c>
      <c r="B108">
        <v>8</v>
      </c>
      <c r="C108" t="str">
        <f t="shared" si="4"/>
        <v>660</v>
      </c>
      <c r="D108" t="s">
        <v>16</v>
      </c>
      <c r="F108">
        <v>2025</v>
      </c>
      <c r="G108">
        <f t="shared" si="5"/>
        <v>8</v>
      </c>
      <c r="H108" t="str">
        <f t="shared" si="6"/>
        <v>660 Asbury Place Kingsport</v>
      </c>
      <c r="I108" s="16" cm="1">
        <f t="array" ref="I108">INDEX('OC-Monthly'!$B$7:$N$65,_xlfn.XMATCH($A108,'OC-Monthly'!$A$7:$A$65),_xlfn.XMATCH($B108,'OC-Monthly'!$B$1:$N$1))</f>
        <v>0</v>
      </c>
      <c r="J108" s="16" cm="1">
        <f t="array" ref="J108">INDEX('OC-Monthly'!$P$7:$AB$65,_xlfn.XMATCH($A108,'OC-Monthly'!$A$7:$A$65),_xlfn.XMATCH($B108,'OC-Monthly'!$P$1:$AB$1))</f>
        <v>0</v>
      </c>
      <c r="K108" s="1" t="s">
        <v>8</v>
      </c>
      <c r="L108" s="1" t="s">
        <v>7</v>
      </c>
      <c r="M108" s="15" t="str">
        <f t="shared" si="7"/>
        <v>na</v>
      </c>
    </row>
    <row r="109" spans="1:13" x14ac:dyDescent="0.25">
      <c r="A109" t="s">
        <v>16</v>
      </c>
      <c r="B109">
        <v>9</v>
      </c>
      <c r="C109" t="str">
        <f t="shared" si="4"/>
        <v>660</v>
      </c>
      <c r="D109" t="s">
        <v>16</v>
      </c>
      <c r="F109">
        <v>2025</v>
      </c>
      <c r="G109">
        <f t="shared" si="5"/>
        <v>9</v>
      </c>
      <c r="H109" t="str">
        <f t="shared" si="6"/>
        <v>660 Asbury Place Kingsport</v>
      </c>
      <c r="I109" s="16" cm="1">
        <f t="array" ref="I109">INDEX('OC-Monthly'!$B$7:$N$65,_xlfn.XMATCH($A109,'OC-Monthly'!$A$7:$A$65),_xlfn.XMATCH($B109,'OC-Monthly'!$B$1:$N$1))</f>
        <v>0</v>
      </c>
      <c r="J109" s="16" cm="1">
        <f t="array" ref="J109">INDEX('OC-Monthly'!$P$7:$AB$65,_xlfn.XMATCH($A109,'OC-Monthly'!$A$7:$A$65),_xlfn.XMATCH($B109,'OC-Monthly'!$P$1:$AB$1))</f>
        <v>0</v>
      </c>
      <c r="K109" s="1" t="s">
        <v>8</v>
      </c>
      <c r="L109" s="1" t="s">
        <v>7</v>
      </c>
      <c r="M109" s="15" t="str">
        <f t="shared" si="7"/>
        <v>na</v>
      </c>
    </row>
    <row r="110" spans="1:13" x14ac:dyDescent="0.25">
      <c r="A110" t="s">
        <v>16</v>
      </c>
      <c r="B110">
        <v>10</v>
      </c>
      <c r="C110" t="str">
        <f t="shared" si="4"/>
        <v>660</v>
      </c>
      <c r="D110" t="s">
        <v>16</v>
      </c>
      <c r="F110">
        <v>2025</v>
      </c>
      <c r="G110">
        <f t="shared" si="5"/>
        <v>10</v>
      </c>
      <c r="H110" t="str">
        <f t="shared" si="6"/>
        <v>660 Asbury Place Kingsport</v>
      </c>
      <c r="I110" s="16" cm="1">
        <f t="array" ref="I110">INDEX('OC-Monthly'!$B$7:$N$65,_xlfn.XMATCH($A110,'OC-Monthly'!$A$7:$A$65),_xlfn.XMATCH($B110,'OC-Monthly'!$B$1:$N$1))</f>
        <v>0</v>
      </c>
      <c r="J110" s="16" cm="1">
        <f t="array" ref="J110">INDEX('OC-Monthly'!$P$7:$AB$65,_xlfn.XMATCH($A110,'OC-Monthly'!$A$7:$A$65),_xlfn.XMATCH($B110,'OC-Monthly'!$P$1:$AB$1))</f>
        <v>0</v>
      </c>
      <c r="K110" s="1" t="s">
        <v>8</v>
      </c>
      <c r="L110" s="1" t="s">
        <v>7</v>
      </c>
      <c r="M110" s="15" t="str">
        <f t="shared" si="7"/>
        <v>na</v>
      </c>
    </row>
    <row r="111" spans="1:13" x14ac:dyDescent="0.25">
      <c r="A111" t="s">
        <v>16</v>
      </c>
      <c r="B111">
        <v>11</v>
      </c>
      <c r="C111" t="str">
        <f t="shared" si="4"/>
        <v>660</v>
      </c>
      <c r="D111" t="s">
        <v>16</v>
      </c>
      <c r="F111">
        <v>2025</v>
      </c>
      <c r="G111">
        <f t="shared" si="5"/>
        <v>11</v>
      </c>
      <c r="H111" t="str">
        <f t="shared" si="6"/>
        <v>660 Asbury Place Kingsport</v>
      </c>
      <c r="I111" s="16" cm="1">
        <f t="array" ref="I111">INDEX('OC-Monthly'!$B$7:$N$65,_xlfn.XMATCH($A111,'OC-Monthly'!$A$7:$A$65),_xlfn.XMATCH($B111,'OC-Monthly'!$B$1:$N$1))</f>
        <v>0</v>
      </c>
      <c r="J111" s="16" cm="1">
        <f t="array" ref="J111">INDEX('OC-Monthly'!$P$7:$AB$65,_xlfn.XMATCH($A111,'OC-Monthly'!$A$7:$A$65),_xlfn.XMATCH($B111,'OC-Monthly'!$P$1:$AB$1))</f>
        <v>0</v>
      </c>
      <c r="K111" s="1" t="s">
        <v>8</v>
      </c>
      <c r="L111" s="1" t="s">
        <v>7</v>
      </c>
      <c r="M111" s="15" t="str">
        <f t="shared" si="7"/>
        <v>na</v>
      </c>
    </row>
    <row r="112" spans="1:13" x14ac:dyDescent="0.25">
      <c r="A112" t="s">
        <v>16</v>
      </c>
      <c r="B112">
        <v>12</v>
      </c>
      <c r="C112" t="str">
        <f t="shared" si="4"/>
        <v>660</v>
      </c>
      <c r="D112" t="s">
        <v>16</v>
      </c>
      <c r="F112">
        <v>2025</v>
      </c>
      <c r="G112">
        <f t="shared" si="5"/>
        <v>12</v>
      </c>
      <c r="H112" t="str">
        <f t="shared" si="6"/>
        <v>660 Asbury Place Kingsport</v>
      </c>
      <c r="I112" s="16" cm="1">
        <f t="array" ref="I112">INDEX('OC-Monthly'!$B$7:$N$65,_xlfn.XMATCH($A112,'OC-Monthly'!$A$7:$A$65),_xlfn.XMATCH($B112,'OC-Monthly'!$B$1:$N$1))</f>
        <v>0</v>
      </c>
      <c r="J112" s="16" cm="1">
        <f t="array" ref="J112">INDEX('OC-Monthly'!$P$7:$AB$65,_xlfn.XMATCH($A112,'OC-Monthly'!$A$7:$A$65),_xlfn.XMATCH($B112,'OC-Monthly'!$P$1:$AB$1))</f>
        <v>0</v>
      </c>
      <c r="K112" s="1" t="s">
        <v>8</v>
      </c>
      <c r="L112" s="1" t="s">
        <v>7</v>
      </c>
      <c r="M112" s="15" t="str">
        <f t="shared" si="7"/>
        <v>na</v>
      </c>
    </row>
    <row r="113" spans="1:13" x14ac:dyDescent="0.25">
      <c r="A113" t="s">
        <v>28</v>
      </c>
      <c r="B113">
        <v>1</v>
      </c>
      <c r="C113" t="str">
        <f t="shared" si="4"/>
        <v>670</v>
      </c>
      <c r="D113" t="s">
        <v>28</v>
      </c>
      <c r="F113">
        <v>2025</v>
      </c>
      <c r="G113">
        <f t="shared" si="5"/>
        <v>1</v>
      </c>
      <c r="H113" t="str">
        <f t="shared" si="6"/>
        <v>670 Forest Ridge Manor</v>
      </c>
      <c r="I113" s="16" cm="1">
        <f t="array" ref="I113">INDEX('OC-Monthly'!$B$7:$N$65,_xlfn.XMATCH($A113,'OC-Monthly'!$A$7:$A$65),_xlfn.XMATCH($B113,'OC-Monthly'!$B$1:$N$1))</f>
        <v>29370.166666666664</v>
      </c>
      <c r="J113" s="16" cm="1">
        <f t="array" ref="J113">INDEX('OC-Monthly'!$P$7:$AB$65,_xlfn.XMATCH($A113,'OC-Monthly'!$A$7:$A$65),_xlfn.XMATCH($B113,'OC-Monthly'!$P$1:$AB$1))</f>
        <v>24282.75</v>
      </c>
      <c r="K113" s="1" t="s">
        <v>8</v>
      </c>
      <c r="L113" s="1" t="s">
        <v>7</v>
      </c>
      <c r="M113" s="15">
        <f t="shared" si="7"/>
        <v>0.8267828465392888</v>
      </c>
    </row>
    <row r="114" spans="1:13" x14ac:dyDescent="0.25">
      <c r="A114" t="s">
        <v>28</v>
      </c>
      <c r="B114">
        <v>2</v>
      </c>
      <c r="C114" t="str">
        <f t="shared" si="4"/>
        <v>670</v>
      </c>
      <c r="D114" t="s">
        <v>28</v>
      </c>
      <c r="F114">
        <v>2025</v>
      </c>
      <c r="G114">
        <f t="shared" si="5"/>
        <v>2</v>
      </c>
      <c r="H114" t="str">
        <f t="shared" si="6"/>
        <v>670 Forest Ridge Manor</v>
      </c>
      <c r="I114" s="16" cm="1">
        <f t="array" ref="I114">INDEX('OC-Monthly'!$B$7:$N$65,_xlfn.XMATCH($A114,'OC-Monthly'!$A$7:$A$65),_xlfn.XMATCH($B114,'OC-Monthly'!$B$1:$N$1))</f>
        <v>29370.166666666664</v>
      </c>
      <c r="J114" s="16" cm="1">
        <f t="array" ref="J114">INDEX('OC-Monthly'!$P$7:$AB$65,_xlfn.XMATCH($A114,'OC-Monthly'!$A$7:$A$65),_xlfn.XMATCH($B114,'OC-Monthly'!$P$1:$AB$1))</f>
        <v>24282.75</v>
      </c>
      <c r="K114" s="1" t="s">
        <v>8</v>
      </c>
      <c r="L114" s="1" t="s">
        <v>7</v>
      </c>
      <c r="M114" s="15">
        <f t="shared" si="7"/>
        <v>0.8267828465392888</v>
      </c>
    </row>
    <row r="115" spans="1:13" x14ac:dyDescent="0.25">
      <c r="A115" t="s">
        <v>28</v>
      </c>
      <c r="B115">
        <v>3</v>
      </c>
      <c r="C115" t="str">
        <f t="shared" si="4"/>
        <v>670</v>
      </c>
      <c r="D115" t="s">
        <v>28</v>
      </c>
      <c r="F115">
        <v>2025</v>
      </c>
      <c r="G115">
        <f t="shared" si="5"/>
        <v>3</v>
      </c>
      <c r="H115" t="str">
        <f t="shared" si="6"/>
        <v>670 Forest Ridge Manor</v>
      </c>
      <c r="I115" s="16" cm="1">
        <f t="array" ref="I115">INDEX('OC-Monthly'!$B$7:$N$65,_xlfn.XMATCH($A115,'OC-Monthly'!$A$7:$A$65),_xlfn.XMATCH($B115,'OC-Monthly'!$B$1:$N$1))</f>
        <v>29370.166666666664</v>
      </c>
      <c r="J115" s="16" cm="1">
        <f t="array" ref="J115">INDEX('OC-Monthly'!$P$7:$AB$65,_xlfn.XMATCH($A115,'OC-Monthly'!$A$7:$A$65),_xlfn.XMATCH($B115,'OC-Monthly'!$P$1:$AB$1))</f>
        <v>24282.75</v>
      </c>
      <c r="K115" s="1" t="s">
        <v>8</v>
      </c>
      <c r="L115" s="1" t="s">
        <v>7</v>
      </c>
      <c r="M115" s="15">
        <f t="shared" si="7"/>
        <v>0.8267828465392888</v>
      </c>
    </row>
    <row r="116" spans="1:13" x14ac:dyDescent="0.25">
      <c r="A116" t="s">
        <v>28</v>
      </c>
      <c r="B116">
        <v>4</v>
      </c>
      <c r="C116" t="str">
        <f t="shared" si="4"/>
        <v>670</v>
      </c>
      <c r="D116" t="s">
        <v>28</v>
      </c>
      <c r="F116">
        <v>2025</v>
      </c>
      <c r="G116">
        <f t="shared" si="5"/>
        <v>4</v>
      </c>
      <c r="H116" t="str">
        <f t="shared" si="6"/>
        <v>670 Forest Ridge Manor</v>
      </c>
      <c r="I116" s="16" cm="1">
        <f t="array" ref="I116">INDEX('OC-Monthly'!$B$7:$N$65,_xlfn.XMATCH($A116,'OC-Monthly'!$A$7:$A$65),_xlfn.XMATCH($B116,'OC-Monthly'!$B$1:$N$1))</f>
        <v>29370.166666666664</v>
      </c>
      <c r="J116" s="16" cm="1">
        <f t="array" ref="J116">INDEX('OC-Monthly'!$P$7:$AB$65,_xlfn.XMATCH($A116,'OC-Monthly'!$A$7:$A$65),_xlfn.XMATCH($B116,'OC-Monthly'!$P$1:$AB$1))</f>
        <v>24282.75</v>
      </c>
      <c r="K116" s="1" t="s">
        <v>8</v>
      </c>
      <c r="L116" s="1" t="s">
        <v>7</v>
      </c>
      <c r="M116" s="15">
        <f t="shared" si="7"/>
        <v>0.8267828465392888</v>
      </c>
    </row>
    <row r="117" spans="1:13" x14ac:dyDescent="0.25">
      <c r="A117" t="s">
        <v>28</v>
      </c>
      <c r="B117">
        <v>5</v>
      </c>
      <c r="C117" t="str">
        <f t="shared" si="4"/>
        <v>670</v>
      </c>
      <c r="D117" t="s">
        <v>28</v>
      </c>
      <c r="F117">
        <v>2025</v>
      </c>
      <c r="G117">
        <f t="shared" si="5"/>
        <v>5</v>
      </c>
      <c r="H117" t="str">
        <f t="shared" si="6"/>
        <v>670 Forest Ridge Manor</v>
      </c>
      <c r="I117" s="16" cm="1">
        <f t="array" ref="I117">INDEX('OC-Monthly'!$B$7:$N$65,_xlfn.XMATCH($A117,'OC-Monthly'!$A$7:$A$65),_xlfn.XMATCH($B117,'OC-Monthly'!$B$1:$N$1))</f>
        <v>29370.166666666664</v>
      </c>
      <c r="J117" s="16" cm="1">
        <f t="array" ref="J117">INDEX('OC-Monthly'!$P$7:$AB$65,_xlfn.XMATCH($A117,'OC-Monthly'!$A$7:$A$65),_xlfn.XMATCH($B117,'OC-Monthly'!$P$1:$AB$1))</f>
        <v>24282.75</v>
      </c>
      <c r="K117" s="1" t="s">
        <v>8</v>
      </c>
      <c r="L117" s="1" t="s">
        <v>7</v>
      </c>
      <c r="M117" s="15">
        <f t="shared" si="7"/>
        <v>0.8267828465392888</v>
      </c>
    </row>
    <row r="118" spans="1:13" x14ac:dyDescent="0.25">
      <c r="A118" t="s">
        <v>28</v>
      </c>
      <c r="B118">
        <v>6</v>
      </c>
      <c r="C118" t="str">
        <f t="shared" si="4"/>
        <v>670</v>
      </c>
      <c r="D118" t="s">
        <v>28</v>
      </c>
      <c r="F118">
        <v>2025</v>
      </c>
      <c r="G118">
        <f t="shared" si="5"/>
        <v>6</v>
      </c>
      <c r="H118" t="str">
        <f t="shared" si="6"/>
        <v>670 Forest Ridge Manor</v>
      </c>
      <c r="I118" s="16" cm="1">
        <f t="array" ref="I118">INDEX('OC-Monthly'!$B$7:$N$65,_xlfn.XMATCH($A118,'OC-Monthly'!$A$7:$A$65),_xlfn.XMATCH($B118,'OC-Monthly'!$B$1:$N$1))</f>
        <v>29370.166666666664</v>
      </c>
      <c r="J118" s="16" cm="1">
        <f t="array" ref="J118">INDEX('OC-Monthly'!$P$7:$AB$65,_xlfn.XMATCH($A118,'OC-Monthly'!$A$7:$A$65),_xlfn.XMATCH($B118,'OC-Monthly'!$P$1:$AB$1))</f>
        <v>24282.75</v>
      </c>
      <c r="K118" s="1" t="s">
        <v>8</v>
      </c>
      <c r="L118" s="1" t="s">
        <v>7</v>
      </c>
      <c r="M118" s="15">
        <f t="shared" si="7"/>
        <v>0.8267828465392888</v>
      </c>
    </row>
    <row r="119" spans="1:13" x14ac:dyDescent="0.25">
      <c r="A119" t="s">
        <v>28</v>
      </c>
      <c r="B119">
        <v>7</v>
      </c>
      <c r="C119" t="str">
        <f t="shared" si="4"/>
        <v>670</v>
      </c>
      <c r="D119" t="s">
        <v>28</v>
      </c>
      <c r="F119">
        <v>2025</v>
      </c>
      <c r="G119">
        <f t="shared" si="5"/>
        <v>7</v>
      </c>
      <c r="H119" t="str">
        <f t="shared" si="6"/>
        <v>670 Forest Ridge Manor</v>
      </c>
      <c r="I119" s="16" cm="1">
        <f t="array" ref="I119">INDEX('OC-Monthly'!$B$7:$N$65,_xlfn.XMATCH($A119,'OC-Monthly'!$A$7:$A$65),_xlfn.XMATCH($B119,'OC-Monthly'!$B$1:$N$1))</f>
        <v>29370.166666666664</v>
      </c>
      <c r="J119" s="16" cm="1">
        <f t="array" ref="J119">INDEX('OC-Monthly'!$P$7:$AB$65,_xlfn.XMATCH($A119,'OC-Monthly'!$A$7:$A$65),_xlfn.XMATCH($B119,'OC-Monthly'!$P$1:$AB$1))</f>
        <v>24282.75</v>
      </c>
      <c r="K119" s="1" t="s">
        <v>8</v>
      </c>
      <c r="L119" s="1" t="s">
        <v>7</v>
      </c>
      <c r="M119" s="15">
        <f t="shared" si="7"/>
        <v>0.8267828465392888</v>
      </c>
    </row>
    <row r="120" spans="1:13" x14ac:dyDescent="0.25">
      <c r="A120" t="s">
        <v>28</v>
      </c>
      <c r="B120">
        <v>8</v>
      </c>
      <c r="C120" t="str">
        <f t="shared" si="4"/>
        <v>670</v>
      </c>
      <c r="D120" t="s">
        <v>28</v>
      </c>
      <c r="F120">
        <v>2025</v>
      </c>
      <c r="G120">
        <f t="shared" si="5"/>
        <v>8</v>
      </c>
      <c r="H120" t="str">
        <f t="shared" si="6"/>
        <v>670 Forest Ridge Manor</v>
      </c>
      <c r="I120" s="16" cm="1">
        <f t="array" ref="I120">INDEX('OC-Monthly'!$B$7:$N$65,_xlfn.XMATCH($A120,'OC-Monthly'!$A$7:$A$65),_xlfn.XMATCH($B120,'OC-Monthly'!$B$1:$N$1))</f>
        <v>29370.166666666664</v>
      </c>
      <c r="J120" s="16" cm="1">
        <f t="array" ref="J120">INDEX('OC-Monthly'!$P$7:$AB$65,_xlfn.XMATCH($A120,'OC-Monthly'!$A$7:$A$65),_xlfn.XMATCH($B120,'OC-Monthly'!$P$1:$AB$1))</f>
        <v>24282.75</v>
      </c>
      <c r="K120" s="1" t="s">
        <v>8</v>
      </c>
      <c r="L120" s="1" t="s">
        <v>7</v>
      </c>
      <c r="M120" s="15">
        <f t="shared" si="7"/>
        <v>0.8267828465392888</v>
      </c>
    </row>
    <row r="121" spans="1:13" x14ac:dyDescent="0.25">
      <c r="A121" t="s">
        <v>28</v>
      </c>
      <c r="B121">
        <v>9</v>
      </c>
      <c r="C121" t="str">
        <f t="shared" si="4"/>
        <v>670</v>
      </c>
      <c r="D121" t="s">
        <v>28</v>
      </c>
      <c r="F121">
        <v>2025</v>
      </c>
      <c r="G121">
        <f t="shared" si="5"/>
        <v>9</v>
      </c>
      <c r="H121" t="str">
        <f t="shared" si="6"/>
        <v>670 Forest Ridge Manor</v>
      </c>
      <c r="I121" s="16" cm="1">
        <f t="array" ref="I121">INDEX('OC-Monthly'!$B$7:$N$65,_xlfn.XMATCH($A121,'OC-Monthly'!$A$7:$A$65),_xlfn.XMATCH($B121,'OC-Monthly'!$B$1:$N$1))</f>
        <v>29370.166666666664</v>
      </c>
      <c r="J121" s="16" cm="1">
        <f t="array" ref="J121">INDEX('OC-Monthly'!$P$7:$AB$65,_xlfn.XMATCH($A121,'OC-Monthly'!$A$7:$A$65),_xlfn.XMATCH($B121,'OC-Monthly'!$P$1:$AB$1))</f>
        <v>24282.75</v>
      </c>
      <c r="K121" s="1" t="s">
        <v>8</v>
      </c>
      <c r="L121" s="1" t="s">
        <v>7</v>
      </c>
      <c r="M121" s="15">
        <f t="shared" si="7"/>
        <v>0.8267828465392888</v>
      </c>
    </row>
    <row r="122" spans="1:13" x14ac:dyDescent="0.25">
      <c r="A122" t="s">
        <v>28</v>
      </c>
      <c r="B122">
        <v>10</v>
      </c>
      <c r="C122" t="str">
        <f t="shared" si="4"/>
        <v>670</v>
      </c>
      <c r="D122" t="s">
        <v>28</v>
      </c>
      <c r="F122">
        <v>2025</v>
      </c>
      <c r="G122">
        <f t="shared" si="5"/>
        <v>10</v>
      </c>
      <c r="H122" t="str">
        <f t="shared" si="6"/>
        <v>670 Forest Ridge Manor</v>
      </c>
      <c r="I122" s="16" cm="1">
        <f t="array" ref="I122">INDEX('OC-Monthly'!$B$7:$N$65,_xlfn.XMATCH($A122,'OC-Monthly'!$A$7:$A$65),_xlfn.XMATCH($B122,'OC-Monthly'!$B$1:$N$1))</f>
        <v>29370.166666666664</v>
      </c>
      <c r="J122" s="16" cm="1">
        <f t="array" ref="J122">INDEX('OC-Monthly'!$P$7:$AB$65,_xlfn.XMATCH($A122,'OC-Monthly'!$A$7:$A$65),_xlfn.XMATCH($B122,'OC-Monthly'!$P$1:$AB$1))</f>
        <v>24282.75</v>
      </c>
      <c r="K122" s="1" t="s">
        <v>8</v>
      </c>
      <c r="L122" s="1" t="s">
        <v>7</v>
      </c>
      <c r="M122" s="15">
        <f t="shared" si="7"/>
        <v>0.8267828465392888</v>
      </c>
    </row>
    <row r="123" spans="1:13" x14ac:dyDescent="0.25">
      <c r="A123" t="s">
        <v>28</v>
      </c>
      <c r="B123">
        <v>11</v>
      </c>
      <c r="C123" t="str">
        <f t="shared" si="4"/>
        <v>670</v>
      </c>
      <c r="D123" t="s">
        <v>28</v>
      </c>
      <c r="F123">
        <v>2025</v>
      </c>
      <c r="G123">
        <f t="shared" si="5"/>
        <v>11</v>
      </c>
      <c r="H123" t="str">
        <f t="shared" si="6"/>
        <v>670 Forest Ridge Manor</v>
      </c>
      <c r="I123" s="16" cm="1">
        <f t="array" ref="I123">INDEX('OC-Monthly'!$B$7:$N$65,_xlfn.XMATCH($A123,'OC-Monthly'!$A$7:$A$65),_xlfn.XMATCH($B123,'OC-Monthly'!$B$1:$N$1))</f>
        <v>29370.166666666664</v>
      </c>
      <c r="J123" s="16" cm="1">
        <f t="array" ref="J123">INDEX('OC-Monthly'!$P$7:$AB$65,_xlfn.XMATCH($A123,'OC-Monthly'!$A$7:$A$65),_xlfn.XMATCH($B123,'OC-Monthly'!$P$1:$AB$1))</f>
        <v>24282.75</v>
      </c>
      <c r="K123" s="1" t="s">
        <v>8</v>
      </c>
      <c r="L123" s="1" t="s">
        <v>7</v>
      </c>
      <c r="M123" s="15">
        <f t="shared" si="7"/>
        <v>0.8267828465392888</v>
      </c>
    </row>
    <row r="124" spans="1:13" x14ac:dyDescent="0.25">
      <c r="A124" t="s">
        <v>28</v>
      </c>
      <c r="B124">
        <v>12</v>
      </c>
      <c r="C124" t="str">
        <f t="shared" si="4"/>
        <v>670</v>
      </c>
      <c r="D124" t="s">
        <v>28</v>
      </c>
      <c r="F124">
        <v>2025</v>
      </c>
      <c r="G124">
        <f t="shared" si="5"/>
        <v>12</v>
      </c>
      <c r="H124" t="str">
        <f t="shared" si="6"/>
        <v>670 Forest Ridge Manor</v>
      </c>
      <c r="I124" s="16" cm="1">
        <f t="array" ref="I124">INDEX('OC-Monthly'!$B$7:$N$65,_xlfn.XMATCH($A124,'OC-Monthly'!$A$7:$A$65),_xlfn.XMATCH($B124,'OC-Monthly'!$B$1:$N$1))</f>
        <v>29370.166666666664</v>
      </c>
      <c r="J124" s="16" cm="1">
        <f t="array" ref="J124">INDEX('OC-Monthly'!$P$7:$AB$65,_xlfn.XMATCH($A124,'OC-Monthly'!$A$7:$A$65),_xlfn.XMATCH($B124,'OC-Monthly'!$P$1:$AB$1))</f>
        <v>24282.75</v>
      </c>
      <c r="K124" s="1" t="s">
        <v>8</v>
      </c>
      <c r="L124" s="1" t="s">
        <v>7</v>
      </c>
      <c r="M124" s="15">
        <f t="shared" si="7"/>
        <v>0.8267828465392888</v>
      </c>
    </row>
    <row r="125" spans="1:13" x14ac:dyDescent="0.25">
      <c r="A125" t="s">
        <v>67</v>
      </c>
      <c r="B125">
        <v>1</v>
      </c>
      <c r="C125" t="str">
        <f t="shared" si="4"/>
        <v>701</v>
      </c>
      <c r="D125" t="s">
        <v>17</v>
      </c>
      <c r="F125">
        <v>2025</v>
      </c>
      <c r="G125">
        <f t="shared" si="5"/>
        <v>1</v>
      </c>
      <c r="H125" t="str">
        <f t="shared" si="6"/>
        <v>701 Asbury HCBS</v>
      </c>
      <c r="I125" s="16" cm="1">
        <f t="array" ref="I125">INDEX('OC-Monthly'!$B$7:$N$65,_xlfn.XMATCH($A125,'OC-Monthly'!$A$7:$A$65),_xlfn.XMATCH($B125,'OC-Monthly'!$B$1:$N$1))</f>
        <v>0</v>
      </c>
      <c r="J125" s="16" cm="1">
        <f t="array" ref="J125">INDEX('OC-Monthly'!$P$7:$AB$65,_xlfn.XMATCH($A125,'OC-Monthly'!$A$7:$A$65),_xlfn.XMATCH($B125,'OC-Monthly'!$P$1:$AB$1))</f>
        <v>0</v>
      </c>
      <c r="K125" s="1" t="s">
        <v>8</v>
      </c>
      <c r="L125" s="1" t="s">
        <v>7</v>
      </c>
      <c r="M125" s="15" t="str">
        <f t="shared" si="7"/>
        <v>na</v>
      </c>
    </row>
    <row r="126" spans="1:13" x14ac:dyDescent="0.25">
      <c r="A126" t="s">
        <v>67</v>
      </c>
      <c r="B126">
        <v>2</v>
      </c>
      <c r="C126" t="str">
        <f t="shared" si="4"/>
        <v>701</v>
      </c>
      <c r="D126" t="s">
        <v>17</v>
      </c>
      <c r="F126">
        <v>2025</v>
      </c>
      <c r="G126">
        <f t="shared" si="5"/>
        <v>2</v>
      </c>
      <c r="H126" t="str">
        <f t="shared" si="6"/>
        <v>701 Asbury HCBS</v>
      </c>
      <c r="I126" s="16" cm="1">
        <f t="array" ref="I126">INDEX('OC-Monthly'!$B$7:$N$65,_xlfn.XMATCH($A126,'OC-Monthly'!$A$7:$A$65),_xlfn.XMATCH($B126,'OC-Monthly'!$B$1:$N$1))</f>
        <v>0</v>
      </c>
      <c r="J126" s="16" cm="1">
        <f t="array" ref="J126">INDEX('OC-Monthly'!$P$7:$AB$65,_xlfn.XMATCH($A126,'OC-Monthly'!$A$7:$A$65),_xlfn.XMATCH($B126,'OC-Monthly'!$P$1:$AB$1))</f>
        <v>0</v>
      </c>
      <c r="K126" s="1" t="s">
        <v>8</v>
      </c>
      <c r="L126" s="1" t="s">
        <v>7</v>
      </c>
      <c r="M126" s="15" t="str">
        <f t="shared" si="7"/>
        <v>na</v>
      </c>
    </row>
    <row r="127" spans="1:13" x14ac:dyDescent="0.25">
      <c r="A127" t="s">
        <v>67</v>
      </c>
      <c r="B127">
        <v>3</v>
      </c>
      <c r="C127" t="str">
        <f t="shared" si="4"/>
        <v>701</v>
      </c>
      <c r="D127" t="s">
        <v>17</v>
      </c>
      <c r="F127">
        <v>2025</v>
      </c>
      <c r="G127">
        <f t="shared" si="5"/>
        <v>3</v>
      </c>
      <c r="H127" t="str">
        <f t="shared" si="6"/>
        <v>701 Asbury HCBS</v>
      </c>
      <c r="I127" s="16" cm="1">
        <f t="array" ref="I127">INDEX('OC-Monthly'!$B$7:$N$65,_xlfn.XMATCH($A127,'OC-Monthly'!$A$7:$A$65),_xlfn.XMATCH($B127,'OC-Monthly'!$B$1:$N$1))</f>
        <v>0</v>
      </c>
      <c r="J127" s="16" cm="1">
        <f t="array" ref="J127">INDEX('OC-Monthly'!$P$7:$AB$65,_xlfn.XMATCH($A127,'OC-Monthly'!$A$7:$A$65),_xlfn.XMATCH($B127,'OC-Monthly'!$P$1:$AB$1))</f>
        <v>0</v>
      </c>
      <c r="K127" s="1" t="s">
        <v>8</v>
      </c>
      <c r="L127" s="1" t="s">
        <v>7</v>
      </c>
      <c r="M127" s="15" t="str">
        <f t="shared" si="7"/>
        <v>na</v>
      </c>
    </row>
    <row r="128" spans="1:13" x14ac:dyDescent="0.25">
      <c r="A128" t="s">
        <v>67</v>
      </c>
      <c r="B128">
        <v>4</v>
      </c>
      <c r="C128" t="str">
        <f t="shared" si="4"/>
        <v>701</v>
      </c>
      <c r="D128" t="s">
        <v>17</v>
      </c>
      <c r="F128">
        <v>2025</v>
      </c>
      <c r="G128">
        <f t="shared" si="5"/>
        <v>4</v>
      </c>
      <c r="H128" t="str">
        <f t="shared" si="6"/>
        <v>701 Asbury HCBS</v>
      </c>
      <c r="I128" s="16" cm="1">
        <f t="array" ref="I128">INDEX('OC-Monthly'!$B$7:$N$65,_xlfn.XMATCH($A128,'OC-Monthly'!$A$7:$A$65),_xlfn.XMATCH($B128,'OC-Monthly'!$B$1:$N$1))</f>
        <v>0</v>
      </c>
      <c r="J128" s="16" cm="1">
        <f t="array" ref="J128">INDEX('OC-Monthly'!$P$7:$AB$65,_xlfn.XMATCH($A128,'OC-Monthly'!$A$7:$A$65),_xlfn.XMATCH($B128,'OC-Monthly'!$P$1:$AB$1))</f>
        <v>0</v>
      </c>
      <c r="K128" s="1" t="s">
        <v>8</v>
      </c>
      <c r="L128" s="1" t="s">
        <v>7</v>
      </c>
      <c r="M128" s="15" t="str">
        <f t="shared" si="7"/>
        <v>na</v>
      </c>
    </row>
    <row r="129" spans="1:13" x14ac:dyDescent="0.25">
      <c r="A129" t="s">
        <v>67</v>
      </c>
      <c r="B129">
        <v>5</v>
      </c>
      <c r="C129" t="str">
        <f t="shared" si="4"/>
        <v>701</v>
      </c>
      <c r="D129" t="s">
        <v>17</v>
      </c>
      <c r="F129">
        <v>2025</v>
      </c>
      <c r="G129">
        <f t="shared" si="5"/>
        <v>5</v>
      </c>
      <c r="H129" t="str">
        <f t="shared" si="6"/>
        <v>701 Asbury HCBS</v>
      </c>
      <c r="I129" s="16" cm="1">
        <f t="array" ref="I129">INDEX('OC-Monthly'!$B$7:$N$65,_xlfn.XMATCH($A129,'OC-Monthly'!$A$7:$A$65),_xlfn.XMATCH($B129,'OC-Monthly'!$B$1:$N$1))</f>
        <v>0</v>
      </c>
      <c r="J129" s="16" cm="1">
        <f t="array" ref="J129">INDEX('OC-Monthly'!$P$7:$AB$65,_xlfn.XMATCH($A129,'OC-Monthly'!$A$7:$A$65),_xlfn.XMATCH($B129,'OC-Monthly'!$P$1:$AB$1))</f>
        <v>0</v>
      </c>
      <c r="K129" s="1" t="s">
        <v>8</v>
      </c>
      <c r="L129" s="1" t="s">
        <v>7</v>
      </c>
      <c r="M129" s="15" t="str">
        <f t="shared" si="7"/>
        <v>na</v>
      </c>
    </row>
    <row r="130" spans="1:13" x14ac:dyDescent="0.25">
      <c r="A130" t="s">
        <v>67</v>
      </c>
      <c r="B130">
        <v>6</v>
      </c>
      <c r="C130" t="str">
        <f t="shared" si="4"/>
        <v>701</v>
      </c>
      <c r="D130" t="s">
        <v>17</v>
      </c>
      <c r="F130">
        <v>2025</v>
      </c>
      <c r="G130">
        <f t="shared" si="5"/>
        <v>6</v>
      </c>
      <c r="H130" t="str">
        <f t="shared" si="6"/>
        <v>701 Asbury HCBS</v>
      </c>
      <c r="I130" s="16" cm="1">
        <f t="array" ref="I130">INDEX('OC-Monthly'!$B$7:$N$65,_xlfn.XMATCH($A130,'OC-Monthly'!$A$7:$A$65),_xlfn.XMATCH($B130,'OC-Monthly'!$B$1:$N$1))</f>
        <v>0</v>
      </c>
      <c r="J130" s="16" cm="1">
        <f t="array" ref="J130">INDEX('OC-Monthly'!$P$7:$AB$65,_xlfn.XMATCH($A130,'OC-Monthly'!$A$7:$A$65),_xlfn.XMATCH($B130,'OC-Monthly'!$P$1:$AB$1))</f>
        <v>0</v>
      </c>
      <c r="K130" s="1" t="s">
        <v>8</v>
      </c>
      <c r="L130" s="1" t="s">
        <v>7</v>
      </c>
      <c r="M130" s="15" t="str">
        <f t="shared" si="7"/>
        <v>na</v>
      </c>
    </row>
    <row r="131" spans="1:13" x14ac:dyDescent="0.25">
      <c r="A131" t="s">
        <v>67</v>
      </c>
      <c r="B131">
        <v>7</v>
      </c>
      <c r="C131" t="str">
        <f t="shared" si="4"/>
        <v>701</v>
      </c>
      <c r="D131" t="s">
        <v>17</v>
      </c>
      <c r="F131">
        <v>2025</v>
      </c>
      <c r="G131">
        <f t="shared" si="5"/>
        <v>7</v>
      </c>
      <c r="H131" t="str">
        <f t="shared" si="6"/>
        <v>701 Asbury HCBS</v>
      </c>
      <c r="I131" s="16" cm="1">
        <f t="array" ref="I131">INDEX('OC-Monthly'!$B$7:$N$65,_xlfn.XMATCH($A131,'OC-Monthly'!$A$7:$A$65),_xlfn.XMATCH($B131,'OC-Monthly'!$B$1:$N$1))</f>
        <v>0</v>
      </c>
      <c r="J131" s="16" cm="1">
        <f t="array" ref="J131">INDEX('OC-Monthly'!$P$7:$AB$65,_xlfn.XMATCH($A131,'OC-Monthly'!$A$7:$A$65),_xlfn.XMATCH($B131,'OC-Monthly'!$P$1:$AB$1))</f>
        <v>0</v>
      </c>
      <c r="K131" s="1" t="s">
        <v>8</v>
      </c>
      <c r="L131" s="1" t="s">
        <v>7</v>
      </c>
      <c r="M131" s="15" t="str">
        <f t="shared" si="7"/>
        <v>na</v>
      </c>
    </row>
    <row r="132" spans="1:13" x14ac:dyDescent="0.25">
      <c r="A132" t="s">
        <v>67</v>
      </c>
      <c r="B132">
        <v>8</v>
      </c>
      <c r="C132" t="str">
        <f t="shared" si="4"/>
        <v>701</v>
      </c>
      <c r="D132" t="s">
        <v>17</v>
      </c>
      <c r="F132">
        <v>2025</v>
      </c>
      <c r="G132">
        <f t="shared" si="5"/>
        <v>8</v>
      </c>
      <c r="H132" t="str">
        <f t="shared" si="6"/>
        <v>701 Asbury HCBS</v>
      </c>
      <c r="I132" s="16" cm="1">
        <f t="array" ref="I132">INDEX('OC-Monthly'!$B$7:$N$65,_xlfn.XMATCH($A132,'OC-Monthly'!$A$7:$A$65),_xlfn.XMATCH($B132,'OC-Monthly'!$B$1:$N$1))</f>
        <v>0</v>
      </c>
      <c r="J132" s="16" cm="1">
        <f t="array" ref="J132">INDEX('OC-Monthly'!$P$7:$AB$65,_xlfn.XMATCH($A132,'OC-Monthly'!$A$7:$A$65),_xlfn.XMATCH($B132,'OC-Monthly'!$P$1:$AB$1))</f>
        <v>0</v>
      </c>
      <c r="K132" s="1" t="s">
        <v>8</v>
      </c>
      <c r="L132" s="1" t="s">
        <v>7</v>
      </c>
      <c r="M132" s="15" t="str">
        <f t="shared" si="7"/>
        <v>na</v>
      </c>
    </row>
    <row r="133" spans="1:13" x14ac:dyDescent="0.25">
      <c r="A133" t="s">
        <v>67</v>
      </c>
      <c r="B133">
        <v>9</v>
      </c>
      <c r="C133" t="str">
        <f t="shared" si="4"/>
        <v>701</v>
      </c>
      <c r="D133" t="s">
        <v>17</v>
      </c>
      <c r="F133">
        <v>2025</v>
      </c>
      <c r="G133">
        <f t="shared" si="5"/>
        <v>9</v>
      </c>
      <c r="H133" t="str">
        <f t="shared" si="6"/>
        <v>701 Asbury HCBS</v>
      </c>
      <c r="I133" s="16" cm="1">
        <f t="array" ref="I133">INDEX('OC-Monthly'!$B$7:$N$65,_xlfn.XMATCH($A133,'OC-Monthly'!$A$7:$A$65),_xlfn.XMATCH($B133,'OC-Monthly'!$B$1:$N$1))</f>
        <v>0</v>
      </c>
      <c r="J133" s="16" cm="1">
        <f t="array" ref="J133">INDEX('OC-Monthly'!$P$7:$AB$65,_xlfn.XMATCH($A133,'OC-Monthly'!$A$7:$A$65),_xlfn.XMATCH($B133,'OC-Monthly'!$P$1:$AB$1))</f>
        <v>0</v>
      </c>
      <c r="K133" s="1" t="s">
        <v>8</v>
      </c>
      <c r="L133" s="1" t="s">
        <v>7</v>
      </c>
      <c r="M133" s="15" t="str">
        <f t="shared" si="7"/>
        <v>na</v>
      </c>
    </row>
    <row r="134" spans="1:13" x14ac:dyDescent="0.25">
      <c r="A134" t="s">
        <v>67</v>
      </c>
      <c r="B134">
        <v>10</v>
      </c>
      <c r="C134" t="str">
        <f t="shared" ref="C134:C197" si="8">LEFT(A134,3)</f>
        <v>701</v>
      </c>
      <c r="D134" t="s">
        <v>17</v>
      </c>
      <c r="F134">
        <v>2025</v>
      </c>
      <c r="G134">
        <f t="shared" ref="G134:G197" si="9">B134</f>
        <v>10</v>
      </c>
      <c r="H134" t="str">
        <f t="shared" ref="H134:H197" si="10">D134</f>
        <v>701 Asbury HCBS</v>
      </c>
      <c r="I134" s="16" cm="1">
        <f t="array" ref="I134">INDEX('OC-Monthly'!$B$7:$N$65,_xlfn.XMATCH($A134,'OC-Monthly'!$A$7:$A$65),_xlfn.XMATCH($B134,'OC-Monthly'!$B$1:$N$1))</f>
        <v>0</v>
      </c>
      <c r="J134" s="16" cm="1">
        <f t="array" ref="J134">INDEX('OC-Monthly'!$P$7:$AB$65,_xlfn.XMATCH($A134,'OC-Monthly'!$A$7:$A$65),_xlfn.XMATCH($B134,'OC-Monthly'!$P$1:$AB$1))</f>
        <v>0</v>
      </c>
      <c r="K134" s="1" t="s">
        <v>8</v>
      </c>
      <c r="L134" s="1" t="s">
        <v>7</v>
      </c>
      <c r="M134" s="15" t="str">
        <f t="shared" ref="M134:M197" si="11">IFERROR(J134/I134,"na")</f>
        <v>na</v>
      </c>
    </row>
    <row r="135" spans="1:13" x14ac:dyDescent="0.25">
      <c r="A135" t="s">
        <v>67</v>
      </c>
      <c r="B135">
        <v>11</v>
      </c>
      <c r="C135" t="str">
        <f t="shared" si="8"/>
        <v>701</v>
      </c>
      <c r="D135" t="s">
        <v>17</v>
      </c>
      <c r="F135">
        <v>2025</v>
      </c>
      <c r="G135">
        <f t="shared" si="9"/>
        <v>11</v>
      </c>
      <c r="H135" t="str">
        <f t="shared" si="10"/>
        <v>701 Asbury HCBS</v>
      </c>
      <c r="I135" s="16" cm="1">
        <f t="array" ref="I135">INDEX('OC-Monthly'!$B$7:$N$65,_xlfn.XMATCH($A135,'OC-Monthly'!$A$7:$A$65),_xlfn.XMATCH($B135,'OC-Monthly'!$B$1:$N$1))</f>
        <v>0</v>
      </c>
      <c r="J135" s="16" cm="1">
        <f t="array" ref="J135">INDEX('OC-Monthly'!$P$7:$AB$65,_xlfn.XMATCH($A135,'OC-Monthly'!$A$7:$A$65),_xlfn.XMATCH($B135,'OC-Monthly'!$P$1:$AB$1))</f>
        <v>0</v>
      </c>
      <c r="K135" s="1" t="s">
        <v>8</v>
      </c>
      <c r="L135" s="1" t="s">
        <v>7</v>
      </c>
      <c r="M135" s="15" t="str">
        <f t="shared" si="11"/>
        <v>na</v>
      </c>
    </row>
    <row r="136" spans="1:13" x14ac:dyDescent="0.25">
      <c r="A136" t="s">
        <v>67</v>
      </c>
      <c r="B136">
        <v>12</v>
      </c>
      <c r="C136" t="str">
        <f t="shared" si="8"/>
        <v>701</v>
      </c>
      <c r="D136" t="s">
        <v>17</v>
      </c>
      <c r="F136">
        <v>2025</v>
      </c>
      <c r="G136">
        <f t="shared" si="9"/>
        <v>12</v>
      </c>
      <c r="H136" t="str">
        <f t="shared" si="10"/>
        <v>701 Asbury HCBS</v>
      </c>
      <c r="I136" s="16" cm="1">
        <f t="array" ref="I136">INDEX('OC-Monthly'!$B$7:$N$65,_xlfn.XMATCH($A136,'OC-Monthly'!$A$7:$A$65),_xlfn.XMATCH($B136,'OC-Monthly'!$B$1:$N$1))</f>
        <v>0</v>
      </c>
      <c r="J136" s="16" cm="1">
        <f t="array" ref="J136">INDEX('OC-Monthly'!$P$7:$AB$65,_xlfn.XMATCH($A136,'OC-Monthly'!$A$7:$A$65),_xlfn.XMATCH($B136,'OC-Monthly'!$P$1:$AB$1))</f>
        <v>0</v>
      </c>
      <c r="K136" s="1" t="s">
        <v>8</v>
      </c>
      <c r="L136" s="1" t="s">
        <v>7</v>
      </c>
      <c r="M136" s="15" t="str">
        <f t="shared" si="11"/>
        <v>na</v>
      </c>
    </row>
    <row r="137" spans="1:13" x14ac:dyDescent="0.25">
      <c r="A137" t="s">
        <v>45</v>
      </c>
      <c r="B137">
        <v>1</v>
      </c>
      <c r="C137" t="str">
        <f t="shared" si="8"/>
        <v>702</v>
      </c>
      <c r="D137" t="s">
        <v>45</v>
      </c>
      <c r="F137">
        <v>2025</v>
      </c>
      <c r="G137">
        <f t="shared" si="9"/>
        <v>1</v>
      </c>
      <c r="H137" t="str">
        <f t="shared" si="10"/>
        <v>702 Laboratory</v>
      </c>
      <c r="I137" s="16" cm="1">
        <f t="array" ref="I137">INDEX('OC-Monthly'!$B$7:$N$65,_xlfn.XMATCH($A137,'OC-Monthly'!$A$7:$A$65),_xlfn.XMATCH($B137,'OC-Monthly'!$B$1:$N$1))</f>
        <v>0</v>
      </c>
      <c r="J137" s="16" cm="1">
        <f t="array" ref="J137">INDEX('OC-Monthly'!$P$7:$AB$65,_xlfn.XMATCH($A137,'OC-Monthly'!$A$7:$A$65),_xlfn.XMATCH($B137,'OC-Monthly'!$P$1:$AB$1))</f>
        <v>0</v>
      </c>
      <c r="K137" s="1" t="s">
        <v>8</v>
      </c>
      <c r="L137" s="1" t="s">
        <v>7</v>
      </c>
      <c r="M137" s="15" t="str">
        <f t="shared" si="11"/>
        <v>na</v>
      </c>
    </row>
    <row r="138" spans="1:13" x14ac:dyDescent="0.25">
      <c r="A138" t="s">
        <v>45</v>
      </c>
      <c r="B138">
        <v>2</v>
      </c>
      <c r="C138" t="str">
        <f t="shared" si="8"/>
        <v>702</v>
      </c>
      <c r="D138" t="s">
        <v>45</v>
      </c>
      <c r="F138">
        <v>2025</v>
      </c>
      <c r="G138">
        <f t="shared" si="9"/>
        <v>2</v>
      </c>
      <c r="H138" t="str">
        <f t="shared" si="10"/>
        <v>702 Laboratory</v>
      </c>
      <c r="I138" s="16" cm="1">
        <f t="array" ref="I138">INDEX('OC-Monthly'!$B$7:$N$65,_xlfn.XMATCH($A138,'OC-Monthly'!$A$7:$A$65),_xlfn.XMATCH($B138,'OC-Monthly'!$B$1:$N$1))</f>
        <v>0</v>
      </c>
      <c r="J138" s="16" cm="1">
        <f t="array" ref="J138">INDEX('OC-Monthly'!$P$7:$AB$65,_xlfn.XMATCH($A138,'OC-Monthly'!$A$7:$A$65),_xlfn.XMATCH($B138,'OC-Monthly'!$P$1:$AB$1))</f>
        <v>0</v>
      </c>
      <c r="K138" s="1" t="s">
        <v>8</v>
      </c>
      <c r="L138" s="1" t="s">
        <v>7</v>
      </c>
      <c r="M138" s="15" t="str">
        <f t="shared" si="11"/>
        <v>na</v>
      </c>
    </row>
    <row r="139" spans="1:13" x14ac:dyDescent="0.25">
      <c r="A139" t="s">
        <v>45</v>
      </c>
      <c r="B139">
        <v>3</v>
      </c>
      <c r="C139" t="str">
        <f t="shared" si="8"/>
        <v>702</v>
      </c>
      <c r="D139" t="s">
        <v>45</v>
      </c>
      <c r="F139">
        <v>2025</v>
      </c>
      <c r="G139">
        <f t="shared" si="9"/>
        <v>3</v>
      </c>
      <c r="H139" t="str">
        <f t="shared" si="10"/>
        <v>702 Laboratory</v>
      </c>
      <c r="I139" s="16" cm="1">
        <f t="array" ref="I139">INDEX('OC-Monthly'!$B$7:$N$65,_xlfn.XMATCH($A139,'OC-Monthly'!$A$7:$A$65),_xlfn.XMATCH($B139,'OC-Monthly'!$B$1:$N$1))</f>
        <v>0</v>
      </c>
      <c r="J139" s="16" cm="1">
        <f t="array" ref="J139">INDEX('OC-Monthly'!$P$7:$AB$65,_xlfn.XMATCH($A139,'OC-Monthly'!$A$7:$A$65),_xlfn.XMATCH($B139,'OC-Monthly'!$P$1:$AB$1))</f>
        <v>0</v>
      </c>
      <c r="K139" s="1" t="s">
        <v>8</v>
      </c>
      <c r="L139" s="1" t="s">
        <v>7</v>
      </c>
      <c r="M139" s="15" t="str">
        <f t="shared" si="11"/>
        <v>na</v>
      </c>
    </row>
    <row r="140" spans="1:13" x14ac:dyDescent="0.25">
      <c r="A140" t="s">
        <v>45</v>
      </c>
      <c r="B140">
        <v>4</v>
      </c>
      <c r="C140" t="str">
        <f t="shared" si="8"/>
        <v>702</v>
      </c>
      <c r="D140" t="s">
        <v>45</v>
      </c>
      <c r="F140">
        <v>2025</v>
      </c>
      <c r="G140">
        <f t="shared" si="9"/>
        <v>4</v>
      </c>
      <c r="H140" t="str">
        <f t="shared" si="10"/>
        <v>702 Laboratory</v>
      </c>
      <c r="I140" s="16" cm="1">
        <f t="array" ref="I140">INDEX('OC-Monthly'!$B$7:$N$65,_xlfn.XMATCH($A140,'OC-Monthly'!$A$7:$A$65),_xlfn.XMATCH($B140,'OC-Monthly'!$B$1:$N$1))</f>
        <v>0</v>
      </c>
      <c r="J140" s="16" cm="1">
        <f t="array" ref="J140">INDEX('OC-Monthly'!$P$7:$AB$65,_xlfn.XMATCH($A140,'OC-Monthly'!$A$7:$A$65),_xlfn.XMATCH($B140,'OC-Monthly'!$P$1:$AB$1))</f>
        <v>0</v>
      </c>
      <c r="K140" s="1" t="s">
        <v>8</v>
      </c>
      <c r="L140" s="1" t="s">
        <v>7</v>
      </c>
      <c r="M140" s="15" t="str">
        <f t="shared" si="11"/>
        <v>na</v>
      </c>
    </row>
    <row r="141" spans="1:13" x14ac:dyDescent="0.25">
      <c r="A141" t="s">
        <v>45</v>
      </c>
      <c r="B141">
        <v>5</v>
      </c>
      <c r="C141" t="str">
        <f t="shared" si="8"/>
        <v>702</v>
      </c>
      <c r="D141" t="s">
        <v>45</v>
      </c>
      <c r="F141">
        <v>2025</v>
      </c>
      <c r="G141">
        <f t="shared" si="9"/>
        <v>5</v>
      </c>
      <c r="H141" t="str">
        <f t="shared" si="10"/>
        <v>702 Laboratory</v>
      </c>
      <c r="I141" s="16" cm="1">
        <f t="array" ref="I141">INDEX('OC-Monthly'!$B$7:$N$65,_xlfn.XMATCH($A141,'OC-Monthly'!$A$7:$A$65),_xlfn.XMATCH($B141,'OC-Monthly'!$B$1:$N$1))</f>
        <v>0</v>
      </c>
      <c r="J141" s="16" cm="1">
        <f t="array" ref="J141">INDEX('OC-Monthly'!$P$7:$AB$65,_xlfn.XMATCH($A141,'OC-Monthly'!$A$7:$A$65),_xlfn.XMATCH($B141,'OC-Monthly'!$P$1:$AB$1))</f>
        <v>0</v>
      </c>
      <c r="K141" s="1" t="s">
        <v>8</v>
      </c>
      <c r="L141" s="1" t="s">
        <v>7</v>
      </c>
      <c r="M141" s="15" t="str">
        <f t="shared" si="11"/>
        <v>na</v>
      </c>
    </row>
    <row r="142" spans="1:13" x14ac:dyDescent="0.25">
      <c r="A142" t="s">
        <v>45</v>
      </c>
      <c r="B142">
        <v>6</v>
      </c>
      <c r="C142" t="str">
        <f t="shared" si="8"/>
        <v>702</v>
      </c>
      <c r="D142" t="s">
        <v>45</v>
      </c>
      <c r="F142">
        <v>2025</v>
      </c>
      <c r="G142">
        <f t="shared" si="9"/>
        <v>6</v>
      </c>
      <c r="H142" t="str">
        <f t="shared" si="10"/>
        <v>702 Laboratory</v>
      </c>
      <c r="I142" s="16" cm="1">
        <f t="array" ref="I142">INDEX('OC-Monthly'!$B$7:$N$65,_xlfn.XMATCH($A142,'OC-Monthly'!$A$7:$A$65),_xlfn.XMATCH($B142,'OC-Monthly'!$B$1:$N$1))</f>
        <v>0</v>
      </c>
      <c r="J142" s="16" cm="1">
        <f t="array" ref="J142">INDEX('OC-Monthly'!$P$7:$AB$65,_xlfn.XMATCH($A142,'OC-Monthly'!$A$7:$A$65),_xlfn.XMATCH($B142,'OC-Monthly'!$P$1:$AB$1))</f>
        <v>0</v>
      </c>
      <c r="K142" s="1" t="s">
        <v>8</v>
      </c>
      <c r="L142" s="1" t="s">
        <v>7</v>
      </c>
      <c r="M142" s="15" t="str">
        <f t="shared" si="11"/>
        <v>na</v>
      </c>
    </row>
    <row r="143" spans="1:13" x14ac:dyDescent="0.25">
      <c r="A143" t="s">
        <v>45</v>
      </c>
      <c r="B143">
        <v>7</v>
      </c>
      <c r="C143" t="str">
        <f t="shared" si="8"/>
        <v>702</v>
      </c>
      <c r="D143" t="s">
        <v>45</v>
      </c>
      <c r="F143">
        <v>2025</v>
      </c>
      <c r="G143">
        <f t="shared" si="9"/>
        <v>7</v>
      </c>
      <c r="H143" t="str">
        <f t="shared" si="10"/>
        <v>702 Laboratory</v>
      </c>
      <c r="I143" s="16" cm="1">
        <f t="array" ref="I143">INDEX('OC-Monthly'!$B$7:$N$65,_xlfn.XMATCH($A143,'OC-Monthly'!$A$7:$A$65),_xlfn.XMATCH($B143,'OC-Monthly'!$B$1:$N$1))</f>
        <v>0</v>
      </c>
      <c r="J143" s="16" cm="1">
        <f t="array" ref="J143">INDEX('OC-Monthly'!$P$7:$AB$65,_xlfn.XMATCH($A143,'OC-Monthly'!$A$7:$A$65),_xlfn.XMATCH($B143,'OC-Monthly'!$P$1:$AB$1))</f>
        <v>0</v>
      </c>
      <c r="K143" s="1" t="s">
        <v>8</v>
      </c>
      <c r="L143" s="1" t="s">
        <v>7</v>
      </c>
      <c r="M143" s="15" t="str">
        <f t="shared" si="11"/>
        <v>na</v>
      </c>
    </row>
    <row r="144" spans="1:13" x14ac:dyDescent="0.25">
      <c r="A144" t="s">
        <v>45</v>
      </c>
      <c r="B144">
        <v>8</v>
      </c>
      <c r="C144" t="str">
        <f t="shared" si="8"/>
        <v>702</v>
      </c>
      <c r="D144" t="s">
        <v>45</v>
      </c>
      <c r="F144">
        <v>2025</v>
      </c>
      <c r="G144">
        <f t="shared" si="9"/>
        <v>8</v>
      </c>
      <c r="H144" t="str">
        <f t="shared" si="10"/>
        <v>702 Laboratory</v>
      </c>
      <c r="I144" s="16" cm="1">
        <f t="array" ref="I144">INDEX('OC-Monthly'!$B$7:$N$65,_xlfn.XMATCH($A144,'OC-Monthly'!$A$7:$A$65),_xlfn.XMATCH($B144,'OC-Monthly'!$B$1:$N$1))</f>
        <v>0</v>
      </c>
      <c r="J144" s="16" cm="1">
        <f t="array" ref="J144">INDEX('OC-Monthly'!$P$7:$AB$65,_xlfn.XMATCH($A144,'OC-Monthly'!$A$7:$A$65),_xlfn.XMATCH($B144,'OC-Monthly'!$P$1:$AB$1))</f>
        <v>0</v>
      </c>
      <c r="K144" s="1" t="s">
        <v>8</v>
      </c>
      <c r="L144" s="1" t="s">
        <v>7</v>
      </c>
      <c r="M144" s="15" t="str">
        <f t="shared" si="11"/>
        <v>na</v>
      </c>
    </row>
    <row r="145" spans="1:13" x14ac:dyDescent="0.25">
      <c r="A145" t="s">
        <v>45</v>
      </c>
      <c r="B145">
        <v>9</v>
      </c>
      <c r="C145" t="str">
        <f t="shared" si="8"/>
        <v>702</v>
      </c>
      <c r="D145" t="s">
        <v>45</v>
      </c>
      <c r="F145">
        <v>2025</v>
      </c>
      <c r="G145">
        <f t="shared" si="9"/>
        <v>9</v>
      </c>
      <c r="H145" t="str">
        <f t="shared" si="10"/>
        <v>702 Laboratory</v>
      </c>
      <c r="I145" s="16" cm="1">
        <f t="array" ref="I145">INDEX('OC-Monthly'!$B$7:$N$65,_xlfn.XMATCH($A145,'OC-Monthly'!$A$7:$A$65),_xlfn.XMATCH($B145,'OC-Monthly'!$B$1:$N$1))</f>
        <v>0</v>
      </c>
      <c r="J145" s="16" cm="1">
        <f t="array" ref="J145">INDEX('OC-Monthly'!$P$7:$AB$65,_xlfn.XMATCH($A145,'OC-Monthly'!$A$7:$A$65),_xlfn.XMATCH($B145,'OC-Monthly'!$P$1:$AB$1))</f>
        <v>0</v>
      </c>
      <c r="K145" s="1" t="s">
        <v>8</v>
      </c>
      <c r="L145" s="1" t="s">
        <v>7</v>
      </c>
      <c r="M145" s="15" t="str">
        <f t="shared" si="11"/>
        <v>na</v>
      </c>
    </row>
    <row r="146" spans="1:13" x14ac:dyDescent="0.25">
      <c r="A146" t="s">
        <v>45</v>
      </c>
      <c r="B146">
        <v>10</v>
      </c>
      <c r="C146" t="str">
        <f t="shared" si="8"/>
        <v>702</v>
      </c>
      <c r="D146" t="s">
        <v>45</v>
      </c>
      <c r="F146">
        <v>2025</v>
      </c>
      <c r="G146">
        <f t="shared" si="9"/>
        <v>10</v>
      </c>
      <c r="H146" t="str">
        <f t="shared" si="10"/>
        <v>702 Laboratory</v>
      </c>
      <c r="I146" s="16" cm="1">
        <f t="array" ref="I146">INDEX('OC-Monthly'!$B$7:$N$65,_xlfn.XMATCH($A146,'OC-Monthly'!$A$7:$A$65),_xlfn.XMATCH($B146,'OC-Monthly'!$B$1:$N$1))</f>
        <v>0</v>
      </c>
      <c r="J146" s="16" cm="1">
        <f t="array" ref="J146">INDEX('OC-Monthly'!$P$7:$AB$65,_xlfn.XMATCH($A146,'OC-Monthly'!$A$7:$A$65),_xlfn.XMATCH($B146,'OC-Monthly'!$P$1:$AB$1))</f>
        <v>0</v>
      </c>
      <c r="K146" s="1" t="s">
        <v>8</v>
      </c>
      <c r="L146" s="1" t="s">
        <v>7</v>
      </c>
      <c r="M146" s="15" t="str">
        <f t="shared" si="11"/>
        <v>na</v>
      </c>
    </row>
    <row r="147" spans="1:13" x14ac:dyDescent="0.25">
      <c r="A147" t="s">
        <v>45</v>
      </c>
      <c r="B147">
        <v>11</v>
      </c>
      <c r="C147" t="str">
        <f t="shared" si="8"/>
        <v>702</v>
      </c>
      <c r="D147" t="s">
        <v>45</v>
      </c>
      <c r="F147">
        <v>2025</v>
      </c>
      <c r="G147">
        <f t="shared" si="9"/>
        <v>11</v>
      </c>
      <c r="H147" t="str">
        <f t="shared" si="10"/>
        <v>702 Laboratory</v>
      </c>
      <c r="I147" s="16" cm="1">
        <f t="array" ref="I147">INDEX('OC-Monthly'!$B$7:$N$65,_xlfn.XMATCH($A147,'OC-Monthly'!$A$7:$A$65),_xlfn.XMATCH($B147,'OC-Monthly'!$B$1:$N$1))</f>
        <v>0</v>
      </c>
      <c r="J147" s="16" cm="1">
        <f t="array" ref="J147">INDEX('OC-Monthly'!$P$7:$AB$65,_xlfn.XMATCH($A147,'OC-Monthly'!$A$7:$A$65),_xlfn.XMATCH($B147,'OC-Monthly'!$P$1:$AB$1))</f>
        <v>0</v>
      </c>
      <c r="K147" s="1" t="s">
        <v>8</v>
      </c>
      <c r="L147" s="1" t="s">
        <v>7</v>
      </c>
      <c r="M147" s="15" t="str">
        <f t="shared" si="11"/>
        <v>na</v>
      </c>
    </row>
    <row r="148" spans="1:13" x14ac:dyDescent="0.25">
      <c r="A148" t="s">
        <v>45</v>
      </c>
      <c r="B148">
        <v>12</v>
      </c>
      <c r="C148" t="str">
        <f t="shared" si="8"/>
        <v>702</v>
      </c>
      <c r="D148" t="s">
        <v>45</v>
      </c>
      <c r="F148">
        <v>2025</v>
      </c>
      <c r="G148">
        <f t="shared" si="9"/>
        <v>12</v>
      </c>
      <c r="H148" t="str">
        <f t="shared" si="10"/>
        <v>702 Laboratory</v>
      </c>
      <c r="I148" s="16" cm="1">
        <f t="array" ref="I148">INDEX('OC-Monthly'!$B$7:$N$65,_xlfn.XMATCH($A148,'OC-Monthly'!$A$7:$A$65),_xlfn.XMATCH($B148,'OC-Monthly'!$B$1:$N$1))</f>
        <v>0</v>
      </c>
      <c r="J148" s="16" cm="1">
        <f t="array" ref="J148">INDEX('OC-Monthly'!$P$7:$AB$65,_xlfn.XMATCH($A148,'OC-Monthly'!$A$7:$A$65),_xlfn.XMATCH($B148,'OC-Monthly'!$P$1:$AB$1))</f>
        <v>0</v>
      </c>
      <c r="K148" s="1" t="s">
        <v>8</v>
      </c>
      <c r="L148" s="1" t="s">
        <v>7</v>
      </c>
      <c r="M148" s="15" t="str">
        <f t="shared" si="11"/>
        <v>na</v>
      </c>
    </row>
    <row r="149" spans="1:13" x14ac:dyDescent="0.25">
      <c r="A149" t="s">
        <v>19</v>
      </c>
      <c r="B149">
        <v>1</v>
      </c>
      <c r="C149" t="str">
        <f t="shared" si="8"/>
        <v>712</v>
      </c>
      <c r="D149" t="s">
        <v>19</v>
      </c>
      <c r="F149">
        <v>2025</v>
      </c>
      <c r="G149">
        <f t="shared" si="9"/>
        <v>1</v>
      </c>
      <c r="H149" t="str">
        <f t="shared" si="10"/>
        <v>712 Springhill at Home</v>
      </c>
      <c r="I149" s="16" cm="1">
        <f t="array" ref="I149">INDEX('OC-Monthly'!$B$7:$N$65,_xlfn.XMATCH($A149,'OC-Monthly'!$A$7:$A$65),_xlfn.XMATCH($B149,'OC-Monthly'!$B$1:$N$1))</f>
        <v>0</v>
      </c>
      <c r="J149" s="16" cm="1">
        <f t="array" ref="J149">INDEX('OC-Monthly'!$P$7:$AB$65,_xlfn.XMATCH($A149,'OC-Monthly'!$A$7:$A$65),_xlfn.XMATCH($B149,'OC-Monthly'!$P$1:$AB$1))</f>
        <v>0</v>
      </c>
      <c r="K149" s="1" t="s">
        <v>8</v>
      </c>
      <c r="L149" s="1" t="s">
        <v>7</v>
      </c>
      <c r="M149" s="15" t="str">
        <f t="shared" si="11"/>
        <v>na</v>
      </c>
    </row>
    <row r="150" spans="1:13" x14ac:dyDescent="0.25">
      <c r="A150" t="s">
        <v>19</v>
      </c>
      <c r="B150">
        <v>2</v>
      </c>
      <c r="C150" t="str">
        <f t="shared" si="8"/>
        <v>712</v>
      </c>
      <c r="D150" t="s">
        <v>19</v>
      </c>
      <c r="F150">
        <v>2025</v>
      </c>
      <c r="G150">
        <f t="shared" si="9"/>
        <v>2</v>
      </c>
      <c r="H150" t="str">
        <f t="shared" si="10"/>
        <v>712 Springhill at Home</v>
      </c>
      <c r="I150" s="16" cm="1">
        <f t="array" ref="I150">INDEX('OC-Monthly'!$B$7:$N$65,_xlfn.XMATCH($A150,'OC-Monthly'!$A$7:$A$65),_xlfn.XMATCH($B150,'OC-Monthly'!$B$1:$N$1))</f>
        <v>0</v>
      </c>
      <c r="J150" s="16" cm="1">
        <f t="array" ref="J150">INDEX('OC-Monthly'!$P$7:$AB$65,_xlfn.XMATCH($A150,'OC-Monthly'!$A$7:$A$65),_xlfn.XMATCH($B150,'OC-Monthly'!$P$1:$AB$1))</f>
        <v>0</v>
      </c>
      <c r="K150" s="1" t="s">
        <v>8</v>
      </c>
      <c r="L150" s="1" t="s">
        <v>7</v>
      </c>
      <c r="M150" s="15" t="str">
        <f t="shared" si="11"/>
        <v>na</v>
      </c>
    </row>
    <row r="151" spans="1:13" x14ac:dyDescent="0.25">
      <c r="A151" t="s">
        <v>19</v>
      </c>
      <c r="B151">
        <v>3</v>
      </c>
      <c r="C151" t="str">
        <f t="shared" si="8"/>
        <v>712</v>
      </c>
      <c r="D151" t="s">
        <v>19</v>
      </c>
      <c r="F151">
        <v>2025</v>
      </c>
      <c r="G151">
        <f t="shared" si="9"/>
        <v>3</v>
      </c>
      <c r="H151" t="str">
        <f t="shared" si="10"/>
        <v>712 Springhill at Home</v>
      </c>
      <c r="I151" s="16" cm="1">
        <f t="array" ref="I151">INDEX('OC-Monthly'!$B$7:$N$65,_xlfn.XMATCH($A151,'OC-Monthly'!$A$7:$A$65),_xlfn.XMATCH($B151,'OC-Monthly'!$B$1:$N$1))</f>
        <v>0</v>
      </c>
      <c r="J151" s="16" cm="1">
        <f t="array" ref="J151">INDEX('OC-Monthly'!$P$7:$AB$65,_xlfn.XMATCH($A151,'OC-Monthly'!$A$7:$A$65),_xlfn.XMATCH($B151,'OC-Monthly'!$P$1:$AB$1))</f>
        <v>0</v>
      </c>
      <c r="K151" s="1" t="s">
        <v>8</v>
      </c>
      <c r="L151" s="1" t="s">
        <v>7</v>
      </c>
      <c r="M151" s="15" t="str">
        <f t="shared" si="11"/>
        <v>na</v>
      </c>
    </row>
    <row r="152" spans="1:13" x14ac:dyDescent="0.25">
      <c r="A152" t="s">
        <v>19</v>
      </c>
      <c r="B152">
        <v>4</v>
      </c>
      <c r="C152" t="str">
        <f t="shared" si="8"/>
        <v>712</v>
      </c>
      <c r="D152" t="s">
        <v>19</v>
      </c>
      <c r="F152">
        <v>2025</v>
      </c>
      <c r="G152">
        <f t="shared" si="9"/>
        <v>4</v>
      </c>
      <c r="H152" t="str">
        <f t="shared" si="10"/>
        <v>712 Springhill at Home</v>
      </c>
      <c r="I152" s="16" cm="1">
        <f t="array" ref="I152">INDEX('OC-Monthly'!$B$7:$N$65,_xlfn.XMATCH($A152,'OC-Monthly'!$A$7:$A$65),_xlfn.XMATCH($B152,'OC-Monthly'!$B$1:$N$1))</f>
        <v>0</v>
      </c>
      <c r="J152" s="16" cm="1">
        <f t="array" ref="J152">INDEX('OC-Monthly'!$P$7:$AB$65,_xlfn.XMATCH($A152,'OC-Monthly'!$A$7:$A$65),_xlfn.XMATCH($B152,'OC-Monthly'!$P$1:$AB$1))</f>
        <v>0</v>
      </c>
      <c r="K152" s="1" t="s">
        <v>8</v>
      </c>
      <c r="L152" s="1" t="s">
        <v>7</v>
      </c>
      <c r="M152" s="15" t="str">
        <f t="shared" si="11"/>
        <v>na</v>
      </c>
    </row>
    <row r="153" spans="1:13" x14ac:dyDescent="0.25">
      <c r="A153" t="s">
        <v>19</v>
      </c>
      <c r="B153">
        <v>5</v>
      </c>
      <c r="C153" t="str">
        <f t="shared" si="8"/>
        <v>712</v>
      </c>
      <c r="D153" t="s">
        <v>19</v>
      </c>
      <c r="F153">
        <v>2025</v>
      </c>
      <c r="G153">
        <f t="shared" si="9"/>
        <v>5</v>
      </c>
      <c r="H153" t="str">
        <f t="shared" si="10"/>
        <v>712 Springhill at Home</v>
      </c>
      <c r="I153" s="16" cm="1">
        <f t="array" ref="I153">INDEX('OC-Monthly'!$B$7:$N$65,_xlfn.XMATCH($A153,'OC-Monthly'!$A$7:$A$65),_xlfn.XMATCH($B153,'OC-Monthly'!$B$1:$N$1))</f>
        <v>0</v>
      </c>
      <c r="J153" s="16" cm="1">
        <f t="array" ref="J153">INDEX('OC-Monthly'!$P$7:$AB$65,_xlfn.XMATCH($A153,'OC-Monthly'!$A$7:$A$65),_xlfn.XMATCH($B153,'OC-Monthly'!$P$1:$AB$1))</f>
        <v>0</v>
      </c>
      <c r="K153" s="1" t="s">
        <v>8</v>
      </c>
      <c r="L153" s="1" t="s">
        <v>7</v>
      </c>
      <c r="M153" s="15" t="str">
        <f t="shared" si="11"/>
        <v>na</v>
      </c>
    </row>
    <row r="154" spans="1:13" x14ac:dyDescent="0.25">
      <c r="A154" t="s">
        <v>19</v>
      </c>
      <c r="B154">
        <v>6</v>
      </c>
      <c r="C154" t="str">
        <f t="shared" si="8"/>
        <v>712</v>
      </c>
      <c r="D154" t="s">
        <v>19</v>
      </c>
      <c r="F154">
        <v>2025</v>
      </c>
      <c r="G154">
        <f t="shared" si="9"/>
        <v>6</v>
      </c>
      <c r="H154" t="str">
        <f t="shared" si="10"/>
        <v>712 Springhill at Home</v>
      </c>
      <c r="I154" s="16" cm="1">
        <f t="array" ref="I154">INDEX('OC-Monthly'!$B$7:$N$65,_xlfn.XMATCH($A154,'OC-Monthly'!$A$7:$A$65),_xlfn.XMATCH($B154,'OC-Monthly'!$B$1:$N$1))</f>
        <v>0</v>
      </c>
      <c r="J154" s="16" cm="1">
        <f t="array" ref="J154">INDEX('OC-Monthly'!$P$7:$AB$65,_xlfn.XMATCH($A154,'OC-Monthly'!$A$7:$A$65),_xlfn.XMATCH($B154,'OC-Monthly'!$P$1:$AB$1))</f>
        <v>0</v>
      </c>
      <c r="K154" s="1" t="s">
        <v>8</v>
      </c>
      <c r="L154" s="1" t="s">
        <v>7</v>
      </c>
      <c r="M154" s="15" t="str">
        <f t="shared" si="11"/>
        <v>na</v>
      </c>
    </row>
    <row r="155" spans="1:13" x14ac:dyDescent="0.25">
      <c r="A155" t="s">
        <v>19</v>
      </c>
      <c r="B155">
        <v>7</v>
      </c>
      <c r="C155" t="str">
        <f t="shared" si="8"/>
        <v>712</v>
      </c>
      <c r="D155" t="s">
        <v>19</v>
      </c>
      <c r="F155">
        <v>2025</v>
      </c>
      <c r="G155">
        <f t="shared" si="9"/>
        <v>7</v>
      </c>
      <c r="H155" t="str">
        <f t="shared" si="10"/>
        <v>712 Springhill at Home</v>
      </c>
      <c r="I155" s="16" cm="1">
        <f t="array" ref="I155">INDEX('OC-Monthly'!$B$7:$N$65,_xlfn.XMATCH($A155,'OC-Monthly'!$A$7:$A$65),_xlfn.XMATCH($B155,'OC-Monthly'!$B$1:$N$1))</f>
        <v>0</v>
      </c>
      <c r="J155" s="16" cm="1">
        <f t="array" ref="J155">INDEX('OC-Monthly'!$P$7:$AB$65,_xlfn.XMATCH($A155,'OC-Monthly'!$A$7:$A$65),_xlfn.XMATCH($B155,'OC-Monthly'!$P$1:$AB$1))</f>
        <v>0</v>
      </c>
      <c r="K155" s="1" t="s">
        <v>8</v>
      </c>
      <c r="L155" s="1" t="s">
        <v>7</v>
      </c>
      <c r="M155" s="15" t="str">
        <f t="shared" si="11"/>
        <v>na</v>
      </c>
    </row>
    <row r="156" spans="1:13" x14ac:dyDescent="0.25">
      <c r="A156" t="s">
        <v>19</v>
      </c>
      <c r="B156">
        <v>8</v>
      </c>
      <c r="C156" t="str">
        <f t="shared" si="8"/>
        <v>712</v>
      </c>
      <c r="D156" t="s">
        <v>19</v>
      </c>
      <c r="F156">
        <v>2025</v>
      </c>
      <c r="G156">
        <f t="shared" si="9"/>
        <v>8</v>
      </c>
      <c r="H156" t="str">
        <f t="shared" si="10"/>
        <v>712 Springhill at Home</v>
      </c>
      <c r="I156" s="16" cm="1">
        <f t="array" ref="I156">INDEX('OC-Monthly'!$B$7:$N$65,_xlfn.XMATCH($A156,'OC-Monthly'!$A$7:$A$65),_xlfn.XMATCH($B156,'OC-Monthly'!$B$1:$N$1))</f>
        <v>0</v>
      </c>
      <c r="J156" s="16" cm="1">
        <f t="array" ref="J156">INDEX('OC-Monthly'!$P$7:$AB$65,_xlfn.XMATCH($A156,'OC-Monthly'!$A$7:$A$65),_xlfn.XMATCH($B156,'OC-Monthly'!$P$1:$AB$1))</f>
        <v>0</v>
      </c>
      <c r="K156" s="1" t="s">
        <v>8</v>
      </c>
      <c r="L156" s="1" t="s">
        <v>7</v>
      </c>
      <c r="M156" s="15" t="str">
        <f t="shared" si="11"/>
        <v>na</v>
      </c>
    </row>
    <row r="157" spans="1:13" x14ac:dyDescent="0.25">
      <c r="A157" t="s">
        <v>19</v>
      </c>
      <c r="B157">
        <v>9</v>
      </c>
      <c r="C157" t="str">
        <f t="shared" si="8"/>
        <v>712</v>
      </c>
      <c r="D157" t="s">
        <v>19</v>
      </c>
      <c r="F157">
        <v>2025</v>
      </c>
      <c r="G157">
        <f t="shared" si="9"/>
        <v>9</v>
      </c>
      <c r="H157" t="str">
        <f t="shared" si="10"/>
        <v>712 Springhill at Home</v>
      </c>
      <c r="I157" s="16" cm="1">
        <f t="array" ref="I157">INDEX('OC-Monthly'!$B$7:$N$65,_xlfn.XMATCH($A157,'OC-Monthly'!$A$7:$A$65),_xlfn.XMATCH($B157,'OC-Monthly'!$B$1:$N$1))</f>
        <v>0</v>
      </c>
      <c r="J157" s="16" cm="1">
        <f t="array" ref="J157">INDEX('OC-Monthly'!$P$7:$AB$65,_xlfn.XMATCH($A157,'OC-Monthly'!$A$7:$A$65),_xlfn.XMATCH($B157,'OC-Monthly'!$P$1:$AB$1))</f>
        <v>0</v>
      </c>
      <c r="K157" s="1" t="s">
        <v>8</v>
      </c>
      <c r="L157" s="1" t="s">
        <v>7</v>
      </c>
      <c r="M157" s="15" t="str">
        <f t="shared" si="11"/>
        <v>na</v>
      </c>
    </row>
    <row r="158" spans="1:13" x14ac:dyDescent="0.25">
      <c r="A158" t="s">
        <v>19</v>
      </c>
      <c r="B158">
        <v>10</v>
      </c>
      <c r="C158" t="str">
        <f t="shared" si="8"/>
        <v>712</v>
      </c>
      <c r="D158" t="s">
        <v>19</v>
      </c>
      <c r="F158">
        <v>2025</v>
      </c>
      <c r="G158">
        <f t="shared" si="9"/>
        <v>10</v>
      </c>
      <c r="H158" t="str">
        <f t="shared" si="10"/>
        <v>712 Springhill at Home</v>
      </c>
      <c r="I158" s="16" cm="1">
        <f t="array" ref="I158">INDEX('OC-Monthly'!$B$7:$N$65,_xlfn.XMATCH($A158,'OC-Monthly'!$A$7:$A$65),_xlfn.XMATCH($B158,'OC-Monthly'!$B$1:$N$1))</f>
        <v>0</v>
      </c>
      <c r="J158" s="16" cm="1">
        <f t="array" ref="J158">INDEX('OC-Monthly'!$P$7:$AB$65,_xlfn.XMATCH($A158,'OC-Monthly'!$A$7:$A$65),_xlfn.XMATCH($B158,'OC-Monthly'!$P$1:$AB$1))</f>
        <v>0</v>
      </c>
      <c r="K158" s="1" t="s">
        <v>8</v>
      </c>
      <c r="L158" s="1" t="s">
        <v>7</v>
      </c>
      <c r="M158" s="15" t="str">
        <f t="shared" si="11"/>
        <v>na</v>
      </c>
    </row>
    <row r="159" spans="1:13" x14ac:dyDescent="0.25">
      <c r="A159" t="s">
        <v>19</v>
      </c>
      <c r="B159">
        <v>11</v>
      </c>
      <c r="C159" t="str">
        <f t="shared" si="8"/>
        <v>712</v>
      </c>
      <c r="D159" t="s">
        <v>19</v>
      </c>
      <c r="F159">
        <v>2025</v>
      </c>
      <c r="G159">
        <f t="shared" si="9"/>
        <v>11</v>
      </c>
      <c r="H159" t="str">
        <f t="shared" si="10"/>
        <v>712 Springhill at Home</v>
      </c>
      <c r="I159" s="16" cm="1">
        <f t="array" ref="I159">INDEX('OC-Monthly'!$B$7:$N$65,_xlfn.XMATCH($A159,'OC-Monthly'!$A$7:$A$65),_xlfn.XMATCH($B159,'OC-Monthly'!$B$1:$N$1))</f>
        <v>0</v>
      </c>
      <c r="J159" s="16" cm="1">
        <f t="array" ref="J159">INDEX('OC-Monthly'!$P$7:$AB$65,_xlfn.XMATCH($A159,'OC-Monthly'!$A$7:$A$65),_xlfn.XMATCH($B159,'OC-Monthly'!$P$1:$AB$1))</f>
        <v>0</v>
      </c>
      <c r="K159" s="1" t="s">
        <v>8</v>
      </c>
      <c r="L159" s="1" t="s">
        <v>7</v>
      </c>
      <c r="M159" s="15" t="str">
        <f t="shared" si="11"/>
        <v>na</v>
      </c>
    </row>
    <row r="160" spans="1:13" x14ac:dyDescent="0.25">
      <c r="A160" t="s">
        <v>19</v>
      </c>
      <c r="B160">
        <v>12</v>
      </c>
      <c r="C160" t="str">
        <f t="shared" si="8"/>
        <v>712</v>
      </c>
      <c r="D160" t="s">
        <v>19</v>
      </c>
      <c r="F160">
        <v>2025</v>
      </c>
      <c r="G160">
        <f t="shared" si="9"/>
        <v>12</v>
      </c>
      <c r="H160" t="str">
        <f t="shared" si="10"/>
        <v>712 Springhill at Home</v>
      </c>
      <c r="I160" s="16" cm="1">
        <f t="array" ref="I160">INDEX('OC-Monthly'!$B$7:$N$65,_xlfn.XMATCH($A160,'OC-Monthly'!$A$7:$A$65),_xlfn.XMATCH($B160,'OC-Monthly'!$B$1:$N$1))</f>
        <v>0</v>
      </c>
      <c r="J160" s="16" cm="1">
        <f t="array" ref="J160">INDEX('OC-Monthly'!$P$7:$AB$65,_xlfn.XMATCH($A160,'OC-Monthly'!$A$7:$A$65),_xlfn.XMATCH($B160,'OC-Monthly'!$P$1:$AB$1))</f>
        <v>0</v>
      </c>
      <c r="K160" s="1" t="s">
        <v>8</v>
      </c>
      <c r="L160" s="1" t="s">
        <v>7</v>
      </c>
      <c r="M160" s="15" t="str">
        <f t="shared" si="11"/>
        <v>na</v>
      </c>
    </row>
    <row r="161" spans="1:13" x14ac:dyDescent="0.25">
      <c r="A161" t="s">
        <v>68</v>
      </c>
      <c r="B161">
        <v>1</v>
      </c>
      <c r="C161" t="str">
        <f t="shared" si="8"/>
        <v>713</v>
      </c>
      <c r="D161" t="s">
        <v>20</v>
      </c>
      <c r="F161">
        <v>2025</v>
      </c>
      <c r="G161">
        <f t="shared" si="9"/>
        <v>1</v>
      </c>
      <c r="H161" t="str">
        <f t="shared" si="10"/>
        <v>713 AMV at Home</v>
      </c>
      <c r="I161" s="16" cm="1">
        <f t="array" ref="I161">INDEX('OC-Monthly'!$B$7:$N$65,_xlfn.XMATCH($A161,'OC-Monthly'!$A$7:$A$65),_xlfn.XMATCH($B161,'OC-Monthly'!$B$1:$N$1))</f>
        <v>7375</v>
      </c>
      <c r="J161" s="16" cm="1">
        <f t="array" ref="J161">INDEX('OC-Monthly'!$P$7:$AB$65,_xlfn.XMATCH($A161,'OC-Monthly'!$A$7:$A$65),_xlfn.XMATCH($B161,'OC-Monthly'!$P$1:$AB$1))</f>
        <v>25416.666666666668</v>
      </c>
      <c r="K161" s="1" t="s">
        <v>8</v>
      </c>
      <c r="L161" s="1" t="s">
        <v>7</v>
      </c>
      <c r="M161" s="15">
        <f t="shared" si="11"/>
        <v>3.4463276836158192</v>
      </c>
    </row>
    <row r="162" spans="1:13" x14ac:dyDescent="0.25">
      <c r="A162" t="s">
        <v>68</v>
      </c>
      <c r="B162">
        <v>2</v>
      </c>
      <c r="C162" t="str">
        <f t="shared" si="8"/>
        <v>713</v>
      </c>
      <c r="D162" t="s">
        <v>20</v>
      </c>
      <c r="F162">
        <v>2025</v>
      </c>
      <c r="G162">
        <f t="shared" si="9"/>
        <v>2</v>
      </c>
      <c r="H162" t="str">
        <f t="shared" si="10"/>
        <v>713 AMV at Home</v>
      </c>
      <c r="I162" s="16" cm="1">
        <f t="array" ref="I162">INDEX('OC-Monthly'!$B$7:$N$65,_xlfn.XMATCH($A162,'OC-Monthly'!$A$7:$A$65),_xlfn.XMATCH($B162,'OC-Monthly'!$B$1:$N$1))</f>
        <v>7375</v>
      </c>
      <c r="J162" s="16" cm="1">
        <f t="array" ref="J162">INDEX('OC-Monthly'!$P$7:$AB$65,_xlfn.XMATCH($A162,'OC-Monthly'!$A$7:$A$65),_xlfn.XMATCH($B162,'OC-Monthly'!$P$1:$AB$1))</f>
        <v>25416.666666666668</v>
      </c>
      <c r="K162" s="1" t="s">
        <v>8</v>
      </c>
      <c r="L162" s="1" t="s">
        <v>7</v>
      </c>
      <c r="M162" s="15">
        <f t="shared" si="11"/>
        <v>3.4463276836158192</v>
      </c>
    </row>
    <row r="163" spans="1:13" x14ac:dyDescent="0.25">
      <c r="A163" t="s">
        <v>68</v>
      </c>
      <c r="B163">
        <v>3</v>
      </c>
      <c r="C163" t="str">
        <f t="shared" si="8"/>
        <v>713</v>
      </c>
      <c r="D163" t="s">
        <v>20</v>
      </c>
      <c r="F163">
        <v>2025</v>
      </c>
      <c r="G163">
        <f t="shared" si="9"/>
        <v>3</v>
      </c>
      <c r="H163" t="str">
        <f t="shared" si="10"/>
        <v>713 AMV at Home</v>
      </c>
      <c r="I163" s="16" cm="1">
        <f t="array" ref="I163">INDEX('OC-Monthly'!$B$7:$N$65,_xlfn.XMATCH($A163,'OC-Monthly'!$A$7:$A$65),_xlfn.XMATCH($B163,'OC-Monthly'!$B$1:$N$1))</f>
        <v>7375</v>
      </c>
      <c r="J163" s="16" cm="1">
        <f t="array" ref="J163">INDEX('OC-Monthly'!$P$7:$AB$65,_xlfn.XMATCH($A163,'OC-Monthly'!$A$7:$A$65),_xlfn.XMATCH($B163,'OC-Monthly'!$P$1:$AB$1))</f>
        <v>416.66666666666669</v>
      </c>
      <c r="K163" s="1" t="s">
        <v>8</v>
      </c>
      <c r="L163" s="1" t="s">
        <v>7</v>
      </c>
      <c r="M163" s="15">
        <f t="shared" si="11"/>
        <v>5.6497175141242938E-2</v>
      </c>
    </row>
    <row r="164" spans="1:13" x14ac:dyDescent="0.25">
      <c r="A164" t="s">
        <v>68</v>
      </c>
      <c r="B164">
        <v>4</v>
      </c>
      <c r="C164" t="str">
        <f t="shared" si="8"/>
        <v>713</v>
      </c>
      <c r="D164" t="s">
        <v>20</v>
      </c>
      <c r="F164">
        <v>2025</v>
      </c>
      <c r="G164">
        <f t="shared" si="9"/>
        <v>4</v>
      </c>
      <c r="H164" t="str">
        <f t="shared" si="10"/>
        <v>713 AMV at Home</v>
      </c>
      <c r="I164" s="16" cm="1">
        <f t="array" ref="I164">INDEX('OC-Monthly'!$B$7:$N$65,_xlfn.XMATCH($A164,'OC-Monthly'!$A$7:$A$65),_xlfn.XMATCH($B164,'OC-Monthly'!$B$1:$N$1))</f>
        <v>7375</v>
      </c>
      <c r="J164" s="16" cm="1">
        <f t="array" ref="J164">INDEX('OC-Monthly'!$P$7:$AB$65,_xlfn.XMATCH($A164,'OC-Monthly'!$A$7:$A$65),_xlfn.XMATCH($B164,'OC-Monthly'!$P$1:$AB$1))</f>
        <v>416.66666666666669</v>
      </c>
      <c r="K164" s="1" t="s">
        <v>8</v>
      </c>
      <c r="L164" s="1" t="s">
        <v>7</v>
      </c>
      <c r="M164" s="15">
        <f t="shared" si="11"/>
        <v>5.6497175141242938E-2</v>
      </c>
    </row>
    <row r="165" spans="1:13" x14ac:dyDescent="0.25">
      <c r="A165" t="s">
        <v>68</v>
      </c>
      <c r="B165">
        <v>5</v>
      </c>
      <c r="C165" t="str">
        <f t="shared" si="8"/>
        <v>713</v>
      </c>
      <c r="D165" t="s">
        <v>20</v>
      </c>
      <c r="F165">
        <v>2025</v>
      </c>
      <c r="G165">
        <f t="shared" si="9"/>
        <v>5</v>
      </c>
      <c r="H165" t="str">
        <f t="shared" si="10"/>
        <v>713 AMV at Home</v>
      </c>
      <c r="I165" s="16" cm="1">
        <f t="array" ref="I165">INDEX('OC-Monthly'!$B$7:$N$65,_xlfn.XMATCH($A165,'OC-Monthly'!$A$7:$A$65),_xlfn.XMATCH($B165,'OC-Monthly'!$B$1:$N$1))</f>
        <v>7375</v>
      </c>
      <c r="J165" s="16" cm="1">
        <f t="array" ref="J165">INDEX('OC-Monthly'!$P$7:$AB$65,_xlfn.XMATCH($A165,'OC-Monthly'!$A$7:$A$65),_xlfn.XMATCH($B165,'OC-Monthly'!$P$1:$AB$1))</f>
        <v>416.66666666666669</v>
      </c>
      <c r="K165" s="1" t="s">
        <v>8</v>
      </c>
      <c r="L165" s="1" t="s">
        <v>7</v>
      </c>
      <c r="M165" s="15">
        <f t="shared" si="11"/>
        <v>5.6497175141242938E-2</v>
      </c>
    </row>
    <row r="166" spans="1:13" x14ac:dyDescent="0.25">
      <c r="A166" t="s">
        <v>68</v>
      </c>
      <c r="B166">
        <v>6</v>
      </c>
      <c r="C166" t="str">
        <f t="shared" si="8"/>
        <v>713</v>
      </c>
      <c r="D166" t="s">
        <v>20</v>
      </c>
      <c r="F166">
        <v>2025</v>
      </c>
      <c r="G166">
        <f t="shared" si="9"/>
        <v>6</v>
      </c>
      <c r="H166" t="str">
        <f t="shared" si="10"/>
        <v>713 AMV at Home</v>
      </c>
      <c r="I166" s="16" cm="1">
        <f t="array" ref="I166">INDEX('OC-Monthly'!$B$7:$N$65,_xlfn.XMATCH($A166,'OC-Monthly'!$A$7:$A$65),_xlfn.XMATCH($B166,'OC-Monthly'!$B$1:$N$1))</f>
        <v>7375</v>
      </c>
      <c r="J166" s="16" cm="1">
        <f t="array" ref="J166">INDEX('OC-Monthly'!$P$7:$AB$65,_xlfn.XMATCH($A166,'OC-Monthly'!$A$7:$A$65),_xlfn.XMATCH($B166,'OC-Monthly'!$P$1:$AB$1))</f>
        <v>416.66666666666669</v>
      </c>
      <c r="K166" s="1" t="s">
        <v>8</v>
      </c>
      <c r="L166" s="1" t="s">
        <v>7</v>
      </c>
      <c r="M166" s="15">
        <f t="shared" si="11"/>
        <v>5.6497175141242938E-2</v>
      </c>
    </row>
    <row r="167" spans="1:13" x14ac:dyDescent="0.25">
      <c r="A167" t="s">
        <v>68</v>
      </c>
      <c r="B167">
        <v>7</v>
      </c>
      <c r="C167" t="str">
        <f t="shared" si="8"/>
        <v>713</v>
      </c>
      <c r="D167" t="s">
        <v>20</v>
      </c>
      <c r="F167">
        <v>2025</v>
      </c>
      <c r="G167">
        <f t="shared" si="9"/>
        <v>7</v>
      </c>
      <c r="H167" t="str">
        <f t="shared" si="10"/>
        <v>713 AMV at Home</v>
      </c>
      <c r="I167" s="16" cm="1">
        <f t="array" ref="I167">INDEX('OC-Monthly'!$B$7:$N$65,_xlfn.XMATCH($A167,'OC-Monthly'!$A$7:$A$65),_xlfn.XMATCH($B167,'OC-Monthly'!$B$1:$N$1))</f>
        <v>7375</v>
      </c>
      <c r="J167" s="16" cm="1">
        <f t="array" ref="J167">INDEX('OC-Monthly'!$P$7:$AB$65,_xlfn.XMATCH($A167,'OC-Monthly'!$A$7:$A$65),_xlfn.XMATCH($B167,'OC-Monthly'!$P$1:$AB$1))</f>
        <v>416.66666666666669</v>
      </c>
      <c r="K167" s="1" t="s">
        <v>8</v>
      </c>
      <c r="L167" s="1" t="s">
        <v>7</v>
      </c>
      <c r="M167" s="15">
        <f t="shared" si="11"/>
        <v>5.6497175141242938E-2</v>
      </c>
    </row>
    <row r="168" spans="1:13" x14ac:dyDescent="0.25">
      <c r="A168" t="s">
        <v>68</v>
      </c>
      <c r="B168">
        <v>8</v>
      </c>
      <c r="C168" t="str">
        <f t="shared" si="8"/>
        <v>713</v>
      </c>
      <c r="D168" t="s">
        <v>20</v>
      </c>
      <c r="F168">
        <v>2025</v>
      </c>
      <c r="G168">
        <f t="shared" si="9"/>
        <v>8</v>
      </c>
      <c r="H168" t="str">
        <f t="shared" si="10"/>
        <v>713 AMV at Home</v>
      </c>
      <c r="I168" s="16" cm="1">
        <f t="array" ref="I168">INDEX('OC-Monthly'!$B$7:$N$65,_xlfn.XMATCH($A168,'OC-Monthly'!$A$7:$A$65),_xlfn.XMATCH($B168,'OC-Monthly'!$B$1:$N$1))</f>
        <v>7375</v>
      </c>
      <c r="J168" s="16" cm="1">
        <f t="array" ref="J168">INDEX('OC-Monthly'!$P$7:$AB$65,_xlfn.XMATCH($A168,'OC-Monthly'!$A$7:$A$65),_xlfn.XMATCH($B168,'OC-Monthly'!$P$1:$AB$1))</f>
        <v>416.66666666666669</v>
      </c>
      <c r="K168" s="1" t="s">
        <v>8</v>
      </c>
      <c r="L168" s="1" t="s">
        <v>7</v>
      </c>
      <c r="M168" s="15">
        <f t="shared" si="11"/>
        <v>5.6497175141242938E-2</v>
      </c>
    </row>
    <row r="169" spans="1:13" x14ac:dyDescent="0.25">
      <c r="A169" t="s">
        <v>68</v>
      </c>
      <c r="B169">
        <v>9</v>
      </c>
      <c r="C169" t="str">
        <f t="shared" si="8"/>
        <v>713</v>
      </c>
      <c r="D169" t="s">
        <v>20</v>
      </c>
      <c r="F169">
        <v>2025</v>
      </c>
      <c r="G169">
        <f t="shared" si="9"/>
        <v>9</v>
      </c>
      <c r="H169" t="str">
        <f t="shared" si="10"/>
        <v>713 AMV at Home</v>
      </c>
      <c r="I169" s="16" cm="1">
        <f t="array" ref="I169">INDEX('OC-Monthly'!$B$7:$N$65,_xlfn.XMATCH($A169,'OC-Monthly'!$A$7:$A$65),_xlfn.XMATCH($B169,'OC-Monthly'!$B$1:$N$1))</f>
        <v>7375</v>
      </c>
      <c r="J169" s="16" cm="1">
        <f t="array" ref="J169">INDEX('OC-Monthly'!$P$7:$AB$65,_xlfn.XMATCH($A169,'OC-Monthly'!$A$7:$A$65),_xlfn.XMATCH($B169,'OC-Monthly'!$P$1:$AB$1))</f>
        <v>416.66666666666669</v>
      </c>
      <c r="K169" s="1" t="s">
        <v>8</v>
      </c>
      <c r="L169" s="1" t="s">
        <v>7</v>
      </c>
      <c r="M169" s="15">
        <f t="shared" si="11"/>
        <v>5.6497175141242938E-2</v>
      </c>
    </row>
    <row r="170" spans="1:13" x14ac:dyDescent="0.25">
      <c r="A170" t="s">
        <v>68</v>
      </c>
      <c r="B170">
        <v>10</v>
      </c>
      <c r="C170" t="str">
        <f t="shared" si="8"/>
        <v>713</v>
      </c>
      <c r="D170" t="s">
        <v>20</v>
      </c>
      <c r="F170">
        <v>2025</v>
      </c>
      <c r="G170">
        <f t="shared" si="9"/>
        <v>10</v>
      </c>
      <c r="H170" t="str">
        <f t="shared" si="10"/>
        <v>713 AMV at Home</v>
      </c>
      <c r="I170" s="16" cm="1">
        <f t="array" ref="I170">INDEX('OC-Monthly'!$B$7:$N$65,_xlfn.XMATCH($A170,'OC-Monthly'!$A$7:$A$65),_xlfn.XMATCH($B170,'OC-Monthly'!$B$1:$N$1))</f>
        <v>7375</v>
      </c>
      <c r="J170" s="16" cm="1">
        <f t="array" ref="J170">INDEX('OC-Monthly'!$P$7:$AB$65,_xlfn.XMATCH($A170,'OC-Monthly'!$A$7:$A$65),_xlfn.XMATCH($B170,'OC-Monthly'!$P$1:$AB$1))</f>
        <v>416.66666666666669</v>
      </c>
      <c r="K170" s="1" t="s">
        <v>8</v>
      </c>
      <c r="L170" s="1" t="s">
        <v>7</v>
      </c>
      <c r="M170" s="15">
        <f t="shared" si="11"/>
        <v>5.6497175141242938E-2</v>
      </c>
    </row>
    <row r="171" spans="1:13" x14ac:dyDescent="0.25">
      <c r="A171" t="s">
        <v>68</v>
      </c>
      <c r="B171">
        <v>11</v>
      </c>
      <c r="C171" t="str">
        <f t="shared" si="8"/>
        <v>713</v>
      </c>
      <c r="D171" t="s">
        <v>20</v>
      </c>
      <c r="F171">
        <v>2025</v>
      </c>
      <c r="G171">
        <f t="shared" si="9"/>
        <v>11</v>
      </c>
      <c r="H171" t="str">
        <f t="shared" si="10"/>
        <v>713 AMV at Home</v>
      </c>
      <c r="I171" s="16" cm="1">
        <f t="array" ref="I171">INDEX('OC-Monthly'!$B$7:$N$65,_xlfn.XMATCH($A171,'OC-Monthly'!$A$7:$A$65),_xlfn.XMATCH($B171,'OC-Monthly'!$B$1:$N$1))</f>
        <v>7375</v>
      </c>
      <c r="J171" s="16" cm="1">
        <f t="array" ref="J171">INDEX('OC-Monthly'!$P$7:$AB$65,_xlfn.XMATCH($A171,'OC-Monthly'!$A$7:$A$65),_xlfn.XMATCH($B171,'OC-Monthly'!$P$1:$AB$1))</f>
        <v>416.66666666666669</v>
      </c>
      <c r="K171" s="1" t="s">
        <v>8</v>
      </c>
      <c r="L171" s="1" t="s">
        <v>7</v>
      </c>
      <c r="M171" s="15">
        <f t="shared" si="11"/>
        <v>5.6497175141242938E-2</v>
      </c>
    </row>
    <row r="172" spans="1:13" x14ac:dyDescent="0.25">
      <c r="A172" t="s">
        <v>68</v>
      </c>
      <c r="B172">
        <v>12</v>
      </c>
      <c r="C172" t="str">
        <f t="shared" si="8"/>
        <v>713</v>
      </c>
      <c r="D172" t="s">
        <v>20</v>
      </c>
      <c r="F172">
        <v>2025</v>
      </c>
      <c r="G172">
        <f t="shared" si="9"/>
        <v>12</v>
      </c>
      <c r="H172" t="str">
        <f t="shared" si="10"/>
        <v>713 AMV at Home</v>
      </c>
      <c r="I172" s="16" cm="1">
        <f t="array" ref="I172">INDEX('OC-Monthly'!$B$7:$N$65,_xlfn.XMATCH($A172,'OC-Monthly'!$A$7:$A$65),_xlfn.XMATCH($B172,'OC-Monthly'!$B$1:$N$1))</f>
        <v>7375</v>
      </c>
      <c r="J172" s="16" cm="1">
        <f t="array" ref="J172">INDEX('OC-Monthly'!$P$7:$AB$65,_xlfn.XMATCH($A172,'OC-Monthly'!$A$7:$A$65),_xlfn.XMATCH($B172,'OC-Monthly'!$P$1:$AB$1))</f>
        <v>416.66666666666669</v>
      </c>
      <c r="K172" s="1" t="s">
        <v>8</v>
      </c>
      <c r="L172" s="1" t="s">
        <v>7</v>
      </c>
      <c r="M172" s="15">
        <f t="shared" si="11"/>
        <v>5.6497175141242938E-2</v>
      </c>
    </row>
    <row r="173" spans="1:13" x14ac:dyDescent="0.25">
      <c r="A173" t="s">
        <v>22</v>
      </c>
      <c r="B173">
        <v>1</v>
      </c>
      <c r="C173" t="str">
        <f t="shared" si="8"/>
        <v>715</v>
      </c>
      <c r="D173" t="s">
        <v>22</v>
      </c>
      <c r="F173">
        <v>2025</v>
      </c>
      <c r="G173">
        <f t="shared" si="9"/>
        <v>1</v>
      </c>
      <c r="H173" t="str">
        <f t="shared" si="10"/>
        <v>715 Bethany Village at Home</v>
      </c>
      <c r="I173" s="16" cm="1">
        <f t="array" ref="I173">INDEX('OC-Monthly'!$B$7:$N$65,_xlfn.XMATCH($A173,'OC-Monthly'!$A$7:$A$65),_xlfn.XMATCH($B173,'OC-Monthly'!$B$1:$N$1))</f>
        <v>0</v>
      </c>
      <c r="J173" s="16" cm="1">
        <f t="array" ref="J173">INDEX('OC-Monthly'!$P$7:$AB$65,_xlfn.XMATCH($A173,'OC-Monthly'!$A$7:$A$65),_xlfn.XMATCH($B173,'OC-Monthly'!$P$1:$AB$1))</f>
        <v>0</v>
      </c>
      <c r="K173" s="1" t="s">
        <v>8</v>
      </c>
      <c r="L173" s="1" t="s">
        <v>7</v>
      </c>
      <c r="M173" s="15" t="str">
        <f t="shared" si="11"/>
        <v>na</v>
      </c>
    </row>
    <row r="174" spans="1:13" x14ac:dyDescent="0.25">
      <c r="A174" t="s">
        <v>22</v>
      </c>
      <c r="B174">
        <v>2</v>
      </c>
      <c r="C174" t="str">
        <f t="shared" si="8"/>
        <v>715</v>
      </c>
      <c r="D174" t="s">
        <v>22</v>
      </c>
      <c r="F174">
        <v>2025</v>
      </c>
      <c r="G174">
        <f t="shared" si="9"/>
        <v>2</v>
      </c>
      <c r="H174" t="str">
        <f t="shared" si="10"/>
        <v>715 Bethany Village at Home</v>
      </c>
      <c r="I174" s="16" cm="1">
        <f t="array" ref="I174">INDEX('OC-Monthly'!$B$7:$N$65,_xlfn.XMATCH($A174,'OC-Monthly'!$A$7:$A$65),_xlfn.XMATCH($B174,'OC-Monthly'!$B$1:$N$1))</f>
        <v>0</v>
      </c>
      <c r="J174" s="16" cm="1">
        <f t="array" ref="J174">INDEX('OC-Monthly'!$P$7:$AB$65,_xlfn.XMATCH($A174,'OC-Monthly'!$A$7:$A$65),_xlfn.XMATCH($B174,'OC-Monthly'!$P$1:$AB$1))</f>
        <v>0</v>
      </c>
      <c r="K174" s="1" t="s">
        <v>8</v>
      </c>
      <c r="L174" s="1" t="s">
        <v>7</v>
      </c>
      <c r="M174" s="15" t="str">
        <f t="shared" si="11"/>
        <v>na</v>
      </c>
    </row>
    <row r="175" spans="1:13" x14ac:dyDescent="0.25">
      <c r="A175" t="s">
        <v>22</v>
      </c>
      <c r="B175">
        <v>3</v>
      </c>
      <c r="C175" t="str">
        <f t="shared" si="8"/>
        <v>715</v>
      </c>
      <c r="D175" t="s">
        <v>22</v>
      </c>
      <c r="F175">
        <v>2025</v>
      </c>
      <c r="G175">
        <f t="shared" si="9"/>
        <v>3</v>
      </c>
      <c r="H175" t="str">
        <f t="shared" si="10"/>
        <v>715 Bethany Village at Home</v>
      </c>
      <c r="I175" s="16" cm="1">
        <f t="array" ref="I175">INDEX('OC-Monthly'!$B$7:$N$65,_xlfn.XMATCH($A175,'OC-Monthly'!$A$7:$A$65),_xlfn.XMATCH($B175,'OC-Monthly'!$B$1:$N$1))</f>
        <v>0</v>
      </c>
      <c r="J175" s="16" cm="1">
        <f t="array" ref="J175">INDEX('OC-Monthly'!$P$7:$AB$65,_xlfn.XMATCH($A175,'OC-Monthly'!$A$7:$A$65),_xlfn.XMATCH($B175,'OC-Monthly'!$P$1:$AB$1))</f>
        <v>0</v>
      </c>
      <c r="K175" s="1" t="s">
        <v>8</v>
      </c>
      <c r="L175" s="1" t="s">
        <v>7</v>
      </c>
      <c r="M175" s="15" t="str">
        <f t="shared" si="11"/>
        <v>na</v>
      </c>
    </row>
    <row r="176" spans="1:13" x14ac:dyDescent="0.25">
      <c r="A176" t="s">
        <v>22</v>
      </c>
      <c r="B176">
        <v>4</v>
      </c>
      <c r="C176" t="str">
        <f t="shared" si="8"/>
        <v>715</v>
      </c>
      <c r="D176" t="s">
        <v>22</v>
      </c>
      <c r="F176">
        <v>2025</v>
      </c>
      <c r="G176">
        <f t="shared" si="9"/>
        <v>4</v>
      </c>
      <c r="H176" t="str">
        <f t="shared" si="10"/>
        <v>715 Bethany Village at Home</v>
      </c>
      <c r="I176" s="16" cm="1">
        <f t="array" ref="I176">INDEX('OC-Monthly'!$B$7:$N$65,_xlfn.XMATCH($A176,'OC-Monthly'!$A$7:$A$65),_xlfn.XMATCH($B176,'OC-Monthly'!$B$1:$N$1))</f>
        <v>0</v>
      </c>
      <c r="J176" s="16" cm="1">
        <f t="array" ref="J176">INDEX('OC-Monthly'!$P$7:$AB$65,_xlfn.XMATCH($A176,'OC-Monthly'!$A$7:$A$65),_xlfn.XMATCH($B176,'OC-Monthly'!$P$1:$AB$1))</f>
        <v>0</v>
      </c>
      <c r="K176" s="1" t="s">
        <v>8</v>
      </c>
      <c r="L176" s="1" t="s">
        <v>7</v>
      </c>
      <c r="M176" s="15" t="str">
        <f t="shared" si="11"/>
        <v>na</v>
      </c>
    </row>
    <row r="177" spans="1:13" x14ac:dyDescent="0.25">
      <c r="A177" t="s">
        <v>22</v>
      </c>
      <c r="B177">
        <v>5</v>
      </c>
      <c r="C177" t="str">
        <f t="shared" si="8"/>
        <v>715</v>
      </c>
      <c r="D177" t="s">
        <v>22</v>
      </c>
      <c r="F177">
        <v>2025</v>
      </c>
      <c r="G177">
        <f t="shared" si="9"/>
        <v>5</v>
      </c>
      <c r="H177" t="str">
        <f t="shared" si="10"/>
        <v>715 Bethany Village at Home</v>
      </c>
      <c r="I177" s="16" cm="1">
        <f t="array" ref="I177">INDEX('OC-Monthly'!$B$7:$N$65,_xlfn.XMATCH($A177,'OC-Monthly'!$A$7:$A$65),_xlfn.XMATCH($B177,'OC-Monthly'!$B$1:$N$1))</f>
        <v>0</v>
      </c>
      <c r="J177" s="16" cm="1">
        <f t="array" ref="J177">INDEX('OC-Monthly'!$P$7:$AB$65,_xlfn.XMATCH($A177,'OC-Monthly'!$A$7:$A$65),_xlfn.XMATCH($B177,'OC-Monthly'!$P$1:$AB$1))</f>
        <v>0</v>
      </c>
      <c r="K177" s="1" t="s">
        <v>8</v>
      </c>
      <c r="L177" s="1" t="s">
        <v>7</v>
      </c>
      <c r="M177" s="15" t="str">
        <f t="shared" si="11"/>
        <v>na</v>
      </c>
    </row>
    <row r="178" spans="1:13" x14ac:dyDescent="0.25">
      <c r="A178" t="s">
        <v>22</v>
      </c>
      <c r="B178">
        <v>6</v>
      </c>
      <c r="C178" t="str">
        <f t="shared" si="8"/>
        <v>715</v>
      </c>
      <c r="D178" t="s">
        <v>22</v>
      </c>
      <c r="F178">
        <v>2025</v>
      </c>
      <c r="G178">
        <f t="shared" si="9"/>
        <v>6</v>
      </c>
      <c r="H178" t="str">
        <f t="shared" si="10"/>
        <v>715 Bethany Village at Home</v>
      </c>
      <c r="I178" s="16" cm="1">
        <f t="array" ref="I178">INDEX('OC-Monthly'!$B$7:$N$65,_xlfn.XMATCH($A178,'OC-Monthly'!$A$7:$A$65),_xlfn.XMATCH($B178,'OC-Monthly'!$B$1:$N$1))</f>
        <v>0</v>
      </c>
      <c r="J178" s="16" cm="1">
        <f t="array" ref="J178">INDEX('OC-Monthly'!$P$7:$AB$65,_xlfn.XMATCH($A178,'OC-Monthly'!$A$7:$A$65),_xlfn.XMATCH($B178,'OC-Monthly'!$P$1:$AB$1))</f>
        <v>0</v>
      </c>
      <c r="K178" s="1" t="s">
        <v>8</v>
      </c>
      <c r="L178" s="1" t="s">
        <v>7</v>
      </c>
      <c r="M178" s="15" t="str">
        <f t="shared" si="11"/>
        <v>na</v>
      </c>
    </row>
    <row r="179" spans="1:13" x14ac:dyDescent="0.25">
      <c r="A179" t="s">
        <v>22</v>
      </c>
      <c r="B179">
        <v>7</v>
      </c>
      <c r="C179" t="str">
        <f t="shared" si="8"/>
        <v>715</v>
      </c>
      <c r="D179" t="s">
        <v>22</v>
      </c>
      <c r="F179">
        <v>2025</v>
      </c>
      <c r="G179">
        <f t="shared" si="9"/>
        <v>7</v>
      </c>
      <c r="H179" t="str">
        <f t="shared" si="10"/>
        <v>715 Bethany Village at Home</v>
      </c>
      <c r="I179" s="16" cm="1">
        <f t="array" ref="I179">INDEX('OC-Monthly'!$B$7:$N$65,_xlfn.XMATCH($A179,'OC-Monthly'!$A$7:$A$65),_xlfn.XMATCH($B179,'OC-Monthly'!$B$1:$N$1))</f>
        <v>0</v>
      </c>
      <c r="J179" s="16" cm="1">
        <f t="array" ref="J179">INDEX('OC-Monthly'!$P$7:$AB$65,_xlfn.XMATCH($A179,'OC-Monthly'!$A$7:$A$65),_xlfn.XMATCH($B179,'OC-Monthly'!$P$1:$AB$1))</f>
        <v>0</v>
      </c>
      <c r="K179" s="1" t="s">
        <v>8</v>
      </c>
      <c r="L179" s="1" t="s">
        <v>7</v>
      </c>
      <c r="M179" s="15" t="str">
        <f t="shared" si="11"/>
        <v>na</v>
      </c>
    </row>
    <row r="180" spans="1:13" x14ac:dyDescent="0.25">
      <c r="A180" t="s">
        <v>22</v>
      </c>
      <c r="B180">
        <v>8</v>
      </c>
      <c r="C180" t="str">
        <f t="shared" si="8"/>
        <v>715</v>
      </c>
      <c r="D180" t="s">
        <v>22</v>
      </c>
      <c r="F180">
        <v>2025</v>
      </c>
      <c r="G180">
        <f t="shared" si="9"/>
        <v>8</v>
      </c>
      <c r="H180" t="str">
        <f t="shared" si="10"/>
        <v>715 Bethany Village at Home</v>
      </c>
      <c r="I180" s="16" cm="1">
        <f t="array" ref="I180">INDEX('OC-Monthly'!$B$7:$N$65,_xlfn.XMATCH($A180,'OC-Monthly'!$A$7:$A$65),_xlfn.XMATCH($B180,'OC-Monthly'!$B$1:$N$1))</f>
        <v>0</v>
      </c>
      <c r="J180" s="16" cm="1">
        <f t="array" ref="J180">INDEX('OC-Monthly'!$P$7:$AB$65,_xlfn.XMATCH($A180,'OC-Monthly'!$A$7:$A$65),_xlfn.XMATCH($B180,'OC-Monthly'!$P$1:$AB$1))</f>
        <v>0</v>
      </c>
      <c r="K180" s="1" t="s">
        <v>8</v>
      </c>
      <c r="L180" s="1" t="s">
        <v>7</v>
      </c>
      <c r="M180" s="15" t="str">
        <f t="shared" si="11"/>
        <v>na</v>
      </c>
    </row>
    <row r="181" spans="1:13" x14ac:dyDescent="0.25">
      <c r="A181" t="s">
        <v>22</v>
      </c>
      <c r="B181">
        <v>9</v>
      </c>
      <c r="C181" t="str">
        <f t="shared" si="8"/>
        <v>715</v>
      </c>
      <c r="D181" t="s">
        <v>22</v>
      </c>
      <c r="F181">
        <v>2025</v>
      </c>
      <c r="G181">
        <f t="shared" si="9"/>
        <v>9</v>
      </c>
      <c r="H181" t="str">
        <f t="shared" si="10"/>
        <v>715 Bethany Village at Home</v>
      </c>
      <c r="I181" s="16" cm="1">
        <f t="array" ref="I181">INDEX('OC-Monthly'!$B$7:$N$65,_xlfn.XMATCH($A181,'OC-Monthly'!$A$7:$A$65),_xlfn.XMATCH($B181,'OC-Monthly'!$B$1:$N$1))</f>
        <v>0</v>
      </c>
      <c r="J181" s="16" cm="1">
        <f t="array" ref="J181">INDEX('OC-Monthly'!$P$7:$AB$65,_xlfn.XMATCH($A181,'OC-Monthly'!$A$7:$A$65),_xlfn.XMATCH($B181,'OC-Monthly'!$P$1:$AB$1))</f>
        <v>0</v>
      </c>
      <c r="K181" s="1" t="s">
        <v>8</v>
      </c>
      <c r="L181" s="1" t="s">
        <v>7</v>
      </c>
      <c r="M181" s="15" t="str">
        <f t="shared" si="11"/>
        <v>na</v>
      </c>
    </row>
    <row r="182" spans="1:13" x14ac:dyDescent="0.25">
      <c r="A182" t="s">
        <v>22</v>
      </c>
      <c r="B182">
        <v>10</v>
      </c>
      <c r="C182" t="str">
        <f t="shared" si="8"/>
        <v>715</v>
      </c>
      <c r="D182" t="s">
        <v>22</v>
      </c>
      <c r="F182">
        <v>2025</v>
      </c>
      <c r="G182">
        <f t="shared" si="9"/>
        <v>10</v>
      </c>
      <c r="H182" t="str">
        <f t="shared" si="10"/>
        <v>715 Bethany Village at Home</v>
      </c>
      <c r="I182" s="16" cm="1">
        <f t="array" ref="I182">INDEX('OC-Monthly'!$B$7:$N$65,_xlfn.XMATCH($A182,'OC-Monthly'!$A$7:$A$65),_xlfn.XMATCH($B182,'OC-Monthly'!$B$1:$N$1))</f>
        <v>0</v>
      </c>
      <c r="J182" s="16" cm="1">
        <f t="array" ref="J182">INDEX('OC-Monthly'!$P$7:$AB$65,_xlfn.XMATCH($A182,'OC-Monthly'!$A$7:$A$65),_xlfn.XMATCH($B182,'OC-Monthly'!$P$1:$AB$1))</f>
        <v>0</v>
      </c>
      <c r="K182" s="1" t="s">
        <v>8</v>
      </c>
      <c r="L182" s="1" t="s">
        <v>7</v>
      </c>
      <c r="M182" s="15" t="str">
        <f t="shared" si="11"/>
        <v>na</v>
      </c>
    </row>
    <row r="183" spans="1:13" x14ac:dyDescent="0.25">
      <c r="A183" t="s">
        <v>22</v>
      </c>
      <c r="B183">
        <v>11</v>
      </c>
      <c r="C183" t="str">
        <f t="shared" si="8"/>
        <v>715</v>
      </c>
      <c r="D183" t="s">
        <v>22</v>
      </c>
      <c r="F183">
        <v>2025</v>
      </c>
      <c r="G183">
        <f t="shared" si="9"/>
        <v>11</v>
      </c>
      <c r="H183" t="str">
        <f t="shared" si="10"/>
        <v>715 Bethany Village at Home</v>
      </c>
      <c r="I183" s="16" cm="1">
        <f t="array" ref="I183">INDEX('OC-Monthly'!$B$7:$N$65,_xlfn.XMATCH($A183,'OC-Monthly'!$A$7:$A$65),_xlfn.XMATCH($B183,'OC-Monthly'!$B$1:$N$1))</f>
        <v>0</v>
      </c>
      <c r="J183" s="16" cm="1">
        <f t="array" ref="J183">INDEX('OC-Monthly'!$P$7:$AB$65,_xlfn.XMATCH($A183,'OC-Monthly'!$A$7:$A$65),_xlfn.XMATCH($B183,'OC-Monthly'!$P$1:$AB$1))</f>
        <v>0</v>
      </c>
      <c r="K183" s="1" t="s">
        <v>8</v>
      </c>
      <c r="L183" s="1" t="s">
        <v>7</v>
      </c>
      <c r="M183" s="15" t="str">
        <f t="shared" si="11"/>
        <v>na</v>
      </c>
    </row>
    <row r="184" spans="1:13" x14ac:dyDescent="0.25">
      <c r="A184" t="s">
        <v>22</v>
      </c>
      <c r="B184">
        <v>12</v>
      </c>
      <c r="C184" t="str">
        <f t="shared" si="8"/>
        <v>715</v>
      </c>
      <c r="D184" t="s">
        <v>22</v>
      </c>
      <c r="F184">
        <v>2025</v>
      </c>
      <c r="G184">
        <f t="shared" si="9"/>
        <v>12</v>
      </c>
      <c r="H184" t="str">
        <f t="shared" si="10"/>
        <v>715 Bethany Village at Home</v>
      </c>
      <c r="I184" s="16" cm="1">
        <f t="array" ref="I184">INDEX('OC-Monthly'!$B$7:$N$65,_xlfn.XMATCH($A184,'OC-Monthly'!$A$7:$A$65),_xlfn.XMATCH($B184,'OC-Monthly'!$B$1:$N$1))</f>
        <v>0</v>
      </c>
      <c r="J184" s="16" cm="1">
        <f t="array" ref="J184">INDEX('OC-Monthly'!$P$7:$AB$65,_xlfn.XMATCH($A184,'OC-Monthly'!$A$7:$A$65),_xlfn.XMATCH($B184,'OC-Monthly'!$P$1:$AB$1))</f>
        <v>0</v>
      </c>
      <c r="K184" s="1" t="s">
        <v>8</v>
      </c>
      <c r="L184" s="1" t="s">
        <v>7</v>
      </c>
      <c r="M184" s="15" t="str">
        <f t="shared" si="11"/>
        <v>na</v>
      </c>
    </row>
    <row r="185" spans="1:13" x14ac:dyDescent="0.25">
      <c r="A185" t="s">
        <v>23</v>
      </c>
      <c r="B185">
        <v>1</v>
      </c>
      <c r="C185" t="str">
        <f t="shared" si="8"/>
        <v>716</v>
      </c>
      <c r="D185" t="s">
        <v>23</v>
      </c>
      <c r="F185">
        <v>2025</v>
      </c>
      <c r="G185">
        <f t="shared" si="9"/>
        <v>1</v>
      </c>
      <c r="H185" t="str">
        <f t="shared" si="10"/>
        <v>716 Asbury Place at Home</v>
      </c>
      <c r="I185" s="16" cm="1">
        <f t="array" ref="I185">INDEX('OC-Monthly'!$B$7:$N$65,_xlfn.XMATCH($A185,'OC-Monthly'!$A$7:$A$65),_xlfn.XMATCH($B185,'OC-Monthly'!$B$1:$N$1))</f>
        <v>0</v>
      </c>
      <c r="J185" s="16" cm="1">
        <f t="array" ref="J185">INDEX('OC-Monthly'!$P$7:$AB$65,_xlfn.XMATCH($A185,'OC-Monthly'!$A$7:$A$65),_xlfn.XMATCH($B185,'OC-Monthly'!$P$1:$AB$1))</f>
        <v>0</v>
      </c>
      <c r="K185" s="1" t="s">
        <v>8</v>
      </c>
      <c r="L185" s="1" t="s">
        <v>7</v>
      </c>
      <c r="M185" s="15" t="str">
        <f t="shared" si="11"/>
        <v>na</v>
      </c>
    </row>
    <row r="186" spans="1:13" x14ac:dyDescent="0.25">
      <c r="A186" t="s">
        <v>23</v>
      </c>
      <c r="B186">
        <v>2</v>
      </c>
      <c r="C186" t="str">
        <f t="shared" si="8"/>
        <v>716</v>
      </c>
      <c r="D186" t="s">
        <v>23</v>
      </c>
      <c r="F186">
        <v>2025</v>
      </c>
      <c r="G186">
        <f t="shared" si="9"/>
        <v>2</v>
      </c>
      <c r="H186" t="str">
        <f t="shared" si="10"/>
        <v>716 Asbury Place at Home</v>
      </c>
      <c r="I186" s="16" cm="1">
        <f t="array" ref="I186">INDEX('OC-Monthly'!$B$7:$N$65,_xlfn.XMATCH($A186,'OC-Monthly'!$A$7:$A$65),_xlfn.XMATCH($B186,'OC-Monthly'!$B$1:$N$1))</f>
        <v>0</v>
      </c>
      <c r="J186" s="16" cm="1">
        <f t="array" ref="J186">INDEX('OC-Monthly'!$P$7:$AB$65,_xlfn.XMATCH($A186,'OC-Monthly'!$A$7:$A$65),_xlfn.XMATCH($B186,'OC-Monthly'!$P$1:$AB$1))</f>
        <v>0</v>
      </c>
      <c r="K186" s="1" t="s">
        <v>8</v>
      </c>
      <c r="L186" s="1" t="s">
        <v>7</v>
      </c>
      <c r="M186" s="15" t="str">
        <f t="shared" si="11"/>
        <v>na</v>
      </c>
    </row>
    <row r="187" spans="1:13" x14ac:dyDescent="0.25">
      <c r="A187" t="s">
        <v>23</v>
      </c>
      <c r="B187">
        <v>3</v>
      </c>
      <c r="C187" t="str">
        <f t="shared" si="8"/>
        <v>716</v>
      </c>
      <c r="D187" t="s">
        <v>23</v>
      </c>
      <c r="F187">
        <v>2025</v>
      </c>
      <c r="G187">
        <f t="shared" si="9"/>
        <v>3</v>
      </c>
      <c r="H187" t="str">
        <f t="shared" si="10"/>
        <v>716 Asbury Place at Home</v>
      </c>
      <c r="I187" s="16" cm="1">
        <f t="array" ref="I187">INDEX('OC-Monthly'!$B$7:$N$65,_xlfn.XMATCH($A187,'OC-Monthly'!$A$7:$A$65),_xlfn.XMATCH($B187,'OC-Monthly'!$B$1:$N$1))</f>
        <v>0</v>
      </c>
      <c r="J187" s="16" cm="1">
        <f t="array" ref="J187">INDEX('OC-Monthly'!$P$7:$AB$65,_xlfn.XMATCH($A187,'OC-Monthly'!$A$7:$A$65),_xlfn.XMATCH($B187,'OC-Monthly'!$P$1:$AB$1))</f>
        <v>0</v>
      </c>
      <c r="K187" s="1" t="s">
        <v>8</v>
      </c>
      <c r="L187" s="1" t="s">
        <v>7</v>
      </c>
      <c r="M187" s="15" t="str">
        <f t="shared" si="11"/>
        <v>na</v>
      </c>
    </row>
    <row r="188" spans="1:13" x14ac:dyDescent="0.25">
      <c r="A188" t="s">
        <v>23</v>
      </c>
      <c r="B188">
        <v>4</v>
      </c>
      <c r="C188" t="str">
        <f t="shared" si="8"/>
        <v>716</v>
      </c>
      <c r="D188" t="s">
        <v>23</v>
      </c>
      <c r="F188">
        <v>2025</v>
      </c>
      <c r="G188">
        <f t="shared" si="9"/>
        <v>4</v>
      </c>
      <c r="H188" t="str">
        <f t="shared" si="10"/>
        <v>716 Asbury Place at Home</v>
      </c>
      <c r="I188" s="16" cm="1">
        <f t="array" ref="I188">INDEX('OC-Monthly'!$B$7:$N$65,_xlfn.XMATCH($A188,'OC-Monthly'!$A$7:$A$65),_xlfn.XMATCH($B188,'OC-Monthly'!$B$1:$N$1))</f>
        <v>0</v>
      </c>
      <c r="J188" s="16" cm="1">
        <f t="array" ref="J188">INDEX('OC-Monthly'!$P$7:$AB$65,_xlfn.XMATCH($A188,'OC-Monthly'!$A$7:$A$65),_xlfn.XMATCH($B188,'OC-Monthly'!$P$1:$AB$1))</f>
        <v>0</v>
      </c>
      <c r="K188" s="1" t="s">
        <v>8</v>
      </c>
      <c r="L188" s="1" t="s">
        <v>7</v>
      </c>
      <c r="M188" s="15" t="str">
        <f t="shared" si="11"/>
        <v>na</v>
      </c>
    </row>
    <row r="189" spans="1:13" x14ac:dyDescent="0.25">
      <c r="A189" t="s">
        <v>23</v>
      </c>
      <c r="B189">
        <v>5</v>
      </c>
      <c r="C189" t="str">
        <f t="shared" si="8"/>
        <v>716</v>
      </c>
      <c r="D189" t="s">
        <v>23</v>
      </c>
      <c r="F189">
        <v>2025</v>
      </c>
      <c r="G189">
        <f t="shared" si="9"/>
        <v>5</v>
      </c>
      <c r="H189" t="str">
        <f t="shared" si="10"/>
        <v>716 Asbury Place at Home</v>
      </c>
      <c r="I189" s="16" cm="1">
        <f t="array" ref="I189">INDEX('OC-Monthly'!$B$7:$N$65,_xlfn.XMATCH($A189,'OC-Monthly'!$A$7:$A$65),_xlfn.XMATCH($B189,'OC-Monthly'!$B$1:$N$1))</f>
        <v>0</v>
      </c>
      <c r="J189" s="16" cm="1">
        <f t="array" ref="J189">INDEX('OC-Monthly'!$P$7:$AB$65,_xlfn.XMATCH($A189,'OC-Monthly'!$A$7:$A$65),_xlfn.XMATCH($B189,'OC-Monthly'!$P$1:$AB$1))</f>
        <v>0</v>
      </c>
      <c r="K189" s="1" t="s">
        <v>8</v>
      </c>
      <c r="L189" s="1" t="s">
        <v>7</v>
      </c>
      <c r="M189" s="15" t="str">
        <f t="shared" si="11"/>
        <v>na</v>
      </c>
    </row>
    <row r="190" spans="1:13" x14ac:dyDescent="0.25">
      <c r="A190" t="s">
        <v>23</v>
      </c>
      <c r="B190">
        <v>6</v>
      </c>
      <c r="C190" t="str">
        <f t="shared" si="8"/>
        <v>716</v>
      </c>
      <c r="D190" t="s">
        <v>23</v>
      </c>
      <c r="F190">
        <v>2025</v>
      </c>
      <c r="G190">
        <f t="shared" si="9"/>
        <v>6</v>
      </c>
      <c r="H190" t="str">
        <f t="shared" si="10"/>
        <v>716 Asbury Place at Home</v>
      </c>
      <c r="I190" s="16" cm="1">
        <f t="array" ref="I190">INDEX('OC-Monthly'!$B$7:$N$65,_xlfn.XMATCH($A190,'OC-Monthly'!$A$7:$A$65),_xlfn.XMATCH($B190,'OC-Monthly'!$B$1:$N$1))</f>
        <v>0</v>
      </c>
      <c r="J190" s="16" cm="1">
        <f t="array" ref="J190">INDEX('OC-Monthly'!$P$7:$AB$65,_xlfn.XMATCH($A190,'OC-Monthly'!$A$7:$A$65),_xlfn.XMATCH($B190,'OC-Monthly'!$P$1:$AB$1))</f>
        <v>0</v>
      </c>
      <c r="K190" s="1" t="s">
        <v>8</v>
      </c>
      <c r="L190" s="1" t="s">
        <v>7</v>
      </c>
      <c r="M190" s="15" t="str">
        <f t="shared" si="11"/>
        <v>na</v>
      </c>
    </row>
    <row r="191" spans="1:13" x14ac:dyDescent="0.25">
      <c r="A191" t="s">
        <v>23</v>
      </c>
      <c r="B191">
        <v>7</v>
      </c>
      <c r="C191" t="str">
        <f t="shared" si="8"/>
        <v>716</v>
      </c>
      <c r="D191" t="s">
        <v>23</v>
      </c>
      <c r="F191">
        <v>2025</v>
      </c>
      <c r="G191">
        <f t="shared" si="9"/>
        <v>7</v>
      </c>
      <c r="H191" t="str">
        <f t="shared" si="10"/>
        <v>716 Asbury Place at Home</v>
      </c>
      <c r="I191" s="16" cm="1">
        <f t="array" ref="I191">INDEX('OC-Monthly'!$B$7:$N$65,_xlfn.XMATCH($A191,'OC-Monthly'!$A$7:$A$65),_xlfn.XMATCH($B191,'OC-Monthly'!$B$1:$N$1))</f>
        <v>0</v>
      </c>
      <c r="J191" s="16" cm="1">
        <f t="array" ref="J191">INDEX('OC-Monthly'!$P$7:$AB$65,_xlfn.XMATCH($A191,'OC-Monthly'!$A$7:$A$65),_xlfn.XMATCH($B191,'OC-Monthly'!$P$1:$AB$1))</f>
        <v>0</v>
      </c>
      <c r="K191" s="1" t="s">
        <v>8</v>
      </c>
      <c r="L191" s="1" t="s">
        <v>7</v>
      </c>
      <c r="M191" s="15" t="str">
        <f t="shared" si="11"/>
        <v>na</v>
      </c>
    </row>
    <row r="192" spans="1:13" x14ac:dyDescent="0.25">
      <c r="A192" t="s">
        <v>23</v>
      </c>
      <c r="B192">
        <v>8</v>
      </c>
      <c r="C192" t="str">
        <f t="shared" si="8"/>
        <v>716</v>
      </c>
      <c r="D192" t="s">
        <v>23</v>
      </c>
      <c r="F192">
        <v>2025</v>
      </c>
      <c r="G192">
        <f t="shared" si="9"/>
        <v>8</v>
      </c>
      <c r="H192" t="str">
        <f t="shared" si="10"/>
        <v>716 Asbury Place at Home</v>
      </c>
      <c r="I192" s="16" cm="1">
        <f t="array" ref="I192">INDEX('OC-Monthly'!$B$7:$N$65,_xlfn.XMATCH($A192,'OC-Monthly'!$A$7:$A$65),_xlfn.XMATCH($B192,'OC-Monthly'!$B$1:$N$1))</f>
        <v>0</v>
      </c>
      <c r="J192" s="16" cm="1">
        <f t="array" ref="J192">INDEX('OC-Monthly'!$P$7:$AB$65,_xlfn.XMATCH($A192,'OC-Monthly'!$A$7:$A$65),_xlfn.XMATCH($B192,'OC-Monthly'!$P$1:$AB$1))</f>
        <v>0</v>
      </c>
      <c r="K192" s="1" t="s">
        <v>8</v>
      </c>
      <c r="L192" s="1" t="s">
        <v>7</v>
      </c>
      <c r="M192" s="15" t="str">
        <f t="shared" si="11"/>
        <v>na</v>
      </c>
    </row>
    <row r="193" spans="1:13" x14ac:dyDescent="0.25">
      <c r="A193" t="s">
        <v>23</v>
      </c>
      <c r="B193">
        <v>9</v>
      </c>
      <c r="C193" t="str">
        <f t="shared" si="8"/>
        <v>716</v>
      </c>
      <c r="D193" t="s">
        <v>23</v>
      </c>
      <c r="F193">
        <v>2025</v>
      </c>
      <c r="G193">
        <f t="shared" si="9"/>
        <v>9</v>
      </c>
      <c r="H193" t="str">
        <f t="shared" si="10"/>
        <v>716 Asbury Place at Home</v>
      </c>
      <c r="I193" s="16" cm="1">
        <f t="array" ref="I193">INDEX('OC-Monthly'!$B$7:$N$65,_xlfn.XMATCH($A193,'OC-Monthly'!$A$7:$A$65),_xlfn.XMATCH($B193,'OC-Monthly'!$B$1:$N$1))</f>
        <v>0</v>
      </c>
      <c r="J193" s="16" cm="1">
        <f t="array" ref="J193">INDEX('OC-Monthly'!$P$7:$AB$65,_xlfn.XMATCH($A193,'OC-Monthly'!$A$7:$A$65),_xlfn.XMATCH($B193,'OC-Monthly'!$P$1:$AB$1))</f>
        <v>0</v>
      </c>
      <c r="K193" s="1" t="s">
        <v>8</v>
      </c>
      <c r="L193" s="1" t="s">
        <v>7</v>
      </c>
      <c r="M193" s="15" t="str">
        <f t="shared" si="11"/>
        <v>na</v>
      </c>
    </row>
    <row r="194" spans="1:13" x14ac:dyDescent="0.25">
      <c r="A194" t="s">
        <v>23</v>
      </c>
      <c r="B194">
        <v>10</v>
      </c>
      <c r="C194" t="str">
        <f t="shared" si="8"/>
        <v>716</v>
      </c>
      <c r="D194" t="s">
        <v>23</v>
      </c>
      <c r="F194">
        <v>2025</v>
      </c>
      <c r="G194">
        <f t="shared" si="9"/>
        <v>10</v>
      </c>
      <c r="H194" t="str">
        <f t="shared" si="10"/>
        <v>716 Asbury Place at Home</v>
      </c>
      <c r="I194" s="16" cm="1">
        <f t="array" ref="I194">INDEX('OC-Monthly'!$B$7:$N$65,_xlfn.XMATCH($A194,'OC-Monthly'!$A$7:$A$65),_xlfn.XMATCH($B194,'OC-Monthly'!$B$1:$N$1))</f>
        <v>0</v>
      </c>
      <c r="J194" s="16" cm="1">
        <f t="array" ref="J194">INDEX('OC-Monthly'!$P$7:$AB$65,_xlfn.XMATCH($A194,'OC-Monthly'!$A$7:$A$65),_xlfn.XMATCH($B194,'OC-Monthly'!$P$1:$AB$1))</f>
        <v>0</v>
      </c>
      <c r="K194" s="1" t="s">
        <v>8</v>
      </c>
      <c r="L194" s="1" t="s">
        <v>7</v>
      </c>
      <c r="M194" s="15" t="str">
        <f t="shared" si="11"/>
        <v>na</v>
      </c>
    </row>
    <row r="195" spans="1:13" x14ac:dyDescent="0.25">
      <c r="A195" t="s">
        <v>23</v>
      </c>
      <c r="B195">
        <v>11</v>
      </c>
      <c r="C195" t="str">
        <f t="shared" si="8"/>
        <v>716</v>
      </c>
      <c r="D195" t="s">
        <v>23</v>
      </c>
      <c r="F195">
        <v>2025</v>
      </c>
      <c r="G195">
        <f t="shared" si="9"/>
        <v>11</v>
      </c>
      <c r="H195" t="str">
        <f t="shared" si="10"/>
        <v>716 Asbury Place at Home</v>
      </c>
      <c r="I195" s="16" cm="1">
        <f t="array" ref="I195">INDEX('OC-Monthly'!$B$7:$N$65,_xlfn.XMATCH($A195,'OC-Monthly'!$A$7:$A$65),_xlfn.XMATCH($B195,'OC-Monthly'!$B$1:$N$1))</f>
        <v>0</v>
      </c>
      <c r="J195" s="16" cm="1">
        <f t="array" ref="J195">INDEX('OC-Monthly'!$P$7:$AB$65,_xlfn.XMATCH($A195,'OC-Monthly'!$A$7:$A$65),_xlfn.XMATCH($B195,'OC-Monthly'!$P$1:$AB$1))</f>
        <v>0</v>
      </c>
      <c r="K195" s="1" t="s">
        <v>8</v>
      </c>
      <c r="L195" s="1" t="s">
        <v>7</v>
      </c>
      <c r="M195" s="15" t="str">
        <f t="shared" si="11"/>
        <v>na</v>
      </c>
    </row>
    <row r="196" spans="1:13" x14ac:dyDescent="0.25">
      <c r="A196" t="s">
        <v>23</v>
      </c>
      <c r="B196">
        <v>12</v>
      </c>
      <c r="C196" t="str">
        <f t="shared" si="8"/>
        <v>716</v>
      </c>
      <c r="D196" t="s">
        <v>23</v>
      </c>
      <c r="F196">
        <v>2025</v>
      </c>
      <c r="G196">
        <f t="shared" si="9"/>
        <v>12</v>
      </c>
      <c r="H196" t="str">
        <f t="shared" si="10"/>
        <v>716 Asbury Place at Home</v>
      </c>
      <c r="I196" s="16" cm="1">
        <f t="array" ref="I196">INDEX('OC-Monthly'!$B$7:$N$65,_xlfn.XMATCH($A196,'OC-Monthly'!$A$7:$A$65),_xlfn.XMATCH($B196,'OC-Monthly'!$B$1:$N$1))</f>
        <v>0</v>
      </c>
      <c r="J196" s="16" cm="1">
        <f t="array" ref="J196">INDEX('OC-Monthly'!$P$7:$AB$65,_xlfn.XMATCH($A196,'OC-Monthly'!$A$7:$A$65),_xlfn.XMATCH($B196,'OC-Monthly'!$P$1:$AB$1))</f>
        <v>0</v>
      </c>
      <c r="K196" s="1" t="s">
        <v>8</v>
      </c>
      <c r="L196" s="1" t="s">
        <v>7</v>
      </c>
      <c r="M196" s="15" t="str">
        <f t="shared" si="11"/>
        <v>na</v>
      </c>
    </row>
    <row r="197" spans="1:13" x14ac:dyDescent="0.25">
      <c r="A197" t="s">
        <v>46</v>
      </c>
      <c r="B197">
        <v>1</v>
      </c>
      <c r="C197" t="str">
        <f t="shared" si="8"/>
        <v>717</v>
      </c>
      <c r="D197" t="s">
        <v>46</v>
      </c>
      <c r="F197">
        <v>2025</v>
      </c>
      <c r="G197">
        <f t="shared" si="9"/>
        <v>1</v>
      </c>
      <c r="H197" t="str">
        <f t="shared" si="10"/>
        <v>717 Riverwoods at Home</v>
      </c>
      <c r="I197" s="16" cm="1">
        <f t="array" ref="I197">INDEX('OC-Monthly'!$B$7:$N$65,_xlfn.XMATCH($A197,'OC-Monthly'!$A$7:$A$65),_xlfn.XMATCH($B197,'OC-Monthly'!$B$1:$N$1))</f>
        <v>0</v>
      </c>
      <c r="J197" s="16" cm="1">
        <f t="array" ref="J197">INDEX('OC-Monthly'!$P$7:$AB$65,_xlfn.XMATCH($A197,'OC-Monthly'!$A$7:$A$65),_xlfn.XMATCH($B197,'OC-Monthly'!$P$1:$AB$1))</f>
        <v>0</v>
      </c>
      <c r="K197" s="1" t="s">
        <v>8</v>
      </c>
      <c r="L197" s="1" t="s">
        <v>7</v>
      </c>
      <c r="M197" s="15" t="str">
        <f t="shared" si="11"/>
        <v>na</v>
      </c>
    </row>
    <row r="198" spans="1:13" x14ac:dyDescent="0.25">
      <c r="A198" t="s">
        <v>46</v>
      </c>
      <c r="B198">
        <v>2</v>
      </c>
      <c r="C198" t="str">
        <f t="shared" ref="C198:C261" si="12">LEFT(A198,3)</f>
        <v>717</v>
      </c>
      <c r="D198" t="s">
        <v>46</v>
      </c>
      <c r="F198">
        <v>2025</v>
      </c>
      <c r="G198">
        <f t="shared" ref="G198:G261" si="13">B198</f>
        <v>2</v>
      </c>
      <c r="H198" t="str">
        <f t="shared" ref="H198:H261" si="14">D198</f>
        <v>717 Riverwoods at Home</v>
      </c>
      <c r="I198" s="16" cm="1">
        <f t="array" ref="I198">INDEX('OC-Monthly'!$B$7:$N$65,_xlfn.XMATCH($A198,'OC-Monthly'!$A$7:$A$65),_xlfn.XMATCH($B198,'OC-Monthly'!$B$1:$N$1))</f>
        <v>0</v>
      </c>
      <c r="J198" s="16" cm="1">
        <f t="array" ref="J198">INDEX('OC-Monthly'!$P$7:$AB$65,_xlfn.XMATCH($A198,'OC-Monthly'!$A$7:$A$65),_xlfn.XMATCH($B198,'OC-Monthly'!$P$1:$AB$1))</f>
        <v>0</v>
      </c>
      <c r="K198" s="1" t="s">
        <v>8</v>
      </c>
      <c r="L198" s="1" t="s">
        <v>7</v>
      </c>
      <c r="M198" s="15" t="str">
        <f t="shared" ref="M198:M261" si="15">IFERROR(J198/I198,"na")</f>
        <v>na</v>
      </c>
    </row>
    <row r="199" spans="1:13" x14ac:dyDescent="0.25">
      <c r="A199" t="s">
        <v>46</v>
      </c>
      <c r="B199">
        <v>3</v>
      </c>
      <c r="C199" t="str">
        <f t="shared" si="12"/>
        <v>717</v>
      </c>
      <c r="D199" t="s">
        <v>46</v>
      </c>
      <c r="F199">
        <v>2025</v>
      </c>
      <c r="G199">
        <f t="shared" si="13"/>
        <v>3</v>
      </c>
      <c r="H199" t="str">
        <f t="shared" si="14"/>
        <v>717 Riverwoods at Home</v>
      </c>
      <c r="I199" s="16" cm="1">
        <f t="array" ref="I199">INDEX('OC-Monthly'!$B$7:$N$65,_xlfn.XMATCH($A199,'OC-Monthly'!$A$7:$A$65),_xlfn.XMATCH($B199,'OC-Monthly'!$B$1:$N$1))</f>
        <v>0</v>
      </c>
      <c r="J199" s="16" cm="1">
        <f t="array" ref="J199">INDEX('OC-Monthly'!$P$7:$AB$65,_xlfn.XMATCH($A199,'OC-Monthly'!$A$7:$A$65),_xlfn.XMATCH($B199,'OC-Monthly'!$P$1:$AB$1))</f>
        <v>0</v>
      </c>
      <c r="K199" s="1" t="s">
        <v>8</v>
      </c>
      <c r="L199" s="1" t="s">
        <v>7</v>
      </c>
      <c r="M199" s="15" t="str">
        <f t="shared" si="15"/>
        <v>na</v>
      </c>
    </row>
    <row r="200" spans="1:13" x14ac:dyDescent="0.25">
      <c r="A200" t="s">
        <v>46</v>
      </c>
      <c r="B200">
        <v>4</v>
      </c>
      <c r="C200" t="str">
        <f t="shared" si="12"/>
        <v>717</v>
      </c>
      <c r="D200" t="s">
        <v>46</v>
      </c>
      <c r="F200">
        <v>2025</v>
      </c>
      <c r="G200">
        <f t="shared" si="13"/>
        <v>4</v>
      </c>
      <c r="H200" t="str">
        <f t="shared" si="14"/>
        <v>717 Riverwoods at Home</v>
      </c>
      <c r="I200" s="16" cm="1">
        <f t="array" ref="I200">INDEX('OC-Monthly'!$B$7:$N$65,_xlfn.XMATCH($A200,'OC-Monthly'!$A$7:$A$65),_xlfn.XMATCH($B200,'OC-Monthly'!$B$1:$N$1))</f>
        <v>0</v>
      </c>
      <c r="J200" s="16" cm="1">
        <f t="array" ref="J200">INDEX('OC-Monthly'!$P$7:$AB$65,_xlfn.XMATCH($A200,'OC-Monthly'!$A$7:$A$65),_xlfn.XMATCH($B200,'OC-Monthly'!$P$1:$AB$1))</f>
        <v>0</v>
      </c>
      <c r="K200" s="1" t="s">
        <v>8</v>
      </c>
      <c r="L200" s="1" t="s">
        <v>7</v>
      </c>
      <c r="M200" s="15" t="str">
        <f t="shared" si="15"/>
        <v>na</v>
      </c>
    </row>
    <row r="201" spans="1:13" x14ac:dyDescent="0.25">
      <c r="A201" t="s">
        <v>46</v>
      </c>
      <c r="B201">
        <v>5</v>
      </c>
      <c r="C201" t="str">
        <f t="shared" si="12"/>
        <v>717</v>
      </c>
      <c r="D201" t="s">
        <v>46</v>
      </c>
      <c r="F201">
        <v>2025</v>
      </c>
      <c r="G201">
        <f t="shared" si="13"/>
        <v>5</v>
      </c>
      <c r="H201" t="str">
        <f t="shared" si="14"/>
        <v>717 Riverwoods at Home</v>
      </c>
      <c r="I201" s="16" cm="1">
        <f t="array" ref="I201">INDEX('OC-Monthly'!$B$7:$N$65,_xlfn.XMATCH($A201,'OC-Monthly'!$A$7:$A$65),_xlfn.XMATCH($B201,'OC-Monthly'!$B$1:$N$1))</f>
        <v>0</v>
      </c>
      <c r="J201" s="16" cm="1">
        <f t="array" ref="J201">INDEX('OC-Monthly'!$P$7:$AB$65,_xlfn.XMATCH($A201,'OC-Monthly'!$A$7:$A$65),_xlfn.XMATCH($B201,'OC-Monthly'!$P$1:$AB$1))</f>
        <v>0</v>
      </c>
      <c r="K201" s="1" t="s">
        <v>8</v>
      </c>
      <c r="L201" s="1" t="s">
        <v>7</v>
      </c>
      <c r="M201" s="15" t="str">
        <f t="shared" si="15"/>
        <v>na</v>
      </c>
    </row>
    <row r="202" spans="1:13" x14ac:dyDescent="0.25">
      <c r="A202" t="s">
        <v>46</v>
      </c>
      <c r="B202">
        <v>6</v>
      </c>
      <c r="C202" t="str">
        <f t="shared" si="12"/>
        <v>717</v>
      </c>
      <c r="D202" t="s">
        <v>46</v>
      </c>
      <c r="F202">
        <v>2025</v>
      </c>
      <c r="G202">
        <f t="shared" si="13"/>
        <v>6</v>
      </c>
      <c r="H202" t="str">
        <f t="shared" si="14"/>
        <v>717 Riverwoods at Home</v>
      </c>
      <c r="I202" s="16" cm="1">
        <f t="array" ref="I202">INDEX('OC-Monthly'!$B$7:$N$65,_xlfn.XMATCH($A202,'OC-Monthly'!$A$7:$A$65),_xlfn.XMATCH($B202,'OC-Monthly'!$B$1:$N$1))</f>
        <v>0</v>
      </c>
      <c r="J202" s="16" cm="1">
        <f t="array" ref="J202">INDEX('OC-Monthly'!$P$7:$AB$65,_xlfn.XMATCH($A202,'OC-Monthly'!$A$7:$A$65),_xlfn.XMATCH($B202,'OC-Monthly'!$P$1:$AB$1))</f>
        <v>0</v>
      </c>
      <c r="K202" s="1" t="s">
        <v>8</v>
      </c>
      <c r="L202" s="1" t="s">
        <v>7</v>
      </c>
      <c r="M202" s="15" t="str">
        <f t="shared" si="15"/>
        <v>na</v>
      </c>
    </row>
    <row r="203" spans="1:13" x14ac:dyDescent="0.25">
      <c r="A203" t="s">
        <v>46</v>
      </c>
      <c r="B203">
        <v>7</v>
      </c>
      <c r="C203" t="str">
        <f t="shared" si="12"/>
        <v>717</v>
      </c>
      <c r="D203" t="s">
        <v>46</v>
      </c>
      <c r="F203">
        <v>2025</v>
      </c>
      <c r="G203">
        <f t="shared" si="13"/>
        <v>7</v>
      </c>
      <c r="H203" t="str">
        <f t="shared" si="14"/>
        <v>717 Riverwoods at Home</v>
      </c>
      <c r="I203" s="16" cm="1">
        <f t="array" ref="I203">INDEX('OC-Monthly'!$B$7:$N$65,_xlfn.XMATCH($A203,'OC-Monthly'!$A$7:$A$65),_xlfn.XMATCH($B203,'OC-Monthly'!$B$1:$N$1))</f>
        <v>0</v>
      </c>
      <c r="J203" s="16" cm="1">
        <f t="array" ref="J203">INDEX('OC-Monthly'!$P$7:$AB$65,_xlfn.XMATCH($A203,'OC-Monthly'!$A$7:$A$65),_xlfn.XMATCH($B203,'OC-Monthly'!$P$1:$AB$1))</f>
        <v>0</v>
      </c>
      <c r="K203" s="1" t="s">
        <v>8</v>
      </c>
      <c r="L203" s="1" t="s">
        <v>7</v>
      </c>
      <c r="M203" s="15" t="str">
        <f t="shared" si="15"/>
        <v>na</v>
      </c>
    </row>
    <row r="204" spans="1:13" x14ac:dyDescent="0.25">
      <c r="A204" t="s">
        <v>46</v>
      </c>
      <c r="B204">
        <v>8</v>
      </c>
      <c r="C204" t="str">
        <f t="shared" si="12"/>
        <v>717</v>
      </c>
      <c r="D204" t="s">
        <v>46</v>
      </c>
      <c r="F204">
        <v>2025</v>
      </c>
      <c r="G204">
        <f t="shared" si="13"/>
        <v>8</v>
      </c>
      <c r="H204" t="str">
        <f t="shared" si="14"/>
        <v>717 Riverwoods at Home</v>
      </c>
      <c r="I204" s="16" cm="1">
        <f t="array" ref="I204">INDEX('OC-Monthly'!$B$7:$N$65,_xlfn.XMATCH($A204,'OC-Monthly'!$A$7:$A$65),_xlfn.XMATCH($B204,'OC-Monthly'!$B$1:$N$1))</f>
        <v>0</v>
      </c>
      <c r="J204" s="16" cm="1">
        <f t="array" ref="J204">INDEX('OC-Monthly'!$P$7:$AB$65,_xlfn.XMATCH($A204,'OC-Monthly'!$A$7:$A$65),_xlfn.XMATCH($B204,'OC-Monthly'!$P$1:$AB$1))</f>
        <v>0</v>
      </c>
      <c r="K204" s="1" t="s">
        <v>8</v>
      </c>
      <c r="L204" s="1" t="s">
        <v>7</v>
      </c>
      <c r="M204" s="15" t="str">
        <f t="shared" si="15"/>
        <v>na</v>
      </c>
    </row>
    <row r="205" spans="1:13" x14ac:dyDescent="0.25">
      <c r="A205" t="s">
        <v>46</v>
      </c>
      <c r="B205">
        <v>9</v>
      </c>
      <c r="C205" t="str">
        <f t="shared" si="12"/>
        <v>717</v>
      </c>
      <c r="D205" t="s">
        <v>46</v>
      </c>
      <c r="F205">
        <v>2025</v>
      </c>
      <c r="G205">
        <f t="shared" si="13"/>
        <v>9</v>
      </c>
      <c r="H205" t="str">
        <f t="shared" si="14"/>
        <v>717 Riverwoods at Home</v>
      </c>
      <c r="I205" s="16" cm="1">
        <f t="array" ref="I205">INDEX('OC-Monthly'!$B$7:$N$65,_xlfn.XMATCH($A205,'OC-Monthly'!$A$7:$A$65),_xlfn.XMATCH($B205,'OC-Monthly'!$B$1:$N$1))</f>
        <v>0</v>
      </c>
      <c r="J205" s="16" cm="1">
        <f t="array" ref="J205">INDEX('OC-Monthly'!$P$7:$AB$65,_xlfn.XMATCH($A205,'OC-Monthly'!$A$7:$A$65),_xlfn.XMATCH($B205,'OC-Monthly'!$P$1:$AB$1))</f>
        <v>0</v>
      </c>
      <c r="K205" s="1" t="s">
        <v>8</v>
      </c>
      <c r="L205" s="1" t="s">
        <v>7</v>
      </c>
      <c r="M205" s="15" t="str">
        <f t="shared" si="15"/>
        <v>na</v>
      </c>
    </row>
    <row r="206" spans="1:13" x14ac:dyDescent="0.25">
      <c r="A206" t="s">
        <v>46</v>
      </c>
      <c r="B206">
        <v>10</v>
      </c>
      <c r="C206" t="str">
        <f t="shared" si="12"/>
        <v>717</v>
      </c>
      <c r="D206" t="s">
        <v>46</v>
      </c>
      <c r="F206">
        <v>2025</v>
      </c>
      <c r="G206">
        <f t="shared" si="13"/>
        <v>10</v>
      </c>
      <c r="H206" t="str">
        <f t="shared" si="14"/>
        <v>717 Riverwoods at Home</v>
      </c>
      <c r="I206" s="16" cm="1">
        <f t="array" ref="I206">INDEX('OC-Monthly'!$B$7:$N$65,_xlfn.XMATCH($A206,'OC-Monthly'!$A$7:$A$65),_xlfn.XMATCH($B206,'OC-Monthly'!$B$1:$N$1))</f>
        <v>0</v>
      </c>
      <c r="J206" s="16" cm="1">
        <f t="array" ref="J206">INDEX('OC-Monthly'!$P$7:$AB$65,_xlfn.XMATCH($A206,'OC-Monthly'!$A$7:$A$65),_xlfn.XMATCH($B206,'OC-Monthly'!$P$1:$AB$1))</f>
        <v>0</v>
      </c>
      <c r="K206" s="1" t="s">
        <v>8</v>
      </c>
      <c r="L206" s="1" t="s">
        <v>7</v>
      </c>
      <c r="M206" s="15" t="str">
        <f t="shared" si="15"/>
        <v>na</v>
      </c>
    </row>
    <row r="207" spans="1:13" x14ac:dyDescent="0.25">
      <c r="A207" t="s">
        <v>46</v>
      </c>
      <c r="B207">
        <v>11</v>
      </c>
      <c r="C207" t="str">
        <f t="shared" si="12"/>
        <v>717</v>
      </c>
      <c r="D207" t="s">
        <v>46</v>
      </c>
      <c r="F207">
        <v>2025</v>
      </c>
      <c r="G207">
        <f t="shared" si="13"/>
        <v>11</v>
      </c>
      <c r="H207" t="str">
        <f t="shared" si="14"/>
        <v>717 Riverwoods at Home</v>
      </c>
      <c r="I207" s="16" cm="1">
        <f t="array" ref="I207">INDEX('OC-Monthly'!$B$7:$N$65,_xlfn.XMATCH($A207,'OC-Monthly'!$A$7:$A$65),_xlfn.XMATCH($B207,'OC-Monthly'!$B$1:$N$1))</f>
        <v>0</v>
      </c>
      <c r="J207" s="16" cm="1">
        <f t="array" ref="J207">INDEX('OC-Monthly'!$P$7:$AB$65,_xlfn.XMATCH($A207,'OC-Monthly'!$A$7:$A$65),_xlfn.XMATCH($B207,'OC-Monthly'!$P$1:$AB$1))</f>
        <v>0</v>
      </c>
      <c r="K207" s="1" t="s">
        <v>8</v>
      </c>
      <c r="L207" s="1" t="s">
        <v>7</v>
      </c>
      <c r="M207" s="15" t="str">
        <f t="shared" si="15"/>
        <v>na</v>
      </c>
    </row>
    <row r="208" spans="1:13" x14ac:dyDescent="0.25">
      <c r="A208" t="s">
        <v>46</v>
      </c>
      <c r="B208">
        <v>12</v>
      </c>
      <c r="C208" t="str">
        <f t="shared" si="12"/>
        <v>717</v>
      </c>
      <c r="D208" t="s">
        <v>46</v>
      </c>
      <c r="F208">
        <v>2025</v>
      </c>
      <c r="G208">
        <f t="shared" si="13"/>
        <v>12</v>
      </c>
      <c r="H208" t="str">
        <f t="shared" si="14"/>
        <v>717 Riverwoods at Home</v>
      </c>
      <c r="I208" s="16" cm="1">
        <f t="array" ref="I208">INDEX('OC-Monthly'!$B$7:$N$65,_xlfn.XMATCH($A208,'OC-Monthly'!$A$7:$A$65),_xlfn.XMATCH($B208,'OC-Monthly'!$B$1:$N$1))</f>
        <v>0</v>
      </c>
      <c r="J208" s="16" cm="1">
        <f t="array" ref="J208">INDEX('OC-Monthly'!$P$7:$AB$65,_xlfn.XMATCH($A208,'OC-Monthly'!$A$7:$A$65),_xlfn.XMATCH($B208,'OC-Monthly'!$P$1:$AB$1))</f>
        <v>0</v>
      </c>
      <c r="K208" s="1" t="s">
        <v>8</v>
      </c>
      <c r="L208" s="1" t="s">
        <v>7</v>
      </c>
      <c r="M208" s="15" t="str">
        <f t="shared" si="15"/>
        <v>na</v>
      </c>
    </row>
    <row r="209" spans="1:13" x14ac:dyDescent="0.25">
      <c r="A209" t="s">
        <v>47</v>
      </c>
      <c r="B209">
        <v>1</v>
      </c>
      <c r="C209" t="str">
        <f t="shared" si="12"/>
        <v>718</v>
      </c>
      <c r="D209" t="s">
        <v>47</v>
      </c>
      <c r="F209">
        <v>2025</v>
      </c>
      <c r="G209">
        <f t="shared" si="13"/>
        <v>1</v>
      </c>
      <c r="H209" t="str">
        <f t="shared" si="14"/>
        <v>718 Normandie Ridge at Home</v>
      </c>
      <c r="I209" s="16" cm="1">
        <f t="array" ref="I209">INDEX('OC-Monthly'!$B$7:$N$65,_xlfn.XMATCH($A209,'OC-Monthly'!$A$7:$A$65),_xlfn.XMATCH($B209,'OC-Monthly'!$B$1:$N$1))</f>
        <v>0</v>
      </c>
      <c r="J209" s="16" cm="1">
        <f t="array" ref="J209">INDEX('OC-Monthly'!$P$7:$AB$65,_xlfn.XMATCH($A209,'OC-Monthly'!$A$7:$A$65),_xlfn.XMATCH($B209,'OC-Monthly'!$P$1:$AB$1))</f>
        <v>0</v>
      </c>
      <c r="K209" s="1" t="s">
        <v>8</v>
      </c>
      <c r="L209" s="1" t="s">
        <v>7</v>
      </c>
      <c r="M209" s="15" t="str">
        <f t="shared" si="15"/>
        <v>na</v>
      </c>
    </row>
    <row r="210" spans="1:13" x14ac:dyDescent="0.25">
      <c r="A210" t="s">
        <v>47</v>
      </c>
      <c r="B210">
        <v>2</v>
      </c>
      <c r="C210" t="str">
        <f t="shared" si="12"/>
        <v>718</v>
      </c>
      <c r="D210" t="s">
        <v>47</v>
      </c>
      <c r="F210">
        <v>2025</v>
      </c>
      <c r="G210">
        <f t="shared" si="13"/>
        <v>2</v>
      </c>
      <c r="H210" t="str">
        <f t="shared" si="14"/>
        <v>718 Normandie Ridge at Home</v>
      </c>
      <c r="I210" s="16" cm="1">
        <f t="array" ref="I210">INDEX('OC-Monthly'!$B$7:$N$65,_xlfn.XMATCH($A210,'OC-Monthly'!$A$7:$A$65),_xlfn.XMATCH($B210,'OC-Monthly'!$B$1:$N$1))</f>
        <v>0</v>
      </c>
      <c r="J210" s="16" cm="1">
        <f t="array" ref="J210">INDEX('OC-Monthly'!$P$7:$AB$65,_xlfn.XMATCH($A210,'OC-Monthly'!$A$7:$A$65),_xlfn.XMATCH($B210,'OC-Monthly'!$P$1:$AB$1))</f>
        <v>0</v>
      </c>
      <c r="K210" s="1" t="s">
        <v>8</v>
      </c>
      <c r="L210" s="1" t="s">
        <v>7</v>
      </c>
      <c r="M210" s="15" t="str">
        <f t="shared" si="15"/>
        <v>na</v>
      </c>
    </row>
    <row r="211" spans="1:13" x14ac:dyDescent="0.25">
      <c r="A211" t="s">
        <v>47</v>
      </c>
      <c r="B211">
        <v>3</v>
      </c>
      <c r="C211" t="str">
        <f t="shared" si="12"/>
        <v>718</v>
      </c>
      <c r="D211" t="s">
        <v>47</v>
      </c>
      <c r="F211">
        <v>2025</v>
      </c>
      <c r="G211">
        <f t="shared" si="13"/>
        <v>3</v>
      </c>
      <c r="H211" t="str">
        <f t="shared" si="14"/>
        <v>718 Normandie Ridge at Home</v>
      </c>
      <c r="I211" s="16" cm="1">
        <f t="array" ref="I211">INDEX('OC-Monthly'!$B$7:$N$65,_xlfn.XMATCH($A211,'OC-Monthly'!$A$7:$A$65),_xlfn.XMATCH($B211,'OC-Monthly'!$B$1:$N$1))</f>
        <v>0</v>
      </c>
      <c r="J211" s="16" cm="1">
        <f t="array" ref="J211">INDEX('OC-Monthly'!$P$7:$AB$65,_xlfn.XMATCH($A211,'OC-Monthly'!$A$7:$A$65),_xlfn.XMATCH($B211,'OC-Monthly'!$P$1:$AB$1))</f>
        <v>0</v>
      </c>
      <c r="K211" s="1" t="s">
        <v>8</v>
      </c>
      <c r="L211" s="1" t="s">
        <v>7</v>
      </c>
      <c r="M211" s="15" t="str">
        <f t="shared" si="15"/>
        <v>na</v>
      </c>
    </row>
    <row r="212" spans="1:13" x14ac:dyDescent="0.25">
      <c r="A212" t="s">
        <v>47</v>
      </c>
      <c r="B212">
        <v>4</v>
      </c>
      <c r="C212" t="str">
        <f t="shared" si="12"/>
        <v>718</v>
      </c>
      <c r="D212" t="s">
        <v>47</v>
      </c>
      <c r="F212">
        <v>2025</v>
      </c>
      <c r="G212">
        <f t="shared" si="13"/>
        <v>4</v>
      </c>
      <c r="H212" t="str">
        <f t="shared" si="14"/>
        <v>718 Normandie Ridge at Home</v>
      </c>
      <c r="I212" s="16" cm="1">
        <f t="array" ref="I212">INDEX('OC-Monthly'!$B$7:$N$65,_xlfn.XMATCH($A212,'OC-Monthly'!$A$7:$A$65),_xlfn.XMATCH($B212,'OC-Monthly'!$B$1:$N$1))</f>
        <v>0</v>
      </c>
      <c r="J212" s="16" cm="1">
        <f t="array" ref="J212">INDEX('OC-Monthly'!$P$7:$AB$65,_xlfn.XMATCH($A212,'OC-Monthly'!$A$7:$A$65),_xlfn.XMATCH($B212,'OC-Monthly'!$P$1:$AB$1))</f>
        <v>0</v>
      </c>
      <c r="K212" s="1" t="s">
        <v>8</v>
      </c>
      <c r="L212" s="1" t="s">
        <v>7</v>
      </c>
      <c r="M212" s="15" t="str">
        <f t="shared" si="15"/>
        <v>na</v>
      </c>
    </row>
    <row r="213" spans="1:13" x14ac:dyDescent="0.25">
      <c r="A213" t="s">
        <v>47</v>
      </c>
      <c r="B213">
        <v>5</v>
      </c>
      <c r="C213" t="str">
        <f t="shared" si="12"/>
        <v>718</v>
      </c>
      <c r="D213" t="s">
        <v>47</v>
      </c>
      <c r="F213">
        <v>2025</v>
      </c>
      <c r="G213">
        <f t="shared" si="13"/>
        <v>5</v>
      </c>
      <c r="H213" t="str">
        <f t="shared" si="14"/>
        <v>718 Normandie Ridge at Home</v>
      </c>
      <c r="I213" s="16" cm="1">
        <f t="array" ref="I213">INDEX('OC-Monthly'!$B$7:$N$65,_xlfn.XMATCH($A213,'OC-Monthly'!$A$7:$A$65),_xlfn.XMATCH($B213,'OC-Monthly'!$B$1:$N$1))</f>
        <v>0</v>
      </c>
      <c r="J213" s="16" cm="1">
        <f t="array" ref="J213">INDEX('OC-Monthly'!$P$7:$AB$65,_xlfn.XMATCH($A213,'OC-Monthly'!$A$7:$A$65),_xlfn.XMATCH($B213,'OC-Monthly'!$P$1:$AB$1))</f>
        <v>0</v>
      </c>
      <c r="K213" s="1" t="s">
        <v>8</v>
      </c>
      <c r="L213" s="1" t="s">
        <v>7</v>
      </c>
      <c r="M213" s="15" t="str">
        <f t="shared" si="15"/>
        <v>na</v>
      </c>
    </row>
    <row r="214" spans="1:13" x14ac:dyDescent="0.25">
      <c r="A214" t="s">
        <v>47</v>
      </c>
      <c r="B214">
        <v>6</v>
      </c>
      <c r="C214" t="str">
        <f t="shared" si="12"/>
        <v>718</v>
      </c>
      <c r="D214" t="s">
        <v>47</v>
      </c>
      <c r="F214">
        <v>2025</v>
      </c>
      <c r="G214">
        <f t="shared" si="13"/>
        <v>6</v>
      </c>
      <c r="H214" t="str">
        <f t="shared" si="14"/>
        <v>718 Normandie Ridge at Home</v>
      </c>
      <c r="I214" s="16" cm="1">
        <f t="array" ref="I214">INDEX('OC-Monthly'!$B$7:$N$65,_xlfn.XMATCH($A214,'OC-Monthly'!$A$7:$A$65),_xlfn.XMATCH($B214,'OC-Monthly'!$B$1:$N$1))</f>
        <v>0</v>
      </c>
      <c r="J214" s="16" cm="1">
        <f t="array" ref="J214">INDEX('OC-Monthly'!$P$7:$AB$65,_xlfn.XMATCH($A214,'OC-Monthly'!$A$7:$A$65),_xlfn.XMATCH($B214,'OC-Monthly'!$P$1:$AB$1))</f>
        <v>0</v>
      </c>
      <c r="K214" s="1" t="s">
        <v>8</v>
      </c>
      <c r="L214" s="1" t="s">
        <v>7</v>
      </c>
      <c r="M214" s="15" t="str">
        <f t="shared" si="15"/>
        <v>na</v>
      </c>
    </row>
    <row r="215" spans="1:13" x14ac:dyDescent="0.25">
      <c r="A215" t="s">
        <v>47</v>
      </c>
      <c r="B215">
        <v>7</v>
      </c>
      <c r="C215" t="str">
        <f t="shared" si="12"/>
        <v>718</v>
      </c>
      <c r="D215" t="s">
        <v>47</v>
      </c>
      <c r="F215">
        <v>2025</v>
      </c>
      <c r="G215">
        <f t="shared" si="13"/>
        <v>7</v>
      </c>
      <c r="H215" t="str">
        <f t="shared" si="14"/>
        <v>718 Normandie Ridge at Home</v>
      </c>
      <c r="I215" s="16" cm="1">
        <f t="array" ref="I215">INDEX('OC-Monthly'!$B$7:$N$65,_xlfn.XMATCH($A215,'OC-Monthly'!$A$7:$A$65),_xlfn.XMATCH($B215,'OC-Monthly'!$B$1:$N$1))</f>
        <v>0</v>
      </c>
      <c r="J215" s="16" cm="1">
        <f t="array" ref="J215">INDEX('OC-Monthly'!$P$7:$AB$65,_xlfn.XMATCH($A215,'OC-Monthly'!$A$7:$A$65),_xlfn.XMATCH($B215,'OC-Monthly'!$P$1:$AB$1))</f>
        <v>0</v>
      </c>
      <c r="K215" s="1" t="s">
        <v>8</v>
      </c>
      <c r="L215" s="1" t="s">
        <v>7</v>
      </c>
      <c r="M215" s="15" t="str">
        <f t="shared" si="15"/>
        <v>na</v>
      </c>
    </row>
    <row r="216" spans="1:13" x14ac:dyDescent="0.25">
      <c r="A216" t="s">
        <v>47</v>
      </c>
      <c r="B216">
        <v>8</v>
      </c>
      <c r="C216" t="str">
        <f t="shared" si="12"/>
        <v>718</v>
      </c>
      <c r="D216" t="s">
        <v>47</v>
      </c>
      <c r="F216">
        <v>2025</v>
      </c>
      <c r="G216">
        <f t="shared" si="13"/>
        <v>8</v>
      </c>
      <c r="H216" t="str">
        <f t="shared" si="14"/>
        <v>718 Normandie Ridge at Home</v>
      </c>
      <c r="I216" s="16" cm="1">
        <f t="array" ref="I216">INDEX('OC-Monthly'!$B$7:$N$65,_xlfn.XMATCH($A216,'OC-Monthly'!$A$7:$A$65),_xlfn.XMATCH($B216,'OC-Monthly'!$B$1:$N$1))</f>
        <v>0</v>
      </c>
      <c r="J216" s="16" cm="1">
        <f t="array" ref="J216">INDEX('OC-Monthly'!$P$7:$AB$65,_xlfn.XMATCH($A216,'OC-Monthly'!$A$7:$A$65),_xlfn.XMATCH($B216,'OC-Monthly'!$P$1:$AB$1))</f>
        <v>0</v>
      </c>
      <c r="K216" s="1" t="s">
        <v>8</v>
      </c>
      <c r="L216" s="1" t="s">
        <v>7</v>
      </c>
      <c r="M216" s="15" t="str">
        <f t="shared" si="15"/>
        <v>na</v>
      </c>
    </row>
    <row r="217" spans="1:13" x14ac:dyDescent="0.25">
      <c r="A217" t="s">
        <v>47</v>
      </c>
      <c r="B217">
        <v>9</v>
      </c>
      <c r="C217" t="str">
        <f t="shared" si="12"/>
        <v>718</v>
      </c>
      <c r="D217" t="s">
        <v>47</v>
      </c>
      <c r="F217">
        <v>2025</v>
      </c>
      <c r="G217">
        <f t="shared" si="13"/>
        <v>9</v>
      </c>
      <c r="H217" t="str">
        <f t="shared" si="14"/>
        <v>718 Normandie Ridge at Home</v>
      </c>
      <c r="I217" s="16" cm="1">
        <f t="array" ref="I217">INDEX('OC-Monthly'!$B$7:$N$65,_xlfn.XMATCH($A217,'OC-Monthly'!$A$7:$A$65),_xlfn.XMATCH($B217,'OC-Monthly'!$B$1:$N$1))</f>
        <v>0</v>
      </c>
      <c r="J217" s="16" cm="1">
        <f t="array" ref="J217">INDEX('OC-Monthly'!$P$7:$AB$65,_xlfn.XMATCH($A217,'OC-Monthly'!$A$7:$A$65),_xlfn.XMATCH($B217,'OC-Monthly'!$P$1:$AB$1))</f>
        <v>0</v>
      </c>
      <c r="K217" s="1" t="s">
        <v>8</v>
      </c>
      <c r="L217" s="1" t="s">
        <v>7</v>
      </c>
      <c r="M217" s="15" t="str">
        <f t="shared" si="15"/>
        <v>na</v>
      </c>
    </row>
    <row r="218" spans="1:13" x14ac:dyDescent="0.25">
      <c r="A218" t="s">
        <v>47</v>
      </c>
      <c r="B218">
        <v>10</v>
      </c>
      <c r="C218" t="str">
        <f t="shared" si="12"/>
        <v>718</v>
      </c>
      <c r="D218" t="s">
        <v>47</v>
      </c>
      <c r="F218">
        <v>2025</v>
      </c>
      <c r="G218">
        <f t="shared" si="13"/>
        <v>10</v>
      </c>
      <c r="H218" t="str">
        <f t="shared" si="14"/>
        <v>718 Normandie Ridge at Home</v>
      </c>
      <c r="I218" s="16" cm="1">
        <f t="array" ref="I218">INDEX('OC-Monthly'!$B$7:$N$65,_xlfn.XMATCH($A218,'OC-Monthly'!$A$7:$A$65),_xlfn.XMATCH($B218,'OC-Monthly'!$B$1:$N$1))</f>
        <v>0</v>
      </c>
      <c r="J218" s="16" cm="1">
        <f t="array" ref="J218">INDEX('OC-Monthly'!$P$7:$AB$65,_xlfn.XMATCH($A218,'OC-Monthly'!$A$7:$A$65),_xlfn.XMATCH($B218,'OC-Monthly'!$P$1:$AB$1))</f>
        <v>0</v>
      </c>
      <c r="K218" s="1" t="s">
        <v>8</v>
      </c>
      <c r="L218" s="1" t="s">
        <v>7</v>
      </c>
      <c r="M218" s="15" t="str">
        <f t="shared" si="15"/>
        <v>na</v>
      </c>
    </row>
    <row r="219" spans="1:13" x14ac:dyDescent="0.25">
      <c r="A219" t="s">
        <v>47</v>
      </c>
      <c r="B219">
        <v>11</v>
      </c>
      <c r="C219" t="str">
        <f t="shared" si="12"/>
        <v>718</v>
      </c>
      <c r="D219" t="s">
        <v>47</v>
      </c>
      <c r="F219">
        <v>2025</v>
      </c>
      <c r="G219">
        <f t="shared" si="13"/>
        <v>11</v>
      </c>
      <c r="H219" t="str">
        <f t="shared" si="14"/>
        <v>718 Normandie Ridge at Home</v>
      </c>
      <c r="I219" s="16" cm="1">
        <f t="array" ref="I219">INDEX('OC-Monthly'!$B$7:$N$65,_xlfn.XMATCH($A219,'OC-Monthly'!$A$7:$A$65),_xlfn.XMATCH($B219,'OC-Monthly'!$B$1:$N$1))</f>
        <v>0</v>
      </c>
      <c r="J219" s="16" cm="1">
        <f t="array" ref="J219">INDEX('OC-Monthly'!$P$7:$AB$65,_xlfn.XMATCH($A219,'OC-Monthly'!$A$7:$A$65),_xlfn.XMATCH($B219,'OC-Monthly'!$P$1:$AB$1))</f>
        <v>0</v>
      </c>
      <c r="K219" s="1" t="s">
        <v>8</v>
      </c>
      <c r="L219" s="1" t="s">
        <v>7</v>
      </c>
      <c r="M219" s="15" t="str">
        <f t="shared" si="15"/>
        <v>na</v>
      </c>
    </row>
    <row r="220" spans="1:13" x14ac:dyDescent="0.25">
      <c r="A220" t="s">
        <v>47</v>
      </c>
      <c r="B220">
        <v>12</v>
      </c>
      <c r="C220" t="str">
        <f t="shared" si="12"/>
        <v>718</v>
      </c>
      <c r="D220" t="s">
        <v>47</v>
      </c>
      <c r="F220">
        <v>2025</v>
      </c>
      <c r="G220">
        <f t="shared" si="13"/>
        <v>12</v>
      </c>
      <c r="H220" t="str">
        <f t="shared" si="14"/>
        <v>718 Normandie Ridge at Home</v>
      </c>
      <c r="I220" s="16" cm="1">
        <f t="array" ref="I220">INDEX('OC-Monthly'!$B$7:$N$65,_xlfn.XMATCH($A220,'OC-Monthly'!$A$7:$A$65),_xlfn.XMATCH($B220,'OC-Monthly'!$B$1:$N$1))</f>
        <v>0</v>
      </c>
      <c r="J220" s="16" cm="1">
        <f t="array" ref="J220">INDEX('OC-Monthly'!$P$7:$AB$65,_xlfn.XMATCH($A220,'OC-Monthly'!$A$7:$A$65),_xlfn.XMATCH($B220,'OC-Monthly'!$P$1:$AB$1))</f>
        <v>0</v>
      </c>
      <c r="K220" s="1" t="s">
        <v>8</v>
      </c>
      <c r="L220" s="1" t="s">
        <v>7</v>
      </c>
      <c r="M220" s="15" t="str">
        <f t="shared" si="15"/>
        <v>na</v>
      </c>
    </row>
    <row r="221" spans="1:13" x14ac:dyDescent="0.25">
      <c r="A221" t="s">
        <v>69</v>
      </c>
      <c r="B221">
        <v>1</v>
      </c>
      <c r="C221" t="str">
        <f t="shared" si="12"/>
        <v>733</v>
      </c>
      <c r="D221" t="s">
        <v>24</v>
      </c>
      <c r="F221">
        <v>2025</v>
      </c>
      <c r="G221">
        <f t="shared" si="13"/>
        <v>1</v>
      </c>
      <c r="H221" t="str">
        <f t="shared" si="14"/>
        <v>733 AMV Home Health</v>
      </c>
      <c r="I221" s="16" cm="1">
        <f t="array" ref="I221">INDEX('OC-Monthly'!$B$7:$N$65,_xlfn.XMATCH($A221,'OC-Monthly'!$A$7:$A$65),_xlfn.XMATCH($B221,'OC-Monthly'!$B$1:$N$1))</f>
        <v>0</v>
      </c>
      <c r="J221" s="16" cm="1">
        <f t="array" ref="J221">INDEX('OC-Monthly'!$P$7:$AB$65,_xlfn.XMATCH($A221,'OC-Monthly'!$A$7:$A$65),_xlfn.XMATCH($B221,'OC-Monthly'!$P$1:$AB$1))</f>
        <v>0</v>
      </c>
      <c r="K221" s="1" t="s">
        <v>8</v>
      </c>
      <c r="L221" s="1" t="s">
        <v>7</v>
      </c>
      <c r="M221" s="15" t="str">
        <f t="shared" si="15"/>
        <v>na</v>
      </c>
    </row>
    <row r="222" spans="1:13" x14ac:dyDescent="0.25">
      <c r="A222" t="s">
        <v>69</v>
      </c>
      <c r="B222">
        <v>2</v>
      </c>
      <c r="C222" t="str">
        <f t="shared" si="12"/>
        <v>733</v>
      </c>
      <c r="D222" t="s">
        <v>24</v>
      </c>
      <c r="F222">
        <v>2025</v>
      </c>
      <c r="G222">
        <f t="shared" si="13"/>
        <v>2</v>
      </c>
      <c r="H222" t="str">
        <f t="shared" si="14"/>
        <v>733 AMV Home Health</v>
      </c>
      <c r="I222" s="16" cm="1">
        <f t="array" ref="I222">INDEX('OC-Monthly'!$B$7:$N$65,_xlfn.XMATCH($A222,'OC-Monthly'!$A$7:$A$65),_xlfn.XMATCH($B222,'OC-Monthly'!$B$1:$N$1))</f>
        <v>0</v>
      </c>
      <c r="J222" s="16" cm="1">
        <f t="array" ref="J222">INDEX('OC-Monthly'!$P$7:$AB$65,_xlfn.XMATCH($A222,'OC-Monthly'!$A$7:$A$65),_xlfn.XMATCH($B222,'OC-Monthly'!$P$1:$AB$1))</f>
        <v>0</v>
      </c>
      <c r="K222" s="1" t="s">
        <v>8</v>
      </c>
      <c r="L222" s="1" t="s">
        <v>7</v>
      </c>
      <c r="M222" s="15" t="str">
        <f t="shared" si="15"/>
        <v>na</v>
      </c>
    </row>
    <row r="223" spans="1:13" x14ac:dyDescent="0.25">
      <c r="A223" t="s">
        <v>69</v>
      </c>
      <c r="B223">
        <v>3</v>
      </c>
      <c r="C223" t="str">
        <f t="shared" si="12"/>
        <v>733</v>
      </c>
      <c r="D223" t="s">
        <v>24</v>
      </c>
      <c r="F223">
        <v>2025</v>
      </c>
      <c r="G223">
        <f t="shared" si="13"/>
        <v>3</v>
      </c>
      <c r="H223" t="str">
        <f t="shared" si="14"/>
        <v>733 AMV Home Health</v>
      </c>
      <c r="I223" s="16" cm="1">
        <f t="array" ref="I223">INDEX('OC-Monthly'!$B$7:$N$65,_xlfn.XMATCH($A223,'OC-Monthly'!$A$7:$A$65),_xlfn.XMATCH($B223,'OC-Monthly'!$B$1:$N$1))</f>
        <v>0</v>
      </c>
      <c r="J223" s="16" cm="1">
        <f t="array" ref="J223">INDEX('OC-Monthly'!$P$7:$AB$65,_xlfn.XMATCH($A223,'OC-Monthly'!$A$7:$A$65),_xlfn.XMATCH($B223,'OC-Monthly'!$P$1:$AB$1))</f>
        <v>0</v>
      </c>
      <c r="K223" s="1" t="s">
        <v>8</v>
      </c>
      <c r="L223" s="1" t="s">
        <v>7</v>
      </c>
      <c r="M223" s="15" t="str">
        <f t="shared" si="15"/>
        <v>na</v>
      </c>
    </row>
    <row r="224" spans="1:13" x14ac:dyDescent="0.25">
      <c r="A224" t="s">
        <v>69</v>
      </c>
      <c r="B224">
        <v>4</v>
      </c>
      <c r="C224" t="str">
        <f t="shared" si="12"/>
        <v>733</v>
      </c>
      <c r="D224" t="s">
        <v>24</v>
      </c>
      <c r="F224">
        <v>2025</v>
      </c>
      <c r="G224">
        <f t="shared" si="13"/>
        <v>4</v>
      </c>
      <c r="H224" t="str">
        <f t="shared" si="14"/>
        <v>733 AMV Home Health</v>
      </c>
      <c r="I224" s="16" cm="1">
        <f t="array" ref="I224">INDEX('OC-Monthly'!$B$7:$N$65,_xlfn.XMATCH($A224,'OC-Monthly'!$A$7:$A$65),_xlfn.XMATCH($B224,'OC-Monthly'!$B$1:$N$1))</f>
        <v>0</v>
      </c>
      <c r="J224" s="16" cm="1">
        <f t="array" ref="J224">INDEX('OC-Monthly'!$P$7:$AB$65,_xlfn.XMATCH($A224,'OC-Monthly'!$A$7:$A$65),_xlfn.XMATCH($B224,'OC-Monthly'!$P$1:$AB$1))</f>
        <v>0</v>
      </c>
      <c r="K224" s="1" t="s">
        <v>8</v>
      </c>
      <c r="L224" s="1" t="s">
        <v>7</v>
      </c>
      <c r="M224" s="15" t="str">
        <f t="shared" si="15"/>
        <v>na</v>
      </c>
    </row>
    <row r="225" spans="1:13" x14ac:dyDescent="0.25">
      <c r="A225" t="s">
        <v>69</v>
      </c>
      <c r="B225">
        <v>5</v>
      </c>
      <c r="C225" t="str">
        <f t="shared" si="12"/>
        <v>733</v>
      </c>
      <c r="D225" t="s">
        <v>24</v>
      </c>
      <c r="F225">
        <v>2025</v>
      </c>
      <c r="G225">
        <f t="shared" si="13"/>
        <v>5</v>
      </c>
      <c r="H225" t="str">
        <f t="shared" si="14"/>
        <v>733 AMV Home Health</v>
      </c>
      <c r="I225" s="16" cm="1">
        <f t="array" ref="I225">INDEX('OC-Monthly'!$B$7:$N$65,_xlfn.XMATCH($A225,'OC-Monthly'!$A$7:$A$65),_xlfn.XMATCH($B225,'OC-Monthly'!$B$1:$N$1))</f>
        <v>0</v>
      </c>
      <c r="J225" s="16" cm="1">
        <f t="array" ref="J225">INDEX('OC-Monthly'!$P$7:$AB$65,_xlfn.XMATCH($A225,'OC-Monthly'!$A$7:$A$65),_xlfn.XMATCH($B225,'OC-Monthly'!$P$1:$AB$1))</f>
        <v>0</v>
      </c>
      <c r="K225" s="1" t="s">
        <v>8</v>
      </c>
      <c r="L225" s="1" t="s">
        <v>7</v>
      </c>
      <c r="M225" s="15" t="str">
        <f t="shared" si="15"/>
        <v>na</v>
      </c>
    </row>
    <row r="226" spans="1:13" x14ac:dyDescent="0.25">
      <c r="A226" t="s">
        <v>69</v>
      </c>
      <c r="B226">
        <v>6</v>
      </c>
      <c r="C226" t="str">
        <f t="shared" si="12"/>
        <v>733</v>
      </c>
      <c r="D226" t="s">
        <v>24</v>
      </c>
      <c r="F226">
        <v>2025</v>
      </c>
      <c r="G226">
        <f t="shared" si="13"/>
        <v>6</v>
      </c>
      <c r="H226" t="str">
        <f t="shared" si="14"/>
        <v>733 AMV Home Health</v>
      </c>
      <c r="I226" s="16" cm="1">
        <f t="array" ref="I226">INDEX('OC-Monthly'!$B$7:$N$65,_xlfn.XMATCH($A226,'OC-Monthly'!$A$7:$A$65),_xlfn.XMATCH($B226,'OC-Monthly'!$B$1:$N$1))</f>
        <v>0</v>
      </c>
      <c r="J226" s="16" cm="1">
        <f t="array" ref="J226">INDEX('OC-Monthly'!$P$7:$AB$65,_xlfn.XMATCH($A226,'OC-Monthly'!$A$7:$A$65),_xlfn.XMATCH($B226,'OC-Monthly'!$P$1:$AB$1))</f>
        <v>0</v>
      </c>
      <c r="K226" s="1" t="s">
        <v>8</v>
      </c>
      <c r="L226" s="1" t="s">
        <v>7</v>
      </c>
      <c r="M226" s="15" t="str">
        <f t="shared" si="15"/>
        <v>na</v>
      </c>
    </row>
    <row r="227" spans="1:13" x14ac:dyDescent="0.25">
      <c r="A227" t="s">
        <v>69</v>
      </c>
      <c r="B227">
        <v>7</v>
      </c>
      <c r="C227" t="str">
        <f t="shared" si="12"/>
        <v>733</v>
      </c>
      <c r="D227" t="s">
        <v>24</v>
      </c>
      <c r="F227">
        <v>2025</v>
      </c>
      <c r="G227">
        <f t="shared" si="13"/>
        <v>7</v>
      </c>
      <c r="H227" t="str">
        <f t="shared" si="14"/>
        <v>733 AMV Home Health</v>
      </c>
      <c r="I227" s="16" cm="1">
        <f t="array" ref="I227">INDEX('OC-Monthly'!$B$7:$N$65,_xlfn.XMATCH($A227,'OC-Monthly'!$A$7:$A$65),_xlfn.XMATCH($B227,'OC-Monthly'!$B$1:$N$1))</f>
        <v>0</v>
      </c>
      <c r="J227" s="16" cm="1">
        <f t="array" ref="J227">INDEX('OC-Monthly'!$P$7:$AB$65,_xlfn.XMATCH($A227,'OC-Monthly'!$A$7:$A$65),_xlfn.XMATCH($B227,'OC-Monthly'!$P$1:$AB$1))</f>
        <v>0</v>
      </c>
      <c r="K227" s="1" t="s">
        <v>8</v>
      </c>
      <c r="L227" s="1" t="s">
        <v>7</v>
      </c>
      <c r="M227" s="15" t="str">
        <f t="shared" si="15"/>
        <v>na</v>
      </c>
    </row>
    <row r="228" spans="1:13" x14ac:dyDescent="0.25">
      <c r="A228" t="s">
        <v>69</v>
      </c>
      <c r="B228">
        <v>8</v>
      </c>
      <c r="C228" t="str">
        <f t="shared" si="12"/>
        <v>733</v>
      </c>
      <c r="D228" t="s">
        <v>24</v>
      </c>
      <c r="F228">
        <v>2025</v>
      </c>
      <c r="G228">
        <f t="shared" si="13"/>
        <v>8</v>
      </c>
      <c r="H228" t="str">
        <f t="shared" si="14"/>
        <v>733 AMV Home Health</v>
      </c>
      <c r="I228" s="16" cm="1">
        <f t="array" ref="I228">INDEX('OC-Monthly'!$B$7:$N$65,_xlfn.XMATCH($A228,'OC-Monthly'!$A$7:$A$65),_xlfn.XMATCH($B228,'OC-Monthly'!$B$1:$N$1))</f>
        <v>0</v>
      </c>
      <c r="J228" s="16" cm="1">
        <f t="array" ref="J228">INDEX('OC-Monthly'!$P$7:$AB$65,_xlfn.XMATCH($A228,'OC-Monthly'!$A$7:$A$65),_xlfn.XMATCH($B228,'OC-Monthly'!$P$1:$AB$1))</f>
        <v>0</v>
      </c>
      <c r="K228" s="1" t="s">
        <v>8</v>
      </c>
      <c r="L228" s="1" t="s">
        <v>7</v>
      </c>
      <c r="M228" s="15" t="str">
        <f t="shared" si="15"/>
        <v>na</v>
      </c>
    </row>
    <row r="229" spans="1:13" x14ac:dyDescent="0.25">
      <c r="A229" t="s">
        <v>69</v>
      </c>
      <c r="B229">
        <v>9</v>
      </c>
      <c r="C229" t="str">
        <f t="shared" si="12"/>
        <v>733</v>
      </c>
      <c r="D229" t="s">
        <v>24</v>
      </c>
      <c r="F229">
        <v>2025</v>
      </c>
      <c r="G229">
        <f t="shared" si="13"/>
        <v>9</v>
      </c>
      <c r="H229" t="str">
        <f t="shared" si="14"/>
        <v>733 AMV Home Health</v>
      </c>
      <c r="I229" s="16" cm="1">
        <f t="array" ref="I229">INDEX('OC-Monthly'!$B$7:$N$65,_xlfn.XMATCH($A229,'OC-Monthly'!$A$7:$A$65),_xlfn.XMATCH($B229,'OC-Monthly'!$B$1:$N$1))</f>
        <v>0</v>
      </c>
      <c r="J229" s="16" cm="1">
        <f t="array" ref="J229">INDEX('OC-Monthly'!$P$7:$AB$65,_xlfn.XMATCH($A229,'OC-Monthly'!$A$7:$A$65),_xlfn.XMATCH($B229,'OC-Monthly'!$P$1:$AB$1))</f>
        <v>0</v>
      </c>
      <c r="K229" s="1" t="s">
        <v>8</v>
      </c>
      <c r="L229" s="1" t="s">
        <v>7</v>
      </c>
      <c r="M229" s="15" t="str">
        <f t="shared" si="15"/>
        <v>na</v>
      </c>
    </row>
    <row r="230" spans="1:13" x14ac:dyDescent="0.25">
      <c r="A230" t="s">
        <v>69</v>
      </c>
      <c r="B230">
        <v>10</v>
      </c>
      <c r="C230" t="str">
        <f t="shared" si="12"/>
        <v>733</v>
      </c>
      <c r="D230" t="s">
        <v>24</v>
      </c>
      <c r="F230">
        <v>2025</v>
      </c>
      <c r="G230">
        <f t="shared" si="13"/>
        <v>10</v>
      </c>
      <c r="H230" t="str">
        <f t="shared" si="14"/>
        <v>733 AMV Home Health</v>
      </c>
      <c r="I230" s="16" cm="1">
        <f t="array" ref="I230">INDEX('OC-Monthly'!$B$7:$N$65,_xlfn.XMATCH($A230,'OC-Monthly'!$A$7:$A$65),_xlfn.XMATCH($B230,'OC-Monthly'!$B$1:$N$1))</f>
        <v>0</v>
      </c>
      <c r="J230" s="16" cm="1">
        <f t="array" ref="J230">INDEX('OC-Monthly'!$P$7:$AB$65,_xlfn.XMATCH($A230,'OC-Monthly'!$A$7:$A$65),_xlfn.XMATCH($B230,'OC-Monthly'!$P$1:$AB$1))</f>
        <v>0</v>
      </c>
      <c r="K230" s="1" t="s">
        <v>8</v>
      </c>
      <c r="L230" s="1" t="s">
        <v>7</v>
      </c>
      <c r="M230" s="15" t="str">
        <f t="shared" si="15"/>
        <v>na</v>
      </c>
    </row>
    <row r="231" spans="1:13" x14ac:dyDescent="0.25">
      <c r="A231" t="s">
        <v>69</v>
      </c>
      <c r="B231">
        <v>11</v>
      </c>
      <c r="C231" t="str">
        <f t="shared" si="12"/>
        <v>733</v>
      </c>
      <c r="D231" t="s">
        <v>24</v>
      </c>
      <c r="F231">
        <v>2025</v>
      </c>
      <c r="G231">
        <f t="shared" si="13"/>
        <v>11</v>
      </c>
      <c r="H231" t="str">
        <f t="shared" si="14"/>
        <v>733 AMV Home Health</v>
      </c>
      <c r="I231" s="16" cm="1">
        <f t="array" ref="I231">INDEX('OC-Monthly'!$B$7:$N$65,_xlfn.XMATCH($A231,'OC-Monthly'!$A$7:$A$65),_xlfn.XMATCH($B231,'OC-Monthly'!$B$1:$N$1))</f>
        <v>0</v>
      </c>
      <c r="J231" s="16" cm="1">
        <f t="array" ref="J231">INDEX('OC-Monthly'!$P$7:$AB$65,_xlfn.XMATCH($A231,'OC-Monthly'!$A$7:$A$65),_xlfn.XMATCH($B231,'OC-Monthly'!$P$1:$AB$1))</f>
        <v>0</v>
      </c>
      <c r="K231" s="1" t="s">
        <v>8</v>
      </c>
      <c r="L231" s="1" t="s">
        <v>7</v>
      </c>
      <c r="M231" s="15" t="str">
        <f t="shared" si="15"/>
        <v>na</v>
      </c>
    </row>
    <row r="232" spans="1:13" x14ac:dyDescent="0.25">
      <c r="A232" t="s">
        <v>69</v>
      </c>
      <c r="B232">
        <v>12</v>
      </c>
      <c r="C232" t="str">
        <f t="shared" si="12"/>
        <v>733</v>
      </c>
      <c r="D232" t="s">
        <v>24</v>
      </c>
      <c r="F232">
        <v>2025</v>
      </c>
      <c r="G232">
        <f t="shared" si="13"/>
        <v>12</v>
      </c>
      <c r="H232" t="str">
        <f t="shared" si="14"/>
        <v>733 AMV Home Health</v>
      </c>
      <c r="I232" s="16" cm="1">
        <f t="array" ref="I232">INDEX('OC-Monthly'!$B$7:$N$65,_xlfn.XMATCH($A232,'OC-Monthly'!$A$7:$A$65),_xlfn.XMATCH($B232,'OC-Monthly'!$B$1:$N$1))</f>
        <v>0</v>
      </c>
      <c r="J232" s="16" cm="1">
        <f t="array" ref="J232">INDEX('OC-Monthly'!$P$7:$AB$65,_xlfn.XMATCH($A232,'OC-Monthly'!$A$7:$A$65),_xlfn.XMATCH($B232,'OC-Monthly'!$P$1:$AB$1))</f>
        <v>0</v>
      </c>
      <c r="K232" s="1" t="s">
        <v>8</v>
      </c>
      <c r="L232" s="1" t="s">
        <v>7</v>
      </c>
      <c r="M232" s="15" t="str">
        <f t="shared" si="15"/>
        <v>na</v>
      </c>
    </row>
    <row r="233" spans="1:13" x14ac:dyDescent="0.25">
      <c r="A233" t="s">
        <v>25</v>
      </c>
      <c r="B233">
        <v>1</v>
      </c>
      <c r="C233" t="str">
        <f t="shared" si="12"/>
        <v>810</v>
      </c>
      <c r="D233" t="s">
        <v>25</v>
      </c>
      <c r="F233">
        <v>2025</v>
      </c>
      <c r="G233">
        <f t="shared" si="13"/>
        <v>1</v>
      </c>
      <c r="H233" t="str">
        <f t="shared" si="14"/>
        <v>810 Bethany Village</v>
      </c>
      <c r="I233" s="16" cm="1">
        <f t="array" ref="I233">INDEX('OC-Monthly'!$B$7:$N$65,_xlfn.XMATCH($A233,'OC-Monthly'!$A$7:$A$65),_xlfn.XMATCH($B233,'OC-Monthly'!$B$1:$N$1))</f>
        <v>3193938.6660650927</v>
      </c>
      <c r="J233" s="16" cm="1">
        <f t="array" ref="J233">INDEX('OC-Monthly'!$P$7:$AB$65,_xlfn.XMATCH($A233,'OC-Monthly'!$A$7:$A$65),_xlfn.XMATCH($B233,'OC-Monthly'!$P$1:$AB$1))</f>
        <v>2997636.9017766928</v>
      </c>
      <c r="K233" s="1" t="s">
        <v>8</v>
      </c>
      <c r="L233" s="1" t="s">
        <v>7</v>
      </c>
      <c r="M233" s="15">
        <f t="shared" si="15"/>
        <v>0.93853928180460577</v>
      </c>
    </row>
    <row r="234" spans="1:13" x14ac:dyDescent="0.25">
      <c r="A234" t="s">
        <v>25</v>
      </c>
      <c r="B234">
        <v>2</v>
      </c>
      <c r="C234" t="str">
        <f t="shared" si="12"/>
        <v>810</v>
      </c>
      <c r="D234" t="s">
        <v>25</v>
      </c>
      <c r="F234">
        <v>2025</v>
      </c>
      <c r="G234">
        <f t="shared" si="13"/>
        <v>2</v>
      </c>
      <c r="H234" t="str">
        <f t="shared" si="14"/>
        <v>810 Bethany Village</v>
      </c>
      <c r="I234" s="16" cm="1">
        <f t="array" ref="I234">INDEX('OC-Monthly'!$B$7:$N$65,_xlfn.XMATCH($A234,'OC-Monthly'!$A$7:$A$65),_xlfn.XMATCH($B234,'OC-Monthly'!$B$1:$N$1))</f>
        <v>2980041.8675083308</v>
      </c>
      <c r="J234" s="16" cm="1">
        <f t="array" ref="J234">INDEX('OC-Monthly'!$P$7:$AB$65,_xlfn.XMATCH($A234,'OC-Monthly'!$A$7:$A$65),_xlfn.XMATCH($B234,'OC-Monthly'!$P$1:$AB$1))</f>
        <v>2841111.9404051281</v>
      </c>
      <c r="K234" s="1" t="s">
        <v>8</v>
      </c>
      <c r="L234" s="1" t="s">
        <v>7</v>
      </c>
      <c r="M234" s="15">
        <f t="shared" si="15"/>
        <v>0.95337987408231795</v>
      </c>
    </row>
    <row r="235" spans="1:13" x14ac:dyDescent="0.25">
      <c r="A235" t="s">
        <v>25</v>
      </c>
      <c r="B235">
        <v>3</v>
      </c>
      <c r="C235" t="str">
        <f t="shared" si="12"/>
        <v>810</v>
      </c>
      <c r="D235" t="s">
        <v>25</v>
      </c>
      <c r="F235">
        <v>2025</v>
      </c>
      <c r="G235">
        <f t="shared" si="13"/>
        <v>3</v>
      </c>
      <c r="H235" t="str">
        <f t="shared" si="14"/>
        <v>810 Bethany Village</v>
      </c>
      <c r="I235" s="16" cm="1">
        <f t="array" ref="I235">INDEX('OC-Monthly'!$B$7:$N$65,_xlfn.XMATCH($A235,'OC-Monthly'!$A$7:$A$65),_xlfn.XMATCH($B235,'OC-Monthly'!$B$1:$N$1))</f>
        <v>3237196.8955493574</v>
      </c>
      <c r="J235" s="16" cm="1">
        <f t="array" ref="J235">INDEX('OC-Monthly'!$P$7:$AB$65,_xlfn.XMATCH($A235,'OC-Monthly'!$A$7:$A$65),_xlfn.XMATCH($B235,'OC-Monthly'!$P$1:$AB$1))</f>
        <v>2985269.4282533857</v>
      </c>
      <c r="K235" s="1" t="s">
        <v>8</v>
      </c>
      <c r="L235" s="1" t="s">
        <v>7</v>
      </c>
      <c r="M235" s="15">
        <f t="shared" si="15"/>
        <v>0.92217728008996525</v>
      </c>
    </row>
    <row r="236" spans="1:13" x14ac:dyDescent="0.25">
      <c r="A236" t="s">
        <v>25</v>
      </c>
      <c r="B236">
        <v>4</v>
      </c>
      <c r="C236" t="str">
        <f t="shared" si="12"/>
        <v>810</v>
      </c>
      <c r="D236" t="s">
        <v>25</v>
      </c>
      <c r="F236">
        <v>2025</v>
      </c>
      <c r="G236">
        <f t="shared" si="13"/>
        <v>4</v>
      </c>
      <c r="H236" t="str">
        <f t="shared" si="14"/>
        <v>810 Bethany Village</v>
      </c>
      <c r="I236" s="16" cm="1">
        <f t="array" ref="I236">INDEX('OC-Monthly'!$B$7:$N$65,_xlfn.XMATCH($A236,'OC-Monthly'!$A$7:$A$65),_xlfn.XMATCH($B236,'OC-Monthly'!$B$1:$N$1))</f>
        <v>3194006.2140607676</v>
      </c>
      <c r="J236" s="16" cm="1">
        <f t="array" ref="J236">INDEX('OC-Monthly'!$P$7:$AB$65,_xlfn.XMATCH($A236,'OC-Monthly'!$A$7:$A$65),_xlfn.XMATCH($B236,'OC-Monthly'!$P$1:$AB$1))</f>
        <v>2909950.1591038071</v>
      </c>
      <c r="K236" s="1" t="s">
        <v>8</v>
      </c>
      <c r="L236" s="1" t="s">
        <v>7</v>
      </c>
      <c r="M236" s="15">
        <f t="shared" si="15"/>
        <v>0.9110659040967175</v>
      </c>
    </row>
    <row r="237" spans="1:13" x14ac:dyDescent="0.25">
      <c r="A237" t="s">
        <v>25</v>
      </c>
      <c r="B237">
        <v>5</v>
      </c>
      <c r="C237" t="str">
        <f t="shared" si="12"/>
        <v>810</v>
      </c>
      <c r="D237" t="s">
        <v>25</v>
      </c>
      <c r="F237">
        <v>2025</v>
      </c>
      <c r="G237">
        <f t="shared" si="13"/>
        <v>5</v>
      </c>
      <c r="H237" t="str">
        <f t="shared" si="14"/>
        <v>810 Bethany Village</v>
      </c>
      <c r="I237" s="16" cm="1">
        <f t="array" ref="I237">INDEX('OC-Monthly'!$B$7:$N$65,_xlfn.XMATCH($A237,'OC-Monthly'!$A$7:$A$65),_xlfn.XMATCH($B237,'OC-Monthly'!$B$1:$N$1))</f>
        <v>3207576.024222488</v>
      </c>
      <c r="J237" s="16" cm="1">
        <f t="array" ref="J237">INDEX('OC-Monthly'!$P$7:$AB$65,_xlfn.XMATCH($A237,'OC-Monthly'!$A$7:$A$65),_xlfn.XMATCH($B237,'OC-Monthly'!$P$1:$AB$1))</f>
        <v>2946421.7420067685</v>
      </c>
      <c r="K237" s="1" t="s">
        <v>8</v>
      </c>
      <c r="L237" s="1" t="s">
        <v>7</v>
      </c>
      <c r="M237" s="15">
        <f t="shared" si="15"/>
        <v>0.9185820444336863</v>
      </c>
    </row>
    <row r="238" spans="1:13" x14ac:dyDescent="0.25">
      <c r="A238" t="s">
        <v>25</v>
      </c>
      <c r="B238">
        <v>6</v>
      </c>
      <c r="C238" t="str">
        <f t="shared" si="12"/>
        <v>810</v>
      </c>
      <c r="D238" t="s">
        <v>25</v>
      </c>
      <c r="F238">
        <v>2025</v>
      </c>
      <c r="G238">
        <f t="shared" si="13"/>
        <v>6</v>
      </c>
      <c r="H238" t="str">
        <f t="shared" si="14"/>
        <v>810 Bethany Village</v>
      </c>
      <c r="I238" s="16" cm="1">
        <f t="array" ref="I238">INDEX('OC-Monthly'!$B$7:$N$65,_xlfn.XMATCH($A238,'OC-Monthly'!$A$7:$A$65),_xlfn.XMATCH($B238,'OC-Monthly'!$B$1:$N$1))</f>
        <v>3209443.6257613027</v>
      </c>
      <c r="J238" s="16" cm="1">
        <f t="array" ref="J238">INDEX('OC-Monthly'!$P$7:$AB$65,_xlfn.XMATCH($A238,'OC-Monthly'!$A$7:$A$65),_xlfn.XMATCH($B238,'OC-Monthly'!$P$1:$AB$1))</f>
        <v>2908120.4761029845</v>
      </c>
      <c r="K238" s="1" t="s">
        <v>8</v>
      </c>
      <c r="L238" s="1" t="s">
        <v>7</v>
      </c>
      <c r="M238" s="15">
        <f t="shared" si="15"/>
        <v>0.9061135870280812</v>
      </c>
    </row>
    <row r="239" spans="1:13" x14ac:dyDescent="0.25">
      <c r="A239" t="s">
        <v>25</v>
      </c>
      <c r="B239">
        <v>7</v>
      </c>
      <c r="C239" t="str">
        <f t="shared" si="12"/>
        <v>810</v>
      </c>
      <c r="D239" t="s">
        <v>25</v>
      </c>
      <c r="F239">
        <v>2025</v>
      </c>
      <c r="G239">
        <f t="shared" si="13"/>
        <v>7</v>
      </c>
      <c r="H239" t="str">
        <f t="shared" si="14"/>
        <v>810 Bethany Village</v>
      </c>
      <c r="I239" s="16" cm="1">
        <f t="array" ref="I239">INDEX('OC-Monthly'!$B$7:$N$65,_xlfn.XMATCH($A239,'OC-Monthly'!$A$7:$A$65),_xlfn.XMATCH($B239,'OC-Monthly'!$B$1:$N$1))</f>
        <v>3246569.2020276436</v>
      </c>
      <c r="J239" s="16" cm="1">
        <f t="array" ref="J239">INDEX('OC-Monthly'!$P$7:$AB$65,_xlfn.XMATCH($A239,'OC-Monthly'!$A$7:$A$65),_xlfn.XMATCH($B239,'OC-Monthly'!$P$1:$AB$1))</f>
        <v>2964730.8277539969</v>
      </c>
      <c r="K239" s="1" t="s">
        <v>8</v>
      </c>
      <c r="L239" s="1" t="s">
        <v>7</v>
      </c>
      <c r="M239" s="15">
        <f t="shared" si="15"/>
        <v>0.91318885976691189</v>
      </c>
    </row>
    <row r="240" spans="1:13" x14ac:dyDescent="0.25">
      <c r="A240" t="s">
        <v>25</v>
      </c>
      <c r="B240">
        <v>8</v>
      </c>
      <c r="C240" t="str">
        <f t="shared" si="12"/>
        <v>810</v>
      </c>
      <c r="D240" t="s">
        <v>25</v>
      </c>
      <c r="F240">
        <v>2025</v>
      </c>
      <c r="G240">
        <f t="shared" si="13"/>
        <v>8</v>
      </c>
      <c r="H240" t="str">
        <f t="shared" si="14"/>
        <v>810 Bethany Village</v>
      </c>
      <c r="I240" s="16" cm="1">
        <f t="array" ref="I240">INDEX('OC-Monthly'!$B$7:$N$65,_xlfn.XMATCH($A240,'OC-Monthly'!$A$7:$A$65),_xlfn.XMATCH($B240,'OC-Monthly'!$B$1:$N$1))</f>
        <v>3235208.1499227765</v>
      </c>
      <c r="J240" s="16" cm="1">
        <f t="array" ref="J240">INDEX('OC-Monthly'!$P$7:$AB$65,_xlfn.XMATCH($A240,'OC-Monthly'!$A$7:$A$65),_xlfn.XMATCH($B240,'OC-Monthly'!$P$1:$AB$1))</f>
        <v>3078029.0518311383</v>
      </c>
      <c r="K240" s="1" t="s">
        <v>8</v>
      </c>
      <c r="L240" s="1" t="s">
        <v>7</v>
      </c>
      <c r="M240" s="15">
        <f t="shared" si="15"/>
        <v>0.95141607871648382</v>
      </c>
    </row>
    <row r="241" spans="1:13" x14ac:dyDescent="0.25">
      <c r="A241" t="s">
        <v>25</v>
      </c>
      <c r="B241">
        <v>9</v>
      </c>
      <c r="C241" t="str">
        <f t="shared" si="12"/>
        <v>810</v>
      </c>
      <c r="D241" t="s">
        <v>25</v>
      </c>
      <c r="F241">
        <v>2025</v>
      </c>
      <c r="G241">
        <f t="shared" si="13"/>
        <v>9</v>
      </c>
      <c r="H241" t="str">
        <f t="shared" si="14"/>
        <v>810 Bethany Village</v>
      </c>
      <c r="I241" s="16" cm="1">
        <f t="array" ref="I241">INDEX('OC-Monthly'!$B$7:$N$65,_xlfn.XMATCH($A241,'OC-Monthly'!$A$7:$A$65),_xlfn.XMATCH($B241,'OC-Monthly'!$B$1:$N$1))</f>
        <v>3230894.9140647477</v>
      </c>
      <c r="J241" s="16" cm="1">
        <f t="array" ref="J241">INDEX('OC-Monthly'!$P$7:$AB$65,_xlfn.XMATCH($A241,'OC-Monthly'!$A$7:$A$65),_xlfn.XMATCH($B241,'OC-Monthly'!$P$1:$AB$1))</f>
        <v>2918131.73970675</v>
      </c>
      <c r="K241" s="1" t="s">
        <v>8</v>
      </c>
      <c r="L241" s="1" t="s">
        <v>7</v>
      </c>
      <c r="M241" s="15">
        <f t="shared" si="15"/>
        <v>0.90319611665595323</v>
      </c>
    </row>
    <row r="242" spans="1:13" x14ac:dyDescent="0.25">
      <c r="A242" t="s">
        <v>25</v>
      </c>
      <c r="B242">
        <v>10</v>
      </c>
      <c r="C242" t="str">
        <f t="shared" si="12"/>
        <v>810</v>
      </c>
      <c r="D242" t="s">
        <v>25</v>
      </c>
      <c r="F242">
        <v>2025</v>
      </c>
      <c r="G242">
        <f t="shared" si="13"/>
        <v>10</v>
      </c>
      <c r="H242" t="str">
        <f t="shared" si="14"/>
        <v>810 Bethany Village</v>
      </c>
      <c r="I242" s="16" cm="1">
        <f t="array" ref="I242">INDEX('OC-Monthly'!$B$7:$N$65,_xlfn.XMATCH($A242,'OC-Monthly'!$A$7:$A$65),_xlfn.XMATCH($B242,'OC-Monthly'!$B$1:$N$1))</f>
        <v>3279410.0999227762</v>
      </c>
      <c r="J242" s="16" cm="1">
        <f t="array" ref="J242">INDEX('OC-Monthly'!$P$7:$AB$65,_xlfn.XMATCH($A242,'OC-Monthly'!$A$7:$A$65),_xlfn.XMATCH($B242,'OC-Monthly'!$P$1:$AB$1))</f>
        <v>2955978.3611941454</v>
      </c>
      <c r="K242" s="1" t="s">
        <v>8</v>
      </c>
      <c r="L242" s="1" t="s">
        <v>7</v>
      </c>
      <c r="M242" s="15">
        <f t="shared" si="15"/>
        <v>0.90137502511922896</v>
      </c>
    </row>
    <row r="243" spans="1:13" x14ac:dyDescent="0.25">
      <c r="A243" t="s">
        <v>25</v>
      </c>
      <c r="B243">
        <v>11</v>
      </c>
      <c r="C243" t="str">
        <f t="shared" si="12"/>
        <v>810</v>
      </c>
      <c r="D243" t="s">
        <v>25</v>
      </c>
      <c r="F243">
        <v>2025</v>
      </c>
      <c r="G243">
        <f t="shared" si="13"/>
        <v>11</v>
      </c>
      <c r="H243" t="str">
        <f t="shared" si="14"/>
        <v>810 Bethany Village</v>
      </c>
      <c r="I243" s="16" cm="1">
        <f t="array" ref="I243">INDEX('OC-Monthly'!$B$7:$N$65,_xlfn.XMATCH($A243,'OC-Monthly'!$A$7:$A$65),_xlfn.XMATCH($B243,'OC-Monthly'!$B$1:$N$1))</f>
        <v>3204284.9140647477</v>
      </c>
      <c r="J243" s="16" cm="1">
        <f t="array" ref="J243">INDEX('OC-Monthly'!$P$7:$AB$65,_xlfn.XMATCH($A243,'OC-Monthly'!$A$7:$A$65),_xlfn.XMATCH($B243,'OC-Monthly'!$P$1:$AB$1))</f>
        <v>2941925.1386894812</v>
      </c>
      <c r="K243" s="1" t="s">
        <v>8</v>
      </c>
      <c r="L243" s="1" t="s">
        <v>7</v>
      </c>
      <c r="M243" s="15">
        <f t="shared" si="15"/>
        <v>0.91812220747796924</v>
      </c>
    </row>
    <row r="244" spans="1:13" x14ac:dyDescent="0.25">
      <c r="A244" t="s">
        <v>25</v>
      </c>
      <c r="B244">
        <v>12</v>
      </c>
      <c r="C244" t="str">
        <f t="shared" si="12"/>
        <v>810</v>
      </c>
      <c r="D244" t="s">
        <v>25</v>
      </c>
      <c r="F244">
        <v>2025</v>
      </c>
      <c r="G244">
        <f t="shared" si="13"/>
        <v>12</v>
      </c>
      <c r="H244" t="str">
        <f t="shared" si="14"/>
        <v>810 Bethany Village</v>
      </c>
      <c r="I244" s="16" cm="1">
        <f t="array" ref="I244">INDEX('OC-Monthly'!$B$7:$N$65,_xlfn.XMATCH($A244,'OC-Monthly'!$A$7:$A$65),_xlfn.XMATCH($B244,'OC-Monthly'!$B$1:$N$1))</f>
        <v>3312222.1499227765</v>
      </c>
      <c r="J244" s="16" cm="1">
        <f t="array" ref="J244">INDEX('OC-Monthly'!$P$7:$AB$65,_xlfn.XMATCH($A244,'OC-Monthly'!$A$7:$A$65),_xlfn.XMATCH($B244,'OC-Monthly'!$P$1:$AB$1))</f>
        <v>2957265.7702854937</v>
      </c>
      <c r="K244" s="1" t="s">
        <v>8</v>
      </c>
      <c r="L244" s="1" t="s">
        <v>7</v>
      </c>
      <c r="M244" s="15">
        <f t="shared" si="15"/>
        <v>0.89283436811581052</v>
      </c>
    </row>
    <row r="245" spans="1:13" x14ac:dyDescent="0.25">
      <c r="A245" t="s">
        <v>56</v>
      </c>
      <c r="B245">
        <v>1</v>
      </c>
      <c r="C245" t="str">
        <f t="shared" si="12"/>
        <v>815</v>
      </c>
      <c r="D245" t="s">
        <v>27</v>
      </c>
      <c r="F245">
        <v>2025</v>
      </c>
      <c r="G245">
        <f t="shared" si="13"/>
        <v>1</v>
      </c>
      <c r="H245" t="str">
        <f t="shared" si="14"/>
        <v>815 Bethany Towers</v>
      </c>
      <c r="I245" s="16" cm="1">
        <f t="array" ref="I245">INDEX('OC-Monthly'!$B$7:$N$65,_xlfn.XMATCH($A245,'OC-Monthly'!$A$7:$A$65),_xlfn.XMATCH($B245,'OC-Monthly'!$B$1:$N$1))</f>
        <v>185326.5</v>
      </c>
      <c r="J245" s="16" cm="1">
        <f t="array" ref="J245">INDEX('OC-Monthly'!$P$7:$AB$65,_xlfn.XMATCH($A245,'OC-Monthly'!$A$7:$A$65),_xlfn.XMATCH($B245,'OC-Monthly'!$P$1:$AB$1))</f>
        <v>106696.25000000004</v>
      </c>
      <c r="K245" s="1" t="s">
        <v>8</v>
      </c>
      <c r="L245" s="1" t="s">
        <v>7</v>
      </c>
      <c r="M245" s="15">
        <f t="shared" si="15"/>
        <v>0.57572041774921578</v>
      </c>
    </row>
    <row r="246" spans="1:13" x14ac:dyDescent="0.25">
      <c r="A246" t="s">
        <v>56</v>
      </c>
      <c r="B246">
        <v>2</v>
      </c>
      <c r="C246" t="str">
        <f t="shared" si="12"/>
        <v>815</v>
      </c>
      <c r="D246" t="s">
        <v>27</v>
      </c>
      <c r="F246">
        <v>2025</v>
      </c>
      <c r="G246">
        <f t="shared" si="13"/>
        <v>2</v>
      </c>
      <c r="H246" t="str">
        <f t="shared" si="14"/>
        <v>815 Bethany Towers</v>
      </c>
      <c r="I246" s="16" cm="1">
        <f t="array" ref="I246">INDEX('OC-Monthly'!$B$7:$N$65,_xlfn.XMATCH($A246,'OC-Monthly'!$A$7:$A$65),_xlfn.XMATCH($B246,'OC-Monthly'!$B$1:$N$1))</f>
        <v>185326.5</v>
      </c>
      <c r="J246" s="16" cm="1">
        <f t="array" ref="J246">INDEX('OC-Monthly'!$P$7:$AB$65,_xlfn.XMATCH($A246,'OC-Monthly'!$A$7:$A$65),_xlfn.XMATCH($B246,'OC-Monthly'!$P$1:$AB$1))</f>
        <v>106696.25000000004</v>
      </c>
      <c r="K246" s="1" t="s">
        <v>8</v>
      </c>
      <c r="L246" s="1" t="s">
        <v>7</v>
      </c>
      <c r="M246" s="15">
        <f t="shared" si="15"/>
        <v>0.57572041774921578</v>
      </c>
    </row>
    <row r="247" spans="1:13" x14ac:dyDescent="0.25">
      <c r="A247" t="s">
        <v>56</v>
      </c>
      <c r="B247">
        <v>3</v>
      </c>
      <c r="C247" t="str">
        <f t="shared" si="12"/>
        <v>815</v>
      </c>
      <c r="D247" t="s">
        <v>27</v>
      </c>
      <c r="F247">
        <v>2025</v>
      </c>
      <c r="G247">
        <f t="shared" si="13"/>
        <v>3</v>
      </c>
      <c r="H247" t="str">
        <f t="shared" si="14"/>
        <v>815 Bethany Towers</v>
      </c>
      <c r="I247" s="16" cm="1">
        <f t="array" ref="I247">INDEX('OC-Monthly'!$B$7:$N$65,_xlfn.XMATCH($A247,'OC-Monthly'!$A$7:$A$65),_xlfn.XMATCH($B247,'OC-Monthly'!$B$1:$N$1))</f>
        <v>185326.5</v>
      </c>
      <c r="J247" s="16" cm="1">
        <f t="array" ref="J247">INDEX('OC-Monthly'!$P$7:$AB$65,_xlfn.XMATCH($A247,'OC-Monthly'!$A$7:$A$65),_xlfn.XMATCH($B247,'OC-Monthly'!$P$1:$AB$1))</f>
        <v>106696.25000000004</v>
      </c>
      <c r="K247" s="1" t="s">
        <v>8</v>
      </c>
      <c r="L247" s="1" t="s">
        <v>7</v>
      </c>
      <c r="M247" s="15">
        <f t="shared" si="15"/>
        <v>0.57572041774921578</v>
      </c>
    </row>
    <row r="248" spans="1:13" x14ac:dyDescent="0.25">
      <c r="A248" t="s">
        <v>56</v>
      </c>
      <c r="B248">
        <v>4</v>
      </c>
      <c r="C248" t="str">
        <f t="shared" si="12"/>
        <v>815</v>
      </c>
      <c r="D248" t="s">
        <v>27</v>
      </c>
      <c r="F248">
        <v>2025</v>
      </c>
      <c r="G248">
        <f t="shared" si="13"/>
        <v>4</v>
      </c>
      <c r="H248" t="str">
        <f t="shared" si="14"/>
        <v>815 Bethany Towers</v>
      </c>
      <c r="I248" s="16" cm="1">
        <f t="array" ref="I248">INDEX('OC-Monthly'!$B$7:$N$65,_xlfn.XMATCH($A248,'OC-Monthly'!$A$7:$A$65),_xlfn.XMATCH($B248,'OC-Monthly'!$B$1:$N$1))</f>
        <v>185326.5</v>
      </c>
      <c r="J248" s="16" cm="1">
        <f t="array" ref="J248">INDEX('OC-Monthly'!$P$7:$AB$65,_xlfn.XMATCH($A248,'OC-Monthly'!$A$7:$A$65),_xlfn.XMATCH($B248,'OC-Monthly'!$P$1:$AB$1))</f>
        <v>106696.25000000004</v>
      </c>
      <c r="K248" s="1" t="s">
        <v>8</v>
      </c>
      <c r="L248" s="1" t="s">
        <v>7</v>
      </c>
      <c r="M248" s="15">
        <f t="shared" si="15"/>
        <v>0.57572041774921578</v>
      </c>
    </row>
    <row r="249" spans="1:13" x14ac:dyDescent="0.25">
      <c r="A249" t="s">
        <v>56</v>
      </c>
      <c r="B249">
        <v>5</v>
      </c>
      <c r="C249" t="str">
        <f t="shared" si="12"/>
        <v>815</v>
      </c>
      <c r="D249" t="s">
        <v>27</v>
      </c>
      <c r="F249">
        <v>2025</v>
      </c>
      <c r="G249">
        <f t="shared" si="13"/>
        <v>5</v>
      </c>
      <c r="H249" t="str">
        <f t="shared" si="14"/>
        <v>815 Bethany Towers</v>
      </c>
      <c r="I249" s="16" cm="1">
        <f t="array" ref="I249">INDEX('OC-Monthly'!$B$7:$N$65,_xlfn.XMATCH($A249,'OC-Monthly'!$A$7:$A$65),_xlfn.XMATCH($B249,'OC-Monthly'!$B$1:$N$1))</f>
        <v>185326.5</v>
      </c>
      <c r="J249" s="16" cm="1">
        <f t="array" ref="J249">INDEX('OC-Monthly'!$P$7:$AB$65,_xlfn.XMATCH($A249,'OC-Monthly'!$A$7:$A$65),_xlfn.XMATCH($B249,'OC-Monthly'!$P$1:$AB$1))</f>
        <v>106696.25000000004</v>
      </c>
      <c r="K249" s="1" t="s">
        <v>8</v>
      </c>
      <c r="L249" s="1" t="s">
        <v>7</v>
      </c>
      <c r="M249" s="15">
        <f t="shared" si="15"/>
        <v>0.57572041774921578</v>
      </c>
    </row>
    <row r="250" spans="1:13" x14ac:dyDescent="0.25">
      <c r="A250" t="s">
        <v>56</v>
      </c>
      <c r="B250">
        <v>6</v>
      </c>
      <c r="C250" t="str">
        <f t="shared" si="12"/>
        <v>815</v>
      </c>
      <c r="D250" t="s">
        <v>27</v>
      </c>
      <c r="F250">
        <v>2025</v>
      </c>
      <c r="G250">
        <f t="shared" si="13"/>
        <v>6</v>
      </c>
      <c r="H250" t="str">
        <f t="shared" si="14"/>
        <v>815 Bethany Towers</v>
      </c>
      <c r="I250" s="16" cm="1">
        <f t="array" ref="I250">INDEX('OC-Monthly'!$B$7:$N$65,_xlfn.XMATCH($A250,'OC-Monthly'!$A$7:$A$65),_xlfn.XMATCH($B250,'OC-Monthly'!$B$1:$N$1))</f>
        <v>185326.5</v>
      </c>
      <c r="J250" s="16" cm="1">
        <f t="array" ref="J250">INDEX('OC-Monthly'!$P$7:$AB$65,_xlfn.XMATCH($A250,'OC-Monthly'!$A$7:$A$65),_xlfn.XMATCH($B250,'OC-Monthly'!$P$1:$AB$1))</f>
        <v>106696.25000000004</v>
      </c>
      <c r="K250" s="1" t="s">
        <v>8</v>
      </c>
      <c r="L250" s="1" t="s">
        <v>7</v>
      </c>
      <c r="M250" s="15">
        <f t="shared" si="15"/>
        <v>0.57572041774921578</v>
      </c>
    </row>
    <row r="251" spans="1:13" x14ac:dyDescent="0.25">
      <c r="A251" t="s">
        <v>56</v>
      </c>
      <c r="B251">
        <v>7</v>
      </c>
      <c r="C251" t="str">
        <f t="shared" si="12"/>
        <v>815</v>
      </c>
      <c r="D251" t="s">
        <v>27</v>
      </c>
      <c r="F251">
        <v>2025</v>
      </c>
      <c r="G251">
        <f t="shared" si="13"/>
        <v>7</v>
      </c>
      <c r="H251" t="str">
        <f t="shared" si="14"/>
        <v>815 Bethany Towers</v>
      </c>
      <c r="I251" s="16" cm="1">
        <f t="array" ref="I251">INDEX('OC-Monthly'!$B$7:$N$65,_xlfn.XMATCH($A251,'OC-Monthly'!$A$7:$A$65),_xlfn.XMATCH($B251,'OC-Monthly'!$B$1:$N$1))</f>
        <v>185326.5</v>
      </c>
      <c r="J251" s="16" cm="1">
        <f t="array" ref="J251">INDEX('OC-Monthly'!$P$7:$AB$65,_xlfn.XMATCH($A251,'OC-Monthly'!$A$7:$A$65),_xlfn.XMATCH($B251,'OC-Monthly'!$P$1:$AB$1))</f>
        <v>106696.25000000004</v>
      </c>
      <c r="K251" s="1" t="s">
        <v>8</v>
      </c>
      <c r="L251" s="1" t="s">
        <v>7</v>
      </c>
      <c r="M251" s="15">
        <f t="shared" si="15"/>
        <v>0.57572041774921578</v>
      </c>
    </row>
    <row r="252" spans="1:13" x14ac:dyDescent="0.25">
      <c r="A252" t="s">
        <v>56</v>
      </c>
      <c r="B252">
        <v>8</v>
      </c>
      <c r="C252" t="str">
        <f t="shared" si="12"/>
        <v>815</v>
      </c>
      <c r="D252" t="s">
        <v>27</v>
      </c>
      <c r="F252">
        <v>2025</v>
      </c>
      <c r="G252">
        <f t="shared" si="13"/>
        <v>8</v>
      </c>
      <c r="H252" t="str">
        <f t="shared" si="14"/>
        <v>815 Bethany Towers</v>
      </c>
      <c r="I252" s="16" cm="1">
        <f t="array" ref="I252">INDEX('OC-Monthly'!$B$7:$N$65,_xlfn.XMATCH($A252,'OC-Monthly'!$A$7:$A$65),_xlfn.XMATCH($B252,'OC-Monthly'!$B$1:$N$1))</f>
        <v>185326.5</v>
      </c>
      <c r="J252" s="16" cm="1">
        <f t="array" ref="J252">INDEX('OC-Monthly'!$P$7:$AB$65,_xlfn.XMATCH($A252,'OC-Monthly'!$A$7:$A$65),_xlfn.XMATCH($B252,'OC-Monthly'!$P$1:$AB$1))</f>
        <v>106696.25000000004</v>
      </c>
      <c r="K252" s="1" t="s">
        <v>8</v>
      </c>
      <c r="L252" s="1" t="s">
        <v>7</v>
      </c>
      <c r="M252" s="15">
        <f t="shared" si="15"/>
        <v>0.57572041774921578</v>
      </c>
    </row>
    <row r="253" spans="1:13" x14ac:dyDescent="0.25">
      <c r="A253" t="s">
        <v>56</v>
      </c>
      <c r="B253">
        <v>9</v>
      </c>
      <c r="C253" t="str">
        <f t="shared" si="12"/>
        <v>815</v>
      </c>
      <c r="D253" t="s">
        <v>27</v>
      </c>
      <c r="F253">
        <v>2025</v>
      </c>
      <c r="G253">
        <f t="shared" si="13"/>
        <v>9</v>
      </c>
      <c r="H253" t="str">
        <f t="shared" si="14"/>
        <v>815 Bethany Towers</v>
      </c>
      <c r="I253" s="16" cm="1">
        <f t="array" ref="I253">INDEX('OC-Monthly'!$B$7:$N$65,_xlfn.XMATCH($A253,'OC-Monthly'!$A$7:$A$65),_xlfn.XMATCH($B253,'OC-Monthly'!$B$1:$N$1))</f>
        <v>185326.5</v>
      </c>
      <c r="J253" s="16" cm="1">
        <f t="array" ref="J253">INDEX('OC-Monthly'!$P$7:$AB$65,_xlfn.XMATCH($A253,'OC-Monthly'!$A$7:$A$65),_xlfn.XMATCH($B253,'OC-Monthly'!$P$1:$AB$1))</f>
        <v>106696.25000000004</v>
      </c>
      <c r="K253" s="1" t="s">
        <v>8</v>
      </c>
      <c r="L253" s="1" t="s">
        <v>7</v>
      </c>
      <c r="M253" s="15">
        <f t="shared" si="15"/>
        <v>0.57572041774921578</v>
      </c>
    </row>
    <row r="254" spans="1:13" x14ac:dyDescent="0.25">
      <c r="A254" t="s">
        <v>56</v>
      </c>
      <c r="B254">
        <v>10</v>
      </c>
      <c r="C254" t="str">
        <f t="shared" si="12"/>
        <v>815</v>
      </c>
      <c r="D254" t="s">
        <v>27</v>
      </c>
      <c r="F254">
        <v>2025</v>
      </c>
      <c r="G254">
        <f t="shared" si="13"/>
        <v>10</v>
      </c>
      <c r="H254" t="str">
        <f t="shared" si="14"/>
        <v>815 Bethany Towers</v>
      </c>
      <c r="I254" s="16" cm="1">
        <f t="array" ref="I254">INDEX('OC-Monthly'!$B$7:$N$65,_xlfn.XMATCH($A254,'OC-Monthly'!$A$7:$A$65),_xlfn.XMATCH($B254,'OC-Monthly'!$B$1:$N$1))</f>
        <v>185326.5</v>
      </c>
      <c r="J254" s="16" cm="1">
        <f t="array" ref="J254">INDEX('OC-Monthly'!$P$7:$AB$65,_xlfn.XMATCH($A254,'OC-Monthly'!$A$7:$A$65),_xlfn.XMATCH($B254,'OC-Monthly'!$P$1:$AB$1))</f>
        <v>106696.25000000004</v>
      </c>
      <c r="K254" s="1" t="s">
        <v>8</v>
      </c>
      <c r="L254" s="1" t="s">
        <v>7</v>
      </c>
      <c r="M254" s="15">
        <f t="shared" si="15"/>
        <v>0.57572041774921578</v>
      </c>
    </row>
    <row r="255" spans="1:13" x14ac:dyDescent="0.25">
      <c r="A255" t="s">
        <v>56</v>
      </c>
      <c r="B255">
        <v>11</v>
      </c>
      <c r="C255" t="str">
        <f t="shared" si="12"/>
        <v>815</v>
      </c>
      <c r="D255" t="s">
        <v>27</v>
      </c>
      <c r="F255">
        <v>2025</v>
      </c>
      <c r="G255">
        <f t="shared" si="13"/>
        <v>11</v>
      </c>
      <c r="H255" t="str">
        <f t="shared" si="14"/>
        <v>815 Bethany Towers</v>
      </c>
      <c r="I255" s="16" cm="1">
        <f t="array" ref="I255">INDEX('OC-Monthly'!$B$7:$N$65,_xlfn.XMATCH($A255,'OC-Monthly'!$A$7:$A$65),_xlfn.XMATCH($B255,'OC-Monthly'!$B$1:$N$1))</f>
        <v>185326.5</v>
      </c>
      <c r="J255" s="16" cm="1">
        <f t="array" ref="J255">INDEX('OC-Monthly'!$P$7:$AB$65,_xlfn.XMATCH($A255,'OC-Monthly'!$A$7:$A$65),_xlfn.XMATCH($B255,'OC-Monthly'!$P$1:$AB$1))</f>
        <v>106696.25000000004</v>
      </c>
      <c r="K255" s="1" t="s">
        <v>8</v>
      </c>
      <c r="L255" s="1" t="s">
        <v>7</v>
      </c>
      <c r="M255" s="15">
        <f t="shared" si="15"/>
        <v>0.57572041774921578</v>
      </c>
    </row>
    <row r="256" spans="1:13" x14ac:dyDescent="0.25">
      <c r="A256" t="s">
        <v>56</v>
      </c>
      <c r="B256">
        <v>12</v>
      </c>
      <c r="C256" t="str">
        <f t="shared" si="12"/>
        <v>815</v>
      </c>
      <c r="D256" t="s">
        <v>27</v>
      </c>
      <c r="F256">
        <v>2025</v>
      </c>
      <c r="G256">
        <f t="shared" si="13"/>
        <v>12</v>
      </c>
      <c r="H256" t="str">
        <f t="shared" si="14"/>
        <v>815 Bethany Towers</v>
      </c>
      <c r="I256" s="16" cm="1">
        <f t="array" ref="I256">INDEX('OC-Monthly'!$B$7:$N$65,_xlfn.XMATCH($A256,'OC-Monthly'!$A$7:$A$65),_xlfn.XMATCH($B256,'OC-Monthly'!$B$1:$N$1))</f>
        <v>185326.5</v>
      </c>
      <c r="J256" s="16" cm="1">
        <f t="array" ref="J256">INDEX('OC-Monthly'!$P$7:$AB$65,_xlfn.XMATCH($A256,'OC-Monthly'!$A$7:$A$65),_xlfn.XMATCH($B256,'OC-Monthly'!$P$1:$AB$1))</f>
        <v>106696.25000000004</v>
      </c>
      <c r="K256" s="1" t="s">
        <v>8</v>
      </c>
      <c r="L256" s="1" t="s">
        <v>7</v>
      </c>
      <c r="M256" s="15">
        <f t="shared" si="15"/>
        <v>0.57572041774921578</v>
      </c>
    </row>
    <row r="257" spans="1:13" x14ac:dyDescent="0.25">
      <c r="A257" t="s">
        <v>29</v>
      </c>
      <c r="B257">
        <v>1</v>
      </c>
      <c r="C257" t="str">
        <f t="shared" si="12"/>
        <v>835</v>
      </c>
      <c r="D257" t="s">
        <v>29</v>
      </c>
      <c r="F257">
        <v>2025</v>
      </c>
      <c r="G257">
        <f t="shared" si="13"/>
        <v>1</v>
      </c>
      <c r="H257" t="str">
        <f t="shared" si="14"/>
        <v>835 Riverwoods</v>
      </c>
      <c r="I257" s="16" cm="1">
        <f t="array" ref="I257">INDEX('OC-Monthly'!$B$7:$N$65,_xlfn.XMATCH($A257,'OC-Monthly'!$A$7:$A$65),_xlfn.XMATCH($B257,'OC-Monthly'!$B$1:$N$1))</f>
        <v>491678.80242016353</v>
      </c>
      <c r="J257" s="16" cm="1">
        <f t="array" ref="J257">INDEX('OC-Monthly'!$P$7:$AB$65,_xlfn.XMATCH($A257,'OC-Monthly'!$A$7:$A$65),_xlfn.XMATCH($B257,'OC-Monthly'!$P$1:$AB$1))</f>
        <v>490515.16043591878</v>
      </c>
      <c r="K257" s="1" t="s">
        <v>8</v>
      </c>
      <c r="L257" s="1" t="s">
        <v>7</v>
      </c>
      <c r="M257" s="15">
        <f t="shared" si="15"/>
        <v>0.99763332895679657</v>
      </c>
    </row>
    <row r="258" spans="1:13" x14ac:dyDescent="0.25">
      <c r="A258" t="s">
        <v>29</v>
      </c>
      <c r="B258">
        <v>2</v>
      </c>
      <c r="C258" t="str">
        <f t="shared" si="12"/>
        <v>835</v>
      </c>
      <c r="D258" t="s">
        <v>29</v>
      </c>
      <c r="F258">
        <v>2025</v>
      </c>
      <c r="G258">
        <f t="shared" si="13"/>
        <v>2</v>
      </c>
      <c r="H258" t="str">
        <f t="shared" si="14"/>
        <v>835 Riverwoods</v>
      </c>
      <c r="I258" s="16" cm="1">
        <f t="array" ref="I258">INDEX('OC-Monthly'!$B$7:$N$65,_xlfn.XMATCH($A258,'OC-Monthly'!$A$7:$A$65),_xlfn.XMATCH($B258,'OC-Monthly'!$B$1:$N$1))</f>
        <v>464834.55179002718</v>
      </c>
      <c r="J258" s="16" cm="1">
        <f t="array" ref="J258">INDEX('OC-Monthly'!$P$7:$AB$65,_xlfn.XMATCH($A258,'OC-Monthly'!$A$7:$A$65),_xlfn.XMATCH($B258,'OC-Monthly'!$P$1:$AB$1))</f>
        <v>465822.31476565142</v>
      </c>
      <c r="K258" s="1" t="s">
        <v>8</v>
      </c>
      <c r="L258" s="1" t="s">
        <v>7</v>
      </c>
      <c r="M258" s="15">
        <f t="shared" si="15"/>
        <v>1.0021249775254883</v>
      </c>
    </row>
    <row r="259" spans="1:13" x14ac:dyDescent="0.25">
      <c r="A259" t="s">
        <v>29</v>
      </c>
      <c r="B259">
        <v>3</v>
      </c>
      <c r="C259" t="str">
        <f t="shared" si="12"/>
        <v>835</v>
      </c>
      <c r="D259" t="s">
        <v>29</v>
      </c>
      <c r="F259">
        <v>2025</v>
      </c>
      <c r="G259">
        <f t="shared" si="13"/>
        <v>3</v>
      </c>
      <c r="H259" t="str">
        <f t="shared" si="14"/>
        <v>835 Riverwoods</v>
      </c>
      <c r="I259" s="16" cm="1">
        <f t="array" ref="I259">INDEX('OC-Monthly'!$B$7:$N$65,_xlfn.XMATCH($A259,'OC-Monthly'!$A$7:$A$65),_xlfn.XMATCH($B259,'OC-Monthly'!$B$1:$N$1))</f>
        <v>491593.7524201636</v>
      </c>
      <c r="J259" s="16" cm="1">
        <f t="array" ref="J259">INDEX('OC-Monthly'!$P$7:$AB$65,_xlfn.XMATCH($A259,'OC-Monthly'!$A$7:$A$65),_xlfn.XMATCH($B259,'OC-Monthly'!$P$1:$AB$1))</f>
        <v>489732.54960305546</v>
      </c>
      <c r="K259" s="1" t="s">
        <v>8</v>
      </c>
      <c r="L259" s="1" t="s">
        <v>7</v>
      </c>
      <c r="M259" s="15">
        <f t="shared" si="15"/>
        <v>0.99621394127174068</v>
      </c>
    </row>
    <row r="260" spans="1:13" x14ac:dyDescent="0.25">
      <c r="A260" t="s">
        <v>29</v>
      </c>
      <c r="B260">
        <v>4</v>
      </c>
      <c r="C260" t="str">
        <f t="shared" si="12"/>
        <v>835</v>
      </c>
      <c r="D260" t="s">
        <v>29</v>
      </c>
      <c r="F260">
        <v>2025</v>
      </c>
      <c r="G260">
        <f t="shared" si="13"/>
        <v>4</v>
      </c>
      <c r="H260" t="str">
        <f t="shared" si="14"/>
        <v>835 Riverwoods</v>
      </c>
      <c r="I260" s="16" cm="1">
        <f t="array" ref="I260">INDEX('OC-Monthly'!$B$7:$N$65,_xlfn.XMATCH($A260,'OC-Monthly'!$A$7:$A$65),_xlfn.XMATCH($B260,'OC-Monthly'!$B$1:$N$1))</f>
        <v>520668.27554345143</v>
      </c>
      <c r="J260" s="16" cm="1">
        <f t="array" ref="J260">INDEX('OC-Monthly'!$P$7:$AB$65,_xlfn.XMATCH($A260,'OC-Monthly'!$A$7:$A$65),_xlfn.XMATCH($B260,'OC-Monthly'!$P$1:$AB$1))</f>
        <v>482169.50323161692</v>
      </c>
      <c r="K260" s="1" t="s">
        <v>8</v>
      </c>
      <c r="L260" s="1" t="s">
        <v>7</v>
      </c>
      <c r="M260" s="15">
        <f t="shared" si="15"/>
        <v>0.92605892442428706</v>
      </c>
    </row>
    <row r="261" spans="1:13" x14ac:dyDescent="0.25">
      <c r="A261" t="s">
        <v>29</v>
      </c>
      <c r="B261">
        <v>5</v>
      </c>
      <c r="C261" t="str">
        <f t="shared" si="12"/>
        <v>835</v>
      </c>
      <c r="D261" t="s">
        <v>29</v>
      </c>
      <c r="F261">
        <v>2025</v>
      </c>
      <c r="G261">
        <f t="shared" si="13"/>
        <v>5</v>
      </c>
      <c r="H261" t="str">
        <f t="shared" si="14"/>
        <v>835 Riverwoods</v>
      </c>
      <c r="I261" s="16" cm="1">
        <f t="array" ref="I261">INDEX('OC-Monthly'!$B$7:$N$65,_xlfn.XMATCH($A261,'OC-Monthly'!$A$7:$A$65),_xlfn.XMATCH($B261,'OC-Monthly'!$B$1:$N$1))</f>
        <v>489332.84242016351</v>
      </c>
      <c r="J261" s="16" cm="1">
        <f t="array" ref="J261">INDEX('OC-Monthly'!$P$7:$AB$65,_xlfn.XMATCH($A261,'OC-Monthly'!$A$7:$A$65),_xlfn.XMATCH($B261,'OC-Monthly'!$P$1:$AB$1))</f>
        <v>502286.18789930647</v>
      </c>
      <c r="K261" s="1" t="s">
        <v>8</v>
      </c>
      <c r="L261" s="1" t="s">
        <v>7</v>
      </c>
      <c r="M261" s="15">
        <f t="shared" si="15"/>
        <v>1.0264714410238187</v>
      </c>
    </row>
    <row r="262" spans="1:13" x14ac:dyDescent="0.25">
      <c r="A262" t="s">
        <v>29</v>
      </c>
      <c r="B262">
        <v>6</v>
      </c>
      <c r="C262" t="str">
        <f t="shared" ref="C262:C325" si="16">LEFT(A262,3)</f>
        <v>835</v>
      </c>
      <c r="D262" t="s">
        <v>29</v>
      </c>
      <c r="F262">
        <v>2025</v>
      </c>
      <c r="G262">
        <f t="shared" ref="G262:G325" si="17">B262</f>
        <v>6</v>
      </c>
      <c r="H262" t="str">
        <f t="shared" ref="H262:H325" si="18">D262</f>
        <v>835 Riverwoods</v>
      </c>
      <c r="I262" s="16" cm="1">
        <f t="array" ref="I262">INDEX('OC-Monthly'!$B$7:$N$65,_xlfn.XMATCH($A262,'OC-Monthly'!$A$7:$A$65),_xlfn.XMATCH($B262,'OC-Monthly'!$B$1:$N$1))</f>
        <v>488642.82554345147</v>
      </c>
      <c r="J262" s="16" cm="1">
        <f t="array" ref="J262">INDEX('OC-Monthly'!$P$7:$AB$65,_xlfn.XMATCH($A262,'OC-Monthly'!$A$7:$A$65),_xlfn.XMATCH($B262,'OC-Monthly'!$P$1:$AB$1))</f>
        <v>486511.65779659606</v>
      </c>
      <c r="K262" s="1" t="s">
        <v>8</v>
      </c>
      <c r="L262" s="1" t="s">
        <v>7</v>
      </c>
      <c r="M262" s="15">
        <f t="shared" ref="M262:M325" si="19">IFERROR(J262/I262,"na")</f>
        <v>0.99563859810182376</v>
      </c>
    </row>
    <row r="263" spans="1:13" x14ac:dyDescent="0.25">
      <c r="A263" t="s">
        <v>29</v>
      </c>
      <c r="B263">
        <v>7</v>
      </c>
      <c r="C263" t="str">
        <f t="shared" si="16"/>
        <v>835</v>
      </c>
      <c r="D263" t="s">
        <v>29</v>
      </c>
      <c r="F263">
        <v>2025</v>
      </c>
      <c r="G263">
        <f t="shared" si="17"/>
        <v>7</v>
      </c>
      <c r="H263" t="str">
        <f t="shared" si="18"/>
        <v>835 Riverwoods</v>
      </c>
      <c r="I263" s="16" cm="1">
        <f t="array" ref="I263">INDEX('OC-Monthly'!$B$7:$N$65,_xlfn.XMATCH($A263,'OC-Monthly'!$A$7:$A$65),_xlfn.XMATCH($B263,'OC-Monthly'!$B$1:$N$1))</f>
        <v>499501.05242016359</v>
      </c>
      <c r="J263" s="16" cm="1">
        <f t="array" ref="J263">INDEX('OC-Monthly'!$P$7:$AB$65,_xlfn.XMATCH($A263,'OC-Monthly'!$A$7:$A$65),_xlfn.XMATCH($B263,'OC-Monthly'!$P$1:$AB$1))</f>
        <v>489184.80463103246</v>
      </c>
      <c r="K263" s="1" t="s">
        <v>8</v>
      </c>
      <c r="L263" s="1" t="s">
        <v>7</v>
      </c>
      <c r="M263" s="15">
        <f t="shared" si="19"/>
        <v>0.97934689478801451</v>
      </c>
    </row>
    <row r="264" spans="1:13" x14ac:dyDescent="0.25">
      <c r="A264" t="s">
        <v>29</v>
      </c>
      <c r="B264">
        <v>8</v>
      </c>
      <c r="C264" t="str">
        <f t="shared" si="16"/>
        <v>835</v>
      </c>
      <c r="D264" t="s">
        <v>29</v>
      </c>
      <c r="F264">
        <v>2025</v>
      </c>
      <c r="G264">
        <f t="shared" si="17"/>
        <v>8</v>
      </c>
      <c r="H264" t="str">
        <f t="shared" si="18"/>
        <v>835 Riverwoods</v>
      </c>
      <c r="I264" s="16" cm="1">
        <f t="array" ref="I264">INDEX('OC-Monthly'!$B$7:$N$65,_xlfn.XMATCH($A264,'OC-Monthly'!$A$7:$A$65),_xlfn.XMATCH($B264,'OC-Monthly'!$B$1:$N$1))</f>
        <v>492991.0724201636</v>
      </c>
      <c r="J264" s="16" cm="1">
        <f t="array" ref="J264">INDEX('OC-Monthly'!$P$7:$AB$65,_xlfn.XMATCH($A264,'OC-Monthly'!$A$7:$A$65),_xlfn.XMATCH($B264,'OC-Monthly'!$P$1:$AB$1))</f>
        <v>493731.47089241451</v>
      </c>
      <c r="K264" s="1" t="s">
        <v>8</v>
      </c>
      <c r="L264" s="1" t="s">
        <v>7</v>
      </c>
      <c r="M264" s="15">
        <f t="shared" si="19"/>
        <v>1.0015018496554433</v>
      </c>
    </row>
    <row r="265" spans="1:13" x14ac:dyDescent="0.25">
      <c r="A265" t="s">
        <v>29</v>
      </c>
      <c r="B265">
        <v>9</v>
      </c>
      <c r="C265" t="str">
        <f t="shared" si="16"/>
        <v>835</v>
      </c>
      <c r="D265" t="s">
        <v>29</v>
      </c>
      <c r="F265">
        <v>2025</v>
      </c>
      <c r="G265">
        <f t="shared" si="17"/>
        <v>9</v>
      </c>
      <c r="H265" t="str">
        <f t="shared" si="18"/>
        <v>835 Riverwoods</v>
      </c>
      <c r="I265" s="16" cm="1">
        <f t="array" ref="I265">INDEX('OC-Monthly'!$B$7:$N$65,_xlfn.XMATCH($A265,'OC-Monthly'!$A$7:$A$65),_xlfn.XMATCH($B265,'OC-Monthly'!$B$1:$N$1))</f>
        <v>492653.94554345141</v>
      </c>
      <c r="J265" s="16" cm="1">
        <f t="array" ref="J265">INDEX('OC-Monthly'!$P$7:$AB$65,_xlfn.XMATCH($A265,'OC-Monthly'!$A$7:$A$65),_xlfn.XMATCH($B265,'OC-Monthly'!$P$1:$AB$1))</f>
        <v>489249.42825293378</v>
      </c>
      <c r="K265" s="1" t="s">
        <v>8</v>
      </c>
      <c r="L265" s="1" t="s">
        <v>7</v>
      </c>
      <c r="M265" s="15">
        <f t="shared" si="19"/>
        <v>0.99308943464004518</v>
      </c>
    </row>
    <row r="266" spans="1:13" x14ac:dyDescent="0.25">
      <c r="A266" t="s">
        <v>29</v>
      </c>
      <c r="B266">
        <v>10</v>
      </c>
      <c r="C266" t="str">
        <f t="shared" si="16"/>
        <v>835</v>
      </c>
      <c r="D266" t="s">
        <v>29</v>
      </c>
      <c r="F266">
        <v>2025</v>
      </c>
      <c r="G266">
        <f t="shared" si="17"/>
        <v>10</v>
      </c>
      <c r="H266" t="str">
        <f t="shared" si="18"/>
        <v>835 Riverwoods</v>
      </c>
      <c r="I266" s="16" cm="1">
        <f t="array" ref="I266">INDEX('OC-Monthly'!$B$7:$N$65,_xlfn.XMATCH($A266,'OC-Monthly'!$A$7:$A$65),_xlfn.XMATCH($B266,'OC-Monthly'!$B$1:$N$1))</f>
        <v>503588.60242016357</v>
      </c>
      <c r="J266" s="16" cm="1">
        <f t="array" ref="J266">INDEX('OC-Monthly'!$P$7:$AB$65,_xlfn.XMATCH($A266,'OC-Monthly'!$A$7:$A$65),_xlfn.XMATCH($B266,'OC-Monthly'!$P$1:$AB$1))</f>
        <v>486691.00403124403</v>
      </c>
      <c r="K266" s="1" t="s">
        <v>8</v>
      </c>
      <c r="L266" s="1" t="s">
        <v>7</v>
      </c>
      <c r="M266" s="15">
        <f t="shared" si="19"/>
        <v>0.96644562981030058</v>
      </c>
    </row>
    <row r="267" spans="1:13" x14ac:dyDescent="0.25">
      <c r="A267" t="s">
        <v>29</v>
      </c>
      <c r="B267">
        <v>11</v>
      </c>
      <c r="C267" t="str">
        <f t="shared" si="16"/>
        <v>835</v>
      </c>
      <c r="D267" t="s">
        <v>29</v>
      </c>
      <c r="F267">
        <v>2025</v>
      </c>
      <c r="G267">
        <f t="shared" si="17"/>
        <v>11</v>
      </c>
      <c r="H267" t="str">
        <f t="shared" si="18"/>
        <v>835 Riverwoods</v>
      </c>
      <c r="I267" s="16" cm="1">
        <f t="array" ref="I267">INDEX('OC-Monthly'!$B$7:$N$65,_xlfn.XMATCH($A267,'OC-Monthly'!$A$7:$A$65),_xlfn.XMATCH($B267,'OC-Monthly'!$B$1:$N$1))</f>
        <v>486381.90554345137</v>
      </c>
      <c r="J267" s="16" cm="1">
        <f t="array" ref="J267">INDEX('OC-Monthly'!$P$7:$AB$65,_xlfn.XMATCH($A267,'OC-Monthly'!$A$7:$A$65),_xlfn.XMATCH($B267,'OC-Monthly'!$P$1:$AB$1))</f>
        <v>502174.34439472994</v>
      </c>
      <c r="K267" s="1" t="s">
        <v>8</v>
      </c>
      <c r="L267" s="1" t="s">
        <v>7</v>
      </c>
      <c r="M267" s="15">
        <f t="shared" si="19"/>
        <v>1.032469215386689</v>
      </c>
    </row>
    <row r="268" spans="1:13" x14ac:dyDescent="0.25">
      <c r="A268" t="s">
        <v>29</v>
      </c>
      <c r="B268">
        <v>12</v>
      </c>
      <c r="C268" t="str">
        <f t="shared" si="16"/>
        <v>835</v>
      </c>
      <c r="D268" t="s">
        <v>29</v>
      </c>
      <c r="F268">
        <v>2025</v>
      </c>
      <c r="G268">
        <f t="shared" si="17"/>
        <v>12</v>
      </c>
      <c r="H268" t="str">
        <f t="shared" si="18"/>
        <v>835 Riverwoods</v>
      </c>
      <c r="I268" s="16" cm="1">
        <f t="array" ref="I268">INDEX('OC-Monthly'!$B$7:$N$65,_xlfn.XMATCH($A268,'OC-Monthly'!$A$7:$A$65),_xlfn.XMATCH($B268,'OC-Monthly'!$B$1:$N$1))</f>
        <v>499516.0224201635</v>
      </c>
      <c r="J268" s="16" cm="1">
        <f t="array" ref="J268">INDEX('OC-Monthly'!$P$7:$AB$65,_xlfn.XMATCH($A268,'OC-Monthly'!$A$7:$A$65),_xlfn.XMATCH($B268,'OC-Monthly'!$P$1:$AB$1))</f>
        <v>497936.65959809581</v>
      </c>
      <c r="K268" s="1" t="s">
        <v>8</v>
      </c>
      <c r="L268" s="1" t="s">
        <v>7</v>
      </c>
      <c r="M268" s="15">
        <f t="shared" si="19"/>
        <v>0.99683821388868443</v>
      </c>
    </row>
    <row r="269" spans="1:13" x14ac:dyDescent="0.25">
      <c r="A269" t="s">
        <v>30</v>
      </c>
      <c r="B269">
        <v>1</v>
      </c>
      <c r="C269" t="str">
        <f t="shared" si="16"/>
        <v>840</v>
      </c>
      <c r="D269" t="s">
        <v>30</v>
      </c>
      <c r="F269">
        <v>2025</v>
      </c>
      <c r="G269">
        <f t="shared" si="17"/>
        <v>1</v>
      </c>
      <c r="H269" t="str">
        <f t="shared" si="18"/>
        <v>840 Normandie Ridge</v>
      </c>
      <c r="I269" s="16" cm="1">
        <f t="array" ref="I269">INDEX('OC-Monthly'!$B$7:$N$65,_xlfn.XMATCH($A269,'OC-Monthly'!$A$7:$A$65),_xlfn.XMATCH($B269,'OC-Monthly'!$B$1:$N$1))</f>
        <v>1403711.6395318457</v>
      </c>
      <c r="J269" s="16" cm="1">
        <f t="array" ref="J269">INDEX('OC-Monthly'!$P$7:$AB$65,_xlfn.XMATCH($A269,'OC-Monthly'!$A$7:$A$65),_xlfn.XMATCH($B269,'OC-Monthly'!$P$1:$AB$1))</f>
        <v>1454901.9877188776</v>
      </c>
      <c r="K269" s="1" t="s">
        <v>8</v>
      </c>
      <c r="L269" s="1" t="s">
        <v>7</v>
      </c>
      <c r="M269" s="15">
        <f t="shared" si="19"/>
        <v>1.0364678519044728</v>
      </c>
    </row>
    <row r="270" spans="1:13" x14ac:dyDescent="0.25">
      <c r="A270" t="s">
        <v>30</v>
      </c>
      <c r="B270">
        <v>2</v>
      </c>
      <c r="C270" t="str">
        <f t="shared" si="16"/>
        <v>840</v>
      </c>
      <c r="D270" t="s">
        <v>30</v>
      </c>
      <c r="F270">
        <v>2025</v>
      </c>
      <c r="G270">
        <f t="shared" si="17"/>
        <v>2</v>
      </c>
      <c r="H270" t="str">
        <f t="shared" si="18"/>
        <v>840 Normandie Ridge</v>
      </c>
      <c r="I270" s="16" cm="1">
        <f t="array" ref="I270">INDEX('OC-Monthly'!$B$7:$N$65,_xlfn.XMATCH($A270,'OC-Monthly'!$A$7:$A$65),_xlfn.XMATCH($B270,'OC-Monthly'!$B$1:$N$1))</f>
        <v>1284084.7572750987</v>
      </c>
      <c r="J270" s="16" cm="1">
        <f t="array" ref="J270">INDEX('OC-Monthly'!$P$7:$AB$65,_xlfn.XMATCH($A270,'OC-Monthly'!$A$7:$A$65),_xlfn.XMATCH($B270,'OC-Monthly'!$P$1:$AB$1))</f>
        <v>1325290.2749839721</v>
      </c>
      <c r="K270" s="1" t="s">
        <v>8</v>
      </c>
      <c r="L270" s="1" t="s">
        <v>7</v>
      </c>
      <c r="M270" s="15">
        <f t="shared" si="19"/>
        <v>1.0320894064627897</v>
      </c>
    </row>
    <row r="271" spans="1:13" x14ac:dyDescent="0.25">
      <c r="A271" t="s">
        <v>30</v>
      </c>
      <c r="B271">
        <v>3</v>
      </c>
      <c r="C271" t="str">
        <f t="shared" si="16"/>
        <v>840</v>
      </c>
      <c r="D271" t="s">
        <v>30</v>
      </c>
      <c r="F271">
        <v>2025</v>
      </c>
      <c r="G271">
        <f t="shared" si="17"/>
        <v>3</v>
      </c>
      <c r="H271" t="str">
        <f t="shared" si="18"/>
        <v>840 Normandie Ridge</v>
      </c>
      <c r="I271" s="16" cm="1">
        <f t="array" ref="I271">INDEX('OC-Monthly'!$B$7:$N$65,_xlfn.XMATCH($A271,'OC-Monthly'!$A$7:$A$65),_xlfn.XMATCH($B271,'OC-Monthly'!$B$1:$N$1))</f>
        <v>1405276.6895318455</v>
      </c>
      <c r="J271" s="16" cm="1">
        <f t="array" ref="J271">INDEX('OC-Monthly'!$P$7:$AB$65,_xlfn.XMATCH($A271,'OC-Monthly'!$A$7:$A$65),_xlfn.XMATCH($B271,'OC-Monthly'!$P$1:$AB$1))</f>
        <v>1405047.8950362366</v>
      </c>
      <c r="K271" s="1" t="s">
        <v>8</v>
      </c>
      <c r="L271" s="1" t="s">
        <v>7</v>
      </c>
      <c r="M271" s="15">
        <f t="shared" si="19"/>
        <v>0.99983718900533025</v>
      </c>
    </row>
    <row r="272" spans="1:13" x14ac:dyDescent="0.25">
      <c r="A272" t="s">
        <v>30</v>
      </c>
      <c r="B272">
        <v>4</v>
      </c>
      <c r="C272" t="str">
        <f t="shared" si="16"/>
        <v>840</v>
      </c>
      <c r="D272" t="s">
        <v>30</v>
      </c>
      <c r="F272">
        <v>2025</v>
      </c>
      <c r="G272">
        <f t="shared" si="17"/>
        <v>4</v>
      </c>
      <c r="H272" t="str">
        <f t="shared" si="18"/>
        <v>840 Normandie Ridge</v>
      </c>
      <c r="I272" s="16" cm="1">
        <f t="array" ref="I272">INDEX('OC-Monthly'!$B$7:$N$65,_xlfn.XMATCH($A272,'OC-Monthly'!$A$7:$A$65),_xlfn.XMATCH($B272,'OC-Monthly'!$B$1:$N$1))</f>
        <v>1402153.3721129301</v>
      </c>
      <c r="J272" s="16" cm="1">
        <f t="array" ref="J272">INDEX('OC-Monthly'!$P$7:$AB$65,_xlfn.XMATCH($A272,'OC-Monthly'!$A$7:$A$65),_xlfn.XMATCH($B272,'OC-Monthly'!$P$1:$AB$1))</f>
        <v>1419533.9204986035</v>
      </c>
      <c r="K272" s="1" t="s">
        <v>8</v>
      </c>
      <c r="L272" s="1" t="s">
        <v>7</v>
      </c>
      <c r="M272" s="15">
        <f t="shared" si="19"/>
        <v>1.012395611444048</v>
      </c>
    </row>
    <row r="273" spans="1:13" x14ac:dyDescent="0.25">
      <c r="A273" t="s">
        <v>30</v>
      </c>
      <c r="B273">
        <v>5</v>
      </c>
      <c r="C273" t="str">
        <f t="shared" si="16"/>
        <v>840</v>
      </c>
      <c r="D273" t="s">
        <v>30</v>
      </c>
      <c r="F273">
        <v>2025</v>
      </c>
      <c r="G273">
        <f t="shared" si="17"/>
        <v>5</v>
      </c>
      <c r="H273" t="str">
        <f t="shared" si="18"/>
        <v>840 Normandie Ridge</v>
      </c>
      <c r="I273" s="16" cm="1">
        <f t="array" ref="I273">INDEX('OC-Monthly'!$B$7:$N$65,_xlfn.XMATCH($A273,'OC-Monthly'!$A$7:$A$65),_xlfn.XMATCH($B273,'OC-Monthly'!$B$1:$N$1))</f>
        <v>1400440.1795318455</v>
      </c>
      <c r="J273" s="16" cm="1">
        <f t="array" ref="J273">INDEX('OC-Monthly'!$P$7:$AB$65,_xlfn.XMATCH($A273,'OC-Monthly'!$A$7:$A$65),_xlfn.XMATCH($B273,'OC-Monthly'!$P$1:$AB$1))</f>
        <v>1403391.4168173184</v>
      </c>
      <c r="K273" s="1" t="s">
        <v>8</v>
      </c>
      <c r="L273" s="1" t="s">
        <v>7</v>
      </c>
      <c r="M273" s="15">
        <f t="shared" si="19"/>
        <v>1.0021073640478235</v>
      </c>
    </row>
    <row r="274" spans="1:13" x14ac:dyDescent="0.25">
      <c r="A274" t="s">
        <v>30</v>
      </c>
      <c r="B274">
        <v>6</v>
      </c>
      <c r="C274" t="str">
        <f t="shared" si="16"/>
        <v>840</v>
      </c>
      <c r="D274" t="s">
        <v>30</v>
      </c>
      <c r="F274">
        <v>2025</v>
      </c>
      <c r="G274">
        <f t="shared" si="17"/>
        <v>6</v>
      </c>
      <c r="H274" t="str">
        <f t="shared" si="18"/>
        <v>840 Normandie Ridge</v>
      </c>
      <c r="I274" s="16" cm="1">
        <f t="array" ref="I274">INDEX('OC-Monthly'!$B$7:$N$65,_xlfn.XMATCH($A274,'OC-Monthly'!$A$7:$A$65),_xlfn.XMATCH($B274,'OC-Monthly'!$B$1:$N$1))</f>
        <v>1379758.82211293</v>
      </c>
      <c r="J274" s="16" cm="1">
        <f t="array" ref="J274">INDEX('OC-Monthly'!$P$7:$AB$65,_xlfn.XMATCH($A274,'OC-Monthly'!$A$7:$A$65),_xlfn.XMATCH($B274,'OC-Monthly'!$P$1:$AB$1))</f>
        <v>1394839.0591109951</v>
      </c>
      <c r="K274" s="1" t="s">
        <v>8</v>
      </c>
      <c r="L274" s="1" t="s">
        <v>7</v>
      </c>
      <c r="M274" s="15">
        <f t="shared" si="19"/>
        <v>1.0109296181016416</v>
      </c>
    </row>
    <row r="275" spans="1:13" x14ac:dyDescent="0.25">
      <c r="A275" t="s">
        <v>30</v>
      </c>
      <c r="B275">
        <v>7</v>
      </c>
      <c r="C275" t="str">
        <f t="shared" si="16"/>
        <v>840</v>
      </c>
      <c r="D275" t="s">
        <v>30</v>
      </c>
      <c r="F275">
        <v>2025</v>
      </c>
      <c r="G275">
        <f t="shared" si="17"/>
        <v>7</v>
      </c>
      <c r="H275" t="str">
        <f t="shared" si="18"/>
        <v>840 Normandie Ridge</v>
      </c>
      <c r="I275" s="16" cm="1">
        <f t="array" ref="I275">INDEX('OC-Monthly'!$B$7:$N$65,_xlfn.XMATCH($A275,'OC-Monthly'!$A$7:$A$65),_xlfn.XMATCH($B275,'OC-Monthly'!$B$1:$N$1))</f>
        <v>1419862.5395318456</v>
      </c>
      <c r="J275" s="16" cm="1">
        <f t="array" ref="J275">INDEX('OC-Monthly'!$P$7:$AB$65,_xlfn.XMATCH($A275,'OC-Monthly'!$A$7:$A$65),_xlfn.XMATCH($B275,'OC-Monthly'!$P$1:$AB$1))</f>
        <v>1442566.7755849501</v>
      </c>
      <c r="K275" s="1" t="s">
        <v>8</v>
      </c>
      <c r="L275" s="1" t="s">
        <v>7</v>
      </c>
      <c r="M275" s="15">
        <f t="shared" si="19"/>
        <v>1.0159904465544887</v>
      </c>
    </row>
    <row r="276" spans="1:13" x14ac:dyDescent="0.25">
      <c r="A276" t="s">
        <v>30</v>
      </c>
      <c r="B276">
        <v>8</v>
      </c>
      <c r="C276" t="str">
        <f t="shared" si="16"/>
        <v>840</v>
      </c>
      <c r="D276" t="s">
        <v>30</v>
      </c>
      <c r="F276">
        <v>2025</v>
      </c>
      <c r="G276">
        <f t="shared" si="17"/>
        <v>8</v>
      </c>
      <c r="H276" t="str">
        <f t="shared" si="18"/>
        <v>840 Normandie Ridge</v>
      </c>
      <c r="I276" s="16" cm="1">
        <f t="array" ref="I276">INDEX('OC-Monthly'!$B$7:$N$65,_xlfn.XMATCH($A276,'OC-Monthly'!$A$7:$A$65),_xlfn.XMATCH($B276,'OC-Monthly'!$B$1:$N$1))</f>
        <v>1405082.5195318456</v>
      </c>
      <c r="J276" s="16" cm="1">
        <f t="array" ref="J276">INDEX('OC-Monthly'!$P$7:$AB$65,_xlfn.XMATCH($A276,'OC-Monthly'!$A$7:$A$65),_xlfn.XMATCH($B276,'OC-Monthly'!$P$1:$AB$1))</f>
        <v>1399301.3778720731</v>
      </c>
      <c r="K276" s="1" t="s">
        <v>8</v>
      </c>
      <c r="L276" s="1" t="s">
        <v>7</v>
      </c>
      <c r="M276" s="15">
        <f t="shared" si="19"/>
        <v>0.99588555008021973</v>
      </c>
    </row>
    <row r="277" spans="1:13" x14ac:dyDescent="0.25">
      <c r="A277" t="s">
        <v>30</v>
      </c>
      <c r="B277">
        <v>9</v>
      </c>
      <c r="C277" t="str">
        <f t="shared" si="16"/>
        <v>840</v>
      </c>
      <c r="D277" t="s">
        <v>30</v>
      </c>
      <c r="F277">
        <v>2025</v>
      </c>
      <c r="G277">
        <f t="shared" si="17"/>
        <v>9</v>
      </c>
      <c r="H277" t="str">
        <f t="shared" si="18"/>
        <v>840 Normandie Ridge</v>
      </c>
      <c r="I277" s="16" cm="1">
        <f t="array" ref="I277">INDEX('OC-Monthly'!$B$7:$N$65,_xlfn.XMATCH($A277,'OC-Monthly'!$A$7:$A$65),_xlfn.XMATCH($B277,'OC-Monthly'!$B$1:$N$1))</f>
        <v>1386284.27211293</v>
      </c>
      <c r="J277" s="16" cm="1">
        <f t="array" ref="J277">INDEX('OC-Monthly'!$P$7:$AB$65,_xlfn.XMATCH($A277,'OC-Monthly'!$A$7:$A$65),_xlfn.XMATCH($B277,'OC-Monthly'!$P$1:$AB$1))</f>
        <v>1379604.9613517795</v>
      </c>
      <c r="K277" s="1" t="s">
        <v>8</v>
      </c>
      <c r="L277" s="1" t="s">
        <v>7</v>
      </c>
      <c r="M277" s="15">
        <f t="shared" si="19"/>
        <v>0.99518186067928904</v>
      </c>
    </row>
    <row r="278" spans="1:13" x14ac:dyDescent="0.25">
      <c r="A278" t="s">
        <v>30</v>
      </c>
      <c r="B278">
        <v>10</v>
      </c>
      <c r="C278" t="str">
        <f t="shared" si="16"/>
        <v>840</v>
      </c>
      <c r="D278" t="s">
        <v>30</v>
      </c>
      <c r="F278">
        <v>2025</v>
      </c>
      <c r="G278">
        <f t="shared" si="17"/>
        <v>10</v>
      </c>
      <c r="H278" t="str">
        <f t="shared" si="18"/>
        <v>840 Normandie Ridge</v>
      </c>
      <c r="I278" s="16" cm="1">
        <f t="array" ref="I278">INDEX('OC-Monthly'!$B$7:$N$65,_xlfn.XMATCH($A278,'OC-Monthly'!$A$7:$A$65),_xlfn.XMATCH($B278,'OC-Monthly'!$B$1:$N$1))</f>
        <v>1429333.5695318456</v>
      </c>
      <c r="J278" s="16" cm="1">
        <f t="array" ref="J278">INDEX('OC-Monthly'!$P$7:$AB$65,_xlfn.XMATCH($A278,'OC-Monthly'!$A$7:$A$65),_xlfn.XMATCH($B278,'OC-Monthly'!$P$1:$AB$1))</f>
        <v>1459073.3147602184</v>
      </c>
      <c r="K278" s="1" t="s">
        <v>8</v>
      </c>
      <c r="L278" s="1" t="s">
        <v>7</v>
      </c>
      <c r="M278" s="15">
        <f t="shared" si="19"/>
        <v>1.0208067213016718</v>
      </c>
    </row>
    <row r="279" spans="1:13" x14ac:dyDescent="0.25">
      <c r="A279" t="s">
        <v>30</v>
      </c>
      <c r="B279">
        <v>11</v>
      </c>
      <c r="C279" t="str">
        <f t="shared" si="16"/>
        <v>840</v>
      </c>
      <c r="D279" t="s">
        <v>30</v>
      </c>
      <c r="F279">
        <v>2025</v>
      </c>
      <c r="G279">
        <f t="shared" si="17"/>
        <v>11</v>
      </c>
      <c r="H279" t="str">
        <f t="shared" si="18"/>
        <v>840 Normandie Ridge</v>
      </c>
      <c r="I279" s="16" cm="1">
        <f t="array" ref="I279">INDEX('OC-Monthly'!$B$7:$N$65,_xlfn.XMATCH($A279,'OC-Monthly'!$A$7:$A$65),_xlfn.XMATCH($B279,'OC-Monthly'!$B$1:$N$1))</f>
        <v>1373222.31211293</v>
      </c>
      <c r="J279" s="16" cm="1">
        <f t="array" ref="J279">INDEX('OC-Monthly'!$P$7:$AB$65,_xlfn.XMATCH($A279,'OC-Monthly'!$A$7:$A$65),_xlfn.XMATCH($B279,'OC-Monthly'!$P$1:$AB$1))</f>
        <v>1382654.3465707102</v>
      </c>
      <c r="K279" s="1" t="s">
        <v>8</v>
      </c>
      <c r="L279" s="1" t="s">
        <v>7</v>
      </c>
      <c r="M279" s="15">
        <f t="shared" si="19"/>
        <v>1.0068685415133312</v>
      </c>
    </row>
    <row r="280" spans="1:13" x14ac:dyDescent="0.25">
      <c r="A280" t="s">
        <v>30</v>
      </c>
      <c r="B280">
        <v>12</v>
      </c>
      <c r="C280" t="str">
        <f t="shared" si="16"/>
        <v>840</v>
      </c>
      <c r="D280" t="s">
        <v>30</v>
      </c>
      <c r="F280">
        <v>2025</v>
      </c>
      <c r="G280">
        <f t="shared" si="17"/>
        <v>12</v>
      </c>
      <c r="H280" t="str">
        <f t="shared" si="18"/>
        <v>840 Normandie Ridge</v>
      </c>
      <c r="I280" s="16" cm="1">
        <f t="array" ref="I280">INDEX('OC-Monthly'!$B$7:$N$65,_xlfn.XMATCH($A280,'OC-Monthly'!$A$7:$A$65),_xlfn.XMATCH($B280,'OC-Monthly'!$B$1:$N$1))</f>
        <v>1422827.5695318454</v>
      </c>
      <c r="J280" s="16" cm="1">
        <f t="array" ref="J280">INDEX('OC-Monthly'!$P$7:$AB$65,_xlfn.XMATCH($A280,'OC-Monthly'!$A$7:$A$65),_xlfn.XMATCH($B280,'OC-Monthly'!$P$1:$AB$1))</f>
        <v>1400666.9555433297</v>
      </c>
      <c r="K280" s="1" t="s">
        <v>8</v>
      </c>
      <c r="L280" s="1" t="s">
        <v>7</v>
      </c>
      <c r="M280" s="15">
        <f t="shared" si="19"/>
        <v>0.98442494757407095</v>
      </c>
    </row>
    <row r="281" spans="1:13" x14ac:dyDescent="0.25">
      <c r="A281" t="s">
        <v>31</v>
      </c>
      <c r="B281">
        <v>1</v>
      </c>
      <c r="C281" t="str">
        <f t="shared" si="16"/>
        <v>845</v>
      </c>
      <c r="D281" t="s">
        <v>31</v>
      </c>
      <c r="F281">
        <v>2025</v>
      </c>
      <c r="G281">
        <f t="shared" si="17"/>
        <v>1</v>
      </c>
      <c r="H281" t="str">
        <f t="shared" si="18"/>
        <v>845 Normandie Ridge Home Health</v>
      </c>
      <c r="I281" s="16" cm="1">
        <f t="array" ref="I281">INDEX('OC-Monthly'!$B$7:$N$65,_xlfn.XMATCH($A281,'OC-Monthly'!$A$7:$A$65),_xlfn.XMATCH($B281,'OC-Monthly'!$B$1:$N$1))</f>
        <v>0</v>
      </c>
      <c r="J281" s="16" cm="1">
        <f t="array" ref="J281">INDEX('OC-Monthly'!$P$7:$AB$65,_xlfn.XMATCH($A281,'OC-Monthly'!$A$7:$A$65),_xlfn.XMATCH($B281,'OC-Monthly'!$P$1:$AB$1))</f>
        <v>0</v>
      </c>
      <c r="K281" s="1" t="s">
        <v>8</v>
      </c>
      <c r="L281" s="1" t="s">
        <v>7</v>
      </c>
      <c r="M281" s="15" t="str">
        <f t="shared" si="19"/>
        <v>na</v>
      </c>
    </row>
    <row r="282" spans="1:13" x14ac:dyDescent="0.25">
      <c r="A282" t="s">
        <v>31</v>
      </c>
      <c r="B282">
        <v>2</v>
      </c>
      <c r="C282" t="str">
        <f t="shared" si="16"/>
        <v>845</v>
      </c>
      <c r="D282" t="s">
        <v>31</v>
      </c>
      <c r="F282">
        <v>2025</v>
      </c>
      <c r="G282">
        <f t="shared" si="17"/>
        <v>2</v>
      </c>
      <c r="H282" t="str">
        <f t="shared" si="18"/>
        <v>845 Normandie Ridge Home Health</v>
      </c>
      <c r="I282" s="16" cm="1">
        <f t="array" ref="I282">INDEX('OC-Monthly'!$B$7:$N$65,_xlfn.XMATCH($A282,'OC-Monthly'!$A$7:$A$65),_xlfn.XMATCH($B282,'OC-Monthly'!$B$1:$N$1))</f>
        <v>0</v>
      </c>
      <c r="J282" s="16" cm="1">
        <f t="array" ref="J282">INDEX('OC-Monthly'!$P$7:$AB$65,_xlfn.XMATCH($A282,'OC-Monthly'!$A$7:$A$65),_xlfn.XMATCH($B282,'OC-Monthly'!$P$1:$AB$1))</f>
        <v>0</v>
      </c>
      <c r="K282" s="1" t="s">
        <v>8</v>
      </c>
      <c r="L282" s="1" t="s">
        <v>7</v>
      </c>
      <c r="M282" s="15" t="str">
        <f t="shared" si="19"/>
        <v>na</v>
      </c>
    </row>
    <row r="283" spans="1:13" x14ac:dyDescent="0.25">
      <c r="A283" t="s">
        <v>31</v>
      </c>
      <c r="B283">
        <v>3</v>
      </c>
      <c r="C283" t="str">
        <f t="shared" si="16"/>
        <v>845</v>
      </c>
      <c r="D283" t="s">
        <v>31</v>
      </c>
      <c r="F283">
        <v>2025</v>
      </c>
      <c r="G283">
        <f t="shared" si="17"/>
        <v>3</v>
      </c>
      <c r="H283" t="str">
        <f t="shared" si="18"/>
        <v>845 Normandie Ridge Home Health</v>
      </c>
      <c r="I283" s="16" cm="1">
        <f t="array" ref="I283">INDEX('OC-Monthly'!$B$7:$N$65,_xlfn.XMATCH($A283,'OC-Monthly'!$A$7:$A$65),_xlfn.XMATCH($B283,'OC-Monthly'!$B$1:$N$1))</f>
        <v>0</v>
      </c>
      <c r="J283" s="16" cm="1">
        <f t="array" ref="J283">INDEX('OC-Monthly'!$P$7:$AB$65,_xlfn.XMATCH($A283,'OC-Monthly'!$A$7:$A$65),_xlfn.XMATCH($B283,'OC-Monthly'!$P$1:$AB$1))</f>
        <v>0</v>
      </c>
      <c r="K283" s="1" t="s">
        <v>8</v>
      </c>
      <c r="L283" s="1" t="s">
        <v>7</v>
      </c>
      <c r="M283" s="15" t="str">
        <f t="shared" si="19"/>
        <v>na</v>
      </c>
    </row>
    <row r="284" spans="1:13" x14ac:dyDescent="0.25">
      <c r="A284" t="s">
        <v>31</v>
      </c>
      <c r="B284">
        <v>4</v>
      </c>
      <c r="C284" t="str">
        <f t="shared" si="16"/>
        <v>845</v>
      </c>
      <c r="D284" t="s">
        <v>31</v>
      </c>
      <c r="F284">
        <v>2025</v>
      </c>
      <c r="G284">
        <f t="shared" si="17"/>
        <v>4</v>
      </c>
      <c r="H284" t="str">
        <f t="shared" si="18"/>
        <v>845 Normandie Ridge Home Health</v>
      </c>
      <c r="I284" s="16" cm="1">
        <f t="array" ref="I284">INDEX('OC-Monthly'!$B$7:$N$65,_xlfn.XMATCH($A284,'OC-Monthly'!$A$7:$A$65),_xlfn.XMATCH($B284,'OC-Monthly'!$B$1:$N$1))</f>
        <v>0</v>
      </c>
      <c r="J284" s="16" cm="1">
        <f t="array" ref="J284">INDEX('OC-Monthly'!$P$7:$AB$65,_xlfn.XMATCH($A284,'OC-Monthly'!$A$7:$A$65),_xlfn.XMATCH($B284,'OC-Monthly'!$P$1:$AB$1))</f>
        <v>0</v>
      </c>
      <c r="K284" s="1" t="s">
        <v>8</v>
      </c>
      <c r="L284" s="1" t="s">
        <v>7</v>
      </c>
      <c r="M284" s="15" t="str">
        <f t="shared" si="19"/>
        <v>na</v>
      </c>
    </row>
    <row r="285" spans="1:13" x14ac:dyDescent="0.25">
      <c r="A285" t="s">
        <v>31</v>
      </c>
      <c r="B285">
        <v>5</v>
      </c>
      <c r="C285" t="str">
        <f t="shared" si="16"/>
        <v>845</v>
      </c>
      <c r="D285" t="s">
        <v>31</v>
      </c>
      <c r="F285">
        <v>2025</v>
      </c>
      <c r="G285">
        <f t="shared" si="17"/>
        <v>5</v>
      </c>
      <c r="H285" t="str">
        <f t="shared" si="18"/>
        <v>845 Normandie Ridge Home Health</v>
      </c>
      <c r="I285" s="16" cm="1">
        <f t="array" ref="I285">INDEX('OC-Monthly'!$B$7:$N$65,_xlfn.XMATCH($A285,'OC-Monthly'!$A$7:$A$65),_xlfn.XMATCH($B285,'OC-Monthly'!$B$1:$N$1))</f>
        <v>0</v>
      </c>
      <c r="J285" s="16" cm="1">
        <f t="array" ref="J285">INDEX('OC-Monthly'!$P$7:$AB$65,_xlfn.XMATCH($A285,'OC-Monthly'!$A$7:$A$65),_xlfn.XMATCH($B285,'OC-Monthly'!$P$1:$AB$1))</f>
        <v>0</v>
      </c>
      <c r="K285" s="1" t="s">
        <v>8</v>
      </c>
      <c r="L285" s="1" t="s">
        <v>7</v>
      </c>
      <c r="M285" s="15" t="str">
        <f t="shared" si="19"/>
        <v>na</v>
      </c>
    </row>
    <row r="286" spans="1:13" x14ac:dyDescent="0.25">
      <c r="A286" t="s">
        <v>31</v>
      </c>
      <c r="B286">
        <v>6</v>
      </c>
      <c r="C286" t="str">
        <f t="shared" si="16"/>
        <v>845</v>
      </c>
      <c r="D286" t="s">
        <v>31</v>
      </c>
      <c r="F286">
        <v>2025</v>
      </c>
      <c r="G286">
        <f t="shared" si="17"/>
        <v>6</v>
      </c>
      <c r="H286" t="str">
        <f t="shared" si="18"/>
        <v>845 Normandie Ridge Home Health</v>
      </c>
      <c r="I286" s="16" cm="1">
        <f t="array" ref="I286">INDEX('OC-Monthly'!$B$7:$N$65,_xlfn.XMATCH($A286,'OC-Monthly'!$A$7:$A$65),_xlfn.XMATCH($B286,'OC-Monthly'!$B$1:$N$1))</f>
        <v>0</v>
      </c>
      <c r="J286" s="16" cm="1">
        <f t="array" ref="J286">INDEX('OC-Monthly'!$P$7:$AB$65,_xlfn.XMATCH($A286,'OC-Monthly'!$A$7:$A$65),_xlfn.XMATCH($B286,'OC-Monthly'!$P$1:$AB$1))</f>
        <v>0</v>
      </c>
      <c r="K286" s="1" t="s">
        <v>8</v>
      </c>
      <c r="L286" s="1" t="s">
        <v>7</v>
      </c>
      <c r="M286" s="15" t="str">
        <f t="shared" si="19"/>
        <v>na</v>
      </c>
    </row>
    <row r="287" spans="1:13" x14ac:dyDescent="0.25">
      <c r="A287" t="s">
        <v>31</v>
      </c>
      <c r="B287">
        <v>7</v>
      </c>
      <c r="C287" t="str">
        <f t="shared" si="16"/>
        <v>845</v>
      </c>
      <c r="D287" t="s">
        <v>31</v>
      </c>
      <c r="F287">
        <v>2025</v>
      </c>
      <c r="G287">
        <f t="shared" si="17"/>
        <v>7</v>
      </c>
      <c r="H287" t="str">
        <f t="shared" si="18"/>
        <v>845 Normandie Ridge Home Health</v>
      </c>
      <c r="I287" s="16" cm="1">
        <f t="array" ref="I287">INDEX('OC-Monthly'!$B$7:$N$65,_xlfn.XMATCH($A287,'OC-Monthly'!$A$7:$A$65),_xlfn.XMATCH($B287,'OC-Monthly'!$B$1:$N$1))</f>
        <v>0</v>
      </c>
      <c r="J287" s="16" cm="1">
        <f t="array" ref="J287">INDEX('OC-Monthly'!$P$7:$AB$65,_xlfn.XMATCH($A287,'OC-Monthly'!$A$7:$A$65),_xlfn.XMATCH($B287,'OC-Monthly'!$P$1:$AB$1))</f>
        <v>0</v>
      </c>
      <c r="K287" s="1" t="s">
        <v>8</v>
      </c>
      <c r="L287" s="1" t="s">
        <v>7</v>
      </c>
      <c r="M287" s="15" t="str">
        <f t="shared" si="19"/>
        <v>na</v>
      </c>
    </row>
    <row r="288" spans="1:13" x14ac:dyDescent="0.25">
      <c r="A288" t="s">
        <v>31</v>
      </c>
      <c r="B288">
        <v>8</v>
      </c>
      <c r="C288" t="str">
        <f t="shared" si="16"/>
        <v>845</v>
      </c>
      <c r="D288" t="s">
        <v>31</v>
      </c>
      <c r="F288">
        <v>2025</v>
      </c>
      <c r="G288">
        <f t="shared" si="17"/>
        <v>8</v>
      </c>
      <c r="H288" t="str">
        <f t="shared" si="18"/>
        <v>845 Normandie Ridge Home Health</v>
      </c>
      <c r="I288" s="16" cm="1">
        <f t="array" ref="I288">INDEX('OC-Monthly'!$B$7:$N$65,_xlfn.XMATCH($A288,'OC-Monthly'!$A$7:$A$65),_xlfn.XMATCH($B288,'OC-Monthly'!$B$1:$N$1))</f>
        <v>0</v>
      </c>
      <c r="J288" s="16" cm="1">
        <f t="array" ref="J288">INDEX('OC-Monthly'!$P$7:$AB$65,_xlfn.XMATCH($A288,'OC-Monthly'!$A$7:$A$65),_xlfn.XMATCH($B288,'OC-Monthly'!$P$1:$AB$1))</f>
        <v>0</v>
      </c>
      <c r="K288" s="1" t="s">
        <v>8</v>
      </c>
      <c r="L288" s="1" t="s">
        <v>7</v>
      </c>
      <c r="M288" s="15" t="str">
        <f t="shared" si="19"/>
        <v>na</v>
      </c>
    </row>
    <row r="289" spans="1:13" x14ac:dyDescent="0.25">
      <c r="A289" t="s">
        <v>31</v>
      </c>
      <c r="B289">
        <v>9</v>
      </c>
      <c r="C289" t="str">
        <f t="shared" si="16"/>
        <v>845</v>
      </c>
      <c r="D289" t="s">
        <v>31</v>
      </c>
      <c r="F289">
        <v>2025</v>
      </c>
      <c r="G289">
        <f t="shared" si="17"/>
        <v>9</v>
      </c>
      <c r="H289" t="str">
        <f t="shared" si="18"/>
        <v>845 Normandie Ridge Home Health</v>
      </c>
      <c r="I289" s="16" cm="1">
        <f t="array" ref="I289">INDEX('OC-Monthly'!$B$7:$N$65,_xlfn.XMATCH($A289,'OC-Monthly'!$A$7:$A$65),_xlfn.XMATCH($B289,'OC-Monthly'!$B$1:$N$1))</f>
        <v>0</v>
      </c>
      <c r="J289" s="16" cm="1">
        <f t="array" ref="J289">INDEX('OC-Monthly'!$P$7:$AB$65,_xlfn.XMATCH($A289,'OC-Monthly'!$A$7:$A$65),_xlfn.XMATCH($B289,'OC-Monthly'!$P$1:$AB$1))</f>
        <v>0</v>
      </c>
      <c r="K289" s="1" t="s">
        <v>8</v>
      </c>
      <c r="L289" s="1" t="s">
        <v>7</v>
      </c>
      <c r="M289" s="15" t="str">
        <f t="shared" si="19"/>
        <v>na</v>
      </c>
    </row>
    <row r="290" spans="1:13" x14ac:dyDescent="0.25">
      <c r="A290" t="s">
        <v>31</v>
      </c>
      <c r="B290">
        <v>10</v>
      </c>
      <c r="C290" t="str">
        <f t="shared" si="16"/>
        <v>845</v>
      </c>
      <c r="D290" t="s">
        <v>31</v>
      </c>
      <c r="F290">
        <v>2025</v>
      </c>
      <c r="G290">
        <f t="shared" si="17"/>
        <v>10</v>
      </c>
      <c r="H290" t="str">
        <f t="shared" si="18"/>
        <v>845 Normandie Ridge Home Health</v>
      </c>
      <c r="I290" s="16" cm="1">
        <f t="array" ref="I290">INDEX('OC-Monthly'!$B$7:$N$65,_xlfn.XMATCH($A290,'OC-Monthly'!$A$7:$A$65),_xlfn.XMATCH($B290,'OC-Monthly'!$B$1:$N$1))</f>
        <v>0</v>
      </c>
      <c r="J290" s="16" cm="1">
        <f t="array" ref="J290">INDEX('OC-Monthly'!$P$7:$AB$65,_xlfn.XMATCH($A290,'OC-Monthly'!$A$7:$A$65),_xlfn.XMATCH($B290,'OC-Monthly'!$P$1:$AB$1))</f>
        <v>0</v>
      </c>
      <c r="K290" s="1" t="s">
        <v>8</v>
      </c>
      <c r="L290" s="1" t="s">
        <v>7</v>
      </c>
      <c r="M290" s="15" t="str">
        <f t="shared" si="19"/>
        <v>na</v>
      </c>
    </row>
    <row r="291" spans="1:13" x14ac:dyDescent="0.25">
      <c r="A291" t="s">
        <v>31</v>
      </c>
      <c r="B291">
        <v>11</v>
      </c>
      <c r="C291" t="str">
        <f t="shared" si="16"/>
        <v>845</v>
      </c>
      <c r="D291" t="s">
        <v>31</v>
      </c>
      <c r="F291">
        <v>2025</v>
      </c>
      <c r="G291">
        <f t="shared" si="17"/>
        <v>11</v>
      </c>
      <c r="H291" t="str">
        <f t="shared" si="18"/>
        <v>845 Normandie Ridge Home Health</v>
      </c>
      <c r="I291" s="16" cm="1">
        <f t="array" ref="I291">INDEX('OC-Monthly'!$B$7:$N$65,_xlfn.XMATCH($A291,'OC-Monthly'!$A$7:$A$65),_xlfn.XMATCH($B291,'OC-Monthly'!$B$1:$N$1))</f>
        <v>0</v>
      </c>
      <c r="J291" s="16" cm="1">
        <f t="array" ref="J291">INDEX('OC-Monthly'!$P$7:$AB$65,_xlfn.XMATCH($A291,'OC-Monthly'!$A$7:$A$65),_xlfn.XMATCH($B291,'OC-Monthly'!$P$1:$AB$1))</f>
        <v>0</v>
      </c>
      <c r="K291" s="1" t="s">
        <v>8</v>
      </c>
      <c r="L291" s="1" t="s">
        <v>7</v>
      </c>
      <c r="M291" s="15" t="str">
        <f t="shared" si="19"/>
        <v>na</v>
      </c>
    </row>
    <row r="292" spans="1:13" x14ac:dyDescent="0.25">
      <c r="A292" t="s">
        <v>31</v>
      </c>
      <c r="B292">
        <v>12</v>
      </c>
      <c r="C292" t="str">
        <f t="shared" si="16"/>
        <v>845</v>
      </c>
      <c r="D292" t="s">
        <v>31</v>
      </c>
      <c r="F292">
        <v>2025</v>
      </c>
      <c r="G292">
        <f t="shared" si="17"/>
        <v>12</v>
      </c>
      <c r="H292" t="str">
        <f t="shared" si="18"/>
        <v>845 Normandie Ridge Home Health</v>
      </c>
      <c r="I292" s="16" cm="1">
        <f t="array" ref="I292">INDEX('OC-Monthly'!$B$7:$N$65,_xlfn.XMATCH($A292,'OC-Monthly'!$A$7:$A$65),_xlfn.XMATCH($B292,'OC-Monthly'!$B$1:$N$1))</f>
        <v>0</v>
      </c>
      <c r="J292" s="16" cm="1">
        <f t="array" ref="J292">INDEX('OC-Monthly'!$P$7:$AB$65,_xlfn.XMATCH($A292,'OC-Monthly'!$A$7:$A$65),_xlfn.XMATCH($B292,'OC-Monthly'!$P$1:$AB$1))</f>
        <v>0</v>
      </c>
      <c r="K292" s="1" t="s">
        <v>8</v>
      </c>
      <c r="L292" s="1" t="s">
        <v>7</v>
      </c>
      <c r="M292" s="15" t="str">
        <f t="shared" si="19"/>
        <v>na</v>
      </c>
    </row>
    <row r="293" spans="1:13" x14ac:dyDescent="0.25">
      <c r="A293" t="s">
        <v>57</v>
      </c>
      <c r="B293">
        <v>1</v>
      </c>
      <c r="C293" t="str">
        <f t="shared" si="16"/>
        <v>850</v>
      </c>
      <c r="D293" t="s">
        <v>32</v>
      </c>
      <c r="F293">
        <v>2025</v>
      </c>
      <c r="G293">
        <f t="shared" si="17"/>
        <v>1</v>
      </c>
      <c r="H293" t="str">
        <f t="shared" si="18"/>
        <v>850 Pharmacy</v>
      </c>
      <c r="I293" s="16" cm="1">
        <f t="array" ref="I293">INDEX('OC-Monthly'!$B$7:$N$65,_xlfn.XMATCH($A293,'OC-Monthly'!$A$7:$A$65),_xlfn.XMATCH($B293,'OC-Monthly'!$B$1:$N$1))</f>
        <v>867828.80513999995</v>
      </c>
      <c r="J293" s="16" cm="1">
        <f t="array" ref="J293">INDEX('OC-Monthly'!$P$7:$AB$65,_xlfn.XMATCH($A293,'OC-Monthly'!$A$7:$A$65),_xlfn.XMATCH($B293,'OC-Monthly'!$P$1:$AB$1))</f>
        <v>898121.24152294395</v>
      </c>
      <c r="K293" s="1" t="s">
        <v>8</v>
      </c>
      <c r="L293" s="1" t="s">
        <v>7</v>
      </c>
      <c r="M293" s="15">
        <f t="shared" si="19"/>
        <v>1.0349060047367951</v>
      </c>
    </row>
    <row r="294" spans="1:13" x14ac:dyDescent="0.25">
      <c r="A294" t="s">
        <v>57</v>
      </c>
      <c r="B294">
        <v>2</v>
      </c>
      <c r="C294" t="str">
        <f t="shared" si="16"/>
        <v>850</v>
      </c>
      <c r="D294" t="s">
        <v>32</v>
      </c>
      <c r="F294">
        <v>2025</v>
      </c>
      <c r="G294">
        <f t="shared" si="17"/>
        <v>2</v>
      </c>
      <c r="H294" t="str">
        <f t="shared" si="18"/>
        <v>850 Pharmacy</v>
      </c>
      <c r="I294" s="16" cm="1">
        <f t="array" ref="I294">INDEX('OC-Monthly'!$B$7:$N$65,_xlfn.XMATCH($A294,'OC-Monthly'!$A$7:$A$65),_xlfn.XMATCH($B294,'OC-Monthly'!$B$1:$N$1))</f>
        <v>872523.51913999999</v>
      </c>
      <c r="J294" s="16" cm="1">
        <f t="array" ref="J294">INDEX('OC-Monthly'!$P$7:$AB$65,_xlfn.XMATCH($A294,'OC-Monthly'!$A$7:$A$65),_xlfn.XMATCH($B294,'OC-Monthly'!$P$1:$AB$1))</f>
        <v>875949.18599894922</v>
      </c>
      <c r="K294" s="1" t="s">
        <v>8</v>
      </c>
      <c r="L294" s="1" t="s">
        <v>7</v>
      </c>
      <c r="M294" s="15">
        <f t="shared" si="19"/>
        <v>1.0039261599072147</v>
      </c>
    </row>
    <row r="295" spans="1:13" x14ac:dyDescent="0.25">
      <c r="A295" t="s">
        <v>57</v>
      </c>
      <c r="B295">
        <v>3</v>
      </c>
      <c r="C295" t="str">
        <f t="shared" si="16"/>
        <v>850</v>
      </c>
      <c r="D295" t="s">
        <v>32</v>
      </c>
      <c r="F295">
        <v>2025</v>
      </c>
      <c r="G295">
        <f t="shared" si="17"/>
        <v>3</v>
      </c>
      <c r="H295" t="str">
        <f t="shared" si="18"/>
        <v>850 Pharmacy</v>
      </c>
      <c r="I295" s="16" cm="1">
        <f t="array" ref="I295">INDEX('OC-Monthly'!$B$7:$N$65,_xlfn.XMATCH($A295,'OC-Monthly'!$A$7:$A$65),_xlfn.XMATCH($B295,'OC-Monthly'!$B$1:$N$1))</f>
        <v>898031.31714000006</v>
      </c>
      <c r="J295" s="16" cm="1">
        <f t="array" ref="J295">INDEX('OC-Monthly'!$P$7:$AB$65,_xlfn.XMATCH($A295,'OC-Monthly'!$A$7:$A$65),_xlfn.XMATCH($B295,'OC-Monthly'!$P$1:$AB$1))</f>
        <v>896385.36400892062</v>
      </c>
      <c r="K295" s="1" t="s">
        <v>8</v>
      </c>
      <c r="L295" s="1" t="s">
        <v>7</v>
      </c>
      <c r="M295" s="15">
        <f t="shared" si="19"/>
        <v>0.99816715397373734</v>
      </c>
    </row>
    <row r="296" spans="1:13" x14ac:dyDescent="0.25">
      <c r="A296" t="s">
        <v>57</v>
      </c>
      <c r="B296">
        <v>4</v>
      </c>
      <c r="C296" t="str">
        <f t="shared" si="16"/>
        <v>850</v>
      </c>
      <c r="D296" t="s">
        <v>32</v>
      </c>
      <c r="F296">
        <v>2025</v>
      </c>
      <c r="G296">
        <f t="shared" si="17"/>
        <v>4</v>
      </c>
      <c r="H296" t="str">
        <f t="shared" si="18"/>
        <v>850 Pharmacy</v>
      </c>
      <c r="I296" s="16" cm="1">
        <f t="array" ref="I296">INDEX('OC-Monthly'!$B$7:$N$65,_xlfn.XMATCH($A296,'OC-Monthly'!$A$7:$A$65),_xlfn.XMATCH($B296,'OC-Monthly'!$B$1:$N$1))</f>
        <v>911877.01813999994</v>
      </c>
      <c r="J296" s="16" cm="1">
        <f t="array" ref="J296">INDEX('OC-Monthly'!$P$7:$AB$65,_xlfn.XMATCH($A296,'OC-Monthly'!$A$7:$A$65),_xlfn.XMATCH($B296,'OC-Monthly'!$P$1:$AB$1))</f>
        <v>894275.52431882499</v>
      </c>
      <c r="K296" s="1" t="s">
        <v>8</v>
      </c>
      <c r="L296" s="1" t="s">
        <v>7</v>
      </c>
      <c r="M296" s="15">
        <f t="shared" si="19"/>
        <v>0.98069751351220846</v>
      </c>
    </row>
    <row r="297" spans="1:13" x14ac:dyDescent="0.25">
      <c r="A297" t="s">
        <v>57</v>
      </c>
      <c r="B297">
        <v>5</v>
      </c>
      <c r="C297" t="str">
        <f t="shared" si="16"/>
        <v>850</v>
      </c>
      <c r="D297" t="s">
        <v>32</v>
      </c>
      <c r="F297">
        <v>2025</v>
      </c>
      <c r="G297">
        <f t="shared" si="17"/>
        <v>5</v>
      </c>
      <c r="H297" t="str">
        <f t="shared" si="18"/>
        <v>850 Pharmacy</v>
      </c>
      <c r="I297" s="16" cm="1">
        <f t="array" ref="I297">INDEX('OC-Monthly'!$B$7:$N$65,_xlfn.XMATCH($A297,'OC-Monthly'!$A$7:$A$65),_xlfn.XMATCH($B297,'OC-Monthly'!$B$1:$N$1))</f>
        <v>892071.11814000004</v>
      </c>
      <c r="J297" s="16" cm="1">
        <f t="array" ref="J297">INDEX('OC-Monthly'!$P$7:$AB$65,_xlfn.XMATCH($A297,'OC-Monthly'!$A$7:$A$65),_xlfn.XMATCH($B297,'OC-Monthly'!$P$1:$AB$1))</f>
        <v>905591.8873219206</v>
      </c>
      <c r="K297" s="1" t="s">
        <v>8</v>
      </c>
      <c r="L297" s="1" t="s">
        <v>7</v>
      </c>
      <c r="M297" s="15">
        <f t="shared" si="19"/>
        <v>1.0151566045654654</v>
      </c>
    </row>
    <row r="298" spans="1:13" x14ac:dyDescent="0.25">
      <c r="A298" t="s">
        <v>57</v>
      </c>
      <c r="B298">
        <v>6</v>
      </c>
      <c r="C298" t="str">
        <f t="shared" si="16"/>
        <v>850</v>
      </c>
      <c r="D298" t="s">
        <v>32</v>
      </c>
      <c r="F298">
        <v>2025</v>
      </c>
      <c r="G298">
        <f t="shared" si="17"/>
        <v>6</v>
      </c>
      <c r="H298" t="str">
        <f t="shared" si="18"/>
        <v>850 Pharmacy</v>
      </c>
      <c r="I298" s="16" cm="1">
        <f t="array" ref="I298">INDEX('OC-Monthly'!$B$7:$N$65,_xlfn.XMATCH($A298,'OC-Monthly'!$A$7:$A$65),_xlfn.XMATCH($B298,'OC-Monthly'!$B$1:$N$1))</f>
        <v>917163.48614000005</v>
      </c>
      <c r="J298" s="16" cm="1">
        <f t="array" ref="J298">INDEX('OC-Monthly'!$P$7:$AB$65,_xlfn.XMATCH($A298,'OC-Monthly'!$A$7:$A$65),_xlfn.XMATCH($B298,'OC-Monthly'!$P$1:$AB$1))</f>
        <v>906554.52109882503</v>
      </c>
      <c r="K298" s="1" t="s">
        <v>8</v>
      </c>
      <c r="L298" s="1" t="s">
        <v>7</v>
      </c>
      <c r="M298" s="15">
        <f t="shared" si="19"/>
        <v>0.988432852810327</v>
      </c>
    </row>
    <row r="299" spans="1:13" x14ac:dyDescent="0.25">
      <c r="A299" t="s">
        <v>57</v>
      </c>
      <c r="B299">
        <v>7</v>
      </c>
      <c r="C299" t="str">
        <f t="shared" si="16"/>
        <v>850</v>
      </c>
      <c r="D299" t="s">
        <v>32</v>
      </c>
      <c r="F299">
        <v>2025</v>
      </c>
      <c r="G299">
        <f t="shared" si="17"/>
        <v>7</v>
      </c>
      <c r="H299" t="str">
        <f t="shared" si="18"/>
        <v>850 Pharmacy</v>
      </c>
      <c r="I299" s="16" cm="1">
        <f t="array" ref="I299">INDEX('OC-Monthly'!$B$7:$N$65,_xlfn.XMATCH($A299,'OC-Monthly'!$A$7:$A$65),_xlfn.XMATCH($B299,'OC-Monthly'!$B$1:$N$1))</f>
        <v>905250.33513999998</v>
      </c>
      <c r="J299" s="16" cm="1">
        <f t="array" ref="J299">INDEX('OC-Monthly'!$P$7:$AB$65,_xlfn.XMATCH($A299,'OC-Monthly'!$A$7:$A$65),_xlfn.XMATCH($B299,'OC-Monthly'!$P$1:$AB$1))</f>
        <v>913055.72850092081</v>
      </c>
      <c r="K299" s="1" t="s">
        <v>8</v>
      </c>
      <c r="L299" s="1" t="s">
        <v>7</v>
      </c>
      <c r="M299" s="15">
        <f t="shared" si="19"/>
        <v>1.0086223589850576</v>
      </c>
    </row>
    <row r="300" spans="1:13" x14ac:dyDescent="0.25">
      <c r="A300" t="s">
        <v>57</v>
      </c>
      <c r="B300">
        <v>8</v>
      </c>
      <c r="C300" t="str">
        <f t="shared" si="16"/>
        <v>850</v>
      </c>
      <c r="D300" t="s">
        <v>32</v>
      </c>
      <c r="F300">
        <v>2025</v>
      </c>
      <c r="G300">
        <f t="shared" si="17"/>
        <v>8</v>
      </c>
      <c r="H300" t="str">
        <f t="shared" si="18"/>
        <v>850 Pharmacy</v>
      </c>
      <c r="I300" s="16" cm="1">
        <f t="array" ref="I300">INDEX('OC-Monthly'!$B$7:$N$65,_xlfn.XMATCH($A300,'OC-Monthly'!$A$7:$A$65),_xlfn.XMATCH($B300,'OC-Monthly'!$B$1:$N$1))</f>
        <v>912203.86514000001</v>
      </c>
      <c r="J300" s="16" cm="1">
        <f t="array" ref="J300">INDEX('OC-Monthly'!$P$7:$AB$65,_xlfn.XMATCH($A300,'OC-Monthly'!$A$7:$A$65),_xlfn.XMATCH($B300,'OC-Monthly'!$P$1:$AB$1))</f>
        <v>917008.25146992062</v>
      </c>
      <c r="K300" s="1" t="s">
        <v>8</v>
      </c>
      <c r="L300" s="1" t="s">
        <v>7</v>
      </c>
      <c r="M300" s="15">
        <f t="shared" si="19"/>
        <v>1.005266790148037</v>
      </c>
    </row>
    <row r="301" spans="1:13" x14ac:dyDescent="0.25">
      <c r="A301" t="s">
        <v>57</v>
      </c>
      <c r="B301">
        <v>9</v>
      </c>
      <c r="C301" t="str">
        <f t="shared" si="16"/>
        <v>850</v>
      </c>
      <c r="D301" t="s">
        <v>32</v>
      </c>
      <c r="F301">
        <v>2025</v>
      </c>
      <c r="G301">
        <f t="shared" si="17"/>
        <v>9</v>
      </c>
      <c r="H301" t="str">
        <f t="shared" si="18"/>
        <v>850 Pharmacy</v>
      </c>
      <c r="I301" s="16" cm="1">
        <f t="array" ref="I301">INDEX('OC-Monthly'!$B$7:$N$65,_xlfn.XMATCH($A301,'OC-Monthly'!$A$7:$A$65),_xlfn.XMATCH($B301,'OC-Monthly'!$B$1:$N$1))</f>
        <v>938634.53914000001</v>
      </c>
      <c r="J301" s="16" cm="1">
        <f t="array" ref="J301">INDEX('OC-Monthly'!$P$7:$AB$65,_xlfn.XMATCH($A301,'OC-Monthly'!$A$7:$A$65),_xlfn.XMATCH($B301,'OC-Monthly'!$P$1:$AB$1))</f>
        <v>915451.92367282521</v>
      </c>
      <c r="K301" s="1" t="s">
        <v>8</v>
      </c>
      <c r="L301" s="1" t="s">
        <v>7</v>
      </c>
      <c r="M301" s="15">
        <f t="shared" si="19"/>
        <v>0.97530176602235918</v>
      </c>
    </row>
    <row r="302" spans="1:13" x14ac:dyDescent="0.25">
      <c r="A302" t="s">
        <v>57</v>
      </c>
      <c r="B302">
        <v>10</v>
      </c>
      <c r="C302" t="str">
        <f t="shared" si="16"/>
        <v>850</v>
      </c>
      <c r="D302" t="s">
        <v>32</v>
      </c>
      <c r="F302">
        <v>2025</v>
      </c>
      <c r="G302">
        <f t="shared" si="17"/>
        <v>10</v>
      </c>
      <c r="H302" t="str">
        <f t="shared" si="18"/>
        <v>850 Pharmacy</v>
      </c>
      <c r="I302" s="16" cm="1">
        <f t="array" ref="I302">INDEX('OC-Monthly'!$B$7:$N$65,_xlfn.XMATCH($A302,'OC-Monthly'!$A$7:$A$65),_xlfn.XMATCH($B302,'OC-Monthly'!$B$1:$N$1))</f>
        <v>927042.07213999995</v>
      </c>
      <c r="J302" s="16" cm="1">
        <f t="array" ref="J302">INDEX('OC-Monthly'!$P$7:$AB$65,_xlfn.XMATCH($A302,'OC-Monthly'!$A$7:$A$65),_xlfn.XMATCH($B302,'OC-Monthly'!$P$1:$AB$1))</f>
        <v>946261.94903657003</v>
      </c>
      <c r="K302" s="1" t="s">
        <v>8</v>
      </c>
      <c r="L302" s="1" t="s">
        <v>7</v>
      </c>
      <c r="M302" s="15">
        <f t="shared" si="19"/>
        <v>1.0207324753365321</v>
      </c>
    </row>
    <row r="303" spans="1:13" x14ac:dyDescent="0.25">
      <c r="A303" t="s">
        <v>57</v>
      </c>
      <c r="B303">
        <v>11</v>
      </c>
      <c r="C303" t="str">
        <f t="shared" si="16"/>
        <v>850</v>
      </c>
      <c r="D303" t="s">
        <v>32</v>
      </c>
      <c r="F303">
        <v>2025</v>
      </c>
      <c r="G303">
        <f t="shared" si="17"/>
        <v>11</v>
      </c>
      <c r="H303" t="str">
        <f t="shared" si="18"/>
        <v>850 Pharmacy</v>
      </c>
      <c r="I303" s="16" cm="1">
        <f t="array" ref="I303">INDEX('OC-Monthly'!$B$7:$N$65,_xlfn.XMATCH($A303,'OC-Monthly'!$A$7:$A$65),_xlfn.XMATCH($B303,'OC-Monthly'!$B$1:$N$1))</f>
        <v>932288.02014000004</v>
      </c>
      <c r="J303" s="16" cm="1">
        <f t="array" ref="J303">INDEX('OC-Monthly'!$P$7:$AB$65,_xlfn.XMATCH($A303,'OC-Monthly'!$A$7:$A$65),_xlfn.XMATCH($B303,'OC-Monthly'!$P$1:$AB$1))</f>
        <v>923084.17323348101</v>
      </c>
      <c r="K303" s="1" t="s">
        <v>8</v>
      </c>
      <c r="L303" s="1" t="s">
        <v>7</v>
      </c>
      <c r="M303" s="15">
        <f t="shared" si="19"/>
        <v>0.99012767867044249</v>
      </c>
    </row>
    <row r="304" spans="1:13" x14ac:dyDescent="0.25">
      <c r="A304" t="s">
        <v>57</v>
      </c>
      <c r="B304">
        <v>12</v>
      </c>
      <c r="C304" t="str">
        <f t="shared" si="16"/>
        <v>850</v>
      </c>
      <c r="D304" t="s">
        <v>32</v>
      </c>
      <c r="F304">
        <v>2025</v>
      </c>
      <c r="G304">
        <f t="shared" si="17"/>
        <v>12</v>
      </c>
      <c r="H304" t="str">
        <f t="shared" si="18"/>
        <v>850 Pharmacy</v>
      </c>
      <c r="I304" s="16" cm="1">
        <f t="array" ref="I304">INDEX('OC-Monthly'!$B$7:$N$65,_xlfn.XMATCH($A304,'OC-Monthly'!$A$7:$A$65),_xlfn.XMATCH($B304,'OC-Monthly'!$B$1:$N$1))</f>
        <v>956796.94414000004</v>
      </c>
      <c r="J304" s="16" cm="1">
        <f t="array" ref="J304">INDEX('OC-Monthly'!$P$7:$AB$65,_xlfn.XMATCH($A304,'OC-Monthly'!$A$7:$A$65),_xlfn.XMATCH($B304,'OC-Monthly'!$P$1:$AB$1))</f>
        <v>938974.43023057794</v>
      </c>
      <c r="K304" s="1" t="s">
        <v>8</v>
      </c>
      <c r="L304" s="1" t="s">
        <v>7</v>
      </c>
      <c r="M304" s="15">
        <f t="shared" si="19"/>
        <v>0.98137273115410972</v>
      </c>
    </row>
    <row r="305" spans="1:13" x14ac:dyDescent="0.25">
      <c r="A305" t="s">
        <v>33</v>
      </c>
      <c r="B305">
        <v>1</v>
      </c>
      <c r="C305" t="str">
        <f t="shared" si="16"/>
        <v>851</v>
      </c>
      <c r="D305" t="s">
        <v>33</v>
      </c>
      <c r="F305">
        <v>2025</v>
      </c>
      <c r="G305">
        <f t="shared" si="17"/>
        <v>1</v>
      </c>
      <c r="H305" t="str">
        <f t="shared" si="18"/>
        <v>851 LIFE Lancaster</v>
      </c>
      <c r="I305" s="16" cm="1">
        <f t="array" ref="I305">INDEX('OC-Monthly'!$B$7:$N$65,_xlfn.XMATCH($A305,'OC-Monthly'!$A$7:$A$65),_xlfn.XMATCH($B305,'OC-Monthly'!$B$1:$N$1))</f>
        <v>497322</v>
      </c>
      <c r="J305" s="16" cm="1">
        <f t="array" ref="J305">INDEX('OC-Monthly'!$P$7:$AB$65,_xlfn.XMATCH($A305,'OC-Monthly'!$A$7:$A$65),_xlfn.XMATCH($B305,'OC-Monthly'!$P$1:$AB$1))</f>
        <v>649450.10363848356</v>
      </c>
      <c r="K305" s="1" t="s">
        <v>8</v>
      </c>
      <c r="L305" s="1" t="s">
        <v>7</v>
      </c>
      <c r="M305" s="15">
        <f t="shared" si="19"/>
        <v>1.3058945786401639</v>
      </c>
    </row>
    <row r="306" spans="1:13" x14ac:dyDescent="0.25">
      <c r="A306" t="s">
        <v>33</v>
      </c>
      <c r="B306">
        <v>2</v>
      </c>
      <c r="C306" t="str">
        <f t="shared" si="16"/>
        <v>851</v>
      </c>
      <c r="D306" t="s">
        <v>33</v>
      </c>
      <c r="F306">
        <v>2025</v>
      </c>
      <c r="G306">
        <f t="shared" si="17"/>
        <v>2</v>
      </c>
      <c r="H306" t="str">
        <f t="shared" si="18"/>
        <v>851 LIFE Lancaster</v>
      </c>
      <c r="I306" s="16" cm="1">
        <f t="array" ref="I306">INDEX('OC-Monthly'!$B$7:$N$65,_xlfn.XMATCH($A306,'OC-Monthly'!$A$7:$A$65),_xlfn.XMATCH($B306,'OC-Monthly'!$B$1:$N$1))</f>
        <v>506853</v>
      </c>
      <c r="J306" s="16" cm="1">
        <f t="array" ref="J306">INDEX('OC-Monthly'!$P$7:$AB$65,_xlfn.XMATCH($A306,'OC-Monthly'!$A$7:$A$65),_xlfn.XMATCH($B306,'OC-Monthly'!$P$1:$AB$1))</f>
        <v>636499.6134553114</v>
      </c>
      <c r="K306" s="1" t="s">
        <v>8</v>
      </c>
      <c r="L306" s="1" t="s">
        <v>7</v>
      </c>
      <c r="M306" s="15">
        <f t="shared" si="19"/>
        <v>1.2557874047412394</v>
      </c>
    </row>
    <row r="307" spans="1:13" x14ac:dyDescent="0.25">
      <c r="A307" t="s">
        <v>33</v>
      </c>
      <c r="B307">
        <v>3</v>
      </c>
      <c r="C307" t="str">
        <f t="shared" si="16"/>
        <v>851</v>
      </c>
      <c r="D307" t="s">
        <v>33</v>
      </c>
      <c r="F307">
        <v>2025</v>
      </c>
      <c r="G307">
        <f t="shared" si="17"/>
        <v>3</v>
      </c>
      <c r="H307" t="str">
        <f t="shared" si="18"/>
        <v>851 LIFE Lancaster</v>
      </c>
      <c r="I307" s="16" cm="1">
        <f t="array" ref="I307">INDEX('OC-Monthly'!$B$7:$N$65,_xlfn.XMATCH($A307,'OC-Monthly'!$A$7:$A$65),_xlfn.XMATCH($B307,'OC-Monthly'!$B$1:$N$1))</f>
        <v>516384</v>
      </c>
      <c r="J307" s="16" cm="1">
        <f t="array" ref="J307">INDEX('OC-Monthly'!$P$7:$AB$65,_xlfn.XMATCH($A307,'OC-Monthly'!$A$7:$A$65),_xlfn.XMATCH($B307,'OC-Monthly'!$P$1:$AB$1))</f>
        <v>660715.09843145753</v>
      </c>
      <c r="K307" s="1" t="s">
        <v>8</v>
      </c>
      <c r="L307" s="1" t="s">
        <v>7</v>
      </c>
      <c r="M307" s="15">
        <f t="shared" si="19"/>
        <v>1.2795034285172615</v>
      </c>
    </row>
    <row r="308" spans="1:13" x14ac:dyDescent="0.25">
      <c r="A308" t="s">
        <v>33</v>
      </c>
      <c r="B308">
        <v>4</v>
      </c>
      <c r="C308" t="str">
        <f t="shared" si="16"/>
        <v>851</v>
      </c>
      <c r="D308" t="s">
        <v>33</v>
      </c>
      <c r="F308">
        <v>2025</v>
      </c>
      <c r="G308">
        <f t="shared" si="17"/>
        <v>4</v>
      </c>
      <c r="H308" t="str">
        <f t="shared" si="18"/>
        <v>851 LIFE Lancaster</v>
      </c>
      <c r="I308" s="16" cm="1">
        <f t="array" ref="I308">INDEX('OC-Monthly'!$B$7:$N$65,_xlfn.XMATCH($A308,'OC-Monthly'!$A$7:$A$65),_xlfn.XMATCH($B308,'OC-Monthly'!$B$1:$N$1))</f>
        <v>528779</v>
      </c>
      <c r="J308" s="16" cm="1">
        <f t="array" ref="J308">INDEX('OC-Monthly'!$P$7:$AB$65,_xlfn.XMATCH($A308,'OC-Monthly'!$A$7:$A$65),_xlfn.XMATCH($B308,'OC-Monthly'!$P$1:$AB$1))</f>
        <v>665657.39988928754</v>
      </c>
      <c r="K308" s="1" t="s">
        <v>8</v>
      </c>
      <c r="L308" s="1" t="s">
        <v>7</v>
      </c>
      <c r="M308" s="15">
        <f t="shared" si="19"/>
        <v>1.2588574808933175</v>
      </c>
    </row>
    <row r="309" spans="1:13" x14ac:dyDescent="0.25">
      <c r="A309" t="s">
        <v>33</v>
      </c>
      <c r="B309">
        <v>5</v>
      </c>
      <c r="C309" t="str">
        <f t="shared" si="16"/>
        <v>851</v>
      </c>
      <c r="D309" t="s">
        <v>33</v>
      </c>
      <c r="F309">
        <v>2025</v>
      </c>
      <c r="G309">
        <f t="shared" si="17"/>
        <v>5</v>
      </c>
      <c r="H309" t="str">
        <f t="shared" si="18"/>
        <v>851 LIFE Lancaster</v>
      </c>
      <c r="I309" s="16" cm="1">
        <f t="array" ref="I309">INDEX('OC-Monthly'!$B$7:$N$65,_xlfn.XMATCH($A309,'OC-Monthly'!$A$7:$A$65),_xlfn.XMATCH($B309,'OC-Monthly'!$B$1:$N$1))</f>
        <v>544977</v>
      </c>
      <c r="J309" s="16" cm="1">
        <f t="array" ref="J309">INDEX('OC-Monthly'!$P$7:$AB$65,_xlfn.XMATCH($A309,'OC-Monthly'!$A$7:$A$65),_xlfn.XMATCH($B309,'OC-Monthly'!$P$1:$AB$1))</f>
        <v>674580.21596360451</v>
      </c>
      <c r="K309" s="1" t="s">
        <v>8</v>
      </c>
      <c r="L309" s="1" t="s">
        <v>7</v>
      </c>
      <c r="M309" s="15">
        <f t="shared" si="19"/>
        <v>1.2378141021797333</v>
      </c>
    </row>
    <row r="310" spans="1:13" x14ac:dyDescent="0.25">
      <c r="A310" t="s">
        <v>33</v>
      </c>
      <c r="B310">
        <v>6</v>
      </c>
      <c r="C310" t="str">
        <f t="shared" si="16"/>
        <v>851</v>
      </c>
      <c r="D310" t="s">
        <v>33</v>
      </c>
      <c r="F310">
        <v>2025</v>
      </c>
      <c r="G310">
        <f t="shared" si="17"/>
        <v>6</v>
      </c>
      <c r="H310" t="str">
        <f t="shared" si="18"/>
        <v>851 LIFE Lancaster</v>
      </c>
      <c r="I310" s="16" cm="1">
        <f t="array" ref="I310">INDEX('OC-Monthly'!$B$7:$N$65,_xlfn.XMATCH($A310,'OC-Monthly'!$A$7:$A$65),_xlfn.XMATCH($B310,'OC-Monthly'!$B$1:$N$1))</f>
        <v>554508</v>
      </c>
      <c r="J310" s="16" cm="1">
        <f t="array" ref="J310">INDEX('OC-Monthly'!$P$7:$AB$65,_xlfn.XMATCH($A310,'OC-Monthly'!$A$7:$A$65),_xlfn.XMATCH($B310,'OC-Monthly'!$P$1:$AB$1))</f>
        <v>677482.67906794115</v>
      </c>
      <c r="K310" s="1" t="s">
        <v>8</v>
      </c>
      <c r="L310" s="1" t="s">
        <v>7</v>
      </c>
      <c r="M310" s="15">
        <f t="shared" si="19"/>
        <v>1.2217725967306894</v>
      </c>
    </row>
    <row r="311" spans="1:13" x14ac:dyDescent="0.25">
      <c r="A311" t="s">
        <v>33</v>
      </c>
      <c r="B311">
        <v>7</v>
      </c>
      <c r="C311" t="str">
        <f t="shared" si="16"/>
        <v>851</v>
      </c>
      <c r="D311" t="s">
        <v>33</v>
      </c>
      <c r="F311">
        <v>2025</v>
      </c>
      <c r="G311">
        <f t="shared" si="17"/>
        <v>7</v>
      </c>
      <c r="H311" t="str">
        <f t="shared" si="18"/>
        <v>851 LIFE Lancaster</v>
      </c>
      <c r="I311" s="16" cm="1">
        <f t="array" ref="I311">INDEX('OC-Monthly'!$B$7:$N$65,_xlfn.XMATCH($A311,'OC-Monthly'!$A$7:$A$65),_xlfn.XMATCH($B311,'OC-Monthly'!$B$1:$N$1))</f>
        <v>564039</v>
      </c>
      <c r="J311" s="16" cm="1">
        <f t="array" ref="J311">INDEX('OC-Monthly'!$P$7:$AB$65,_xlfn.XMATCH($A311,'OC-Monthly'!$A$7:$A$65),_xlfn.XMATCH($B311,'OC-Monthly'!$P$1:$AB$1))</f>
        <v>647594.36853304727</v>
      </c>
      <c r="K311" s="1" t="s">
        <v>8</v>
      </c>
      <c r="L311" s="1" t="s">
        <v>7</v>
      </c>
      <c r="M311" s="15">
        <f t="shared" si="19"/>
        <v>1.1481375729923768</v>
      </c>
    </row>
    <row r="312" spans="1:13" x14ac:dyDescent="0.25">
      <c r="A312" t="s">
        <v>33</v>
      </c>
      <c r="B312">
        <v>8</v>
      </c>
      <c r="C312" t="str">
        <f t="shared" si="16"/>
        <v>851</v>
      </c>
      <c r="D312" t="s">
        <v>33</v>
      </c>
      <c r="F312">
        <v>2025</v>
      </c>
      <c r="G312">
        <f t="shared" si="17"/>
        <v>8</v>
      </c>
      <c r="H312" t="str">
        <f t="shared" si="18"/>
        <v>851 LIFE Lancaster</v>
      </c>
      <c r="I312" s="16" cm="1">
        <f t="array" ref="I312">INDEX('OC-Monthly'!$B$7:$N$65,_xlfn.XMATCH($A312,'OC-Monthly'!$A$7:$A$65),_xlfn.XMATCH($B312,'OC-Monthly'!$B$1:$N$1))</f>
        <v>583101</v>
      </c>
      <c r="J312" s="16" cm="1">
        <f t="array" ref="J312">INDEX('OC-Monthly'!$P$7:$AB$65,_xlfn.XMATCH($A312,'OC-Monthly'!$A$7:$A$65),_xlfn.XMATCH($B312,'OC-Monthly'!$P$1:$AB$1))</f>
        <v>657085.52418242034</v>
      </c>
      <c r="K312" s="1" t="s">
        <v>8</v>
      </c>
      <c r="L312" s="1" t="s">
        <v>7</v>
      </c>
      <c r="M312" s="15">
        <f t="shared" si="19"/>
        <v>1.1268811478327432</v>
      </c>
    </row>
    <row r="313" spans="1:13" x14ac:dyDescent="0.25">
      <c r="A313" t="s">
        <v>33</v>
      </c>
      <c r="B313">
        <v>9</v>
      </c>
      <c r="C313" t="str">
        <f t="shared" si="16"/>
        <v>851</v>
      </c>
      <c r="D313" t="s">
        <v>33</v>
      </c>
      <c r="F313">
        <v>2025</v>
      </c>
      <c r="G313">
        <f t="shared" si="17"/>
        <v>9</v>
      </c>
      <c r="H313" t="str">
        <f t="shared" si="18"/>
        <v>851 LIFE Lancaster</v>
      </c>
      <c r="I313" s="16" cm="1">
        <f t="array" ref="I313">INDEX('OC-Monthly'!$B$7:$N$65,_xlfn.XMATCH($A313,'OC-Monthly'!$A$7:$A$65),_xlfn.XMATCH($B313,'OC-Monthly'!$B$1:$N$1))</f>
        <v>602163</v>
      </c>
      <c r="J313" s="16" cm="1">
        <f t="array" ref="J313">INDEX('OC-Monthly'!$P$7:$AB$65,_xlfn.XMATCH($A313,'OC-Monthly'!$A$7:$A$65),_xlfn.XMATCH($B313,'OC-Monthly'!$P$1:$AB$1))</f>
        <v>656714.69322999474</v>
      </c>
      <c r="K313" s="1" t="s">
        <v>8</v>
      </c>
      <c r="L313" s="1" t="s">
        <v>7</v>
      </c>
      <c r="M313" s="15">
        <f t="shared" si="19"/>
        <v>1.0905929013074445</v>
      </c>
    </row>
    <row r="314" spans="1:13" x14ac:dyDescent="0.25">
      <c r="A314" t="s">
        <v>33</v>
      </c>
      <c r="B314">
        <v>10</v>
      </c>
      <c r="C314" t="str">
        <f t="shared" si="16"/>
        <v>851</v>
      </c>
      <c r="D314" t="s">
        <v>33</v>
      </c>
      <c r="F314">
        <v>2025</v>
      </c>
      <c r="G314">
        <f t="shared" si="17"/>
        <v>10</v>
      </c>
      <c r="H314" t="str">
        <f t="shared" si="18"/>
        <v>851 LIFE Lancaster</v>
      </c>
      <c r="I314" s="16" cm="1">
        <f t="array" ref="I314">INDEX('OC-Monthly'!$B$7:$N$65,_xlfn.XMATCH($A314,'OC-Monthly'!$A$7:$A$65),_xlfn.XMATCH($B314,'OC-Monthly'!$B$1:$N$1))</f>
        <v>621225</v>
      </c>
      <c r="J314" s="16" cm="1">
        <f t="array" ref="J314">INDEX('OC-Monthly'!$P$7:$AB$65,_xlfn.XMATCH($A314,'OC-Monthly'!$A$7:$A$65),_xlfn.XMATCH($B314,'OC-Monthly'!$P$1:$AB$1))</f>
        <v>676921.23947880918</v>
      </c>
      <c r="K314" s="1" t="s">
        <v>8</v>
      </c>
      <c r="L314" s="1" t="s">
        <v>7</v>
      </c>
      <c r="M314" s="15">
        <f t="shared" si="19"/>
        <v>1.0896555024005943</v>
      </c>
    </row>
    <row r="315" spans="1:13" x14ac:dyDescent="0.25">
      <c r="A315" t="s">
        <v>33</v>
      </c>
      <c r="B315">
        <v>11</v>
      </c>
      <c r="C315" t="str">
        <f t="shared" si="16"/>
        <v>851</v>
      </c>
      <c r="D315" t="s">
        <v>33</v>
      </c>
      <c r="F315">
        <v>2025</v>
      </c>
      <c r="G315">
        <f t="shared" si="17"/>
        <v>11</v>
      </c>
      <c r="H315" t="str">
        <f t="shared" si="18"/>
        <v>851 LIFE Lancaster</v>
      </c>
      <c r="I315" s="16" cm="1">
        <f t="array" ref="I315">INDEX('OC-Monthly'!$B$7:$N$65,_xlfn.XMATCH($A315,'OC-Monthly'!$A$7:$A$65),_xlfn.XMATCH($B315,'OC-Monthly'!$B$1:$N$1))</f>
        <v>630756</v>
      </c>
      <c r="J315" s="16" cm="1">
        <f t="array" ref="J315">INDEX('OC-Monthly'!$P$7:$AB$65,_xlfn.XMATCH($A315,'OC-Monthly'!$A$7:$A$65),_xlfn.XMATCH($B315,'OC-Monthly'!$P$1:$AB$1))</f>
        <v>670272.34413219278</v>
      </c>
      <c r="K315" s="1" t="s">
        <v>8</v>
      </c>
      <c r="L315" s="1" t="s">
        <v>7</v>
      </c>
      <c r="M315" s="15">
        <f t="shared" si="19"/>
        <v>1.0626491767532815</v>
      </c>
    </row>
    <row r="316" spans="1:13" x14ac:dyDescent="0.25">
      <c r="A316" t="s">
        <v>33</v>
      </c>
      <c r="B316">
        <v>12</v>
      </c>
      <c r="C316" t="str">
        <f t="shared" si="16"/>
        <v>851</v>
      </c>
      <c r="D316" t="s">
        <v>33</v>
      </c>
      <c r="F316">
        <v>2025</v>
      </c>
      <c r="G316">
        <f t="shared" si="17"/>
        <v>12</v>
      </c>
      <c r="H316" t="str">
        <f t="shared" si="18"/>
        <v>851 LIFE Lancaster</v>
      </c>
      <c r="I316" s="16" cm="1">
        <f t="array" ref="I316">INDEX('OC-Monthly'!$B$7:$N$65,_xlfn.XMATCH($A316,'OC-Monthly'!$A$7:$A$65),_xlfn.XMATCH($B316,'OC-Monthly'!$B$1:$N$1))</f>
        <v>640287</v>
      </c>
      <c r="J316" s="16" cm="1">
        <f t="array" ref="J316">INDEX('OC-Monthly'!$P$7:$AB$65,_xlfn.XMATCH($A316,'OC-Monthly'!$A$7:$A$65),_xlfn.XMATCH($B316,'OC-Monthly'!$P$1:$AB$1))</f>
        <v>685102.34341360768</v>
      </c>
      <c r="K316" s="1" t="s">
        <v>8</v>
      </c>
      <c r="L316" s="1" t="s">
        <v>7</v>
      </c>
      <c r="M316" s="15">
        <f t="shared" si="19"/>
        <v>1.0699925867831264</v>
      </c>
    </row>
    <row r="317" spans="1:13" x14ac:dyDescent="0.25">
      <c r="A317" t="s">
        <v>34</v>
      </c>
      <c r="B317">
        <v>1</v>
      </c>
      <c r="C317" t="str">
        <f t="shared" si="16"/>
        <v>852</v>
      </c>
      <c r="D317" t="s">
        <v>34</v>
      </c>
      <c r="F317">
        <v>2025</v>
      </c>
      <c r="G317">
        <f t="shared" si="17"/>
        <v>1</v>
      </c>
      <c r="H317" t="str">
        <f t="shared" si="18"/>
        <v>852 LIFE Lycoming</v>
      </c>
      <c r="I317" s="16" cm="1">
        <f t="array" ref="I317">INDEX('OC-Monthly'!$B$7:$N$65,_xlfn.XMATCH($A317,'OC-Monthly'!$A$7:$A$65),_xlfn.XMATCH($B317,'OC-Monthly'!$B$1:$N$1))</f>
        <v>499184</v>
      </c>
      <c r="J317" s="16" cm="1">
        <f t="array" ref="J317">INDEX('OC-Monthly'!$P$7:$AB$65,_xlfn.XMATCH($A317,'OC-Monthly'!$A$7:$A$65),_xlfn.XMATCH($B317,'OC-Monthly'!$P$1:$AB$1))</f>
        <v>609414.04151558143</v>
      </c>
      <c r="K317" s="1" t="s">
        <v>8</v>
      </c>
      <c r="L317" s="1" t="s">
        <v>7</v>
      </c>
      <c r="M317" s="15">
        <f t="shared" si="19"/>
        <v>1.2208204620251879</v>
      </c>
    </row>
    <row r="318" spans="1:13" x14ac:dyDescent="0.25">
      <c r="A318" t="s">
        <v>34</v>
      </c>
      <c r="B318">
        <v>2</v>
      </c>
      <c r="C318" t="str">
        <f t="shared" si="16"/>
        <v>852</v>
      </c>
      <c r="D318" t="s">
        <v>34</v>
      </c>
      <c r="F318">
        <v>2025</v>
      </c>
      <c r="G318">
        <f t="shared" si="17"/>
        <v>2</v>
      </c>
      <c r="H318" t="str">
        <f t="shared" si="18"/>
        <v>852 LIFE Lycoming</v>
      </c>
      <c r="I318" s="16" cm="1">
        <f t="array" ref="I318">INDEX('OC-Monthly'!$B$7:$N$65,_xlfn.XMATCH($A318,'OC-Monthly'!$A$7:$A$65),_xlfn.XMATCH($B318,'OC-Monthly'!$B$1:$N$1))</f>
        <v>508098</v>
      </c>
      <c r="J318" s="16" cm="1">
        <f t="array" ref="J318">INDEX('OC-Monthly'!$P$7:$AB$65,_xlfn.XMATCH($A318,'OC-Monthly'!$A$7:$A$65),_xlfn.XMATCH($B318,'OC-Monthly'!$P$1:$AB$1))</f>
        <v>592915.74898773537</v>
      </c>
      <c r="K318" s="1" t="s">
        <v>8</v>
      </c>
      <c r="L318" s="1" t="s">
        <v>7</v>
      </c>
      <c r="M318" s="15">
        <f t="shared" si="19"/>
        <v>1.1669318694183708</v>
      </c>
    </row>
    <row r="319" spans="1:13" x14ac:dyDescent="0.25">
      <c r="A319" t="s">
        <v>34</v>
      </c>
      <c r="B319">
        <v>3</v>
      </c>
      <c r="C319" t="str">
        <f t="shared" si="16"/>
        <v>852</v>
      </c>
      <c r="D319" t="s">
        <v>34</v>
      </c>
      <c r="F319">
        <v>2025</v>
      </c>
      <c r="G319">
        <f t="shared" si="17"/>
        <v>3</v>
      </c>
      <c r="H319" t="str">
        <f t="shared" si="18"/>
        <v>852 LIFE Lycoming</v>
      </c>
      <c r="I319" s="16" cm="1">
        <f t="array" ref="I319">INDEX('OC-Monthly'!$B$7:$N$65,_xlfn.XMATCH($A319,'OC-Monthly'!$A$7:$A$65),_xlfn.XMATCH($B319,'OC-Monthly'!$B$1:$N$1))</f>
        <v>517012</v>
      </c>
      <c r="J319" s="16" cm="1">
        <f t="array" ref="J319">INDEX('OC-Monthly'!$P$7:$AB$65,_xlfn.XMATCH($A319,'OC-Monthly'!$A$7:$A$65),_xlfn.XMATCH($B319,'OC-Monthly'!$P$1:$AB$1))</f>
        <v>617965.93312544131</v>
      </c>
      <c r="K319" s="1" t="s">
        <v>8</v>
      </c>
      <c r="L319" s="1" t="s">
        <v>7</v>
      </c>
      <c r="M319" s="15">
        <f t="shared" si="19"/>
        <v>1.1952641972051739</v>
      </c>
    </row>
    <row r="320" spans="1:13" x14ac:dyDescent="0.25">
      <c r="A320" t="s">
        <v>34</v>
      </c>
      <c r="B320">
        <v>4</v>
      </c>
      <c r="C320" t="str">
        <f t="shared" si="16"/>
        <v>852</v>
      </c>
      <c r="D320" t="s">
        <v>34</v>
      </c>
      <c r="F320">
        <v>2025</v>
      </c>
      <c r="G320">
        <f t="shared" si="17"/>
        <v>4</v>
      </c>
      <c r="H320" t="str">
        <f t="shared" si="18"/>
        <v>852 LIFE Lycoming</v>
      </c>
      <c r="I320" s="16" cm="1">
        <f t="array" ref="I320">INDEX('OC-Monthly'!$B$7:$N$65,_xlfn.XMATCH($A320,'OC-Monthly'!$A$7:$A$65),_xlfn.XMATCH($B320,'OC-Monthly'!$B$1:$N$1))</f>
        <v>527478</v>
      </c>
      <c r="J320" s="16" cm="1">
        <f t="array" ref="J320">INDEX('OC-Monthly'!$P$7:$AB$65,_xlfn.XMATCH($A320,'OC-Monthly'!$A$7:$A$65),_xlfn.XMATCH($B320,'OC-Monthly'!$P$1:$AB$1))</f>
        <v>619125.5209993989</v>
      </c>
      <c r="K320" s="1" t="s">
        <v>8</v>
      </c>
      <c r="L320" s="1" t="s">
        <v>7</v>
      </c>
      <c r="M320" s="15">
        <f t="shared" si="19"/>
        <v>1.1737466226068176</v>
      </c>
    </row>
    <row r="321" spans="1:13" x14ac:dyDescent="0.25">
      <c r="A321" t="s">
        <v>34</v>
      </c>
      <c r="B321">
        <v>5</v>
      </c>
      <c r="C321" t="str">
        <f t="shared" si="16"/>
        <v>852</v>
      </c>
      <c r="D321" t="s">
        <v>34</v>
      </c>
      <c r="F321">
        <v>2025</v>
      </c>
      <c r="G321">
        <f t="shared" si="17"/>
        <v>5</v>
      </c>
      <c r="H321" t="str">
        <f t="shared" si="18"/>
        <v>852 LIFE Lycoming</v>
      </c>
      <c r="I321" s="16" cm="1">
        <f t="array" ref="I321">INDEX('OC-Monthly'!$B$7:$N$65,_xlfn.XMATCH($A321,'OC-Monthly'!$A$7:$A$65),_xlfn.XMATCH($B321,'OC-Monthly'!$B$1:$N$1))</f>
        <v>534840</v>
      </c>
      <c r="J321" s="16" cm="1">
        <f t="array" ref="J321">INDEX('OC-Monthly'!$P$7:$AB$65,_xlfn.XMATCH($A321,'OC-Monthly'!$A$7:$A$65),_xlfn.XMATCH($B321,'OC-Monthly'!$P$1:$AB$1))</f>
        <v>625383.89743141294</v>
      </c>
      <c r="K321" s="1" t="s">
        <v>8</v>
      </c>
      <c r="L321" s="1" t="s">
        <v>7</v>
      </c>
      <c r="M321" s="15">
        <f t="shared" si="19"/>
        <v>1.1692915590296404</v>
      </c>
    </row>
    <row r="322" spans="1:13" x14ac:dyDescent="0.25">
      <c r="A322" t="s">
        <v>34</v>
      </c>
      <c r="B322">
        <v>6</v>
      </c>
      <c r="C322" t="str">
        <f t="shared" si="16"/>
        <v>852</v>
      </c>
      <c r="D322" t="s">
        <v>34</v>
      </c>
      <c r="F322">
        <v>2025</v>
      </c>
      <c r="G322">
        <f t="shared" si="17"/>
        <v>6</v>
      </c>
      <c r="H322" t="str">
        <f t="shared" si="18"/>
        <v>852 LIFE Lycoming</v>
      </c>
      <c r="I322" s="16" cm="1">
        <f t="array" ref="I322">INDEX('OC-Monthly'!$B$7:$N$65,_xlfn.XMATCH($A322,'OC-Monthly'!$A$7:$A$65),_xlfn.XMATCH($B322,'OC-Monthly'!$B$1:$N$1))</f>
        <v>552668</v>
      </c>
      <c r="J322" s="16" cm="1">
        <f t="array" ref="J322">INDEX('OC-Monthly'!$P$7:$AB$65,_xlfn.XMATCH($A322,'OC-Monthly'!$A$7:$A$65),_xlfn.XMATCH($B322,'OC-Monthly'!$P$1:$AB$1))</f>
        <v>644682.1024583563</v>
      </c>
      <c r="K322" s="1" t="s">
        <v>8</v>
      </c>
      <c r="L322" s="1" t="s">
        <v>7</v>
      </c>
      <c r="M322" s="15">
        <f t="shared" si="19"/>
        <v>1.1664907366779989</v>
      </c>
    </row>
    <row r="323" spans="1:13" x14ac:dyDescent="0.25">
      <c r="A323" t="s">
        <v>34</v>
      </c>
      <c r="B323">
        <v>7</v>
      </c>
      <c r="C323" t="str">
        <f t="shared" si="16"/>
        <v>852</v>
      </c>
      <c r="D323" t="s">
        <v>34</v>
      </c>
      <c r="F323">
        <v>2025</v>
      </c>
      <c r="G323">
        <f t="shared" si="17"/>
        <v>7</v>
      </c>
      <c r="H323" t="str">
        <f t="shared" si="18"/>
        <v>852 LIFE Lycoming</v>
      </c>
      <c r="I323" s="16" cm="1">
        <f t="array" ref="I323">INDEX('OC-Monthly'!$B$7:$N$65,_xlfn.XMATCH($A323,'OC-Monthly'!$A$7:$A$65),_xlfn.XMATCH($B323,'OC-Monthly'!$B$1:$N$1))</f>
        <v>561582</v>
      </c>
      <c r="J323" s="16" cm="1">
        <f t="array" ref="J323">INDEX('OC-Monthly'!$P$7:$AB$65,_xlfn.XMATCH($A323,'OC-Monthly'!$A$7:$A$65),_xlfn.XMATCH($B323,'OC-Monthly'!$P$1:$AB$1))</f>
        <v>618364.01482526353</v>
      </c>
      <c r="K323" s="1" t="s">
        <v>8</v>
      </c>
      <c r="L323" s="1" t="s">
        <v>7</v>
      </c>
      <c r="M323" s="15">
        <f t="shared" si="19"/>
        <v>1.1011108169871249</v>
      </c>
    </row>
    <row r="324" spans="1:13" x14ac:dyDescent="0.25">
      <c r="A324" t="s">
        <v>34</v>
      </c>
      <c r="B324">
        <v>8</v>
      </c>
      <c r="C324" t="str">
        <f t="shared" si="16"/>
        <v>852</v>
      </c>
      <c r="D324" t="s">
        <v>34</v>
      </c>
      <c r="F324">
        <v>2025</v>
      </c>
      <c r="G324">
        <f t="shared" si="17"/>
        <v>8</v>
      </c>
      <c r="H324" t="str">
        <f t="shared" si="18"/>
        <v>852 LIFE Lycoming</v>
      </c>
      <c r="I324" s="16" cm="1">
        <f t="array" ref="I324">INDEX('OC-Monthly'!$B$7:$N$65,_xlfn.XMATCH($A324,'OC-Monthly'!$A$7:$A$65),_xlfn.XMATCH($B324,'OC-Monthly'!$B$1:$N$1))</f>
        <v>579410</v>
      </c>
      <c r="J324" s="16" cm="1">
        <f t="array" ref="J324">INDEX('OC-Monthly'!$P$7:$AB$65,_xlfn.XMATCH($A324,'OC-Monthly'!$A$7:$A$65),_xlfn.XMATCH($B324,'OC-Monthly'!$P$1:$AB$1))</f>
        <v>622412.79397358536</v>
      </c>
      <c r="K324" s="1" t="s">
        <v>8</v>
      </c>
      <c r="L324" s="1" t="s">
        <v>7</v>
      </c>
      <c r="M324" s="15">
        <f t="shared" si="19"/>
        <v>1.0742182461013536</v>
      </c>
    </row>
    <row r="325" spans="1:13" x14ac:dyDescent="0.25">
      <c r="A325" t="s">
        <v>34</v>
      </c>
      <c r="B325">
        <v>9</v>
      </c>
      <c r="C325" t="str">
        <f t="shared" si="16"/>
        <v>852</v>
      </c>
      <c r="D325" t="s">
        <v>34</v>
      </c>
      <c r="F325">
        <v>2025</v>
      </c>
      <c r="G325">
        <f t="shared" si="17"/>
        <v>9</v>
      </c>
      <c r="H325" t="str">
        <f t="shared" si="18"/>
        <v>852 LIFE Lycoming</v>
      </c>
      <c r="I325" s="16" cm="1">
        <f t="array" ref="I325">INDEX('OC-Monthly'!$B$7:$N$65,_xlfn.XMATCH($A325,'OC-Monthly'!$A$7:$A$65),_xlfn.XMATCH($B325,'OC-Monthly'!$B$1:$N$1))</f>
        <v>597238</v>
      </c>
      <c r="J325" s="16" cm="1">
        <f t="array" ref="J325">INDEX('OC-Monthly'!$P$7:$AB$65,_xlfn.XMATCH($A325,'OC-Monthly'!$A$7:$A$65),_xlfn.XMATCH($B325,'OC-Monthly'!$P$1:$AB$1))</f>
        <v>621058.57274080755</v>
      </c>
      <c r="K325" s="1" t="s">
        <v>8</v>
      </c>
      <c r="L325" s="1" t="s">
        <v>7</v>
      </c>
      <c r="M325" s="15">
        <f t="shared" si="19"/>
        <v>1.0398845564763253</v>
      </c>
    </row>
    <row r="326" spans="1:13" x14ac:dyDescent="0.25">
      <c r="A326" t="s">
        <v>34</v>
      </c>
      <c r="B326">
        <v>10</v>
      </c>
      <c r="C326" t="str">
        <f t="shared" ref="C326:C389" si="20">LEFT(A326,3)</f>
        <v>852</v>
      </c>
      <c r="D326" t="s">
        <v>34</v>
      </c>
      <c r="F326">
        <v>2025</v>
      </c>
      <c r="G326">
        <f t="shared" ref="G326:G389" si="21">B326</f>
        <v>10</v>
      </c>
      <c r="H326" t="str">
        <f t="shared" ref="H326:H389" si="22">D326</f>
        <v>852 LIFE Lycoming</v>
      </c>
      <c r="I326" s="16" cm="1">
        <f t="array" ref="I326">INDEX('OC-Monthly'!$B$7:$N$65,_xlfn.XMATCH($A326,'OC-Monthly'!$A$7:$A$65),_xlfn.XMATCH($B326,'OC-Monthly'!$B$1:$N$1))</f>
        <v>606152</v>
      </c>
      <c r="J326" s="16" cm="1">
        <f t="array" ref="J326">INDEX('OC-Monthly'!$P$7:$AB$65,_xlfn.XMATCH($A326,'OC-Monthly'!$A$7:$A$65),_xlfn.XMATCH($B326,'OC-Monthly'!$P$1:$AB$1))</f>
        <v>633119.02188002679</v>
      </c>
      <c r="K326" s="1" t="s">
        <v>8</v>
      </c>
      <c r="L326" s="1" t="s">
        <v>7</v>
      </c>
      <c r="M326" s="15">
        <f t="shared" ref="M326:M389" si="23">IFERROR(J326/I326,"na")</f>
        <v>1.0444888771793654</v>
      </c>
    </row>
    <row r="327" spans="1:13" x14ac:dyDescent="0.25">
      <c r="A327" t="s">
        <v>34</v>
      </c>
      <c r="B327">
        <v>11</v>
      </c>
      <c r="C327" t="str">
        <f t="shared" si="20"/>
        <v>852</v>
      </c>
      <c r="D327" t="s">
        <v>34</v>
      </c>
      <c r="F327">
        <v>2025</v>
      </c>
      <c r="G327">
        <f t="shared" si="21"/>
        <v>11</v>
      </c>
      <c r="H327" t="str">
        <f t="shared" si="22"/>
        <v>852 LIFE Lycoming</v>
      </c>
      <c r="I327" s="16" cm="1">
        <f t="array" ref="I327">INDEX('OC-Monthly'!$B$7:$N$65,_xlfn.XMATCH($A327,'OC-Monthly'!$A$7:$A$65),_xlfn.XMATCH($B327,'OC-Monthly'!$B$1:$N$1))</f>
        <v>615066</v>
      </c>
      <c r="J327" s="16" cm="1">
        <f t="array" ref="J327">INDEX('OC-Monthly'!$P$7:$AB$65,_xlfn.XMATCH($A327,'OC-Monthly'!$A$7:$A$65),_xlfn.XMATCH($B327,'OC-Monthly'!$P$1:$AB$1))</f>
        <v>624784.6915833297</v>
      </c>
      <c r="K327" s="1" t="s">
        <v>8</v>
      </c>
      <c r="L327" s="1" t="s">
        <v>7</v>
      </c>
      <c r="M327" s="15">
        <f t="shared" si="23"/>
        <v>1.0158010548190433</v>
      </c>
    </row>
    <row r="328" spans="1:13" x14ac:dyDescent="0.25">
      <c r="A328" t="s">
        <v>34</v>
      </c>
      <c r="B328">
        <v>12</v>
      </c>
      <c r="C328" t="str">
        <f t="shared" si="20"/>
        <v>852</v>
      </c>
      <c r="D328" t="s">
        <v>34</v>
      </c>
      <c r="F328">
        <v>2025</v>
      </c>
      <c r="G328">
        <f t="shared" si="21"/>
        <v>12</v>
      </c>
      <c r="H328" t="str">
        <f t="shared" si="22"/>
        <v>852 LIFE Lycoming</v>
      </c>
      <c r="I328" s="16" cm="1">
        <f t="array" ref="I328">INDEX('OC-Monthly'!$B$7:$N$65,_xlfn.XMATCH($A328,'OC-Monthly'!$A$7:$A$65),_xlfn.XMATCH($B328,'OC-Monthly'!$B$1:$N$1))</f>
        <v>623980</v>
      </c>
      <c r="J328" s="16" cm="1">
        <f t="array" ref="J328">INDEX('OC-Monthly'!$P$7:$AB$65,_xlfn.XMATCH($A328,'OC-Monthly'!$A$7:$A$65),_xlfn.XMATCH($B328,'OC-Monthly'!$P$1:$AB$1))</f>
        <v>637514.48479338537</v>
      </c>
      <c r="K328" s="1" t="s">
        <v>8</v>
      </c>
      <c r="L328" s="1" t="s">
        <v>7</v>
      </c>
      <c r="M328" s="15">
        <f t="shared" si="23"/>
        <v>1.0216905746873062</v>
      </c>
    </row>
    <row r="329" spans="1:13" x14ac:dyDescent="0.25">
      <c r="A329" t="s">
        <v>35</v>
      </c>
      <c r="B329">
        <v>1</v>
      </c>
      <c r="C329" t="str">
        <f t="shared" si="20"/>
        <v>853</v>
      </c>
      <c r="D329" t="s">
        <v>35</v>
      </c>
      <c r="F329">
        <v>2025</v>
      </c>
      <c r="G329">
        <f t="shared" si="21"/>
        <v>1</v>
      </c>
      <c r="H329" t="str">
        <f t="shared" si="22"/>
        <v>853 LIFE Lebanon</v>
      </c>
      <c r="I329" s="16" cm="1">
        <f t="array" ref="I329">INDEX('OC-Monthly'!$B$7:$N$65,_xlfn.XMATCH($A329,'OC-Monthly'!$A$7:$A$65),_xlfn.XMATCH($B329,'OC-Monthly'!$B$1:$N$1))</f>
        <v>371725.97</v>
      </c>
      <c r="J329" s="16" cm="1">
        <f t="array" ref="J329">INDEX('OC-Monthly'!$P$7:$AB$65,_xlfn.XMATCH($A329,'OC-Monthly'!$A$7:$A$65),_xlfn.XMATCH($B329,'OC-Monthly'!$P$1:$AB$1))</f>
        <v>401444.13086817233</v>
      </c>
      <c r="K329" s="1" t="s">
        <v>8</v>
      </c>
      <c r="L329" s="1" t="s">
        <v>7</v>
      </c>
      <c r="M329" s="15">
        <f t="shared" si="23"/>
        <v>1.0799464209298382</v>
      </c>
    </row>
    <row r="330" spans="1:13" x14ac:dyDescent="0.25">
      <c r="A330" t="s">
        <v>35</v>
      </c>
      <c r="B330">
        <v>2</v>
      </c>
      <c r="C330" t="str">
        <f t="shared" si="20"/>
        <v>853</v>
      </c>
      <c r="D330" t="s">
        <v>35</v>
      </c>
      <c r="F330">
        <v>2025</v>
      </c>
      <c r="G330">
        <f t="shared" si="21"/>
        <v>2</v>
      </c>
      <c r="H330" t="str">
        <f t="shared" si="22"/>
        <v>853 LIFE Lebanon</v>
      </c>
      <c r="I330" s="16" cm="1">
        <f t="array" ref="I330">INDEX('OC-Monthly'!$B$7:$N$65,_xlfn.XMATCH($A330,'OC-Monthly'!$A$7:$A$65),_xlfn.XMATCH($B330,'OC-Monthly'!$B$1:$N$1))</f>
        <v>380920.26</v>
      </c>
      <c r="J330" s="16" cm="1">
        <f t="array" ref="J330">INDEX('OC-Monthly'!$P$7:$AB$65,_xlfn.XMATCH($A330,'OC-Monthly'!$A$7:$A$65),_xlfn.XMATCH($B330,'OC-Monthly'!$P$1:$AB$1))</f>
        <v>391302.25584099122</v>
      </c>
      <c r="K330" s="1" t="s">
        <v>8</v>
      </c>
      <c r="L330" s="1" t="s">
        <v>7</v>
      </c>
      <c r="M330" s="15">
        <f t="shared" si="23"/>
        <v>1.0272550371591975</v>
      </c>
    </row>
    <row r="331" spans="1:13" x14ac:dyDescent="0.25">
      <c r="A331" t="s">
        <v>35</v>
      </c>
      <c r="B331">
        <v>3</v>
      </c>
      <c r="C331" t="str">
        <f t="shared" si="20"/>
        <v>853</v>
      </c>
      <c r="D331" t="s">
        <v>35</v>
      </c>
      <c r="F331">
        <v>2025</v>
      </c>
      <c r="G331">
        <f t="shared" si="21"/>
        <v>3</v>
      </c>
      <c r="H331" t="str">
        <f t="shared" si="22"/>
        <v>853 LIFE Lebanon</v>
      </c>
      <c r="I331" s="16" cm="1">
        <f t="array" ref="I331">INDEX('OC-Monthly'!$B$7:$N$65,_xlfn.XMATCH($A331,'OC-Monthly'!$A$7:$A$65),_xlfn.XMATCH($B331,'OC-Monthly'!$B$1:$N$1))</f>
        <v>434079.97</v>
      </c>
      <c r="J331" s="16" cm="1">
        <f t="array" ref="J331">INDEX('OC-Monthly'!$P$7:$AB$65,_xlfn.XMATCH($A331,'OC-Monthly'!$A$7:$A$65),_xlfn.XMATCH($B331,'OC-Monthly'!$P$1:$AB$1))</f>
        <v>430147.49139757699</v>
      </c>
      <c r="K331" s="1" t="s">
        <v>8</v>
      </c>
      <c r="L331" s="1" t="s">
        <v>7</v>
      </c>
      <c r="M331" s="15">
        <f t="shared" si="23"/>
        <v>0.99094065869378178</v>
      </c>
    </row>
    <row r="332" spans="1:13" x14ac:dyDescent="0.25">
      <c r="A332" t="s">
        <v>35</v>
      </c>
      <c r="B332">
        <v>4</v>
      </c>
      <c r="C332" t="str">
        <f t="shared" si="20"/>
        <v>853</v>
      </c>
      <c r="D332" t="s">
        <v>35</v>
      </c>
      <c r="F332">
        <v>2025</v>
      </c>
      <c r="G332">
        <f t="shared" si="21"/>
        <v>4</v>
      </c>
      <c r="H332" t="str">
        <f t="shared" si="22"/>
        <v>853 LIFE Lebanon</v>
      </c>
      <c r="I332" s="16" cm="1">
        <f t="array" ref="I332">INDEX('OC-Monthly'!$B$7:$N$65,_xlfn.XMATCH($A332,'OC-Monthly'!$A$7:$A$65),_xlfn.XMATCH($B332,'OC-Monthly'!$B$1:$N$1))</f>
        <v>401453.06</v>
      </c>
      <c r="J332" s="16" cm="1">
        <f t="array" ref="J332">INDEX('OC-Monthly'!$P$7:$AB$65,_xlfn.XMATCH($A332,'OC-Monthly'!$A$7:$A$65),_xlfn.XMATCH($B332,'OC-Monthly'!$P$1:$AB$1))</f>
        <v>413480.29765504651</v>
      </c>
      <c r="K332" s="1" t="s">
        <v>8</v>
      </c>
      <c r="L332" s="1" t="s">
        <v>7</v>
      </c>
      <c r="M332" s="15">
        <f t="shared" si="23"/>
        <v>1.0299592626222516</v>
      </c>
    </row>
    <row r="333" spans="1:13" x14ac:dyDescent="0.25">
      <c r="A333" t="s">
        <v>35</v>
      </c>
      <c r="B333">
        <v>5</v>
      </c>
      <c r="C333" t="str">
        <f t="shared" si="20"/>
        <v>853</v>
      </c>
      <c r="D333" t="s">
        <v>35</v>
      </c>
      <c r="F333">
        <v>2025</v>
      </c>
      <c r="G333">
        <f t="shared" si="21"/>
        <v>5</v>
      </c>
      <c r="H333" t="str">
        <f t="shared" si="22"/>
        <v>853 LIFE Lebanon</v>
      </c>
      <c r="I333" s="16" cm="1">
        <f t="array" ref="I333">INDEX('OC-Monthly'!$B$7:$N$65,_xlfn.XMATCH($A333,'OC-Monthly'!$A$7:$A$65),_xlfn.XMATCH($B333,'OC-Monthly'!$B$1:$N$1))</f>
        <v>410433.97</v>
      </c>
      <c r="J333" s="16" cm="1">
        <f t="array" ref="J333">INDEX('OC-Monthly'!$P$7:$AB$65,_xlfn.XMATCH($A333,'OC-Monthly'!$A$7:$A$65),_xlfn.XMATCH($B333,'OC-Monthly'!$P$1:$AB$1))</f>
        <v>424951.14091488352</v>
      </c>
      <c r="K333" s="1" t="s">
        <v>8</v>
      </c>
      <c r="L333" s="1" t="s">
        <v>7</v>
      </c>
      <c r="M333" s="15">
        <f t="shared" si="23"/>
        <v>1.035370295774698</v>
      </c>
    </row>
    <row r="334" spans="1:13" x14ac:dyDescent="0.25">
      <c r="A334" t="s">
        <v>35</v>
      </c>
      <c r="B334">
        <v>6</v>
      </c>
      <c r="C334" t="str">
        <f t="shared" si="20"/>
        <v>853</v>
      </c>
      <c r="D334" t="s">
        <v>35</v>
      </c>
      <c r="F334">
        <v>2025</v>
      </c>
      <c r="G334">
        <f t="shared" si="21"/>
        <v>6</v>
      </c>
      <c r="H334" t="str">
        <f t="shared" si="22"/>
        <v>853 LIFE Lebanon</v>
      </c>
      <c r="I334" s="16" cm="1">
        <f t="array" ref="I334">INDEX('OC-Monthly'!$B$7:$N$65,_xlfn.XMATCH($A334,'OC-Monthly'!$A$7:$A$65),_xlfn.XMATCH($B334,'OC-Monthly'!$B$1:$N$1))</f>
        <v>419950.06</v>
      </c>
      <c r="J334" s="16" cm="1">
        <f t="array" ref="J334">INDEX('OC-Monthly'!$P$7:$AB$65,_xlfn.XMATCH($A334,'OC-Monthly'!$A$7:$A$65),_xlfn.XMATCH($B334,'OC-Monthly'!$P$1:$AB$1))</f>
        <v>413218.33304376859</v>
      </c>
      <c r="K334" s="1" t="s">
        <v>8</v>
      </c>
      <c r="L334" s="1" t="s">
        <v>7</v>
      </c>
      <c r="M334" s="15">
        <f t="shared" si="23"/>
        <v>0.98397017265283537</v>
      </c>
    </row>
    <row r="335" spans="1:13" x14ac:dyDescent="0.25">
      <c r="A335" t="s">
        <v>35</v>
      </c>
      <c r="B335">
        <v>7</v>
      </c>
      <c r="C335" t="str">
        <f t="shared" si="20"/>
        <v>853</v>
      </c>
      <c r="D335" t="s">
        <v>35</v>
      </c>
      <c r="F335">
        <v>2025</v>
      </c>
      <c r="G335">
        <f t="shared" si="21"/>
        <v>7</v>
      </c>
      <c r="H335" t="str">
        <f t="shared" si="22"/>
        <v>853 LIFE Lebanon</v>
      </c>
      <c r="I335" s="16" cm="1">
        <f t="array" ref="I335">INDEX('OC-Monthly'!$B$7:$N$65,_xlfn.XMATCH($A335,'OC-Monthly'!$A$7:$A$65),_xlfn.XMATCH($B335,'OC-Monthly'!$B$1:$N$1))</f>
        <v>429787.97</v>
      </c>
      <c r="J335" s="16" cm="1">
        <f t="array" ref="J335">INDEX('OC-Monthly'!$P$7:$AB$65,_xlfn.XMATCH($A335,'OC-Monthly'!$A$7:$A$65),_xlfn.XMATCH($B335,'OC-Monthly'!$P$1:$AB$1))</f>
        <v>423490.42502173886</v>
      </c>
      <c r="K335" s="1" t="s">
        <v>8</v>
      </c>
      <c r="L335" s="1" t="s">
        <v>7</v>
      </c>
      <c r="M335" s="15">
        <f t="shared" si="23"/>
        <v>0.98534732142860793</v>
      </c>
    </row>
    <row r="336" spans="1:13" x14ac:dyDescent="0.25">
      <c r="A336" t="s">
        <v>35</v>
      </c>
      <c r="B336">
        <v>8</v>
      </c>
      <c r="C336" t="str">
        <f t="shared" si="20"/>
        <v>853</v>
      </c>
      <c r="D336" t="s">
        <v>35</v>
      </c>
      <c r="F336">
        <v>2025</v>
      </c>
      <c r="G336">
        <f t="shared" si="21"/>
        <v>8</v>
      </c>
      <c r="H336" t="str">
        <f t="shared" si="22"/>
        <v>853 LIFE Lebanon</v>
      </c>
      <c r="I336" s="16" cm="1">
        <f t="array" ref="I336">INDEX('OC-Monthly'!$B$7:$N$65,_xlfn.XMATCH($A336,'OC-Monthly'!$A$7:$A$65),_xlfn.XMATCH($B336,'OC-Monthly'!$B$1:$N$1))</f>
        <v>439464.97</v>
      </c>
      <c r="J336" s="16" cm="1">
        <f t="array" ref="J336">INDEX('OC-Monthly'!$P$7:$AB$65,_xlfn.XMATCH($A336,'OC-Monthly'!$A$7:$A$65),_xlfn.XMATCH($B336,'OC-Monthly'!$P$1:$AB$1))</f>
        <v>424664.47490901826</v>
      </c>
      <c r="K336" s="1" t="s">
        <v>8</v>
      </c>
      <c r="L336" s="1" t="s">
        <v>7</v>
      </c>
      <c r="M336" s="15">
        <f t="shared" si="23"/>
        <v>0.96632155893794736</v>
      </c>
    </row>
    <row r="337" spans="1:13" x14ac:dyDescent="0.25">
      <c r="A337" t="s">
        <v>35</v>
      </c>
      <c r="B337">
        <v>9</v>
      </c>
      <c r="C337" t="str">
        <f t="shared" si="20"/>
        <v>853</v>
      </c>
      <c r="D337" t="s">
        <v>35</v>
      </c>
      <c r="F337">
        <v>2025</v>
      </c>
      <c r="G337">
        <f t="shared" si="21"/>
        <v>9</v>
      </c>
      <c r="H337" t="str">
        <f t="shared" si="22"/>
        <v>853 LIFE Lebanon</v>
      </c>
      <c r="I337" s="16" cm="1">
        <f t="array" ref="I337">INDEX('OC-Monthly'!$B$7:$N$65,_xlfn.XMATCH($A337,'OC-Monthly'!$A$7:$A$65),_xlfn.XMATCH($B337,'OC-Monthly'!$B$1:$N$1))</f>
        <v>448981.06</v>
      </c>
      <c r="J337" s="16" cm="1">
        <f t="array" ref="J337">INDEX('OC-Monthly'!$P$7:$AB$65,_xlfn.XMATCH($A337,'OC-Monthly'!$A$7:$A$65),_xlfn.XMATCH($B337,'OC-Monthly'!$P$1:$AB$1))</f>
        <v>427011.35754457006</v>
      </c>
      <c r="K337" s="1" t="s">
        <v>8</v>
      </c>
      <c r="L337" s="1" t="s">
        <v>7</v>
      </c>
      <c r="M337" s="15">
        <f t="shared" si="23"/>
        <v>0.95106764090353846</v>
      </c>
    </row>
    <row r="338" spans="1:13" x14ac:dyDescent="0.25">
      <c r="A338" t="s">
        <v>35</v>
      </c>
      <c r="B338">
        <v>10</v>
      </c>
      <c r="C338" t="str">
        <f t="shared" si="20"/>
        <v>853</v>
      </c>
      <c r="D338" t="s">
        <v>35</v>
      </c>
      <c r="F338">
        <v>2025</v>
      </c>
      <c r="G338">
        <f t="shared" si="21"/>
        <v>10</v>
      </c>
      <c r="H338" t="str">
        <f t="shared" si="22"/>
        <v>853 LIFE Lebanon</v>
      </c>
      <c r="I338" s="16" cm="1">
        <f t="array" ref="I338">INDEX('OC-Monthly'!$B$7:$N$65,_xlfn.XMATCH($A338,'OC-Monthly'!$A$7:$A$65),_xlfn.XMATCH($B338,'OC-Monthly'!$B$1:$N$1))</f>
        <v>458818.97</v>
      </c>
      <c r="J338" s="16" cm="1">
        <f t="array" ref="J338">INDEX('OC-Monthly'!$P$7:$AB$65,_xlfn.XMATCH($A338,'OC-Monthly'!$A$7:$A$65),_xlfn.XMATCH($B338,'OC-Monthly'!$P$1:$AB$1))</f>
        <v>432374.5384192816</v>
      </c>
      <c r="K338" s="1" t="s">
        <v>8</v>
      </c>
      <c r="L338" s="1" t="s">
        <v>7</v>
      </c>
      <c r="M338" s="15">
        <f t="shared" si="23"/>
        <v>0.94236412766299005</v>
      </c>
    </row>
    <row r="339" spans="1:13" x14ac:dyDescent="0.25">
      <c r="A339" t="s">
        <v>35</v>
      </c>
      <c r="B339">
        <v>11</v>
      </c>
      <c r="C339" t="str">
        <f t="shared" si="20"/>
        <v>853</v>
      </c>
      <c r="D339" t="s">
        <v>35</v>
      </c>
      <c r="F339">
        <v>2025</v>
      </c>
      <c r="G339">
        <f t="shared" si="21"/>
        <v>11</v>
      </c>
      <c r="H339" t="str">
        <f t="shared" si="22"/>
        <v>853 LIFE Lebanon</v>
      </c>
      <c r="I339" s="16" cm="1">
        <f t="array" ref="I339">INDEX('OC-Monthly'!$B$7:$N$65,_xlfn.XMATCH($A339,'OC-Monthly'!$A$7:$A$65),_xlfn.XMATCH($B339,'OC-Monthly'!$B$1:$N$1))</f>
        <v>468335.06</v>
      </c>
      <c r="J339" s="16" cm="1">
        <f t="array" ref="J339">INDEX('OC-Monthly'!$P$7:$AB$65,_xlfn.XMATCH($A339,'OC-Monthly'!$A$7:$A$65),_xlfn.XMATCH($B339,'OC-Monthly'!$P$1:$AB$1))</f>
        <v>428337.97800043586</v>
      </c>
      <c r="K339" s="1" t="s">
        <v>8</v>
      </c>
      <c r="L339" s="1" t="s">
        <v>7</v>
      </c>
      <c r="M339" s="15">
        <f t="shared" si="23"/>
        <v>0.91459729280237068</v>
      </c>
    </row>
    <row r="340" spans="1:13" x14ac:dyDescent="0.25">
      <c r="A340" t="s">
        <v>35</v>
      </c>
      <c r="B340">
        <v>12</v>
      </c>
      <c r="C340" t="str">
        <f t="shared" si="20"/>
        <v>853</v>
      </c>
      <c r="D340" t="s">
        <v>35</v>
      </c>
      <c r="F340">
        <v>2025</v>
      </c>
      <c r="G340">
        <f t="shared" si="21"/>
        <v>12</v>
      </c>
      <c r="H340" t="str">
        <f t="shared" si="22"/>
        <v>853 LIFE Lebanon</v>
      </c>
      <c r="I340" s="16" cm="1">
        <f t="array" ref="I340">INDEX('OC-Monthly'!$B$7:$N$65,_xlfn.XMATCH($A340,'OC-Monthly'!$A$7:$A$65),_xlfn.XMATCH($B340,'OC-Monthly'!$B$1:$N$1))</f>
        <v>478172.97</v>
      </c>
      <c r="J340" s="16" cm="1">
        <f t="array" ref="J340">INDEX('OC-Monthly'!$P$7:$AB$65,_xlfn.XMATCH($A340,'OC-Monthly'!$A$7:$A$65),_xlfn.XMATCH($B340,'OC-Monthly'!$P$1:$AB$1))</f>
        <v>433971.05887514737</v>
      </c>
      <c r="K340" s="1" t="s">
        <v>8</v>
      </c>
      <c r="L340" s="1" t="s">
        <v>7</v>
      </c>
      <c r="M340" s="15">
        <f t="shared" si="23"/>
        <v>0.90756083279895017</v>
      </c>
    </row>
    <row r="341" spans="1:13" x14ac:dyDescent="0.25">
      <c r="A341" t="s">
        <v>36</v>
      </c>
      <c r="B341">
        <v>1</v>
      </c>
      <c r="C341" t="str">
        <f t="shared" si="20"/>
        <v>854</v>
      </c>
      <c r="D341" t="s">
        <v>36</v>
      </c>
      <c r="F341">
        <v>2025</v>
      </c>
      <c r="G341">
        <f t="shared" si="21"/>
        <v>1</v>
      </c>
      <c r="H341" t="str">
        <f t="shared" si="22"/>
        <v>854 LIFE Chester</v>
      </c>
      <c r="I341" s="16" cm="1">
        <f t="array" ref="I341">INDEX('OC-Monthly'!$B$7:$N$65,_xlfn.XMATCH($A341,'OC-Monthly'!$A$7:$A$65),_xlfn.XMATCH($B341,'OC-Monthly'!$B$1:$N$1))</f>
        <v>0</v>
      </c>
      <c r="J341" s="16" cm="1">
        <f t="array" ref="J341">INDEX('OC-Monthly'!$P$7:$AB$65,_xlfn.XMATCH($A341,'OC-Monthly'!$A$7:$A$65),_xlfn.XMATCH($B341,'OC-Monthly'!$P$1:$AB$1))</f>
        <v>0</v>
      </c>
      <c r="K341" s="1" t="s">
        <v>8</v>
      </c>
      <c r="L341" s="1" t="s">
        <v>7</v>
      </c>
      <c r="M341" s="15" t="str">
        <f t="shared" si="23"/>
        <v>na</v>
      </c>
    </row>
    <row r="342" spans="1:13" x14ac:dyDescent="0.25">
      <c r="A342" t="s">
        <v>36</v>
      </c>
      <c r="B342">
        <v>2</v>
      </c>
      <c r="C342" t="str">
        <f t="shared" si="20"/>
        <v>854</v>
      </c>
      <c r="D342" t="s">
        <v>36</v>
      </c>
      <c r="F342">
        <v>2025</v>
      </c>
      <c r="G342">
        <f t="shared" si="21"/>
        <v>2</v>
      </c>
      <c r="H342" t="str">
        <f t="shared" si="22"/>
        <v>854 LIFE Chester</v>
      </c>
      <c r="I342" s="16" cm="1">
        <f t="array" ref="I342">INDEX('OC-Monthly'!$B$7:$N$65,_xlfn.XMATCH($A342,'OC-Monthly'!$A$7:$A$65),_xlfn.XMATCH($B342,'OC-Monthly'!$B$1:$N$1))</f>
        <v>0</v>
      </c>
      <c r="J342" s="16" cm="1">
        <f t="array" ref="J342">INDEX('OC-Monthly'!$P$7:$AB$65,_xlfn.XMATCH($A342,'OC-Monthly'!$A$7:$A$65),_xlfn.XMATCH($B342,'OC-Monthly'!$P$1:$AB$1))</f>
        <v>0</v>
      </c>
      <c r="K342" s="1" t="s">
        <v>8</v>
      </c>
      <c r="L342" s="1" t="s">
        <v>7</v>
      </c>
      <c r="M342" s="15" t="str">
        <f t="shared" si="23"/>
        <v>na</v>
      </c>
    </row>
    <row r="343" spans="1:13" x14ac:dyDescent="0.25">
      <c r="A343" t="s">
        <v>36</v>
      </c>
      <c r="B343">
        <v>3</v>
      </c>
      <c r="C343" t="str">
        <f t="shared" si="20"/>
        <v>854</v>
      </c>
      <c r="D343" t="s">
        <v>36</v>
      </c>
      <c r="F343">
        <v>2025</v>
      </c>
      <c r="G343">
        <f t="shared" si="21"/>
        <v>3</v>
      </c>
      <c r="H343" t="str">
        <f t="shared" si="22"/>
        <v>854 LIFE Chester</v>
      </c>
      <c r="I343" s="16" cm="1">
        <f t="array" ref="I343">INDEX('OC-Monthly'!$B$7:$N$65,_xlfn.XMATCH($A343,'OC-Monthly'!$A$7:$A$65),_xlfn.XMATCH($B343,'OC-Monthly'!$B$1:$N$1))</f>
        <v>0</v>
      </c>
      <c r="J343" s="16" cm="1">
        <f t="array" ref="J343">INDEX('OC-Monthly'!$P$7:$AB$65,_xlfn.XMATCH($A343,'OC-Monthly'!$A$7:$A$65),_xlfn.XMATCH($B343,'OC-Monthly'!$P$1:$AB$1))</f>
        <v>0</v>
      </c>
      <c r="K343" s="1" t="s">
        <v>8</v>
      </c>
      <c r="L343" s="1" t="s">
        <v>7</v>
      </c>
      <c r="M343" s="15" t="str">
        <f t="shared" si="23"/>
        <v>na</v>
      </c>
    </row>
    <row r="344" spans="1:13" x14ac:dyDescent="0.25">
      <c r="A344" t="s">
        <v>36</v>
      </c>
      <c r="B344">
        <v>4</v>
      </c>
      <c r="C344" t="str">
        <f t="shared" si="20"/>
        <v>854</v>
      </c>
      <c r="D344" t="s">
        <v>36</v>
      </c>
      <c r="F344">
        <v>2025</v>
      </c>
      <c r="G344">
        <f t="shared" si="21"/>
        <v>4</v>
      </c>
      <c r="H344" t="str">
        <f t="shared" si="22"/>
        <v>854 LIFE Chester</v>
      </c>
      <c r="I344" s="16" cm="1">
        <f t="array" ref="I344">INDEX('OC-Monthly'!$B$7:$N$65,_xlfn.XMATCH($A344,'OC-Monthly'!$A$7:$A$65),_xlfn.XMATCH($B344,'OC-Monthly'!$B$1:$N$1))</f>
        <v>0</v>
      </c>
      <c r="J344" s="16" cm="1">
        <f t="array" ref="J344">INDEX('OC-Monthly'!$P$7:$AB$65,_xlfn.XMATCH($A344,'OC-Monthly'!$A$7:$A$65),_xlfn.XMATCH($B344,'OC-Monthly'!$P$1:$AB$1))</f>
        <v>0</v>
      </c>
      <c r="K344" s="1" t="s">
        <v>8</v>
      </c>
      <c r="L344" s="1" t="s">
        <v>7</v>
      </c>
      <c r="M344" s="15" t="str">
        <f t="shared" si="23"/>
        <v>na</v>
      </c>
    </row>
    <row r="345" spans="1:13" x14ac:dyDescent="0.25">
      <c r="A345" t="s">
        <v>36</v>
      </c>
      <c r="B345">
        <v>5</v>
      </c>
      <c r="C345" t="str">
        <f t="shared" si="20"/>
        <v>854</v>
      </c>
      <c r="D345" t="s">
        <v>36</v>
      </c>
      <c r="F345">
        <v>2025</v>
      </c>
      <c r="G345">
        <f t="shared" si="21"/>
        <v>5</v>
      </c>
      <c r="H345" t="str">
        <f t="shared" si="22"/>
        <v>854 LIFE Chester</v>
      </c>
      <c r="I345" s="16" cm="1">
        <f t="array" ref="I345">INDEX('OC-Monthly'!$B$7:$N$65,_xlfn.XMATCH($A345,'OC-Monthly'!$A$7:$A$65),_xlfn.XMATCH($B345,'OC-Monthly'!$B$1:$N$1))</f>
        <v>0</v>
      </c>
      <c r="J345" s="16" cm="1">
        <f t="array" ref="J345">INDEX('OC-Monthly'!$P$7:$AB$65,_xlfn.XMATCH($A345,'OC-Monthly'!$A$7:$A$65),_xlfn.XMATCH($B345,'OC-Monthly'!$P$1:$AB$1))</f>
        <v>0</v>
      </c>
      <c r="K345" s="1" t="s">
        <v>8</v>
      </c>
      <c r="L345" s="1" t="s">
        <v>7</v>
      </c>
      <c r="M345" s="15" t="str">
        <f t="shared" si="23"/>
        <v>na</v>
      </c>
    </row>
    <row r="346" spans="1:13" x14ac:dyDescent="0.25">
      <c r="A346" t="s">
        <v>36</v>
      </c>
      <c r="B346">
        <v>6</v>
      </c>
      <c r="C346" t="str">
        <f t="shared" si="20"/>
        <v>854</v>
      </c>
      <c r="D346" t="s">
        <v>36</v>
      </c>
      <c r="F346">
        <v>2025</v>
      </c>
      <c r="G346">
        <f t="shared" si="21"/>
        <v>6</v>
      </c>
      <c r="H346" t="str">
        <f t="shared" si="22"/>
        <v>854 LIFE Chester</v>
      </c>
      <c r="I346" s="16" cm="1">
        <f t="array" ref="I346">INDEX('OC-Monthly'!$B$7:$N$65,_xlfn.XMATCH($A346,'OC-Monthly'!$A$7:$A$65),_xlfn.XMATCH($B346,'OC-Monthly'!$B$1:$N$1))</f>
        <v>0</v>
      </c>
      <c r="J346" s="16" cm="1">
        <f t="array" ref="J346">INDEX('OC-Monthly'!$P$7:$AB$65,_xlfn.XMATCH($A346,'OC-Monthly'!$A$7:$A$65),_xlfn.XMATCH($B346,'OC-Monthly'!$P$1:$AB$1))</f>
        <v>0</v>
      </c>
      <c r="K346" s="1" t="s">
        <v>8</v>
      </c>
      <c r="L346" s="1" t="s">
        <v>7</v>
      </c>
      <c r="M346" s="15" t="str">
        <f t="shared" si="23"/>
        <v>na</v>
      </c>
    </row>
    <row r="347" spans="1:13" x14ac:dyDescent="0.25">
      <c r="A347" t="s">
        <v>36</v>
      </c>
      <c r="B347">
        <v>7</v>
      </c>
      <c r="C347" t="str">
        <f t="shared" si="20"/>
        <v>854</v>
      </c>
      <c r="D347" t="s">
        <v>36</v>
      </c>
      <c r="F347">
        <v>2025</v>
      </c>
      <c r="G347">
        <f t="shared" si="21"/>
        <v>7</v>
      </c>
      <c r="H347" t="str">
        <f t="shared" si="22"/>
        <v>854 LIFE Chester</v>
      </c>
      <c r="I347" s="16" cm="1">
        <f t="array" ref="I347">INDEX('OC-Monthly'!$B$7:$N$65,_xlfn.XMATCH($A347,'OC-Monthly'!$A$7:$A$65),_xlfn.XMATCH($B347,'OC-Monthly'!$B$1:$N$1))</f>
        <v>0</v>
      </c>
      <c r="J347" s="16" cm="1">
        <f t="array" ref="J347">INDEX('OC-Monthly'!$P$7:$AB$65,_xlfn.XMATCH($A347,'OC-Monthly'!$A$7:$A$65),_xlfn.XMATCH($B347,'OC-Monthly'!$P$1:$AB$1))</f>
        <v>0</v>
      </c>
      <c r="K347" s="1" t="s">
        <v>8</v>
      </c>
      <c r="L347" s="1" t="s">
        <v>7</v>
      </c>
      <c r="M347" s="15" t="str">
        <f t="shared" si="23"/>
        <v>na</v>
      </c>
    </row>
    <row r="348" spans="1:13" x14ac:dyDescent="0.25">
      <c r="A348" t="s">
        <v>36</v>
      </c>
      <c r="B348">
        <v>8</v>
      </c>
      <c r="C348" t="str">
        <f t="shared" si="20"/>
        <v>854</v>
      </c>
      <c r="D348" t="s">
        <v>36</v>
      </c>
      <c r="F348">
        <v>2025</v>
      </c>
      <c r="G348">
        <f t="shared" si="21"/>
        <v>8</v>
      </c>
      <c r="H348" t="str">
        <f t="shared" si="22"/>
        <v>854 LIFE Chester</v>
      </c>
      <c r="I348" s="16" cm="1">
        <f t="array" ref="I348">INDEX('OC-Monthly'!$B$7:$N$65,_xlfn.XMATCH($A348,'OC-Monthly'!$A$7:$A$65),_xlfn.XMATCH($B348,'OC-Monthly'!$B$1:$N$1))</f>
        <v>0</v>
      </c>
      <c r="J348" s="16" cm="1">
        <f t="array" ref="J348">INDEX('OC-Monthly'!$P$7:$AB$65,_xlfn.XMATCH($A348,'OC-Monthly'!$A$7:$A$65),_xlfn.XMATCH($B348,'OC-Monthly'!$P$1:$AB$1))</f>
        <v>0</v>
      </c>
      <c r="K348" s="1" t="s">
        <v>8</v>
      </c>
      <c r="L348" s="1" t="s">
        <v>7</v>
      </c>
      <c r="M348" s="15" t="str">
        <f t="shared" si="23"/>
        <v>na</v>
      </c>
    </row>
    <row r="349" spans="1:13" x14ac:dyDescent="0.25">
      <c r="A349" t="s">
        <v>36</v>
      </c>
      <c r="B349">
        <v>9</v>
      </c>
      <c r="C349" t="str">
        <f t="shared" si="20"/>
        <v>854</v>
      </c>
      <c r="D349" t="s">
        <v>36</v>
      </c>
      <c r="F349">
        <v>2025</v>
      </c>
      <c r="G349">
        <f t="shared" si="21"/>
        <v>9</v>
      </c>
      <c r="H349" t="str">
        <f t="shared" si="22"/>
        <v>854 LIFE Chester</v>
      </c>
      <c r="I349" s="16" cm="1">
        <f t="array" ref="I349">INDEX('OC-Monthly'!$B$7:$N$65,_xlfn.XMATCH($A349,'OC-Monthly'!$A$7:$A$65),_xlfn.XMATCH($B349,'OC-Monthly'!$B$1:$N$1))</f>
        <v>0</v>
      </c>
      <c r="J349" s="16" cm="1">
        <f t="array" ref="J349">INDEX('OC-Monthly'!$P$7:$AB$65,_xlfn.XMATCH($A349,'OC-Monthly'!$A$7:$A$65),_xlfn.XMATCH($B349,'OC-Monthly'!$P$1:$AB$1))</f>
        <v>0</v>
      </c>
      <c r="K349" s="1" t="s">
        <v>8</v>
      </c>
      <c r="L349" s="1" t="s">
        <v>7</v>
      </c>
      <c r="M349" s="15" t="str">
        <f t="shared" si="23"/>
        <v>na</v>
      </c>
    </row>
    <row r="350" spans="1:13" x14ac:dyDescent="0.25">
      <c r="A350" t="s">
        <v>36</v>
      </c>
      <c r="B350">
        <v>10</v>
      </c>
      <c r="C350" t="str">
        <f t="shared" si="20"/>
        <v>854</v>
      </c>
      <c r="D350" t="s">
        <v>36</v>
      </c>
      <c r="F350">
        <v>2025</v>
      </c>
      <c r="G350">
        <f t="shared" si="21"/>
        <v>10</v>
      </c>
      <c r="H350" t="str">
        <f t="shared" si="22"/>
        <v>854 LIFE Chester</v>
      </c>
      <c r="I350" s="16" cm="1">
        <f t="array" ref="I350">INDEX('OC-Monthly'!$B$7:$N$65,_xlfn.XMATCH($A350,'OC-Monthly'!$A$7:$A$65),_xlfn.XMATCH($B350,'OC-Monthly'!$B$1:$N$1))</f>
        <v>0</v>
      </c>
      <c r="J350" s="16" cm="1">
        <f t="array" ref="J350">INDEX('OC-Monthly'!$P$7:$AB$65,_xlfn.XMATCH($A350,'OC-Monthly'!$A$7:$A$65),_xlfn.XMATCH($B350,'OC-Monthly'!$P$1:$AB$1))</f>
        <v>0</v>
      </c>
      <c r="K350" s="1" t="s">
        <v>8</v>
      </c>
      <c r="L350" s="1" t="s">
        <v>7</v>
      </c>
      <c r="M350" s="15" t="str">
        <f t="shared" si="23"/>
        <v>na</v>
      </c>
    </row>
    <row r="351" spans="1:13" x14ac:dyDescent="0.25">
      <c r="A351" t="s">
        <v>36</v>
      </c>
      <c r="B351">
        <v>11</v>
      </c>
      <c r="C351" t="str">
        <f t="shared" si="20"/>
        <v>854</v>
      </c>
      <c r="D351" t="s">
        <v>36</v>
      </c>
      <c r="F351">
        <v>2025</v>
      </c>
      <c r="G351">
        <f t="shared" si="21"/>
        <v>11</v>
      </c>
      <c r="H351" t="str">
        <f t="shared" si="22"/>
        <v>854 LIFE Chester</v>
      </c>
      <c r="I351" s="16" cm="1">
        <f t="array" ref="I351">INDEX('OC-Monthly'!$B$7:$N$65,_xlfn.XMATCH($A351,'OC-Monthly'!$A$7:$A$65),_xlfn.XMATCH($B351,'OC-Monthly'!$B$1:$N$1))</f>
        <v>0</v>
      </c>
      <c r="J351" s="16" cm="1">
        <f t="array" ref="J351">INDEX('OC-Monthly'!$P$7:$AB$65,_xlfn.XMATCH($A351,'OC-Monthly'!$A$7:$A$65),_xlfn.XMATCH($B351,'OC-Monthly'!$P$1:$AB$1))</f>
        <v>0</v>
      </c>
      <c r="K351" s="1" t="s">
        <v>8</v>
      </c>
      <c r="L351" s="1" t="s">
        <v>7</v>
      </c>
      <c r="M351" s="15" t="str">
        <f t="shared" si="23"/>
        <v>na</v>
      </c>
    </row>
    <row r="352" spans="1:13" x14ac:dyDescent="0.25">
      <c r="A352" t="s">
        <v>36</v>
      </c>
      <c r="B352">
        <v>12</v>
      </c>
      <c r="C352" t="str">
        <f t="shared" si="20"/>
        <v>854</v>
      </c>
      <c r="D352" t="s">
        <v>36</v>
      </c>
      <c r="F352">
        <v>2025</v>
      </c>
      <c r="G352">
        <f t="shared" si="21"/>
        <v>12</v>
      </c>
      <c r="H352" t="str">
        <f t="shared" si="22"/>
        <v>854 LIFE Chester</v>
      </c>
      <c r="I352" s="16" cm="1">
        <f t="array" ref="I352">INDEX('OC-Monthly'!$B$7:$N$65,_xlfn.XMATCH($A352,'OC-Monthly'!$A$7:$A$65),_xlfn.XMATCH($B352,'OC-Monthly'!$B$1:$N$1))</f>
        <v>0</v>
      </c>
      <c r="J352" s="16" cm="1">
        <f t="array" ref="J352">INDEX('OC-Monthly'!$P$7:$AB$65,_xlfn.XMATCH($A352,'OC-Monthly'!$A$7:$A$65),_xlfn.XMATCH($B352,'OC-Monthly'!$P$1:$AB$1))</f>
        <v>0</v>
      </c>
      <c r="K352" s="1" t="s">
        <v>8</v>
      </c>
      <c r="L352" s="1" t="s">
        <v>7</v>
      </c>
      <c r="M352" s="15" t="str">
        <f t="shared" si="23"/>
        <v>na</v>
      </c>
    </row>
    <row r="353" spans="1:13" x14ac:dyDescent="0.25">
      <c r="A353" t="s">
        <v>40</v>
      </c>
      <c r="B353">
        <v>1</v>
      </c>
      <c r="C353" t="str">
        <f t="shared" si="20"/>
        <v>855</v>
      </c>
      <c r="D353" t="s">
        <v>40</v>
      </c>
      <c r="F353">
        <v>2025</v>
      </c>
      <c r="G353">
        <f t="shared" si="21"/>
        <v>1</v>
      </c>
      <c r="H353" t="str">
        <f t="shared" si="22"/>
        <v>855 LIFE Cumberland</v>
      </c>
      <c r="I353" s="16" cm="1">
        <f t="array" ref="I353">INDEX('OC-Monthly'!$B$7:$N$65,_xlfn.XMATCH($A353,'OC-Monthly'!$A$7:$A$65),_xlfn.XMATCH($B353,'OC-Monthly'!$B$1:$N$1))</f>
        <v>427553</v>
      </c>
      <c r="J353" s="16" cm="1">
        <f t="array" ref="J353">INDEX('OC-Monthly'!$P$7:$AB$65,_xlfn.XMATCH($A353,'OC-Monthly'!$A$7:$A$65),_xlfn.XMATCH($B353,'OC-Monthly'!$P$1:$AB$1))</f>
        <v>510221.47665124887</v>
      </c>
      <c r="K353" s="1" t="s">
        <v>8</v>
      </c>
      <c r="L353" s="1" t="s">
        <v>7</v>
      </c>
      <c r="M353" s="15">
        <f t="shared" si="23"/>
        <v>1.1933525823728259</v>
      </c>
    </row>
    <row r="354" spans="1:13" x14ac:dyDescent="0.25">
      <c r="A354" t="s">
        <v>40</v>
      </c>
      <c r="B354">
        <v>2</v>
      </c>
      <c r="C354" t="str">
        <f t="shared" si="20"/>
        <v>855</v>
      </c>
      <c r="D354" t="s">
        <v>40</v>
      </c>
      <c r="F354">
        <v>2025</v>
      </c>
      <c r="G354">
        <f t="shared" si="21"/>
        <v>2</v>
      </c>
      <c r="H354" t="str">
        <f t="shared" si="22"/>
        <v>855 LIFE Cumberland</v>
      </c>
      <c r="I354" s="16" cm="1">
        <f t="array" ref="I354">INDEX('OC-Monthly'!$B$7:$N$65,_xlfn.XMATCH($A354,'OC-Monthly'!$A$7:$A$65),_xlfn.XMATCH($B354,'OC-Monthly'!$B$1:$N$1))</f>
        <v>437270</v>
      </c>
      <c r="J354" s="16" cm="1">
        <f t="array" ref="J354">INDEX('OC-Monthly'!$P$7:$AB$65,_xlfn.XMATCH($A354,'OC-Monthly'!$A$7:$A$65),_xlfn.XMATCH($B354,'OC-Monthly'!$P$1:$AB$1))</f>
        <v>501220.41263584705</v>
      </c>
      <c r="K354" s="1" t="s">
        <v>8</v>
      </c>
      <c r="L354" s="1" t="s">
        <v>7</v>
      </c>
      <c r="M354" s="15">
        <f t="shared" si="23"/>
        <v>1.146249257062792</v>
      </c>
    </row>
    <row r="355" spans="1:13" x14ac:dyDescent="0.25">
      <c r="A355" t="s">
        <v>40</v>
      </c>
      <c r="B355">
        <v>3</v>
      </c>
      <c r="C355" t="str">
        <f t="shared" si="20"/>
        <v>855</v>
      </c>
      <c r="D355" t="s">
        <v>40</v>
      </c>
      <c r="F355">
        <v>2025</v>
      </c>
      <c r="G355">
        <f t="shared" si="21"/>
        <v>3</v>
      </c>
      <c r="H355" t="str">
        <f t="shared" si="22"/>
        <v>855 LIFE Cumberland</v>
      </c>
      <c r="I355" s="16" cm="1">
        <f t="array" ref="I355">INDEX('OC-Monthly'!$B$7:$N$65,_xlfn.XMATCH($A355,'OC-Monthly'!$A$7:$A$65),_xlfn.XMATCH($B355,'OC-Monthly'!$B$1:$N$1))</f>
        <v>446987</v>
      </c>
      <c r="J355" s="16" cm="1">
        <f t="array" ref="J355">INDEX('OC-Monthly'!$P$7:$AB$65,_xlfn.XMATCH($A355,'OC-Monthly'!$A$7:$A$65),_xlfn.XMATCH($B355,'OC-Monthly'!$P$1:$AB$1))</f>
        <v>520751.8213282348</v>
      </c>
      <c r="K355" s="1" t="s">
        <v>8</v>
      </c>
      <c r="L355" s="1" t="s">
        <v>7</v>
      </c>
      <c r="M355" s="15">
        <f t="shared" si="23"/>
        <v>1.1650267710878277</v>
      </c>
    </row>
    <row r="356" spans="1:13" x14ac:dyDescent="0.25">
      <c r="A356" t="s">
        <v>40</v>
      </c>
      <c r="B356">
        <v>4</v>
      </c>
      <c r="C356" t="str">
        <f t="shared" si="20"/>
        <v>855</v>
      </c>
      <c r="D356" t="s">
        <v>40</v>
      </c>
      <c r="F356">
        <v>2025</v>
      </c>
      <c r="G356">
        <f t="shared" si="21"/>
        <v>4</v>
      </c>
      <c r="H356" t="str">
        <f t="shared" si="22"/>
        <v>855 LIFE Cumberland</v>
      </c>
      <c r="I356" s="16" cm="1">
        <f t="array" ref="I356">INDEX('OC-Monthly'!$B$7:$N$65,_xlfn.XMATCH($A356,'OC-Monthly'!$A$7:$A$65),_xlfn.XMATCH($B356,'OC-Monthly'!$B$1:$N$1))</f>
        <v>458244</v>
      </c>
      <c r="J356" s="16" cm="1">
        <f t="array" ref="J356">INDEX('OC-Monthly'!$P$7:$AB$65,_xlfn.XMATCH($A356,'OC-Monthly'!$A$7:$A$65),_xlfn.XMATCH($B356,'OC-Monthly'!$P$1:$AB$1))</f>
        <v>525378.01127526921</v>
      </c>
      <c r="K356" s="1" t="s">
        <v>8</v>
      </c>
      <c r="L356" s="1" t="s">
        <v>7</v>
      </c>
      <c r="M356" s="15">
        <f t="shared" si="23"/>
        <v>1.1465027611387584</v>
      </c>
    </row>
    <row r="357" spans="1:13" x14ac:dyDescent="0.25">
      <c r="A357" t="s">
        <v>40</v>
      </c>
      <c r="B357">
        <v>5</v>
      </c>
      <c r="C357" t="str">
        <f t="shared" si="20"/>
        <v>855</v>
      </c>
      <c r="D357" t="s">
        <v>40</v>
      </c>
      <c r="F357">
        <v>2025</v>
      </c>
      <c r="G357">
        <f t="shared" si="21"/>
        <v>5</v>
      </c>
      <c r="H357" t="str">
        <f t="shared" si="22"/>
        <v>855 LIFE Cumberland</v>
      </c>
      <c r="I357" s="16" cm="1">
        <f t="array" ref="I357">INDEX('OC-Monthly'!$B$7:$N$65,_xlfn.XMATCH($A357,'OC-Monthly'!$A$7:$A$65),_xlfn.XMATCH($B357,'OC-Monthly'!$B$1:$N$1))</f>
        <v>466421</v>
      </c>
      <c r="J357" s="16" cm="1">
        <f t="array" ref="J357">INDEX('OC-Monthly'!$P$7:$AB$65,_xlfn.XMATCH($A357,'OC-Monthly'!$A$7:$A$65),_xlfn.XMATCH($B357,'OC-Monthly'!$P$1:$AB$1))</f>
        <v>530986.14085346472</v>
      </c>
      <c r="K357" s="1" t="s">
        <v>8</v>
      </c>
      <c r="L357" s="1" t="s">
        <v>7</v>
      </c>
      <c r="M357" s="15">
        <f t="shared" si="23"/>
        <v>1.1384267450510692</v>
      </c>
    </row>
    <row r="358" spans="1:13" x14ac:dyDescent="0.25">
      <c r="A358" t="s">
        <v>40</v>
      </c>
      <c r="B358">
        <v>6</v>
      </c>
      <c r="C358" t="str">
        <f t="shared" si="20"/>
        <v>855</v>
      </c>
      <c r="D358" t="s">
        <v>40</v>
      </c>
      <c r="F358">
        <v>2025</v>
      </c>
      <c r="G358">
        <f t="shared" si="21"/>
        <v>6</v>
      </c>
      <c r="H358" t="str">
        <f t="shared" si="22"/>
        <v>855 LIFE Cumberland</v>
      </c>
      <c r="I358" s="16" cm="1">
        <f t="array" ref="I358">INDEX('OC-Monthly'!$B$7:$N$65,_xlfn.XMATCH($A358,'OC-Monthly'!$A$7:$A$65),_xlfn.XMATCH($B358,'OC-Monthly'!$B$1:$N$1))</f>
        <v>476138</v>
      </c>
      <c r="J358" s="16" cm="1">
        <f t="array" ref="J358">INDEX('OC-Monthly'!$P$7:$AB$65,_xlfn.XMATCH($A358,'OC-Monthly'!$A$7:$A$65),_xlfn.XMATCH($B358,'OC-Monthly'!$P$1:$AB$1))</f>
        <v>531443.61811008817</v>
      </c>
      <c r="K358" s="1" t="s">
        <v>8</v>
      </c>
      <c r="L358" s="1" t="s">
        <v>7</v>
      </c>
      <c r="M358" s="15">
        <f t="shared" si="23"/>
        <v>1.1161545982679142</v>
      </c>
    </row>
    <row r="359" spans="1:13" x14ac:dyDescent="0.25">
      <c r="A359" t="s">
        <v>40</v>
      </c>
      <c r="B359">
        <v>7</v>
      </c>
      <c r="C359" t="str">
        <f t="shared" si="20"/>
        <v>855</v>
      </c>
      <c r="D359" t="s">
        <v>40</v>
      </c>
      <c r="F359">
        <v>2025</v>
      </c>
      <c r="G359">
        <f t="shared" si="21"/>
        <v>7</v>
      </c>
      <c r="H359" t="str">
        <f t="shared" si="22"/>
        <v>855 LIFE Cumberland</v>
      </c>
      <c r="I359" s="16" cm="1">
        <f t="array" ref="I359">INDEX('OC-Monthly'!$B$7:$N$65,_xlfn.XMATCH($A359,'OC-Monthly'!$A$7:$A$65),_xlfn.XMATCH($B359,'OC-Monthly'!$B$1:$N$1))</f>
        <v>485855</v>
      </c>
      <c r="J359" s="16" cm="1">
        <f t="array" ref="J359">INDEX('OC-Monthly'!$P$7:$AB$65,_xlfn.XMATCH($A359,'OC-Monthly'!$A$7:$A$65),_xlfn.XMATCH($B359,'OC-Monthly'!$P$1:$AB$1))</f>
        <v>550880.31092116027</v>
      </c>
      <c r="K359" s="1" t="s">
        <v>8</v>
      </c>
      <c r="L359" s="1" t="s">
        <v>7</v>
      </c>
      <c r="M359" s="15">
        <f t="shared" si="23"/>
        <v>1.1338368668042116</v>
      </c>
    </row>
    <row r="360" spans="1:13" x14ac:dyDescent="0.25">
      <c r="A360" t="s">
        <v>40</v>
      </c>
      <c r="B360">
        <v>8</v>
      </c>
      <c r="C360" t="str">
        <f t="shared" si="20"/>
        <v>855</v>
      </c>
      <c r="D360" t="s">
        <v>40</v>
      </c>
      <c r="F360">
        <v>2025</v>
      </c>
      <c r="G360">
        <f t="shared" si="21"/>
        <v>8</v>
      </c>
      <c r="H360" t="str">
        <f t="shared" si="22"/>
        <v>855 LIFE Cumberland</v>
      </c>
      <c r="I360" s="16" cm="1">
        <f t="array" ref="I360">INDEX('OC-Monthly'!$B$7:$N$65,_xlfn.XMATCH($A360,'OC-Monthly'!$A$7:$A$65),_xlfn.XMATCH($B360,'OC-Monthly'!$B$1:$N$1))</f>
        <v>495572</v>
      </c>
      <c r="J360" s="16" cm="1">
        <f t="array" ref="J360">INDEX('OC-Monthly'!$P$7:$AB$65,_xlfn.XMATCH($A360,'OC-Monthly'!$A$7:$A$65),_xlfn.XMATCH($B360,'OC-Monthly'!$P$1:$AB$1))</f>
        <v>550451.61313876265</v>
      </c>
      <c r="K360" s="1" t="s">
        <v>8</v>
      </c>
      <c r="L360" s="1" t="s">
        <v>7</v>
      </c>
      <c r="M360" s="15">
        <f t="shared" si="23"/>
        <v>1.1107399391788937</v>
      </c>
    </row>
    <row r="361" spans="1:13" x14ac:dyDescent="0.25">
      <c r="A361" t="s">
        <v>40</v>
      </c>
      <c r="B361">
        <v>9</v>
      </c>
      <c r="C361" t="str">
        <f t="shared" si="20"/>
        <v>855</v>
      </c>
      <c r="D361" t="s">
        <v>40</v>
      </c>
      <c r="F361">
        <v>2025</v>
      </c>
      <c r="G361">
        <f t="shared" si="21"/>
        <v>9</v>
      </c>
      <c r="H361" t="str">
        <f t="shared" si="22"/>
        <v>855 LIFE Cumberland</v>
      </c>
      <c r="I361" s="16" cm="1">
        <f t="array" ref="I361">INDEX('OC-Monthly'!$B$7:$N$65,_xlfn.XMATCH($A361,'OC-Monthly'!$A$7:$A$65),_xlfn.XMATCH($B361,'OC-Monthly'!$B$1:$N$1))</f>
        <v>505289</v>
      </c>
      <c r="J361" s="16" cm="1">
        <f t="array" ref="J361">INDEX('OC-Monthly'!$P$7:$AB$65,_xlfn.XMATCH($A361,'OC-Monthly'!$A$7:$A$65),_xlfn.XMATCH($B361,'OC-Monthly'!$P$1:$AB$1))</f>
        <v>552356.67047157523</v>
      </c>
      <c r="K361" s="1" t="s">
        <v>8</v>
      </c>
      <c r="L361" s="1" t="s">
        <v>7</v>
      </c>
      <c r="M361" s="15">
        <f t="shared" si="23"/>
        <v>1.0931500002406054</v>
      </c>
    </row>
    <row r="362" spans="1:13" x14ac:dyDescent="0.25">
      <c r="A362" t="s">
        <v>40</v>
      </c>
      <c r="B362">
        <v>10</v>
      </c>
      <c r="C362" t="str">
        <f t="shared" si="20"/>
        <v>855</v>
      </c>
      <c r="D362" t="s">
        <v>40</v>
      </c>
      <c r="F362">
        <v>2025</v>
      </c>
      <c r="G362">
        <f t="shared" si="21"/>
        <v>10</v>
      </c>
      <c r="H362" t="str">
        <f t="shared" si="22"/>
        <v>855 LIFE Cumberland</v>
      </c>
      <c r="I362" s="16" cm="1">
        <f t="array" ref="I362">INDEX('OC-Monthly'!$B$7:$N$65,_xlfn.XMATCH($A362,'OC-Monthly'!$A$7:$A$65),_xlfn.XMATCH($B362,'OC-Monthly'!$B$1:$N$1))</f>
        <v>515006</v>
      </c>
      <c r="J362" s="16" cm="1">
        <f t="array" ref="J362">INDEX('OC-Monthly'!$P$7:$AB$65,_xlfn.XMATCH($A362,'OC-Monthly'!$A$7:$A$65),_xlfn.XMATCH($B362,'OC-Monthly'!$P$1:$AB$1))</f>
        <v>563161.5580918123</v>
      </c>
      <c r="K362" s="1" t="s">
        <v>8</v>
      </c>
      <c r="L362" s="1" t="s">
        <v>7</v>
      </c>
      <c r="M362" s="15">
        <f t="shared" si="23"/>
        <v>1.0935048486654764</v>
      </c>
    </row>
    <row r="363" spans="1:13" x14ac:dyDescent="0.25">
      <c r="A363" t="s">
        <v>40</v>
      </c>
      <c r="B363">
        <v>11</v>
      </c>
      <c r="C363" t="str">
        <f t="shared" si="20"/>
        <v>855</v>
      </c>
      <c r="D363" t="s">
        <v>40</v>
      </c>
      <c r="F363">
        <v>2025</v>
      </c>
      <c r="G363">
        <f t="shared" si="21"/>
        <v>11</v>
      </c>
      <c r="H363" t="str">
        <f t="shared" si="22"/>
        <v>855 LIFE Cumberland</v>
      </c>
      <c r="I363" s="16" cm="1">
        <f t="array" ref="I363">INDEX('OC-Monthly'!$B$7:$N$65,_xlfn.XMATCH($A363,'OC-Monthly'!$A$7:$A$65),_xlfn.XMATCH($B363,'OC-Monthly'!$B$1:$N$1))</f>
        <v>524723</v>
      </c>
      <c r="J363" s="16" cm="1">
        <f t="array" ref="J363">INDEX('OC-Monthly'!$P$7:$AB$65,_xlfn.XMATCH($A363,'OC-Monthly'!$A$7:$A$65),_xlfn.XMATCH($B363,'OC-Monthly'!$P$1:$AB$1))</f>
        <v>564832.63053927093</v>
      </c>
      <c r="K363" s="1" t="s">
        <v>8</v>
      </c>
      <c r="L363" s="1" t="s">
        <v>7</v>
      </c>
      <c r="M363" s="15">
        <f t="shared" si="23"/>
        <v>1.0764396272686179</v>
      </c>
    </row>
    <row r="364" spans="1:13" x14ac:dyDescent="0.25">
      <c r="A364" t="s">
        <v>40</v>
      </c>
      <c r="B364">
        <v>12</v>
      </c>
      <c r="C364" t="str">
        <f t="shared" si="20"/>
        <v>855</v>
      </c>
      <c r="D364" t="s">
        <v>40</v>
      </c>
      <c r="F364">
        <v>2025</v>
      </c>
      <c r="G364">
        <f t="shared" si="21"/>
        <v>12</v>
      </c>
      <c r="H364" t="str">
        <f t="shared" si="22"/>
        <v>855 LIFE Cumberland</v>
      </c>
      <c r="I364" s="16" cm="1">
        <f t="array" ref="I364">INDEX('OC-Monthly'!$B$7:$N$65,_xlfn.XMATCH($A364,'OC-Monthly'!$A$7:$A$65),_xlfn.XMATCH($B364,'OC-Monthly'!$B$1:$N$1))</f>
        <v>534440</v>
      </c>
      <c r="J364" s="16" cm="1">
        <f t="array" ref="J364">INDEX('OC-Monthly'!$P$7:$AB$65,_xlfn.XMATCH($A364,'OC-Monthly'!$A$7:$A$65),_xlfn.XMATCH($B364,'OC-Monthly'!$P$1:$AB$1))</f>
        <v>571843.87815950788</v>
      </c>
      <c r="K364" s="1" t="s">
        <v>8</v>
      </c>
      <c r="L364" s="1" t="s">
        <v>7</v>
      </c>
      <c r="M364" s="15">
        <f t="shared" si="23"/>
        <v>1.0699870484235983</v>
      </c>
    </row>
    <row r="365" spans="1:13" x14ac:dyDescent="0.25">
      <c r="A365" t="s">
        <v>41</v>
      </c>
      <c r="B365">
        <v>1</v>
      </c>
      <c r="C365" t="str">
        <f t="shared" si="20"/>
        <v>856</v>
      </c>
      <c r="D365" t="s">
        <v>41</v>
      </c>
      <c r="F365">
        <v>2025</v>
      </c>
      <c r="G365">
        <f t="shared" si="21"/>
        <v>1</v>
      </c>
      <c r="H365" t="str">
        <f t="shared" si="22"/>
        <v>856 LIFE Franklin</v>
      </c>
      <c r="I365" s="16" cm="1">
        <f t="array" ref="I365">INDEX('OC-Monthly'!$B$7:$N$65,_xlfn.XMATCH($A365,'OC-Monthly'!$A$7:$A$65),_xlfn.XMATCH($B365,'OC-Monthly'!$B$1:$N$1))</f>
        <v>315591</v>
      </c>
      <c r="J365" s="16" cm="1">
        <f t="array" ref="J365">INDEX('OC-Monthly'!$P$7:$AB$65,_xlfn.XMATCH($A365,'OC-Monthly'!$A$7:$A$65),_xlfn.XMATCH($B365,'OC-Monthly'!$P$1:$AB$1))</f>
        <v>432417.82236246014</v>
      </c>
      <c r="K365" s="1" t="s">
        <v>8</v>
      </c>
      <c r="L365" s="1" t="s">
        <v>7</v>
      </c>
      <c r="M365" s="15">
        <f t="shared" si="23"/>
        <v>1.3701842649583167</v>
      </c>
    </row>
    <row r="366" spans="1:13" x14ac:dyDescent="0.25">
      <c r="A366" t="s">
        <v>41</v>
      </c>
      <c r="B366">
        <v>2</v>
      </c>
      <c r="C366" t="str">
        <f t="shared" si="20"/>
        <v>856</v>
      </c>
      <c r="D366" t="s">
        <v>41</v>
      </c>
      <c r="F366">
        <v>2025</v>
      </c>
      <c r="G366">
        <f t="shared" si="21"/>
        <v>2</v>
      </c>
      <c r="H366" t="str">
        <f t="shared" si="22"/>
        <v>856 LIFE Franklin</v>
      </c>
      <c r="I366" s="16" cm="1">
        <f t="array" ref="I366">INDEX('OC-Monthly'!$B$7:$N$65,_xlfn.XMATCH($A366,'OC-Monthly'!$A$7:$A$65),_xlfn.XMATCH($B366,'OC-Monthly'!$B$1:$N$1))</f>
        <v>324564</v>
      </c>
      <c r="J366" s="16" cm="1">
        <f t="array" ref="J366">INDEX('OC-Monthly'!$P$7:$AB$65,_xlfn.XMATCH($A366,'OC-Monthly'!$A$7:$A$65),_xlfn.XMATCH($B366,'OC-Monthly'!$P$1:$AB$1))</f>
        <v>419653.73157033377</v>
      </c>
      <c r="K366" s="1" t="s">
        <v>8</v>
      </c>
      <c r="L366" s="1" t="s">
        <v>7</v>
      </c>
      <c r="M366" s="15">
        <f t="shared" si="23"/>
        <v>1.2929768291318007</v>
      </c>
    </row>
    <row r="367" spans="1:13" x14ac:dyDescent="0.25">
      <c r="A367" t="s">
        <v>41</v>
      </c>
      <c r="B367">
        <v>3</v>
      </c>
      <c r="C367" t="str">
        <f t="shared" si="20"/>
        <v>856</v>
      </c>
      <c r="D367" t="s">
        <v>41</v>
      </c>
      <c r="F367">
        <v>2025</v>
      </c>
      <c r="G367">
        <f t="shared" si="21"/>
        <v>3</v>
      </c>
      <c r="H367" t="str">
        <f t="shared" si="22"/>
        <v>856 LIFE Franklin</v>
      </c>
      <c r="I367" s="16" cm="1">
        <f t="array" ref="I367">INDEX('OC-Monthly'!$B$7:$N$65,_xlfn.XMATCH($A367,'OC-Monthly'!$A$7:$A$65),_xlfn.XMATCH($B367,'OC-Monthly'!$B$1:$N$1))</f>
        <v>333537</v>
      </c>
      <c r="J367" s="16" cm="1">
        <f t="array" ref="J367">INDEX('OC-Monthly'!$P$7:$AB$65,_xlfn.XMATCH($A367,'OC-Monthly'!$A$7:$A$65),_xlfn.XMATCH($B367,'OC-Monthly'!$P$1:$AB$1))</f>
        <v>438547.73481733695</v>
      </c>
      <c r="K367" s="1" t="s">
        <v>8</v>
      </c>
      <c r="L367" s="1" t="s">
        <v>7</v>
      </c>
      <c r="M367" s="15">
        <f t="shared" si="23"/>
        <v>1.3148398373114136</v>
      </c>
    </row>
    <row r="368" spans="1:13" x14ac:dyDescent="0.25">
      <c r="A368" t="s">
        <v>41</v>
      </c>
      <c r="B368">
        <v>4</v>
      </c>
      <c r="C368" t="str">
        <f t="shared" si="20"/>
        <v>856</v>
      </c>
      <c r="D368" t="s">
        <v>41</v>
      </c>
      <c r="F368">
        <v>2025</v>
      </c>
      <c r="G368">
        <f t="shared" si="21"/>
        <v>4</v>
      </c>
      <c r="H368" t="str">
        <f t="shared" si="22"/>
        <v>856 LIFE Franklin</v>
      </c>
      <c r="I368" s="16" cm="1">
        <f t="array" ref="I368">INDEX('OC-Monthly'!$B$7:$N$65,_xlfn.XMATCH($A368,'OC-Monthly'!$A$7:$A$65),_xlfn.XMATCH($B368,'OC-Monthly'!$B$1:$N$1))</f>
        <v>344092</v>
      </c>
      <c r="J368" s="16" cm="1">
        <f t="array" ref="J368">INDEX('OC-Monthly'!$P$7:$AB$65,_xlfn.XMATCH($A368,'OC-Monthly'!$A$7:$A$65),_xlfn.XMATCH($B368,'OC-Monthly'!$P$1:$AB$1))</f>
        <v>442948.98629593791</v>
      </c>
      <c r="K368" s="1" t="s">
        <v>8</v>
      </c>
      <c r="L368" s="1" t="s">
        <v>7</v>
      </c>
      <c r="M368" s="15">
        <f t="shared" si="23"/>
        <v>1.2872981246176542</v>
      </c>
    </row>
    <row r="369" spans="1:13" x14ac:dyDescent="0.25">
      <c r="A369" t="s">
        <v>41</v>
      </c>
      <c r="B369">
        <v>5</v>
      </c>
      <c r="C369" t="str">
        <f t="shared" si="20"/>
        <v>856</v>
      </c>
      <c r="D369" t="s">
        <v>41</v>
      </c>
      <c r="F369">
        <v>2025</v>
      </c>
      <c r="G369">
        <f t="shared" si="21"/>
        <v>5</v>
      </c>
      <c r="H369" t="str">
        <f t="shared" si="22"/>
        <v>856 LIFE Franklin</v>
      </c>
      <c r="I369" s="16" cm="1">
        <f t="array" ref="I369">INDEX('OC-Monthly'!$B$7:$N$65,_xlfn.XMATCH($A369,'OC-Monthly'!$A$7:$A$65),_xlfn.XMATCH($B369,'OC-Monthly'!$B$1:$N$1))</f>
        <v>351483</v>
      </c>
      <c r="J369" s="16" cm="1">
        <f t="array" ref="J369">INDEX('OC-Monthly'!$P$7:$AB$65,_xlfn.XMATCH($A369,'OC-Monthly'!$A$7:$A$65),_xlfn.XMATCH($B369,'OC-Monthly'!$P$1:$AB$1))</f>
        <v>447791.59625317203</v>
      </c>
      <c r="K369" s="1" t="s">
        <v>8</v>
      </c>
      <c r="L369" s="1" t="s">
        <v>7</v>
      </c>
      <c r="M369" s="15">
        <f t="shared" si="23"/>
        <v>1.2740064135482285</v>
      </c>
    </row>
    <row r="370" spans="1:13" x14ac:dyDescent="0.25">
      <c r="A370" t="s">
        <v>41</v>
      </c>
      <c r="B370">
        <v>6</v>
      </c>
      <c r="C370" t="str">
        <f t="shared" si="20"/>
        <v>856</v>
      </c>
      <c r="D370" t="s">
        <v>41</v>
      </c>
      <c r="F370">
        <v>2025</v>
      </c>
      <c r="G370">
        <f t="shared" si="21"/>
        <v>6</v>
      </c>
      <c r="H370" t="str">
        <f t="shared" si="22"/>
        <v>856 LIFE Franklin</v>
      </c>
      <c r="I370" s="16" cm="1">
        <f t="array" ref="I370">INDEX('OC-Monthly'!$B$7:$N$65,_xlfn.XMATCH($A370,'OC-Monthly'!$A$7:$A$65),_xlfn.XMATCH($B370,'OC-Monthly'!$B$1:$N$1))</f>
        <v>360456</v>
      </c>
      <c r="J370" s="16" cm="1">
        <f t="array" ref="J370">INDEX('OC-Monthly'!$P$7:$AB$65,_xlfn.XMATCH($A370,'OC-Monthly'!$A$7:$A$65),_xlfn.XMATCH($B370,'OC-Monthly'!$P$1:$AB$1))</f>
        <v>448451.40334273182</v>
      </c>
      <c r="K370" s="1" t="s">
        <v>8</v>
      </c>
      <c r="L370" s="1" t="s">
        <v>7</v>
      </c>
      <c r="M370" s="15">
        <f t="shared" si="23"/>
        <v>1.2441224541767424</v>
      </c>
    </row>
    <row r="371" spans="1:13" x14ac:dyDescent="0.25">
      <c r="A371" t="s">
        <v>41</v>
      </c>
      <c r="B371">
        <v>7</v>
      </c>
      <c r="C371" t="str">
        <f t="shared" si="20"/>
        <v>856</v>
      </c>
      <c r="D371" t="s">
        <v>41</v>
      </c>
      <c r="F371">
        <v>2025</v>
      </c>
      <c r="G371">
        <f t="shared" si="21"/>
        <v>7</v>
      </c>
      <c r="H371" t="str">
        <f t="shared" si="22"/>
        <v>856 LIFE Franklin</v>
      </c>
      <c r="I371" s="16" cm="1">
        <f t="array" ref="I371">INDEX('OC-Monthly'!$B$7:$N$65,_xlfn.XMATCH($A371,'OC-Monthly'!$A$7:$A$65),_xlfn.XMATCH($B371,'OC-Monthly'!$B$1:$N$1))</f>
        <v>369429</v>
      </c>
      <c r="J371" s="16" cm="1">
        <f t="array" ref="J371">INDEX('OC-Monthly'!$P$7:$AB$65,_xlfn.XMATCH($A371,'OC-Monthly'!$A$7:$A$65),_xlfn.XMATCH($B371,'OC-Monthly'!$P$1:$AB$1))</f>
        <v>436993.23860507499</v>
      </c>
      <c r="K371" s="1" t="s">
        <v>8</v>
      </c>
      <c r="L371" s="1" t="s">
        <v>7</v>
      </c>
      <c r="M371" s="15">
        <f t="shared" si="23"/>
        <v>1.182888291403964</v>
      </c>
    </row>
    <row r="372" spans="1:13" x14ac:dyDescent="0.25">
      <c r="A372" t="s">
        <v>41</v>
      </c>
      <c r="B372">
        <v>8</v>
      </c>
      <c r="C372" t="str">
        <f t="shared" si="20"/>
        <v>856</v>
      </c>
      <c r="D372" t="s">
        <v>41</v>
      </c>
      <c r="F372">
        <v>2025</v>
      </c>
      <c r="G372">
        <f t="shared" si="21"/>
        <v>8</v>
      </c>
      <c r="H372" t="str">
        <f t="shared" si="22"/>
        <v>856 LIFE Franklin</v>
      </c>
      <c r="I372" s="16" cm="1">
        <f t="array" ref="I372">INDEX('OC-Monthly'!$B$7:$N$65,_xlfn.XMATCH($A372,'OC-Monthly'!$A$7:$A$65),_xlfn.XMATCH($B372,'OC-Monthly'!$B$1:$N$1))</f>
        <v>378402</v>
      </c>
      <c r="J372" s="16" cm="1">
        <f t="array" ref="J372">INDEX('OC-Monthly'!$P$7:$AB$65,_xlfn.XMATCH($A372,'OC-Monthly'!$A$7:$A$65),_xlfn.XMATCH($B372,'OC-Monthly'!$P$1:$AB$1))</f>
        <v>440969.23657487257</v>
      </c>
      <c r="K372" s="1" t="s">
        <v>8</v>
      </c>
      <c r="L372" s="1" t="s">
        <v>7</v>
      </c>
      <c r="M372" s="15">
        <f t="shared" si="23"/>
        <v>1.1653459457795481</v>
      </c>
    </row>
    <row r="373" spans="1:13" x14ac:dyDescent="0.25">
      <c r="A373" t="s">
        <v>41</v>
      </c>
      <c r="B373">
        <v>9</v>
      </c>
      <c r="C373" t="str">
        <f t="shared" si="20"/>
        <v>856</v>
      </c>
      <c r="D373" t="s">
        <v>41</v>
      </c>
      <c r="F373">
        <v>2025</v>
      </c>
      <c r="G373">
        <f t="shared" si="21"/>
        <v>9</v>
      </c>
      <c r="H373" t="str">
        <f t="shared" si="22"/>
        <v>856 LIFE Franklin</v>
      </c>
      <c r="I373" s="16" cm="1">
        <f t="array" ref="I373">INDEX('OC-Monthly'!$B$7:$N$65,_xlfn.XMATCH($A373,'OC-Monthly'!$A$7:$A$65),_xlfn.XMATCH($B373,'OC-Monthly'!$B$1:$N$1))</f>
        <v>387375</v>
      </c>
      <c r="J373" s="16" cm="1">
        <f t="array" ref="J373">INDEX('OC-Monthly'!$P$7:$AB$65,_xlfn.XMATCH($A373,'OC-Monthly'!$A$7:$A$65),_xlfn.XMATCH($B373,'OC-Monthly'!$P$1:$AB$1))</f>
        <v>437676.32542100729</v>
      </c>
      <c r="K373" s="1" t="s">
        <v>8</v>
      </c>
      <c r="L373" s="1" t="s">
        <v>7</v>
      </c>
      <c r="M373" s="15">
        <f t="shared" si="23"/>
        <v>1.1298517597186377</v>
      </c>
    </row>
    <row r="374" spans="1:13" x14ac:dyDescent="0.25">
      <c r="A374" t="s">
        <v>41</v>
      </c>
      <c r="B374">
        <v>10</v>
      </c>
      <c r="C374" t="str">
        <f t="shared" si="20"/>
        <v>856</v>
      </c>
      <c r="D374" t="s">
        <v>41</v>
      </c>
      <c r="F374">
        <v>2025</v>
      </c>
      <c r="G374">
        <f t="shared" si="21"/>
        <v>10</v>
      </c>
      <c r="H374" t="str">
        <f t="shared" si="22"/>
        <v>856 LIFE Franklin</v>
      </c>
      <c r="I374" s="16" cm="1">
        <f t="array" ref="I374">INDEX('OC-Monthly'!$B$7:$N$65,_xlfn.XMATCH($A374,'OC-Monthly'!$A$7:$A$65),_xlfn.XMATCH($B374,'OC-Monthly'!$B$1:$N$1))</f>
        <v>396348</v>
      </c>
      <c r="J374" s="16" cm="1">
        <f t="array" ref="J374">INDEX('OC-Monthly'!$P$7:$AB$65,_xlfn.XMATCH($A374,'OC-Monthly'!$A$7:$A$65),_xlfn.XMATCH($B374,'OC-Monthly'!$P$1:$AB$1))</f>
        <v>448383.03307306598</v>
      </c>
      <c r="K374" s="1" t="s">
        <v>8</v>
      </c>
      <c r="L374" s="1" t="s">
        <v>7</v>
      </c>
      <c r="M374" s="15">
        <f t="shared" si="23"/>
        <v>1.1312862259253635</v>
      </c>
    </row>
    <row r="375" spans="1:13" x14ac:dyDescent="0.25">
      <c r="A375" t="s">
        <v>41</v>
      </c>
      <c r="B375">
        <v>11</v>
      </c>
      <c r="C375" t="str">
        <f t="shared" si="20"/>
        <v>856</v>
      </c>
      <c r="D375" t="s">
        <v>41</v>
      </c>
      <c r="F375">
        <v>2025</v>
      </c>
      <c r="G375">
        <f t="shared" si="21"/>
        <v>11</v>
      </c>
      <c r="H375" t="str">
        <f t="shared" si="22"/>
        <v>856 LIFE Franklin</v>
      </c>
      <c r="I375" s="16" cm="1">
        <f t="array" ref="I375">INDEX('OC-Monthly'!$B$7:$N$65,_xlfn.XMATCH($A375,'OC-Monthly'!$A$7:$A$65),_xlfn.XMATCH($B375,'OC-Monthly'!$B$1:$N$1))</f>
        <v>405321</v>
      </c>
      <c r="J375" s="16" cm="1">
        <f t="array" ref="J375">INDEX('OC-Monthly'!$P$7:$AB$65,_xlfn.XMATCH($A375,'OC-Monthly'!$A$7:$A$65),_xlfn.XMATCH($B375,'OC-Monthly'!$P$1:$AB$1))</f>
        <v>447453.8369930936</v>
      </c>
      <c r="K375" s="1" t="s">
        <v>8</v>
      </c>
      <c r="L375" s="1" t="s">
        <v>7</v>
      </c>
      <c r="M375" s="15">
        <f t="shared" si="23"/>
        <v>1.1039493068286459</v>
      </c>
    </row>
    <row r="376" spans="1:13" x14ac:dyDescent="0.25">
      <c r="A376" t="s">
        <v>41</v>
      </c>
      <c r="B376">
        <v>12</v>
      </c>
      <c r="C376" t="str">
        <f t="shared" si="20"/>
        <v>856</v>
      </c>
      <c r="D376" t="s">
        <v>41</v>
      </c>
      <c r="F376">
        <v>2025</v>
      </c>
      <c r="G376">
        <f t="shared" si="21"/>
        <v>12</v>
      </c>
      <c r="H376" t="str">
        <f t="shared" si="22"/>
        <v>856 LIFE Franklin</v>
      </c>
      <c r="I376" s="16" cm="1">
        <f t="array" ref="I376">INDEX('OC-Monthly'!$B$7:$N$65,_xlfn.XMATCH($A376,'OC-Monthly'!$A$7:$A$65),_xlfn.XMATCH($B376,'OC-Monthly'!$B$1:$N$1))</f>
        <v>414294</v>
      </c>
      <c r="J376" s="16" cm="1">
        <f t="array" ref="J376">INDEX('OC-Monthly'!$P$7:$AB$65,_xlfn.XMATCH($A376,'OC-Monthly'!$A$7:$A$65),_xlfn.XMATCH($B376,'OC-Monthly'!$P$1:$AB$1))</f>
        <v>454904.21464515215</v>
      </c>
      <c r="K376" s="1" t="s">
        <v>8</v>
      </c>
      <c r="L376" s="1" t="s">
        <v>7</v>
      </c>
      <c r="M376" s="15">
        <f t="shared" si="23"/>
        <v>1.0980226955861108</v>
      </c>
    </row>
    <row r="377" spans="1:13" x14ac:dyDescent="0.25">
      <c r="A377" t="s">
        <v>42</v>
      </c>
      <c r="B377">
        <v>1</v>
      </c>
      <c r="C377" t="str">
        <f t="shared" si="20"/>
        <v>859</v>
      </c>
      <c r="D377" t="s">
        <v>42</v>
      </c>
      <c r="F377">
        <v>2025</v>
      </c>
      <c r="G377">
        <f t="shared" si="21"/>
        <v>1</v>
      </c>
      <c r="H377" t="str">
        <f t="shared" si="22"/>
        <v>859 LIFE Parent</v>
      </c>
      <c r="I377" s="16" cm="1">
        <f t="array" ref="I377">INDEX('OC-Monthly'!$B$7:$N$65,_xlfn.XMATCH($A377,'OC-Monthly'!$A$7:$A$65),_xlfn.XMATCH($B377,'OC-Monthly'!$B$1:$N$1))</f>
        <v>0</v>
      </c>
      <c r="J377" s="16" cm="1">
        <f t="array" ref="J377">INDEX('OC-Monthly'!$P$7:$AB$65,_xlfn.XMATCH($A377,'OC-Monthly'!$A$7:$A$65),_xlfn.XMATCH($B377,'OC-Monthly'!$P$1:$AB$1))</f>
        <v>-1.531233812784194E-3</v>
      </c>
      <c r="K377" s="1" t="s">
        <v>8</v>
      </c>
      <c r="L377" s="1" t="s">
        <v>7</v>
      </c>
      <c r="M377" s="15" t="str">
        <f t="shared" si="23"/>
        <v>na</v>
      </c>
    </row>
    <row r="378" spans="1:13" x14ac:dyDescent="0.25">
      <c r="A378" t="s">
        <v>42</v>
      </c>
      <c r="B378">
        <v>2</v>
      </c>
      <c r="C378" t="str">
        <f t="shared" si="20"/>
        <v>859</v>
      </c>
      <c r="D378" t="s">
        <v>42</v>
      </c>
      <c r="F378">
        <v>2025</v>
      </c>
      <c r="G378">
        <f t="shared" si="21"/>
        <v>2</v>
      </c>
      <c r="H378" t="str">
        <f t="shared" si="22"/>
        <v>859 LIFE Parent</v>
      </c>
      <c r="I378" s="16" cm="1">
        <f t="array" ref="I378">INDEX('OC-Monthly'!$B$7:$N$65,_xlfn.XMATCH($A378,'OC-Monthly'!$A$7:$A$65),_xlfn.XMATCH($B378,'OC-Monthly'!$B$1:$N$1))</f>
        <v>0</v>
      </c>
      <c r="J378" s="16" cm="1">
        <f t="array" ref="J378">INDEX('OC-Monthly'!$P$7:$AB$65,_xlfn.XMATCH($A378,'OC-Monthly'!$A$7:$A$65),_xlfn.XMATCH($B378,'OC-Monthly'!$P$1:$AB$1))</f>
        <v>-5.7705576909938827E-4</v>
      </c>
      <c r="K378" s="1" t="s">
        <v>8</v>
      </c>
      <c r="L378" s="1" t="s">
        <v>7</v>
      </c>
      <c r="M378" s="15" t="str">
        <f t="shared" si="23"/>
        <v>na</v>
      </c>
    </row>
    <row r="379" spans="1:13" x14ac:dyDescent="0.25">
      <c r="A379" t="s">
        <v>42</v>
      </c>
      <c r="B379">
        <v>3</v>
      </c>
      <c r="C379" t="str">
        <f t="shared" si="20"/>
        <v>859</v>
      </c>
      <c r="D379" t="s">
        <v>42</v>
      </c>
      <c r="F379">
        <v>2025</v>
      </c>
      <c r="G379">
        <f t="shared" si="21"/>
        <v>3</v>
      </c>
      <c r="H379" t="str">
        <f t="shared" si="22"/>
        <v>859 LIFE Parent</v>
      </c>
      <c r="I379" s="16" cm="1">
        <f t="array" ref="I379">INDEX('OC-Monthly'!$B$7:$N$65,_xlfn.XMATCH($A379,'OC-Monthly'!$A$7:$A$65),_xlfn.XMATCH($B379,'OC-Monthly'!$B$1:$N$1))</f>
        <v>0</v>
      </c>
      <c r="J379" s="16" cm="1">
        <f t="array" ref="J379">INDEX('OC-Monthly'!$P$7:$AB$65,_xlfn.XMATCH($A379,'OC-Monthly'!$A$7:$A$65),_xlfn.XMATCH($B379,'OC-Monthly'!$P$1:$AB$1))</f>
        <v>-1.5312338109652046E-3</v>
      </c>
      <c r="K379" s="1" t="s">
        <v>8</v>
      </c>
      <c r="L379" s="1" t="s">
        <v>7</v>
      </c>
      <c r="M379" s="15" t="str">
        <f t="shared" si="23"/>
        <v>na</v>
      </c>
    </row>
    <row r="380" spans="1:13" x14ac:dyDescent="0.25">
      <c r="A380" t="s">
        <v>42</v>
      </c>
      <c r="B380">
        <v>4</v>
      </c>
      <c r="C380" t="str">
        <f t="shared" si="20"/>
        <v>859</v>
      </c>
      <c r="D380" t="s">
        <v>42</v>
      </c>
      <c r="F380">
        <v>2025</v>
      </c>
      <c r="G380">
        <f t="shared" si="21"/>
        <v>4</v>
      </c>
      <c r="H380" t="str">
        <f t="shared" si="22"/>
        <v>859 LIFE Parent</v>
      </c>
      <c r="I380" s="16" cm="1">
        <f t="array" ref="I380">INDEX('OC-Monthly'!$B$7:$N$65,_xlfn.XMATCH($A380,'OC-Monthly'!$A$7:$A$65),_xlfn.XMATCH($B380,'OC-Monthly'!$B$1:$N$1))</f>
        <v>0</v>
      </c>
      <c r="J380" s="16" cm="1">
        <f t="array" ref="J380">INDEX('OC-Monthly'!$P$7:$AB$65,_xlfn.XMATCH($A380,'OC-Monthly'!$A$7:$A$65),_xlfn.XMATCH($B380,'OC-Monthly'!$P$1:$AB$1))</f>
        <v>-2.2671217320748842E-3</v>
      </c>
      <c r="K380" s="1" t="s">
        <v>8</v>
      </c>
      <c r="L380" s="1" t="s">
        <v>7</v>
      </c>
      <c r="M380" s="15" t="str">
        <f t="shared" si="23"/>
        <v>na</v>
      </c>
    </row>
    <row r="381" spans="1:13" x14ac:dyDescent="0.25">
      <c r="A381" t="s">
        <v>42</v>
      </c>
      <c r="B381">
        <v>5</v>
      </c>
      <c r="C381" t="str">
        <f t="shared" si="20"/>
        <v>859</v>
      </c>
      <c r="D381" t="s">
        <v>42</v>
      </c>
      <c r="F381">
        <v>2025</v>
      </c>
      <c r="G381">
        <f t="shared" si="21"/>
        <v>5</v>
      </c>
      <c r="H381" t="str">
        <f t="shared" si="22"/>
        <v>859 LIFE Parent</v>
      </c>
      <c r="I381" s="16" cm="1">
        <f t="array" ref="I381">INDEX('OC-Monthly'!$B$7:$N$65,_xlfn.XMATCH($A381,'OC-Monthly'!$A$7:$A$65),_xlfn.XMATCH($B381,'OC-Monthly'!$B$1:$N$1))</f>
        <v>0</v>
      </c>
      <c r="J381" s="16" cm="1">
        <f t="array" ref="J381">INDEX('OC-Monthly'!$P$7:$AB$65,_xlfn.XMATCH($A381,'OC-Monthly'!$A$7:$A$65),_xlfn.XMATCH($B381,'OC-Monthly'!$P$1:$AB$1))</f>
        <v>-4.2582103014865424E-4</v>
      </c>
      <c r="K381" s="1" t="s">
        <v>8</v>
      </c>
      <c r="L381" s="1" t="s">
        <v>7</v>
      </c>
      <c r="M381" s="15" t="str">
        <f t="shared" si="23"/>
        <v>na</v>
      </c>
    </row>
    <row r="382" spans="1:13" x14ac:dyDescent="0.25">
      <c r="A382" t="s">
        <v>42</v>
      </c>
      <c r="B382">
        <v>6</v>
      </c>
      <c r="C382" t="str">
        <f t="shared" si="20"/>
        <v>859</v>
      </c>
      <c r="D382" t="s">
        <v>42</v>
      </c>
      <c r="F382">
        <v>2025</v>
      </c>
      <c r="G382">
        <f t="shared" si="21"/>
        <v>6</v>
      </c>
      <c r="H382" t="str">
        <f t="shared" si="22"/>
        <v>859 LIFE Parent</v>
      </c>
      <c r="I382" s="16" cm="1">
        <f t="array" ref="I382">INDEX('OC-Monthly'!$B$7:$N$65,_xlfn.XMATCH($A382,'OC-Monthly'!$A$7:$A$65),_xlfn.XMATCH($B382,'OC-Monthly'!$B$1:$N$1))</f>
        <v>0</v>
      </c>
      <c r="J382" s="16" cm="1">
        <f t="array" ref="J382">INDEX('OC-Monthly'!$P$7:$AB$65,_xlfn.XMATCH($A382,'OC-Monthly'!$A$7:$A$65),_xlfn.XMATCH($B382,'OC-Monthly'!$P$1:$AB$1))</f>
        <v>-2.2671217320748842E-3</v>
      </c>
      <c r="K382" s="1" t="s">
        <v>8</v>
      </c>
      <c r="L382" s="1" t="s">
        <v>7</v>
      </c>
      <c r="M382" s="15" t="str">
        <f t="shared" si="23"/>
        <v>na</v>
      </c>
    </row>
    <row r="383" spans="1:13" x14ac:dyDescent="0.25">
      <c r="A383" t="s">
        <v>42</v>
      </c>
      <c r="B383">
        <v>7</v>
      </c>
      <c r="C383" t="str">
        <f t="shared" si="20"/>
        <v>859</v>
      </c>
      <c r="D383" t="s">
        <v>42</v>
      </c>
      <c r="F383">
        <v>2025</v>
      </c>
      <c r="G383">
        <f t="shared" si="21"/>
        <v>7</v>
      </c>
      <c r="H383" t="str">
        <f t="shared" si="22"/>
        <v>859 LIFE Parent</v>
      </c>
      <c r="I383" s="16" cm="1">
        <f t="array" ref="I383">INDEX('OC-Monthly'!$B$7:$N$65,_xlfn.XMATCH($A383,'OC-Monthly'!$A$7:$A$65),_xlfn.XMATCH($B383,'OC-Monthly'!$B$1:$N$1))</f>
        <v>0</v>
      </c>
      <c r="J383" s="16" cm="1">
        <f t="array" ref="J383">INDEX('OC-Monthly'!$P$7:$AB$65,_xlfn.XMATCH($A383,'OC-Monthly'!$A$7:$A$65),_xlfn.XMATCH($B383,'OC-Monthly'!$P$1:$AB$1))</f>
        <v>-4.5633220051968237E-3</v>
      </c>
      <c r="K383" s="1" t="s">
        <v>8</v>
      </c>
      <c r="L383" s="1" t="s">
        <v>7</v>
      </c>
      <c r="M383" s="15" t="str">
        <f t="shared" si="23"/>
        <v>na</v>
      </c>
    </row>
    <row r="384" spans="1:13" x14ac:dyDescent="0.25">
      <c r="A384" t="s">
        <v>42</v>
      </c>
      <c r="B384">
        <v>8</v>
      </c>
      <c r="C384" t="str">
        <f t="shared" si="20"/>
        <v>859</v>
      </c>
      <c r="D384" t="s">
        <v>42</v>
      </c>
      <c r="F384">
        <v>2025</v>
      </c>
      <c r="G384">
        <f t="shared" si="21"/>
        <v>8</v>
      </c>
      <c r="H384" t="str">
        <f t="shared" si="22"/>
        <v>859 LIFE Parent</v>
      </c>
      <c r="I384" s="16" cm="1">
        <f t="array" ref="I384">INDEX('OC-Monthly'!$B$7:$N$65,_xlfn.XMATCH($A384,'OC-Monthly'!$A$7:$A$65),_xlfn.XMATCH($B384,'OC-Monthly'!$B$1:$N$1))</f>
        <v>0</v>
      </c>
      <c r="J384" s="16" cm="1">
        <f t="array" ref="J384">INDEX('OC-Monthly'!$P$7:$AB$65,_xlfn.XMATCH($A384,'OC-Monthly'!$A$7:$A$65),_xlfn.XMATCH($B384,'OC-Monthly'!$P$1:$AB$1))</f>
        <v>-3.9020932781568263E-3</v>
      </c>
      <c r="K384" s="1" t="s">
        <v>8</v>
      </c>
      <c r="L384" s="1" t="s">
        <v>7</v>
      </c>
      <c r="M384" s="15" t="str">
        <f t="shared" si="23"/>
        <v>na</v>
      </c>
    </row>
    <row r="385" spans="1:13" x14ac:dyDescent="0.25">
      <c r="A385" t="s">
        <v>42</v>
      </c>
      <c r="B385">
        <v>9</v>
      </c>
      <c r="C385" t="str">
        <f t="shared" si="20"/>
        <v>859</v>
      </c>
      <c r="D385" t="s">
        <v>42</v>
      </c>
      <c r="F385">
        <v>2025</v>
      </c>
      <c r="G385">
        <f t="shared" si="21"/>
        <v>9</v>
      </c>
      <c r="H385" t="str">
        <f t="shared" si="22"/>
        <v>859 LIFE Parent</v>
      </c>
      <c r="I385" s="16" cm="1">
        <f t="array" ref="I385">INDEX('OC-Monthly'!$B$7:$N$65,_xlfn.XMATCH($A385,'OC-Monthly'!$A$7:$A$65),_xlfn.XMATCH($B385,'OC-Monthly'!$B$1:$N$1))</f>
        <v>0</v>
      </c>
      <c r="J385" s="16" cm="1">
        <f t="array" ref="J385">INDEX('OC-Monthly'!$P$7:$AB$65,_xlfn.XMATCH($A385,'OC-Monthly'!$A$7:$A$65),_xlfn.XMATCH($B385,'OC-Monthly'!$P$1:$AB$1))</f>
        <v>-8.8434525423508603E-4</v>
      </c>
      <c r="K385" s="1" t="s">
        <v>8</v>
      </c>
      <c r="L385" s="1" t="s">
        <v>7</v>
      </c>
      <c r="M385" s="15" t="str">
        <f t="shared" si="23"/>
        <v>na</v>
      </c>
    </row>
    <row r="386" spans="1:13" x14ac:dyDescent="0.25">
      <c r="A386" t="s">
        <v>42</v>
      </c>
      <c r="B386">
        <v>10</v>
      </c>
      <c r="C386" t="str">
        <f t="shared" si="20"/>
        <v>859</v>
      </c>
      <c r="D386" t="s">
        <v>42</v>
      </c>
      <c r="F386">
        <v>2025</v>
      </c>
      <c r="G386">
        <f t="shared" si="21"/>
        <v>10</v>
      </c>
      <c r="H386" t="str">
        <f t="shared" si="22"/>
        <v>859 LIFE Parent</v>
      </c>
      <c r="I386" s="16" cm="1">
        <f t="array" ref="I386">INDEX('OC-Monthly'!$B$7:$N$65,_xlfn.XMATCH($A386,'OC-Monthly'!$A$7:$A$65),_xlfn.XMATCH($B386,'OC-Monthly'!$B$1:$N$1))</f>
        <v>0</v>
      </c>
      <c r="J386" s="16" cm="1">
        <f t="array" ref="J386">INDEX('OC-Monthly'!$P$7:$AB$65,_xlfn.XMATCH($A386,'OC-Monthly'!$A$7:$A$65),_xlfn.XMATCH($B386,'OC-Monthly'!$P$1:$AB$1))</f>
        <v>4.6342433051904663E-5</v>
      </c>
      <c r="K386" s="1" t="s">
        <v>8</v>
      </c>
      <c r="L386" s="1" t="s">
        <v>7</v>
      </c>
      <c r="M386" s="15" t="str">
        <f t="shared" si="23"/>
        <v>na</v>
      </c>
    </row>
    <row r="387" spans="1:13" x14ac:dyDescent="0.25">
      <c r="A387" t="s">
        <v>42</v>
      </c>
      <c r="B387">
        <v>11</v>
      </c>
      <c r="C387" t="str">
        <f t="shared" si="20"/>
        <v>859</v>
      </c>
      <c r="D387" t="s">
        <v>42</v>
      </c>
      <c r="F387">
        <v>2025</v>
      </c>
      <c r="G387">
        <f t="shared" si="21"/>
        <v>11</v>
      </c>
      <c r="H387" t="str">
        <f t="shared" si="22"/>
        <v>859 LIFE Parent</v>
      </c>
      <c r="I387" s="16" cm="1">
        <f t="array" ref="I387">INDEX('OC-Monthly'!$B$7:$N$65,_xlfn.XMATCH($A387,'OC-Monthly'!$A$7:$A$65),_xlfn.XMATCH($B387,'OC-Monthly'!$B$1:$N$1))</f>
        <v>0</v>
      </c>
      <c r="J387" s="16" cm="1">
        <f t="array" ref="J387">INDEX('OC-Monthly'!$P$7:$AB$65,_xlfn.XMATCH($A387,'OC-Monthly'!$A$7:$A$65),_xlfn.XMATCH($B387,'OC-Monthly'!$P$1:$AB$1))</f>
        <v>2.6392038671474438E-4</v>
      </c>
      <c r="K387" s="1" t="s">
        <v>8</v>
      </c>
      <c r="L387" s="1" t="s">
        <v>7</v>
      </c>
      <c r="M387" s="15" t="str">
        <f t="shared" si="23"/>
        <v>na</v>
      </c>
    </row>
    <row r="388" spans="1:13" x14ac:dyDescent="0.25">
      <c r="A388" t="s">
        <v>42</v>
      </c>
      <c r="B388">
        <v>12</v>
      </c>
      <c r="C388" t="str">
        <f t="shared" si="20"/>
        <v>859</v>
      </c>
      <c r="D388" t="s">
        <v>42</v>
      </c>
      <c r="F388">
        <v>2025</v>
      </c>
      <c r="G388">
        <f t="shared" si="21"/>
        <v>12</v>
      </c>
      <c r="H388" t="str">
        <f t="shared" si="22"/>
        <v>859 LIFE Parent</v>
      </c>
      <c r="I388" s="16" cm="1">
        <f t="array" ref="I388">INDEX('OC-Monthly'!$B$7:$N$65,_xlfn.XMATCH($A388,'OC-Monthly'!$A$7:$A$65),_xlfn.XMATCH($B388,'OC-Monthly'!$B$1:$N$1))</f>
        <v>0</v>
      </c>
      <c r="J388" s="16" cm="1">
        <f t="array" ref="J388">INDEX('OC-Monthly'!$P$7:$AB$65,_xlfn.XMATCH($A388,'OC-Monthly'!$A$7:$A$65),_xlfn.XMATCH($B388,'OC-Monthly'!$P$1:$AB$1))</f>
        <v>4.6342402129084803E-5</v>
      </c>
      <c r="K388" s="1" t="s">
        <v>8</v>
      </c>
      <c r="L388" s="1" t="s">
        <v>7</v>
      </c>
      <c r="M388" s="15" t="str">
        <f t="shared" si="23"/>
        <v>na</v>
      </c>
    </row>
    <row r="389" spans="1:13" x14ac:dyDescent="0.25">
      <c r="A389" t="s">
        <v>49</v>
      </c>
      <c r="B389">
        <v>1</v>
      </c>
      <c r="C389" t="str">
        <f t="shared" si="20"/>
        <v>860</v>
      </c>
      <c r="D389" t="s">
        <v>49</v>
      </c>
      <c r="F389">
        <v>2025</v>
      </c>
      <c r="G389">
        <f t="shared" si="21"/>
        <v>1</v>
      </c>
      <c r="H389" t="str">
        <f t="shared" si="22"/>
        <v>860 ACS Fund Development</v>
      </c>
      <c r="I389" s="16" cm="1">
        <f t="array" ref="I389">INDEX('OC-Monthly'!$B$7:$N$65,_xlfn.XMATCH($A389,'OC-Monthly'!$A$7:$A$65),_xlfn.XMATCH($B389,'OC-Monthly'!$B$1:$N$1))</f>
        <v>-11733.67</v>
      </c>
      <c r="J389" s="16" cm="1">
        <f t="array" ref="J389">INDEX('OC-Monthly'!$P$7:$AB$65,_xlfn.XMATCH($A389,'OC-Monthly'!$A$7:$A$65),_xlfn.XMATCH($B389,'OC-Monthly'!$P$1:$AB$1))</f>
        <v>9609.49</v>
      </c>
      <c r="K389" s="1" t="s">
        <v>8</v>
      </c>
      <c r="L389" s="1" t="s">
        <v>7</v>
      </c>
      <c r="M389" s="15">
        <f t="shared" si="23"/>
        <v>-0.81896712622734402</v>
      </c>
    </row>
    <row r="390" spans="1:13" x14ac:dyDescent="0.25">
      <c r="A390" t="s">
        <v>49</v>
      </c>
      <c r="B390">
        <v>2</v>
      </c>
      <c r="C390" t="str">
        <f t="shared" ref="C390:C453" si="24">LEFT(A390,3)</f>
        <v>860</v>
      </c>
      <c r="D390" t="s">
        <v>49</v>
      </c>
      <c r="F390">
        <v>2025</v>
      </c>
      <c r="G390">
        <f t="shared" ref="G390:G453" si="25">B390</f>
        <v>2</v>
      </c>
      <c r="H390" t="str">
        <f t="shared" ref="H390:H453" si="26">D390</f>
        <v>860 ACS Fund Development</v>
      </c>
      <c r="I390" s="16" cm="1">
        <f t="array" ref="I390">INDEX('OC-Monthly'!$B$7:$N$65,_xlfn.XMATCH($A390,'OC-Monthly'!$A$7:$A$65),_xlfn.XMATCH($B390,'OC-Monthly'!$B$1:$N$1))</f>
        <v>-10483.67</v>
      </c>
      <c r="J390" s="16" cm="1">
        <f t="array" ref="J390">INDEX('OC-Monthly'!$P$7:$AB$65,_xlfn.XMATCH($A390,'OC-Monthly'!$A$7:$A$65),_xlfn.XMATCH($B390,'OC-Monthly'!$P$1:$AB$1))</f>
        <v>8679.5400000000009</v>
      </c>
      <c r="K390" s="1" t="s">
        <v>8</v>
      </c>
      <c r="L390" s="1" t="s">
        <v>7</v>
      </c>
      <c r="M390" s="15">
        <f t="shared" ref="M390:M453" si="27">IFERROR(J390/I390,"na")</f>
        <v>-0.82791045502195326</v>
      </c>
    </row>
    <row r="391" spans="1:13" x14ac:dyDescent="0.25">
      <c r="A391" t="s">
        <v>49</v>
      </c>
      <c r="B391">
        <v>3</v>
      </c>
      <c r="C391" t="str">
        <f t="shared" si="24"/>
        <v>860</v>
      </c>
      <c r="D391" t="s">
        <v>49</v>
      </c>
      <c r="F391">
        <v>2025</v>
      </c>
      <c r="G391">
        <f t="shared" si="25"/>
        <v>3</v>
      </c>
      <c r="H391" t="str">
        <f t="shared" si="26"/>
        <v>860 ACS Fund Development</v>
      </c>
      <c r="I391" s="16" cm="1">
        <f t="array" ref="I391">INDEX('OC-Monthly'!$B$7:$N$65,_xlfn.XMATCH($A391,'OC-Monthly'!$A$7:$A$65),_xlfn.XMATCH($B391,'OC-Monthly'!$B$1:$N$1))</f>
        <v>-10483.67</v>
      </c>
      <c r="J391" s="16" cm="1">
        <f t="array" ref="J391">INDEX('OC-Monthly'!$P$7:$AB$65,_xlfn.XMATCH($A391,'OC-Monthly'!$A$7:$A$65),_xlfn.XMATCH($B391,'OC-Monthly'!$P$1:$AB$1))</f>
        <v>9609.49</v>
      </c>
      <c r="K391" s="1" t="s">
        <v>8</v>
      </c>
      <c r="L391" s="1" t="s">
        <v>7</v>
      </c>
      <c r="M391" s="15">
        <f t="shared" si="27"/>
        <v>-0.91661507849827395</v>
      </c>
    </row>
    <row r="392" spans="1:13" x14ac:dyDescent="0.25">
      <c r="A392" t="s">
        <v>49</v>
      </c>
      <c r="B392">
        <v>4</v>
      </c>
      <c r="C392" t="str">
        <f t="shared" si="24"/>
        <v>860</v>
      </c>
      <c r="D392" t="s">
        <v>49</v>
      </c>
      <c r="F392">
        <v>2025</v>
      </c>
      <c r="G392">
        <f t="shared" si="25"/>
        <v>4</v>
      </c>
      <c r="H392" t="str">
        <f t="shared" si="26"/>
        <v>860 ACS Fund Development</v>
      </c>
      <c r="I392" s="16" cm="1">
        <f t="array" ref="I392">INDEX('OC-Monthly'!$B$7:$N$65,_xlfn.XMATCH($A392,'OC-Monthly'!$A$7:$A$65),_xlfn.XMATCH($B392,'OC-Monthly'!$B$1:$N$1))</f>
        <v>-11733.67</v>
      </c>
      <c r="J392" s="16" cm="1">
        <f t="array" ref="J392">INDEX('OC-Monthly'!$P$7:$AB$65,_xlfn.XMATCH($A392,'OC-Monthly'!$A$7:$A$65),_xlfn.XMATCH($B392,'OC-Monthly'!$P$1:$AB$1))</f>
        <v>9299.51</v>
      </c>
      <c r="K392" s="1" t="s">
        <v>8</v>
      </c>
      <c r="L392" s="1" t="s">
        <v>7</v>
      </c>
      <c r="M392" s="15">
        <f t="shared" si="27"/>
        <v>-0.7925491342435913</v>
      </c>
    </row>
    <row r="393" spans="1:13" x14ac:dyDescent="0.25">
      <c r="A393" t="s">
        <v>49</v>
      </c>
      <c r="B393">
        <v>5</v>
      </c>
      <c r="C393" t="str">
        <f t="shared" si="24"/>
        <v>860</v>
      </c>
      <c r="D393" t="s">
        <v>49</v>
      </c>
      <c r="F393">
        <v>2025</v>
      </c>
      <c r="G393">
        <f t="shared" si="25"/>
        <v>5</v>
      </c>
      <c r="H393" t="str">
        <f t="shared" si="26"/>
        <v>860 ACS Fund Development</v>
      </c>
      <c r="I393" s="16" cm="1">
        <f t="array" ref="I393">INDEX('OC-Monthly'!$B$7:$N$65,_xlfn.XMATCH($A393,'OC-Monthly'!$A$7:$A$65),_xlfn.XMATCH($B393,'OC-Monthly'!$B$1:$N$1))</f>
        <v>-10483.67</v>
      </c>
      <c r="J393" s="16" cm="1">
        <f t="array" ref="J393">INDEX('OC-Monthly'!$P$7:$AB$65,_xlfn.XMATCH($A393,'OC-Monthly'!$A$7:$A$65),_xlfn.XMATCH($B393,'OC-Monthly'!$P$1:$AB$1))</f>
        <v>9609.49</v>
      </c>
      <c r="K393" s="1" t="s">
        <v>8</v>
      </c>
      <c r="L393" s="1" t="s">
        <v>7</v>
      </c>
      <c r="M393" s="15">
        <f t="shared" si="27"/>
        <v>-0.91661507849827395</v>
      </c>
    </row>
    <row r="394" spans="1:13" x14ac:dyDescent="0.25">
      <c r="A394" t="s">
        <v>49</v>
      </c>
      <c r="B394">
        <v>6</v>
      </c>
      <c r="C394" t="str">
        <f t="shared" si="24"/>
        <v>860</v>
      </c>
      <c r="D394" t="s">
        <v>49</v>
      </c>
      <c r="F394">
        <v>2025</v>
      </c>
      <c r="G394">
        <f t="shared" si="25"/>
        <v>6</v>
      </c>
      <c r="H394" t="str">
        <f t="shared" si="26"/>
        <v>860 ACS Fund Development</v>
      </c>
      <c r="I394" s="16" cm="1">
        <f t="array" ref="I394">INDEX('OC-Monthly'!$B$7:$N$65,_xlfn.XMATCH($A394,'OC-Monthly'!$A$7:$A$65),_xlfn.XMATCH($B394,'OC-Monthly'!$B$1:$N$1))</f>
        <v>-10483.67</v>
      </c>
      <c r="J394" s="16" cm="1">
        <f t="array" ref="J394">INDEX('OC-Monthly'!$P$7:$AB$65,_xlfn.XMATCH($A394,'OC-Monthly'!$A$7:$A$65),_xlfn.XMATCH($B394,'OC-Monthly'!$P$1:$AB$1))</f>
        <v>9299.51</v>
      </c>
      <c r="K394" s="1" t="s">
        <v>8</v>
      </c>
      <c r="L394" s="1" t="s">
        <v>7</v>
      </c>
      <c r="M394" s="15">
        <f t="shared" si="27"/>
        <v>-0.88704718862764664</v>
      </c>
    </row>
    <row r="395" spans="1:13" x14ac:dyDescent="0.25">
      <c r="A395" t="s">
        <v>49</v>
      </c>
      <c r="B395">
        <v>7</v>
      </c>
      <c r="C395" t="str">
        <f t="shared" si="24"/>
        <v>860</v>
      </c>
      <c r="D395" t="s">
        <v>49</v>
      </c>
      <c r="F395">
        <v>2025</v>
      </c>
      <c r="G395">
        <f t="shared" si="25"/>
        <v>7</v>
      </c>
      <c r="H395" t="str">
        <f t="shared" si="26"/>
        <v>860 ACS Fund Development</v>
      </c>
      <c r="I395" s="16" cm="1">
        <f t="array" ref="I395">INDEX('OC-Monthly'!$B$7:$N$65,_xlfn.XMATCH($A395,'OC-Monthly'!$A$7:$A$65),_xlfn.XMATCH($B395,'OC-Monthly'!$B$1:$N$1))</f>
        <v>-11733.67</v>
      </c>
      <c r="J395" s="16" cm="1">
        <f t="array" ref="J395">INDEX('OC-Monthly'!$P$7:$AB$65,_xlfn.XMATCH($A395,'OC-Monthly'!$A$7:$A$65),_xlfn.XMATCH($B395,'OC-Monthly'!$P$1:$AB$1))</f>
        <v>9609.49</v>
      </c>
      <c r="K395" s="1" t="s">
        <v>8</v>
      </c>
      <c r="L395" s="1" t="s">
        <v>7</v>
      </c>
      <c r="M395" s="15">
        <f t="shared" si="27"/>
        <v>-0.81896712622734402</v>
      </c>
    </row>
    <row r="396" spans="1:13" x14ac:dyDescent="0.25">
      <c r="A396" t="s">
        <v>49</v>
      </c>
      <c r="B396">
        <v>8</v>
      </c>
      <c r="C396" t="str">
        <f t="shared" si="24"/>
        <v>860</v>
      </c>
      <c r="D396" t="s">
        <v>49</v>
      </c>
      <c r="F396">
        <v>2025</v>
      </c>
      <c r="G396">
        <f t="shared" si="25"/>
        <v>8</v>
      </c>
      <c r="H396" t="str">
        <f t="shared" si="26"/>
        <v>860 ACS Fund Development</v>
      </c>
      <c r="I396" s="16" cm="1">
        <f t="array" ref="I396">INDEX('OC-Monthly'!$B$7:$N$65,_xlfn.XMATCH($A396,'OC-Monthly'!$A$7:$A$65),_xlfn.XMATCH($B396,'OC-Monthly'!$B$1:$N$1))</f>
        <v>-10483.67</v>
      </c>
      <c r="J396" s="16" cm="1">
        <f t="array" ref="J396">INDEX('OC-Monthly'!$P$7:$AB$65,_xlfn.XMATCH($A396,'OC-Monthly'!$A$7:$A$65),_xlfn.XMATCH($B396,'OC-Monthly'!$P$1:$AB$1))</f>
        <v>9609.49</v>
      </c>
      <c r="K396" s="1" t="s">
        <v>8</v>
      </c>
      <c r="L396" s="1" t="s">
        <v>7</v>
      </c>
      <c r="M396" s="15">
        <f t="shared" si="27"/>
        <v>-0.91661507849827395</v>
      </c>
    </row>
    <row r="397" spans="1:13" x14ac:dyDescent="0.25">
      <c r="A397" t="s">
        <v>49</v>
      </c>
      <c r="B397">
        <v>9</v>
      </c>
      <c r="C397" t="str">
        <f t="shared" si="24"/>
        <v>860</v>
      </c>
      <c r="D397" t="s">
        <v>49</v>
      </c>
      <c r="F397">
        <v>2025</v>
      </c>
      <c r="G397">
        <f t="shared" si="25"/>
        <v>9</v>
      </c>
      <c r="H397" t="str">
        <f t="shared" si="26"/>
        <v>860 ACS Fund Development</v>
      </c>
      <c r="I397" s="16" cm="1">
        <f t="array" ref="I397">INDEX('OC-Monthly'!$B$7:$N$65,_xlfn.XMATCH($A397,'OC-Monthly'!$A$7:$A$65),_xlfn.XMATCH($B397,'OC-Monthly'!$B$1:$N$1))</f>
        <v>-10483.67</v>
      </c>
      <c r="J397" s="16" cm="1">
        <f t="array" ref="J397">INDEX('OC-Monthly'!$P$7:$AB$65,_xlfn.XMATCH($A397,'OC-Monthly'!$A$7:$A$65),_xlfn.XMATCH($B397,'OC-Monthly'!$P$1:$AB$1))</f>
        <v>9299.51</v>
      </c>
      <c r="K397" s="1" t="s">
        <v>8</v>
      </c>
      <c r="L397" s="1" t="s">
        <v>7</v>
      </c>
      <c r="M397" s="15">
        <f t="shared" si="27"/>
        <v>-0.88704718862764664</v>
      </c>
    </row>
    <row r="398" spans="1:13" x14ac:dyDescent="0.25">
      <c r="A398" t="s">
        <v>49</v>
      </c>
      <c r="B398">
        <v>10</v>
      </c>
      <c r="C398" t="str">
        <f t="shared" si="24"/>
        <v>860</v>
      </c>
      <c r="D398" t="s">
        <v>49</v>
      </c>
      <c r="F398">
        <v>2025</v>
      </c>
      <c r="G398">
        <f t="shared" si="25"/>
        <v>10</v>
      </c>
      <c r="H398" t="str">
        <f t="shared" si="26"/>
        <v>860 ACS Fund Development</v>
      </c>
      <c r="I398" s="16" cm="1">
        <f t="array" ref="I398">INDEX('OC-Monthly'!$B$7:$N$65,_xlfn.XMATCH($A398,'OC-Monthly'!$A$7:$A$65),_xlfn.XMATCH($B398,'OC-Monthly'!$B$1:$N$1))</f>
        <v>-11733.67</v>
      </c>
      <c r="J398" s="16" cm="1">
        <f t="array" ref="J398">INDEX('OC-Monthly'!$P$7:$AB$65,_xlfn.XMATCH($A398,'OC-Monthly'!$A$7:$A$65),_xlfn.XMATCH($B398,'OC-Monthly'!$P$1:$AB$1))</f>
        <v>9609.49</v>
      </c>
      <c r="K398" s="1" t="s">
        <v>8</v>
      </c>
      <c r="L398" s="1" t="s">
        <v>7</v>
      </c>
      <c r="M398" s="15">
        <f t="shared" si="27"/>
        <v>-0.81896712622734402</v>
      </c>
    </row>
    <row r="399" spans="1:13" x14ac:dyDescent="0.25">
      <c r="A399" t="s">
        <v>49</v>
      </c>
      <c r="B399">
        <v>11</v>
      </c>
      <c r="C399" t="str">
        <f t="shared" si="24"/>
        <v>860</v>
      </c>
      <c r="D399" t="s">
        <v>49</v>
      </c>
      <c r="F399">
        <v>2025</v>
      </c>
      <c r="G399">
        <f t="shared" si="25"/>
        <v>11</v>
      </c>
      <c r="H399" t="str">
        <f t="shared" si="26"/>
        <v>860 ACS Fund Development</v>
      </c>
      <c r="I399" s="16" cm="1">
        <f t="array" ref="I399">INDEX('OC-Monthly'!$B$7:$N$65,_xlfn.XMATCH($A399,'OC-Monthly'!$A$7:$A$65),_xlfn.XMATCH($B399,'OC-Monthly'!$B$1:$N$1))</f>
        <v>-10483.67</v>
      </c>
      <c r="J399" s="16" cm="1">
        <f t="array" ref="J399">INDEX('OC-Monthly'!$P$7:$AB$65,_xlfn.XMATCH($A399,'OC-Monthly'!$A$7:$A$65),_xlfn.XMATCH($B399,'OC-Monthly'!$P$1:$AB$1))</f>
        <v>9299.51</v>
      </c>
      <c r="K399" s="1" t="s">
        <v>8</v>
      </c>
      <c r="L399" s="1" t="s">
        <v>7</v>
      </c>
      <c r="M399" s="15">
        <f t="shared" si="27"/>
        <v>-0.88704718862764664</v>
      </c>
    </row>
    <row r="400" spans="1:13" x14ac:dyDescent="0.25">
      <c r="A400" t="s">
        <v>49</v>
      </c>
      <c r="B400">
        <v>12</v>
      </c>
      <c r="C400" t="str">
        <f t="shared" si="24"/>
        <v>860</v>
      </c>
      <c r="D400" t="s">
        <v>49</v>
      </c>
      <c r="F400">
        <v>2025</v>
      </c>
      <c r="G400">
        <f t="shared" si="25"/>
        <v>12</v>
      </c>
      <c r="H400" t="str">
        <f t="shared" si="26"/>
        <v>860 ACS Fund Development</v>
      </c>
      <c r="I400" s="16" cm="1">
        <f t="array" ref="I400">INDEX('OC-Monthly'!$B$7:$N$65,_xlfn.XMATCH($A400,'OC-Monthly'!$A$7:$A$65),_xlfn.XMATCH($B400,'OC-Monthly'!$B$1:$N$1))</f>
        <v>-10483.67</v>
      </c>
      <c r="J400" s="16" cm="1">
        <f t="array" ref="J400">INDEX('OC-Monthly'!$P$7:$AB$65,_xlfn.XMATCH($A400,'OC-Monthly'!$A$7:$A$65),_xlfn.XMATCH($B400,'OC-Monthly'!$P$1:$AB$1))</f>
        <v>9609.49</v>
      </c>
      <c r="K400" s="1" t="s">
        <v>8</v>
      </c>
      <c r="L400" s="1" t="s">
        <v>7</v>
      </c>
      <c r="M400" s="15">
        <f t="shared" si="27"/>
        <v>-0.91661507849827395</v>
      </c>
    </row>
    <row r="401" spans="1:13" x14ac:dyDescent="0.25">
      <c r="A401" t="s">
        <v>37</v>
      </c>
      <c r="B401">
        <v>1</v>
      </c>
      <c r="C401" t="str">
        <f t="shared" si="24"/>
        <v>870</v>
      </c>
      <c r="D401" t="s">
        <v>37</v>
      </c>
      <c r="F401">
        <v>2025</v>
      </c>
      <c r="G401">
        <f t="shared" si="25"/>
        <v>1</v>
      </c>
      <c r="H401" t="str">
        <f t="shared" si="26"/>
        <v>870 Warrior Run Manor</v>
      </c>
      <c r="I401" s="16" cm="1">
        <f t="array" ref="I401">INDEX('OC-Monthly'!$B$7:$N$65,_xlfn.XMATCH($A401,'OC-Monthly'!$A$7:$A$65),_xlfn.XMATCH($B401,'OC-Monthly'!$B$1:$N$1))</f>
        <v>65714.309008923869</v>
      </c>
      <c r="J401" s="16" cm="1">
        <f t="array" ref="J401">INDEX('OC-Monthly'!$P$7:$AB$65,_xlfn.XMATCH($A401,'OC-Monthly'!$A$7:$A$65),_xlfn.XMATCH($B401,'OC-Monthly'!$P$1:$AB$1))</f>
        <v>53147.722905298418</v>
      </c>
      <c r="K401" s="1" t="s">
        <v>8</v>
      </c>
      <c r="L401" s="1" t="s">
        <v>7</v>
      </c>
      <c r="M401" s="15">
        <f t="shared" si="27"/>
        <v>0.80876940968946454</v>
      </c>
    </row>
    <row r="402" spans="1:13" x14ac:dyDescent="0.25">
      <c r="A402" t="s">
        <v>37</v>
      </c>
      <c r="B402">
        <v>2</v>
      </c>
      <c r="C402" t="str">
        <f t="shared" si="24"/>
        <v>870</v>
      </c>
      <c r="D402" t="s">
        <v>37</v>
      </c>
      <c r="F402">
        <v>2025</v>
      </c>
      <c r="G402">
        <f t="shared" si="25"/>
        <v>2</v>
      </c>
      <c r="H402" t="str">
        <f t="shared" si="26"/>
        <v>870 Warrior Run Manor</v>
      </c>
      <c r="I402" s="16" cm="1">
        <f t="array" ref="I402">INDEX('OC-Monthly'!$B$7:$N$65,_xlfn.XMATCH($A402,'OC-Monthly'!$A$7:$A$65),_xlfn.XMATCH($B402,'OC-Monthly'!$B$1:$N$1))</f>
        <v>65636.317372380232</v>
      </c>
      <c r="J402" s="16" cm="1">
        <f t="array" ref="J402">INDEX('OC-Monthly'!$P$7:$AB$65,_xlfn.XMATCH($A402,'OC-Monthly'!$A$7:$A$65),_xlfn.XMATCH($B402,'OC-Monthly'!$P$1:$AB$1))</f>
        <v>50777.167798301962</v>
      </c>
      <c r="K402" s="1" t="s">
        <v>8</v>
      </c>
      <c r="L402" s="1" t="s">
        <v>7</v>
      </c>
      <c r="M402" s="15">
        <f t="shared" si="27"/>
        <v>0.77361390509195449</v>
      </c>
    </row>
    <row r="403" spans="1:13" x14ac:dyDescent="0.25">
      <c r="A403" t="s">
        <v>37</v>
      </c>
      <c r="B403">
        <v>3</v>
      </c>
      <c r="C403" t="str">
        <f t="shared" si="24"/>
        <v>870</v>
      </c>
      <c r="D403" t="s">
        <v>37</v>
      </c>
      <c r="F403">
        <v>2025</v>
      </c>
      <c r="G403">
        <f t="shared" si="25"/>
        <v>3</v>
      </c>
      <c r="H403" t="str">
        <f t="shared" si="26"/>
        <v>870 Warrior Run Manor</v>
      </c>
      <c r="I403" s="16" cm="1">
        <f t="array" ref="I403">INDEX('OC-Monthly'!$B$7:$N$65,_xlfn.XMATCH($A403,'OC-Monthly'!$A$7:$A$65),_xlfn.XMATCH($B403,'OC-Monthly'!$B$1:$N$1))</f>
        <v>65743.024133605213</v>
      </c>
      <c r="J403" s="16" cm="1">
        <f t="array" ref="J403">INDEX('OC-Monthly'!$P$7:$AB$65,_xlfn.XMATCH($A403,'OC-Monthly'!$A$7:$A$65),_xlfn.XMATCH($B403,'OC-Monthly'!$P$1:$AB$1))</f>
        <v>53147.722905298418</v>
      </c>
      <c r="K403" s="1" t="s">
        <v>8</v>
      </c>
      <c r="L403" s="1" t="s">
        <v>7</v>
      </c>
      <c r="M403" s="15">
        <f t="shared" si="27"/>
        <v>0.80841615678174172</v>
      </c>
    </row>
    <row r="404" spans="1:13" x14ac:dyDescent="0.25">
      <c r="A404" t="s">
        <v>37</v>
      </c>
      <c r="B404">
        <v>4</v>
      </c>
      <c r="C404" t="str">
        <f t="shared" si="24"/>
        <v>870</v>
      </c>
      <c r="D404" t="s">
        <v>37</v>
      </c>
      <c r="F404">
        <v>2025</v>
      </c>
      <c r="G404">
        <f t="shared" si="25"/>
        <v>4</v>
      </c>
      <c r="H404" t="str">
        <f t="shared" si="26"/>
        <v>870 Warrior Run Manor</v>
      </c>
      <c r="I404" s="16" cm="1">
        <f t="array" ref="I404">INDEX('OC-Monthly'!$B$7:$N$65,_xlfn.XMATCH($A404,'OC-Monthly'!$A$7:$A$65),_xlfn.XMATCH($B404,'OC-Monthly'!$B$1:$N$1))</f>
        <v>65688.311796661001</v>
      </c>
      <c r="J404" s="16" cm="1">
        <f t="array" ref="J404">INDEX('OC-Monthly'!$P$7:$AB$65,_xlfn.XMATCH($A404,'OC-Monthly'!$A$7:$A$65),_xlfn.XMATCH($B404,'OC-Monthly'!$P$1:$AB$1))</f>
        <v>52232.692966152288</v>
      </c>
      <c r="K404" s="1" t="s">
        <v>8</v>
      </c>
      <c r="L404" s="1" t="s">
        <v>7</v>
      </c>
      <c r="M404" s="15">
        <f t="shared" si="27"/>
        <v>0.79515961877417785</v>
      </c>
    </row>
    <row r="405" spans="1:13" x14ac:dyDescent="0.25">
      <c r="A405" t="s">
        <v>37</v>
      </c>
      <c r="B405">
        <v>5</v>
      </c>
      <c r="C405" t="str">
        <f t="shared" si="24"/>
        <v>870</v>
      </c>
      <c r="D405" t="s">
        <v>37</v>
      </c>
      <c r="F405">
        <v>2025</v>
      </c>
      <c r="G405">
        <f t="shared" si="25"/>
        <v>5</v>
      </c>
      <c r="H405" t="str">
        <f t="shared" si="26"/>
        <v>870 Warrior Run Manor</v>
      </c>
      <c r="I405" s="16" cm="1">
        <f t="array" ref="I405">INDEX('OC-Monthly'!$B$7:$N$65,_xlfn.XMATCH($A405,'OC-Monthly'!$A$7:$A$65),_xlfn.XMATCH($B405,'OC-Monthly'!$B$1:$N$1))</f>
        <v>67010.47191873609</v>
      </c>
      <c r="J405" s="16" cm="1">
        <f t="array" ref="J405">INDEX('OC-Monthly'!$P$7:$AB$65,_xlfn.XMATCH($A405,'OC-Monthly'!$A$7:$A$65),_xlfn.XMATCH($B405,'OC-Monthly'!$P$1:$AB$1))</f>
        <v>53147.722905298418</v>
      </c>
      <c r="K405" s="1" t="s">
        <v>8</v>
      </c>
      <c r="L405" s="1" t="s">
        <v>7</v>
      </c>
      <c r="M405" s="15">
        <f t="shared" si="27"/>
        <v>0.79312563221090149</v>
      </c>
    </row>
    <row r="406" spans="1:13" x14ac:dyDescent="0.25">
      <c r="A406" t="s">
        <v>37</v>
      </c>
      <c r="B406">
        <v>6</v>
      </c>
      <c r="C406" t="str">
        <f t="shared" si="24"/>
        <v>870</v>
      </c>
      <c r="D406" t="s">
        <v>37</v>
      </c>
      <c r="F406">
        <v>2025</v>
      </c>
      <c r="G406">
        <f t="shared" si="25"/>
        <v>6</v>
      </c>
      <c r="H406" t="str">
        <f t="shared" si="26"/>
        <v>870 Warrior Run Manor</v>
      </c>
      <c r="I406" s="16" cm="1">
        <f t="array" ref="I406">INDEX('OC-Monthly'!$B$7:$N$65,_xlfn.XMATCH($A406,'OC-Monthly'!$A$7:$A$65),_xlfn.XMATCH($B406,'OC-Monthly'!$B$1:$N$1))</f>
        <v>67139.749281795506</v>
      </c>
      <c r="J406" s="16" cm="1">
        <f t="array" ref="J406">INDEX('OC-Monthly'!$P$7:$AB$65,_xlfn.XMATCH($A406,'OC-Monthly'!$A$7:$A$65),_xlfn.XMATCH($B406,'OC-Monthly'!$P$1:$AB$1))</f>
        <v>52232.692966152288</v>
      </c>
      <c r="K406" s="1" t="s">
        <v>8</v>
      </c>
      <c r="L406" s="1" t="s">
        <v>7</v>
      </c>
      <c r="M406" s="15">
        <f t="shared" si="27"/>
        <v>0.77796973514041456</v>
      </c>
    </row>
    <row r="407" spans="1:13" x14ac:dyDescent="0.25">
      <c r="A407" t="s">
        <v>37</v>
      </c>
      <c r="B407">
        <v>7</v>
      </c>
      <c r="C407" t="str">
        <f t="shared" si="24"/>
        <v>870</v>
      </c>
      <c r="D407" t="s">
        <v>37</v>
      </c>
      <c r="F407">
        <v>2025</v>
      </c>
      <c r="G407">
        <f t="shared" si="25"/>
        <v>7</v>
      </c>
      <c r="H407" t="str">
        <f t="shared" si="26"/>
        <v>870 Warrior Run Manor</v>
      </c>
      <c r="I407" s="16" cm="1">
        <f t="array" ref="I407">INDEX('OC-Monthly'!$B$7:$N$65,_xlfn.XMATCH($A407,'OC-Monthly'!$A$7:$A$65),_xlfn.XMATCH($B407,'OC-Monthly'!$B$1:$N$1))</f>
        <v>67010.47191873609</v>
      </c>
      <c r="J407" s="16" cm="1">
        <f t="array" ref="J407">INDEX('OC-Monthly'!$P$7:$AB$65,_xlfn.XMATCH($A407,'OC-Monthly'!$A$7:$A$65),_xlfn.XMATCH($B407,'OC-Monthly'!$P$1:$AB$1))</f>
        <v>53147.722905298418</v>
      </c>
      <c r="K407" s="1" t="s">
        <v>8</v>
      </c>
      <c r="L407" s="1" t="s">
        <v>7</v>
      </c>
      <c r="M407" s="15">
        <f t="shared" si="27"/>
        <v>0.79312563221090149</v>
      </c>
    </row>
    <row r="408" spans="1:13" x14ac:dyDescent="0.25">
      <c r="A408" t="s">
        <v>37</v>
      </c>
      <c r="B408">
        <v>8</v>
      </c>
      <c r="C408" t="str">
        <f t="shared" si="24"/>
        <v>870</v>
      </c>
      <c r="D408" t="s">
        <v>37</v>
      </c>
      <c r="F408">
        <v>2025</v>
      </c>
      <c r="G408">
        <f t="shared" si="25"/>
        <v>8</v>
      </c>
      <c r="H408" t="str">
        <f t="shared" si="26"/>
        <v>870 Warrior Run Manor</v>
      </c>
      <c r="I408" s="16" cm="1">
        <f t="array" ref="I408">INDEX('OC-Monthly'!$B$7:$N$65,_xlfn.XMATCH($A408,'OC-Monthly'!$A$7:$A$65),_xlfn.XMATCH($B408,'OC-Monthly'!$B$1:$N$1))</f>
        <v>67010.47191873609</v>
      </c>
      <c r="J408" s="16" cm="1">
        <f t="array" ref="J408">INDEX('OC-Monthly'!$P$7:$AB$65,_xlfn.XMATCH($A408,'OC-Monthly'!$A$7:$A$65),_xlfn.XMATCH($B408,'OC-Monthly'!$P$1:$AB$1))</f>
        <v>53147.722905298418</v>
      </c>
      <c r="K408" s="1" t="s">
        <v>8</v>
      </c>
      <c r="L408" s="1" t="s">
        <v>7</v>
      </c>
      <c r="M408" s="15">
        <f t="shared" si="27"/>
        <v>0.79312563221090149</v>
      </c>
    </row>
    <row r="409" spans="1:13" x14ac:dyDescent="0.25">
      <c r="A409" t="s">
        <v>37</v>
      </c>
      <c r="B409">
        <v>9</v>
      </c>
      <c r="C409" t="str">
        <f t="shared" si="24"/>
        <v>870</v>
      </c>
      <c r="D409" t="s">
        <v>37</v>
      </c>
      <c r="F409">
        <v>2025</v>
      </c>
      <c r="G409">
        <f t="shared" si="25"/>
        <v>9</v>
      </c>
      <c r="H409" t="str">
        <f t="shared" si="26"/>
        <v>870 Warrior Run Manor</v>
      </c>
      <c r="I409" s="16" cm="1">
        <f t="array" ref="I409">INDEX('OC-Monthly'!$B$7:$N$65,_xlfn.XMATCH($A409,'OC-Monthly'!$A$7:$A$65),_xlfn.XMATCH($B409,'OC-Monthly'!$B$1:$N$1))</f>
        <v>66984.464406476851</v>
      </c>
      <c r="J409" s="16" cm="1">
        <f t="array" ref="J409">INDEX('OC-Monthly'!$P$7:$AB$65,_xlfn.XMATCH($A409,'OC-Monthly'!$A$7:$A$65),_xlfn.XMATCH($B409,'OC-Monthly'!$P$1:$AB$1))</f>
        <v>52232.692966152288</v>
      </c>
      <c r="K409" s="1" t="s">
        <v>8</v>
      </c>
      <c r="L409" s="1" t="s">
        <v>7</v>
      </c>
      <c r="M409" s="15">
        <f t="shared" si="27"/>
        <v>0.77977324188475283</v>
      </c>
    </row>
    <row r="410" spans="1:13" x14ac:dyDescent="0.25">
      <c r="A410" t="s">
        <v>37</v>
      </c>
      <c r="B410">
        <v>10</v>
      </c>
      <c r="C410" t="str">
        <f t="shared" si="24"/>
        <v>870</v>
      </c>
      <c r="D410" t="s">
        <v>37</v>
      </c>
      <c r="F410">
        <v>2025</v>
      </c>
      <c r="G410">
        <f t="shared" si="25"/>
        <v>10</v>
      </c>
      <c r="H410" t="str">
        <f t="shared" si="26"/>
        <v>870 Warrior Run Manor</v>
      </c>
      <c r="I410" s="16" cm="1">
        <f t="array" ref="I410">INDEX('OC-Monthly'!$B$7:$N$65,_xlfn.XMATCH($A410,'OC-Monthly'!$A$7:$A$65),_xlfn.XMATCH($B410,'OC-Monthly'!$B$1:$N$1))</f>
        <v>67010.47191873609</v>
      </c>
      <c r="J410" s="16" cm="1">
        <f t="array" ref="J410">INDEX('OC-Monthly'!$P$7:$AB$65,_xlfn.XMATCH($A410,'OC-Monthly'!$A$7:$A$65),_xlfn.XMATCH($B410,'OC-Monthly'!$P$1:$AB$1))</f>
        <v>53147.722905298418</v>
      </c>
      <c r="K410" s="1" t="s">
        <v>8</v>
      </c>
      <c r="L410" s="1" t="s">
        <v>7</v>
      </c>
      <c r="M410" s="15">
        <f t="shared" si="27"/>
        <v>0.79312563221090149</v>
      </c>
    </row>
    <row r="411" spans="1:13" x14ac:dyDescent="0.25">
      <c r="A411" t="s">
        <v>37</v>
      </c>
      <c r="B411">
        <v>11</v>
      </c>
      <c r="C411" t="str">
        <f t="shared" si="24"/>
        <v>870</v>
      </c>
      <c r="D411" t="s">
        <v>37</v>
      </c>
      <c r="F411">
        <v>2025</v>
      </c>
      <c r="G411">
        <f t="shared" si="25"/>
        <v>11</v>
      </c>
      <c r="H411" t="str">
        <f t="shared" si="26"/>
        <v>870 Warrior Run Manor</v>
      </c>
      <c r="I411" s="16" cm="1">
        <f t="array" ref="I411">INDEX('OC-Monthly'!$B$7:$N$65,_xlfn.XMATCH($A411,'OC-Monthly'!$A$7:$A$65),_xlfn.XMATCH($B411,'OC-Monthly'!$B$1:$N$1))</f>
        <v>66984.464406476851</v>
      </c>
      <c r="J411" s="16" cm="1">
        <f t="array" ref="J411">INDEX('OC-Monthly'!$P$7:$AB$65,_xlfn.XMATCH($A411,'OC-Monthly'!$A$7:$A$65),_xlfn.XMATCH($B411,'OC-Monthly'!$P$1:$AB$1))</f>
        <v>52232.692966152288</v>
      </c>
      <c r="K411" s="1" t="s">
        <v>8</v>
      </c>
      <c r="L411" s="1" t="s">
        <v>7</v>
      </c>
      <c r="M411" s="15">
        <f t="shared" si="27"/>
        <v>0.77977324188475283</v>
      </c>
    </row>
    <row r="412" spans="1:13" x14ac:dyDescent="0.25">
      <c r="A412" t="s">
        <v>37</v>
      </c>
      <c r="B412">
        <v>12</v>
      </c>
      <c r="C412" t="str">
        <f t="shared" si="24"/>
        <v>870</v>
      </c>
      <c r="D412" t="s">
        <v>37</v>
      </c>
      <c r="F412">
        <v>2025</v>
      </c>
      <c r="G412">
        <f t="shared" si="25"/>
        <v>12</v>
      </c>
      <c r="H412" t="str">
        <f t="shared" si="26"/>
        <v>870 Warrior Run Manor</v>
      </c>
      <c r="I412" s="16" cm="1">
        <f t="array" ref="I412">INDEX('OC-Monthly'!$B$7:$N$65,_xlfn.XMATCH($A412,'OC-Monthly'!$A$7:$A$65),_xlfn.XMATCH($B412,'OC-Monthly'!$B$1:$N$1))</f>
        <v>67010.47191873609</v>
      </c>
      <c r="J412" s="16" cm="1">
        <f t="array" ref="J412">INDEX('OC-Monthly'!$P$7:$AB$65,_xlfn.XMATCH($A412,'OC-Monthly'!$A$7:$A$65),_xlfn.XMATCH($B412,'OC-Monthly'!$P$1:$AB$1))</f>
        <v>53147.722905298418</v>
      </c>
      <c r="K412" s="1" t="s">
        <v>8</v>
      </c>
      <c r="L412" s="1" t="s">
        <v>7</v>
      </c>
      <c r="M412" s="15">
        <f t="shared" si="27"/>
        <v>0.79312563221090149</v>
      </c>
    </row>
    <row r="413" spans="1:13" x14ac:dyDescent="0.25">
      <c r="A413" t="s">
        <v>71</v>
      </c>
      <c r="B413">
        <v>1</v>
      </c>
      <c r="C413" t="str">
        <f t="shared" si="24"/>
        <v>888</v>
      </c>
      <c r="D413" t="s">
        <v>38</v>
      </c>
      <c r="F413">
        <v>2025</v>
      </c>
      <c r="G413">
        <f t="shared" si="25"/>
        <v>1</v>
      </c>
      <c r="H413" t="str">
        <f t="shared" si="26"/>
        <v>888 Eliminations</v>
      </c>
      <c r="I413" s="16" cm="1">
        <f t="array" ref="I413">INDEX('OC-Monthly'!$B$7:$N$65,_xlfn.XMATCH($A413,'OC-Monthly'!$A$7:$A$65),_xlfn.XMATCH($B413,'OC-Monthly'!$B$1:$N$1))</f>
        <v>-2822170.1322399997</v>
      </c>
      <c r="J413" s="16" cm="1">
        <f t="array" ref="J413">INDEX('OC-Monthly'!$P$7:$AB$65,_xlfn.XMATCH($A413,'OC-Monthly'!$A$7:$A$65),_xlfn.XMATCH($B413,'OC-Monthly'!$P$1:$AB$1))</f>
        <v>-2822170.1651167125</v>
      </c>
      <c r="K413" s="1" t="s">
        <v>8</v>
      </c>
      <c r="L413" s="1" t="s">
        <v>7</v>
      </c>
      <c r="M413" s="15">
        <f t="shared" si="27"/>
        <v>1.0000000116494439</v>
      </c>
    </row>
    <row r="414" spans="1:13" x14ac:dyDescent="0.25">
      <c r="A414" t="s">
        <v>71</v>
      </c>
      <c r="B414">
        <v>2</v>
      </c>
      <c r="C414" t="str">
        <f t="shared" si="24"/>
        <v>888</v>
      </c>
      <c r="D414" t="s">
        <v>38</v>
      </c>
      <c r="F414">
        <v>2025</v>
      </c>
      <c r="G414">
        <f t="shared" si="25"/>
        <v>2</v>
      </c>
      <c r="H414" t="str">
        <f t="shared" si="26"/>
        <v>888 Eliminations</v>
      </c>
      <c r="I414" s="16" cm="1">
        <f t="array" ref="I414">INDEX('OC-Monthly'!$B$7:$N$65,_xlfn.XMATCH($A414,'OC-Monthly'!$A$7:$A$65),_xlfn.XMATCH($B414,'OC-Monthly'!$B$1:$N$1))</f>
        <v>-2809395.0192400003</v>
      </c>
      <c r="J414" s="16" cm="1">
        <f t="array" ref="J414">INDEX('OC-Monthly'!$P$7:$AB$65,_xlfn.XMATCH($A414,'OC-Monthly'!$A$7:$A$65),_xlfn.XMATCH($B414,'OC-Monthly'!$P$1:$AB$1))</f>
        <v>-2809394.597322192</v>
      </c>
      <c r="K414" s="1" t="s">
        <v>8</v>
      </c>
      <c r="L414" s="1" t="s">
        <v>7</v>
      </c>
      <c r="M414" s="15">
        <f t="shared" si="27"/>
        <v>0.99999984981898049</v>
      </c>
    </row>
    <row r="415" spans="1:13" x14ac:dyDescent="0.25">
      <c r="A415" t="s">
        <v>71</v>
      </c>
      <c r="B415">
        <v>3</v>
      </c>
      <c r="C415" t="str">
        <f t="shared" si="24"/>
        <v>888</v>
      </c>
      <c r="D415" t="s">
        <v>38</v>
      </c>
      <c r="F415">
        <v>2025</v>
      </c>
      <c r="G415">
        <f t="shared" si="25"/>
        <v>3</v>
      </c>
      <c r="H415" t="str">
        <f t="shared" si="26"/>
        <v>888 Eliminations</v>
      </c>
      <c r="I415" s="16" cm="1">
        <f t="array" ref="I415">INDEX('OC-Monthly'!$B$7:$N$65,_xlfn.XMATCH($A415,'OC-Monthly'!$A$7:$A$65),_xlfn.XMATCH($B415,'OC-Monthly'!$B$1:$N$1))</f>
        <v>-3016914.1262400001</v>
      </c>
      <c r="J415" s="16" cm="1">
        <f t="array" ref="J415">INDEX('OC-Monthly'!$P$7:$AB$65,_xlfn.XMATCH($A415,'OC-Monthly'!$A$7:$A$65),_xlfn.XMATCH($B415,'OC-Monthly'!$P$1:$AB$1))</f>
        <v>-3016914.1591167124</v>
      </c>
      <c r="K415" s="1" t="s">
        <v>8</v>
      </c>
      <c r="L415" s="1" t="s">
        <v>7</v>
      </c>
      <c r="M415" s="15">
        <f t="shared" si="27"/>
        <v>1.0000000108974638</v>
      </c>
    </row>
    <row r="416" spans="1:13" x14ac:dyDescent="0.25">
      <c r="A416" t="s">
        <v>71</v>
      </c>
      <c r="B416">
        <v>4</v>
      </c>
      <c r="C416" t="str">
        <f t="shared" si="24"/>
        <v>888</v>
      </c>
      <c r="D416" t="s">
        <v>38</v>
      </c>
      <c r="F416">
        <v>2025</v>
      </c>
      <c r="G416">
        <f t="shared" si="25"/>
        <v>4</v>
      </c>
      <c r="H416" t="str">
        <f t="shared" si="26"/>
        <v>888 Eliminations</v>
      </c>
      <c r="I416" s="16" cm="1">
        <f t="array" ref="I416">INDEX('OC-Monthly'!$B$7:$N$65,_xlfn.XMATCH($A416,'OC-Monthly'!$A$7:$A$65),_xlfn.XMATCH($B416,'OC-Monthly'!$B$1:$N$1))</f>
        <v>-2832286.73324</v>
      </c>
      <c r="J416" s="16" cm="1">
        <f t="array" ref="J416">INDEX('OC-Monthly'!$P$7:$AB$65,_xlfn.XMATCH($A416,'OC-Monthly'!$A$7:$A$65),_xlfn.XMATCH($B416,'OC-Monthly'!$P$1:$AB$1))</f>
        <v>-2832286.2811852056</v>
      </c>
      <c r="K416" s="1" t="s">
        <v>8</v>
      </c>
      <c r="L416" s="1" t="s">
        <v>7</v>
      </c>
      <c r="M416" s="15">
        <f t="shared" si="27"/>
        <v>0.99999984039229184</v>
      </c>
    </row>
    <row r="417" spans="1:13" x14ac:dyDescent="0.25">
      <c r="A417" t="s">
        <v>71</v>
      </c>
      <c r="B417">
        <v>5</v>
      </c>
      <c r="C417" t="str">
        <f t="shared" si="24"/>
        <v>888</v>
      </c>
      <c r="D417" t="s">
        <v>38</v>
      </c>
      <c r="F417">
        <v>2025</v>
      </c>
      <c r="G417">
        <f t="shared" si="25"/>
        <v>5</v>
      </c>
      <c r="H417" t="str">
        <f t="shared" si="26"/>
        <v>888 Eliminations</v>
      </c>
      <c r="I417" s="16" cm="1">
        <f t="array" ref="I417">INDEX('OC-Monthly'!$B$7:$N$65,_xlfn.XMATCH($A417,'OC-Monthly'!$A$7:$A$65),_xlfn.XMATCH($B417,'OC-Monthly'!$B$1:$N$1))</f>
        <v>-2844839.5522400001</v>
      </c>
      <c r="J417" s="16" cm="1">
        <f t="array" ref="J417">INDEX('OC-Monthly'!$P$7:$AB$65,_xlfn.XMATCH($A417,'OC-Monthly'!$A$7:$A$65),_xlfn.XMATCH($B417,'OC-Monthly'!$P$1:$AB$1))</f>
        <v>-2844839.5851167124</v>
      </c>
      <c r="K417" s="1" t="s">
        <v>8</v>
      </c>
      <c r="L417" s="1" t="s">
        <v>7</v>
      </c>
      <c r="M417" s="15">
        <f t="shared" si="27"/>
        <v>1.0000000115566139</v>
      </c>
    </row>
    <row r="418" spans="1:13" x14ac:dyDescent="0.25">
      <c r="A418" t="s">
        <v>71</v>
      </c>
      <c r="B418">
        <v>6</v>
      </c>
      <c r="C418" t="str">
        <f t="shared" si="24"/>
        <v>888</v>
      </c>
      <c r="D418" t="s">
        <v>38</v>
      </c>
      <c r="F418">
        <v>2025</v>
      </c>
      <c r="G418">
        <f t="shared" si="25"/>
        <v>6</v>
      </c>
      <c r="H418" t="str">
        <f t="shared" si="26"/>
        <v>888 Eliminations</v>
      </c>
      <c r="I418" s="16" cm="1">
        <f t="array" ref="I418">INDEX('OC-Monthly'!$B$7:$N$65,_xlfn.XMATCH($A418,'OC-Monthly'!$A$7:$A$65),_xlfn.XMATCH($B418,'OC-Monthly'!$B$1:$N$1))</f>
        <v>-3030213.3232399998</v>
      </c>
      <c r="J418" s="16" cm="1">
        <f t="array" ref="J418">INDEX('OC-Monthly'!$P$7:$AB$65,_xlfn.XMATCH($A418,'OC-Monthly'!$A$7:$A$65),_xlfn.XMATCH($B418,'OC-Monthly'!$P$1:$AB$1))</f>
        <v>-3030212.8711852054</v>
      </c>
      <c r="K418" s="1" t="s">
        <v>8</v>
      </c>
      <c r="L418" s="1" t="s">
        <v>7</v>
      </c>
      <c r="M418" s="15">
        <f t="shared" si="27"/>
        <v>0.99999985081750153</v>
      </c>
    </row>
    <row r="419" spans="1:13" x14ac:dyDescent="0.25">
      <c r="A419" t="s">
        <v>71</v>
      </c>
      <c r="B419">
        <v>7</v>
      </c>
      <c r="C419" t="str">
        <f t="shared" si="24"/>
        <v>888</v>
      </c>
      <c r="D419" t="s">
        <v>38</v>
      </c>
      <c r="F419">
        <v>2025</v>
      </c>
      <c r="G419">
        <f t="shared" si="25"/>
        <v>7</v>
      </c>
      <c r="H419" t="str">
        <f t="shared" si="26"/>
        <v>888 Eliminations</v>
      </c>
      <c r="I419" s="16" cm="1">
        <f t="array" ref="I419">INDEX('OC-Monthly'!$B$7:$N$65,_xlfn.XMATCH($A419,'OC-Monthly'!$A$7:$A$65),_xlfn.XMATCH($B419,'OC-Monthly'!$B$1:$N$1))</f>
        <v>-2921335.7102399999</v>
      </c>
      <c r="J419" s="16" cm="1">
        <f t="array" ref="J419">INDEX('OC-Monthly'!$P$7:$AB$65,_xlfn.XMATCH($A419,'OC-Monthly'!$A$7:$A$65),_xlfn.XMATCH($B419,'OC-Monthly'!$P$1:$AB$1))</f>
        <v>-2921335.7431167122</v>
      </c>
      <c r="K419" s="1" t="s">
        <v>8</v>
      </c>
      <c r="L419" s="1" t="s">
        <v>7</v>
      </c>
      <c r="M419" s="15">
        <f t="shared" si="27"/>
        <v>1.000000011254</v>
      </c>
    </row>
    <row r="420" spans="1:13" x14ac:dyDescent="0.25">
      <c r="A420" t="s">
        <v>71</v>
      </c>
      <c r="B420">
        <v>8</v>
      </c>
      <c r="C420" t="str">
        <f t="shared" si="24"/>
        <v>888</v>
      </c>
      <c r="D420" t="s">
        <v>38</v>
      </c>
      <c r="F420">
        <v>2025</v>
      </c>
      <c r="G420">
        <f t="shared" si="25"/>
        <v>8</v>
      </c>
      <c r="H420" t="str">
        <f t="shared" si="26"/>
        <v>888 Eliminations</v>
      </c>
      <c r="I420" s="16" cm="1">
        <f t="array" ref="I420">INDEX('OC-Monthly'!$B$7:$N$65,_xlfn.XMATCH($A420,'OC-Monthly'!$A$7:$A$65),_xlfn.XMATCH($B420,'OC-Monthly'!$B$1:$N$1))</f>
        <v>-2908448.8032399998</v>
      </c>
      <c r="J420" s="16" cm="1">
        <f t="array" ref="J420">INDEX('OC-Monthly'!$P$7:$AB$65,_xlfn.XMATCH($A420,'OC-Monthly'!$A$7:$A$65),_xlfn.XMATCH($B420,'OC-Monthly'!$P$1:$AB$1))</f>
        <v>-2908448.8361167125</v>
      </c>
      <c r="K420" s="1" t="s">
        <v>8</v>
      </c>
      <c r="L420" s="1" t="s">
        <v>7</v>
      </c>
      <c r="M420" s="15">
        <f t="shared" si="27"/>
        <v>1.000000011303865</v>
      </c>
    </row>
    <row r="421" spans="1:13" x14ac:dyDescent="0.25">
      <c r="A421" t="s">
        <v>71</v>
      </c>
      <c r="B421">
        <v>9</v>
      </c>
      <c r="C421" t="str">
        <f t="shared" si="24"/>
        <v>888</v>
      </c>
      <c r="D421" t="s">
        <v>38</v>
      </c>
      <c r="F421">
        <v>2025</v>
      </c>
      <c r="G421">
        <f t="shared" si="25"/>
        <v>9</v>
      </c>
      <c r="H421" t="str">
        <f t="shared" si="26"/>
        <v>888 Eliminations</v>
      </c>
      <c r="I421" s="16" cm="1">
        <f t="array" ref="I421">INDEX('OC-Monthly'!$B$7:$N$65,_xlfn.XMATCH($A421,'OC-Monthly'!$A$7:$A$65),_xlfn.XMATCH($B421,'OC-Monthly'!$B$1:$N$1))</f>
        <v>-3052827.00624</v>
      </c>
      <c r="J421" s="16" cm="1">
        <f t="array" ref="J421">INDEX('OC-Monthly'!$P$7:$AB$65,_xlfn.XMATCH($A421,'OC-Monthly'!$A$7:$A$65),_xlfn.XMATCH($B421,'OC-Monthly'!$P$1:$AB$1))</f>
        <v>-3052826.5541852056</v>
      </c>
      <c r="K421" s="1" t="s">
        <v>8</v>
      </c>
      <c r="L421" s="1" t="s">
        <v>7</v>
      </c>
      <c r="M421" s="15">
        <f t="shared" si="27"/>
        <v>0.99999985192256435</v>
      </c>
    </row>
    <row r="422" spans="1:13" x14ac:dyDescent="0.25">
      <c r="A422" t="s">
        <v>71</v>
      </c>
      <c r="B422">
        <v>10</v>
      </c>
      <c r="C422" t="str">
        <f t="shared" si="24"/>
        <v>888</v>
      </c>
      <c r="D422" t="s">
        <v>38</v>
      </c>
      <c r="F422">
        <v>2025</v>
      </c>
      <c r="G422">
        <f t="shared" si="25"/>
        <v>10</v>
      </c>
      <c r="H422" t="str">
        <f t="shared" si="26"/>
        <v>888 Eliminations</v>
      </c>
      <c r="I422" s="16" cm="1">
        <f t="array" ref="I422">INDEX('OC-Monthly'!$B$7:$N$65,_xlfn.XMATCH($A422,'OC-Monthly'!$A$7:$A$65),_xlfn.XMATCH($B422,'OC-Monthly'!$B$1:$N$1))</f>
        <v>-2874015.8252400002</v>
      </c>
      <c r="J422" s="16" cm="1">
        <f t="array" ref="J422">INDEX('OC-Monthly'!$P$7:$AB$65,_xlfn.XMATCH($A422,'OC-Monthly'!$A$7:$A$65),_xlfn.XMATCH($B422,'OC-Monthly'!$P$1:$AB$1))</f>
        <v>-2874015.8581167124</v>
      </c>
      <c r="K422" s="1" t="s">
        <v>8</v>
      </c>
      <c r="L422" s="1" t="s">
        <v>7</v>
      </c>
      <c r="M422" s="15">
        <f t="shared" si="27"/>
        <v>1.0000000114392942</v>
      </c>
    </row>
    <row r="423" spans="1:13" x14ac:dyDescent="0.25">
      <c r="A423" t="s">
        <v>71</v>
      </c>
      <c r="B423">
        <v>11</v>
      </c>
      <c r="C423" t="str">
        <f t="shared" si="24"/>
        <v>888</v>
      </c>
      <c r="D423" t="s">
        <v>38</v>
      </c>
      <c r="F423">
        <v>2025</v>
      </c>
      <c r="G423">
        <f t="shared" si="25"/>
        <v>11</v>
      </c>
      <c r="H423" t="str">
        <f t="shared" si="26"/>
        <v>888 Eliminations</v>
      </c>
      <c r="I423" s="16" cm="1">
        <f t="array" ref="I423">INDEX('OC-Monthly'!$B$7:$N$65,_xlfn.XMATCH($A423,'OC-Monthly'!$A$7:$A$65),_xlfn.XMATCH($B423,'OC-Monthly'!$B$1:$N$1))</f>
        <v>-2873351.43224</v>
      </c>
      <c r="J423" s="16" cm="1">
        <f t="array" ref="J423">INDEX('OC-Monthly'!$P$7:$AB$65,_xlfn.XMATCH($A423,'OC-Monthly'!$A$7:$A$65),_xlfn.XMATCH($B423,'OC-Monthly'!$P$1:$AB$1))</f>
        <v>-2873350.9801852056</v>
      </c>
      <c r="K423" s="1" t="s">
        <v>8</v>
      </c>
      <c r="L423" s="1" t="s">
        <v>7</v>
      </c>
      <c r="M423" s="15">
        <f t="shared" si="27"/>
        <v>0.9999998426733363</v>
      </c>
    </row>
    <row r="424" spans="1:13" x14ac:dyDescent="0.25">
      <c r="A424" t="s">
        <v>71</v>
      </c>
      <c r="B424">
        <v>12</v>
      </c>
      <c r="C424" t="str">
        <f t="shared" si="24"/>
        <v>888</v>
      </c>
      <c r="D424" t="s">
        <v>38</v>
      </c>
      <c r="F424">
        <v>2025</v>
      </c>
      <c r="G424">
        <f t="shared" si="25"/>
        <v>12</v>
      </c>
      <c r="H424" t="str">
        <f t="shared" si="26"/>
        <v>888 Eliminations</v>
      </c>
      <c r="I424" s="16" cm="1">
        <f t="array" ref="I424">INDEX('OC-Monthly'!$B$7:$N$65,_xlfn.XMATCH($A424,'OC-Monthly'!$A$7:$A$65),_xlfn.XMATCH($B424,'OC-Monthly'!$B$1:$N$1))</f>
        <v>-3083560.8192400001</v>
      </c>
      <c r="J424" s="16" cm="1">
        <f t="array" ref="J424">INDEX('OC-Monthly'!$P$7:$AB$65,_xlfn.XMATCH($A424,'OC-Monthly'!$A$7:$A$65),_xlfn.XMATCH($B424,'OC-Monthly'!$P$1:$AB$1))</f>
        <v>-3083560.8521167124</v>
      </c>
      <c r="K424" s="1" t="s">
        <v>8</v>
      </c>
      <c r="L424" s="1" t="s">
        <v>7</v>
      </c>
      <c r="M424" s="15">
        <f t="shared" si="27"/>
        <v>1.0000000106619309</v>
      </c>
    </row>
    <row r="425" spans="1:13" x14ac:dyDescent="0.25">
      <c r="A425" t="s">
        <v>26</v>
      </c>
      <c r="B425">
        <v>1</v>
      </c>
      <c r="C425" t="str">
        <f t="shared" si="24"/>
        <v>900</v>
      </c>
      <c r="D425" t="s">
        <v>26</v>
      </c>
      <c r="F425">
        <v>2025</v>
      </c>
      <c r="G425">
        <f t="shared" si="25"/>
        <v>1</v>
      </c>
      <c r="H425" t="str">
        <f t="shared" si="26"/>
        <v>900 The Asbury Group</v>
      </c>
      <c r="I425" s="16" cm="1">
        <f t="array" ref="I425">INDEX('OC-Monthly'!$B$7:$N$65,_xlfn.XMATCH($A425,'OC-Monthly'!$A$7:$A$65),_xlfn.XMATCH($B425,'OC-Monthly'!$B$1:$N$1))</f>
        <v>-67576.333333333328</v>
      </c>
      <c r="J425" s="16" cm="1">
        <f t="array" ref="J425">INDEX('OC-Monthly'!$P$7:$AB$65,_xlfn.XMATCH($A425,'OC-Monthly'!$A$7:$A$65),_xlfn.XMATCH($B425,'OC-Monthly'!$P$1:$AB$1))</f>
        <v>21580.166666666664</v>
      </c>
      <c r="K425" s="1" t="s">
        <v>8</v>
      </c>
      <c r="L425" s="1" t="s">
        <v>7</v>
      </c>
      <c r="M425" s="15">
        <f t="shared" si="27"/>
        <v>-0.31934503697053701</v>
      </c>
    </row>
    <row r="426" spans="1:13" x14ac:dyDescent="0.25">
      <c r="A426" t="s">
        <v>26</v>
      </c>
      <c r="B426">
        <v>2</v>
      </c>
      <c r="C426" t="str">
        <f t="shared" si="24"/>
        <v>900</v>
      </c>
      <c r="D426" t="s">
        <v>26</v>
      </c>
      <c r="F426">
        <v>2025</v>
      </c>
      <c r="G426">
        <f t="shared" si="25"/>
        <v>2</v>
      </c>
      <c r="H426" t="str">
        <f t="shared" si="26"/>
        <v>900 The Asbury Group</v>
      </c>
      <c r="I426" s="16" cm="1">
        <f t="array" ref="I426">INDEX('OC-Monthly'!$B$7:$N$65,_xlfn.XMATCH($A426,'OC-Monthly'!$A$7:$A$65),_xlfn.XMATCH($B426,'OC-Monthly'!$B$1:$N$1))</f>
        <v>-67576.333333333328</v>
      </c>
      <c r="J426" s="16" cm="1">
        <f t="array" ref="J426">INDEX('OC-Monthly'!$P$7:$AB$65,_xlfn.XMATCH($A426,'OC-Monthly'!$A$7:$A$65),_xlfn.XMATCH($B426,'OC-Monthly'!$P$1:$AB$1))</f>
        <v>20479.186666666668</v>
      </c>
      <c r="K426" s="1" t="s">
        <v>8</v>
      </c>
      <c r="L426" s="1" t="s">
        <v>7</v>
      </c>
      <c r="M426" s="15">
        <f t="shared" si="27"/>
        <v>-0.30305264663664305</v>
      </c>
    </row>
    <row r="427" spans="1:13" x14ac:dyDescent="0.25">
      <c r="A427" t="s">
        <v>26</v>
      </c>
      <c r="B427">
        <v>3</v>
      </c>
      <c r="C427" t="str">
        <f t="shared" si="24"/>
        <v>900</v>
      </c>
      <c r="D427" t="s">
        <v>26</v>
      </c>
      <c r="F427">
        <v>2025</v>
      </c>
      <c r="G427">
        <f t="shared" si="25"/>
        <v>3</v>
      </c>
      <c r="H427" t="str">
        <f t="shared" si="26"/>
        <v>900 The Asbury Group</v>
      </c>
      <c r="I427" s="16" cm="1">
        <f t="array" ref="I427">INDEX('OC-Monthly'!$B$7:$N$65,_xlfn.XMATCH($A427,'OC-Monthly'!$A$7:$A$65),_xlfn.XMATCH($B427,'OC-Monthly'!$B$1:$N$1))</f>
        <v>-67576.333333333328</v>
      </c>
      <c r="J427" s="16" cm="1">
        <f t="array" ref="J427">INDEX('OC-Monthly'!$P$7:$AB$65,_xlfn.XMATCH($A427,'OC-Monthly'!$A$7:$A$65),_xlfn.XMATCH($B427,'OC-Monthly'!$P$1:$AB$1))</f>
        <v>21581.166666666664</v>
      </c>
      <c r="K427" s="1" t="s">
        <v>8</v>
      </c>
      <c r="L427" s="1" t="s">
        <v>7</v>
      </c>
      <c r="M427" s="15">
        <f t="shared" si="27"/>
        <v>-0.31935983505073273</v>
      </c>
    </row>
    <row r="428" spans="1:13" x14ac:dyDescent="0.25">
      <c r="A428" t="s">
        <v>26</v>
      </c>
      <c r="B428">
        <v>4</v>
      </c>
      <c r="C428" t="str">
        <f t="shared" si="24"/>
        <v>900</v>
      </c>
      <c r="D428" t="s">
        <v>26</v>
      </c>
      <c r="F428">
        <v>2025</v>
      </c>
      <c r="G428">
        <f t="shared" si="25"/>
        <v>4</v>
      </c>
      <c r="H428" t="str">
        <f t="shared" si="26"/>
        <v>900 The Asbury Group</v>
      </c>
      <c r="I428" s="16" cm="1">
        <f t="array" ref="I428">INDEX('OC-Monthly'!$B$7:$N$65,_xlfn.XMATCH($A428,'OC-Monthly'!$A$7:$A$65),_xlfn.XMATCH($B428,'OC-Monthly'!$B$1:$N$1))</f>
        <v>-67576.333333333328</v>
      </c>
      <c r="J428" s="16" cm="1">
        <f t="array" ref="J428">INDEX('OC-Monthly'!$P$7:$AB$65,_xlfn.XMATCH($A428,'OC-Monthly'!$A$7:$A$65),_xlfn.XMATCH($B428,'OC-Monthly'!$P$1:$AB$1))</f>
        <v>21214.176666666663</v>
      </c>
      <c r="K428" s="1" t="s">
        <v>8</v>
      </c>
      <c r="L428" s="1" t="s">
        <v>7</v>
      </c>
      <c r="M428" s="15">
        <f t="shared" si="27"/>
        <v>-0.31392908759970201</v>
      </c>
    </row>
    <row r="429" spans="1:13" x14ac:dyDescent="0.25">
      <c r="A429" t="s">
        <v>26</v>
      </c>
      <c r="B429">
        <v>5</v>
      </c>
      <c r="C429" t="str">
        <f t="shared" si="24"/>
        <v>900</v>
      </c>
      <c r="D429" t="s">
        <v>26</v>
      </c>
      <c r="F429">
        <v>2025</v>
      </c>
      <c r="G429">
        <f t="shared" si="25"/>
        <v>5</v>
      </c>
      <c r="H429" t="str">
        <f t="shared" si="26"/>
        <v>900 The Asbury Group</v>
      </c>
      <c r="I429" s="16" cm="1">
        <f t="array" ref="I429">INDEX('OC-Monthly'!$B$7:$N$65,_xlfn.XMATCH($A429,'OC-Monthly'!$A$7:$A$65),_xlfn.XMATCH($B429,'OC-Monthly'!$B$1:$N$1))</f>
        <v>-67576.333333333328</v>
      </c>
      <c r="J429" s="16" cm="1">
        <f t="array" ref="J429">INDEX('OC-Monthly'!$P$7:$AB$65,_xlfn.XMATCH($A429,'OC-Monthly'!$A$7:$A$65),_xlfn.XMATCH($B429,'OC-Monthly'!$P$1:$AB$1))</f>
        <v>21581.166666666664</v>
      </c>
      <c r="K429" s="1" t="s">
        <v>8</v>
      </c>
      <c r="L429" s="1" t="s">
        <v>7</v>
      </c>
      <c r="M429" s="15">
        <f t="shared" si="27"/>
        <v>-0.31935983505073273</v>
      </c>
    </row>
    <row r="430" spans="1:13" x14ac:dyDescent="0.25">
      <c r="A430" t="s">
        <v>26</v>
      </c>
      <c r="B430">
        <v>6</v>
      </c>
      <c r="C430" t="str">
        <f t="shared" si="24"/>
        <v>900</v>
      </c>
      <c r="D430" t="s">
        <v>26</v>
      </c>
      <c r="F430">
        <v>2025</v>
      </c>
      <c r="G430">
        <f t="shared" si="25"/>
        <v>6</v>
      </c>
      <c r="H430" t="str">
        <f t="shared" si="26"/>
        <v>900 The Asbury Group</v>
      </c>
      <c r="I430" s="16" cm="1">
        <f t="array" ref="I430">INDEX('OC-Monthly'!$B$7:$N$65,_xlfn.XMATCH($A430,'OC-Monthly'!$A$7:$A$65),_xlfn.XMATCH($B430,'OC-Monthly'!$B$1:$N$1))</f>
        <v>-67576.333333333328</v>
      </c>
      <c r="J430" s="16" cm="1">
        <f t="array" ref="J430">INDEX('OC-Monthly'!$P$7:$AB$65,_xlfn.XMATCH($A430,'OC-Monthly'!$A$7:$A$65),_xlfn.XMATCH($B430,'OC-Monthly'!$P$1:$AB$1))</f>
        <v>21214.176666666663</v>
      </c>
      <c r="K430" s="1" t="s">
        <v>8</v>
      </c>
      <c r="L430" s="1" t="s">
        <v>7</v>
      </c>
      <c r="M430" s="15">
        <f t="shared" si="27"/>
        <v>-0.31392908759970201</v>
      </c>
    </row>
    <row r="431" spans="1:13" x14ac:dyDescent="0.25">
      <c r="A431" t="s">
        <v>26</v>
      </c>
      <c r="B431">
        <v>7</v>
      </c>
      <c r="C431" t="str">
        <f t="shared" si="24"/>
        <v>900</v>
      </c>
      <c r="D431" t="s">
        <v>26</v>
      </c>
      <c r="F431">
        <v>2025</v>
      </c>
      <c r="G431">
        <f t="shared" si="25"/>
        <v>7</v>
      </c>
      <c r="H431" t="str">
        <f t="shared" si="26"/>
        <v>900 The Asbury Group</v>
      </c>
      <c r="I431" s="16" cm="1">
        <f t="array" ref="I431">INDEX('OC-Monthly'!$B$7:$N$65,_xlfn.XMATCH($A431,'OC-Monthly'!$A$7:$A$65),_xlfn.XMATCH($B431,'OC-Monthly'!$B$1:$N$1))</f>
        <v>-67576.333333333328</v>
      </c>
      <c r="J431" s="16" cm="1">
        <f t="array" ref="J431">INDEX('OC-Monthly'!$P$7:$AB$65,_xlfn.XMATCH($A431,'OC-Monthly'!$A$7:$A$65),_xlfn.XMATCH($B431,'OC-Monthly'!$P$1:$AB$1))</f>
        <v>21581.166666666664</v>
      </c>
      <c r="K431" s="1" t="s">
        <v>8</v>
      </c>
      <c r="L431" s="1" t="s">
        <v>7</v>
      </c>
      <c r="M431" s="15">
        <f t="shared" si="27"/>
        <v>-0.31935983505073273</v>
      </c>
    </row>
    <row r="432" spans="1:13" x14ac:dyDescent="0.25">
      <c r="A432" t="s">
        <v>26</v>
      </c>
      <c r="B432">
        <v>8</v>
      </c>
      <c r="C432" t="str">
        <f t="shared" si="24"/>
        <v>900</v>
      </c>
      <c r="D432" t="s">
        <v>26</v>
      </c>
      <c r="F432">
        <v>2025</v>
      </c>
      <c r="G432">
        <f t="shared" si="25"/>
        <v>8</v>
      </c>
      <c r="H432" t="str">
        <f t="shared" si="26"/>
        <v>900 The Asbury Group</v>
      </c>
      <c r="I432" s="16" cm="1">
        <f t="array" ref="I432">INDEX('OC-Monthly'!$B$7:$N$65,_xlfn.XMATCH($A432,'OC-Monthly'!$A$7:$A$65),_xlfn.XMATCH($B432,'OC-Monthly'!$B$1:$N$1))</f>
        <v>-67576.333333333328</v>
      </c>
      <c r="J432" s="16" cm="1">
        <f t="array" ref="J432">INDEX('OC-Monthly'!$P$7:$AB$65,_xlfn.XMATCH($A432,'OC-Monthly'!$A$7:$A$65),_xlfn.XMATCH($B432,'OC-Monthly'!$P$1:$AB$1))</f>
        <v>21581.166666666664</v>
      </c>
      <c r="K432" s="1" t="s">
        <v>8</v>
      </c>
      <c r="L432" s="1" t="s">
        <v>7</v>
      </c>
      <c r="M432" s="15">
        <f t="shared" si="27"/>
        <v>-0.31935983505073273</v>
      </c>
    </row>
    <row r="433" spans="1:13" x14ac:dyDescent="0.25">
      <c r="A433" t="s">
        <v>26</v>
      </c>
      <c r="B433">
        <v>9</v>
      </c>
      <c r="C433" t="str">
        <f t="shared" si="24"/>
        <v>900</v>
      </c>
      <c r="D433" t="s">
        <v>26</v>
      </c>
      <c r="F433">
        <v>2025</v>
      </c>
      <c r="G433">
        <f t="shared" si="25"/>
        <v>9</v>
      </c>
      <c r="H433" t="str">
        <f t="shared" si="26"/>
        <v>900 The Asbury Group</v>
      </c>
      <c r="I433" s="16" cm="1">
        <f t="array" ref="I433">INDEX('OC-Monthly'!$B$7:$N$65,_xlfn.XMATCH($A433,'OC-Monthly'!$A$7:$A$65),_xlfn.XMATCH($B433,'OC-Monthly'!$B$1:$N$1))</f>
        <v>-67576.333333333328</v>
      </c>
      <c r="J433" s="16" cm="1">
        <f t="array" ref="J433">INDEX('OC-Monthly'!$P$7:$AB$65,_xlfn.XMATCH($A433,'OC-Monthly'!$A$7:$A$65),_xlfn.XMATCH($B433,'OC-Monthly'!$P$1:$AB$1))</f>
        <v>21214.176666666663</v>
      </c>
      <c r="K433" s="1" t="s">
        <v>8</v>
      </c>
      <c r="L433" s="1" t="s">
        <v>7</v>
      </c>
      <c r="M433" s="15">
        <f t="shared" si="27"/>
        <v>-0.31392908759970201</v>
      </c>
    </row>
    <row r="434" spans="1:13" x14ac:dyDescent="0.25">
      <c r="A434" t="s">
        <v>26</v>
      </c>
      <c r="B434">
        <v>10</v>
      </c>
      <c r="C434" t="str">
        <f t="shared" si="24"/>
        <v>900</v>
      </c>
      <c r="D434" t="s">
        <v>26</v>
      </c>
      <c r="F434">
        <v>2025</v>
      </c>
      <c r="G434">
        <f t="shared" si="25"/>
        <v>10</v>
      </c>
      <c r="H434" t="str">
        <f t="shared" si="26"/>
        <v>900 The Asbury Group</v>
      </c>
      <c r="I434" s="16" cm="1">
        <f t="array" ref="I434">INDEX('OC-Monthly'!$B$7:$N$65,_xlfn.XMATCH($A434,'OC-Monthly'!$A$7:$A$65),_xlfn.XMATCH($B434,'OC-Monthly'!$B$1:$N$1))</f>
        <v>-67576.333333333328</v>
      </c>
      <c r="J434" s="16" cm="1">
        <f t="array" ref="J434">INDEX('OC-Monthly'!$P$7:$AB$65,_xlfn.XMATCH($A434,'OC-Monthly'!$A$7:$A$65),_xlfn.XMATCH($B434,'OC-Monthly'!$P$1:$AB$1))</f>
        <v>21581.166666666664</v>
      </c>
      <c r="K434" s="1" t="s">
        <v>8</v>
      </c>
      <c r="L434" s="1" t="s">
        <v>7</v>
      </c>
      <c r="M434" s="15">
        <f t="shared" si="27"/>
        <v>-0.31935983505073273</v>
      </c>
    </row>
    <row r="435" spans="1:13" x14ac:dyDescent="0.25">
      <c r="A435" t="s">
        <v>26</v>
      </c>
      <c r="B435">
        <v>11</v>
      </c>
      <c r="C435" t="str">
        <f t="shared" si="24"/>
        <v>900</v>
      </c>
      <c r="D435" t="s">
        <v>26</v>
      </c>
      <c r="F435">
        <v>2025</v>
      </c>
      <c r="G435">
        <f t="shared" si="25"/>
        <v>11</v>
      </c>
      <c r="H435" t="str">
        <f t="shared" si="26"/>
        <v>900 The Asbury Group</v>
      </c>
      <c r="I435" s="16" cm="1">
        <f t="array" ref="I435">INDEX('OC-Monthly'!$B$7:$N$65,_xlfn.XMATCH($A435,'OC-Monthly'!$A$7:$A$65),_xlfn.XMATCH($B435,'OC-Monthly'!$B$1:$N$1))</f>
        <v>-67576.333333333328</v>
      </c>
      <c r="J435" s="16" cm="1">
        <f t="array" ref="J435">INDEX('OC-Monthly'!$P$7:$AB$65,_xlfn.XMATCH($A435,'OC-Monthly'!$A$7:$A$65),_xlfn.XMATCH($B435,'OC-Monthly'!$P$1:$AB$1))</f>
        <v>21214.176666666663</v>
      </c>
      <c r="K435" s="1" t="s">
        <v>8</v>
      </c>
      <c r="L435" s="1" t="s">
        <v>7</v>
      </c>
      <c r="M435" s="15">
        <f t="shared" si="27"/>
        <v>-0.31392908759970201</v>
      </c>
    </row>
    <row r="436" spans="1:13" x14ac:dyDescent="0.25">
      <c r="A436" t="s">
        <v>26</v>
      </c>
      <c r="B436">
        <v>12</v>
      </c>
      <c r="C436" t="str">
        <f t="shared" si="24"/>
        <v>900</v>
      </c>
      <c r="D436" t="s">
        <v>26</v>
      </c>
      <c r="F436">
        <v>2025</v>
      </c>
      <c r="G436">
        <f t="shared" si="25"/>
        <v>12</v>
      </c>
      <c r="H436" t="str">
        <f t="shared" si="26"/>
        <v>900 The Asbury Group</v>
      </c>
      <c r="I436" s="16" cm="1">
        <f t="array" ref="I436">INDEX('OC-Monthly'!$B$7:$N$65,_xlfn.XMATCH($A436,'OC-Monthly'!$A$7:$A$65),_xlfn.XMATCH($B436,'OC-Monthly'!$B$1:$N$1))</f>
        <v>-67576.333333333328</v>
      </c>
      <c r="J436" s="16" cm="1">
        <f t="array" ref="J436">INDEX('OC-Monthly'!$P$7:$AB$65,_xlfn.XMATCH($A436,'OC-Monthly'!$A$7:$A$65),_xlfn.XMATCH($B436,'OC-Monthly'!$P$1:$AB$1))</f>
        <v>21581.166666666664</v>
      </c>
      <c r="K436" s="1" t="s">
        <v>8</v>
      </c>
      <c r="L436" s="1" t="s">
        <v>7</v>
      </c>
      <c r="M436" s="15">
        <f t="shared" si="27"/>
        <v>-0.31935983505073273</v>
      </c>
    </row>
    <row r="437" spans="1:13" x14ac:dyDescent="0.25">
      <c r="A437" t="s">
        <v>43</v>
      </c>
      <c r="B437">
        <v>1</v>
      </c>
      <c r="C437" t="str">
        <f t="shared" si="24"/>
        <v>910</v>
      </c>
      <c r="D437" t="s">
        <v>43</v>
      </c>
      <c r="F437">
        <v>2025</v>
      </c>
      <c r="G437">
        <f t="shared" si="25"/>
        <v>1</v>
      </c>
      <c r="H437" t="str">
        <f t="shared" si="26"/>
        <v>910 ThriveWell Tech</v>
      </c>
      <c r="I437" s="16" cm="1">
        <f t="array" ref="I437">INDEX('OC-Monthly'!$B$7:$N$65,_xlfn.XMATCH($A437,'OC-Monthly'!$A$7:$A$65),_xlfn.XMATCH($B437,'OC-Monthly'!$B$1:$N$1))</f>
        <v>681352.06666666665</v>
      </c>
      <c r="J437" s="16" cm="1">
        <f t="array" ref="J437">INDEX('OC-Monthly'!$P$7:$AB$65,_xlfn.XMATCH($A437,'OC-Monthly'!$A$7:$A$65),_xlfn.XMATCH($B437,'OC-Monthly'!$P$1:$AB$1))</f>
        <v>682498.91502601246</v>
      </c>
      <c r="K437" s="1" t="s">
        <v>8</v>
      </c>
      <c r="L437" s="1" t="s">
        <v>7</v>
      </c>
      <c r="M437" s="15">
        <f t="shared" si="27"/>
        <v>1.0016831949522902</v>
      </c>
    </row>
    <row r="438" spans="1:13" x14ac:dyDescent="0.25">
      <c r="A438" t="s">
        <v>43</v>
      </c>
      <c r="B438">
        <v>2</v>
      </c>
      <c r="C438" t="str">
        <f t="shared" si="24"/>
        <v>910</v>
      </c>
      <c r="D438" t="s">
        <v>43</v>
      </c>
      <c r="F438">
        <v>2025</v>
      </c>
      <c r="G438">
        <f t="shared" si="25"/>
        <v>2</v>
      </c>
      <c r="H438" t="str">
        <f t="shared" si="26"/>
        <v>910 ThriveWell Tech</v>
      </c>
      <c r="I438" s="16" cm="1">
        <f t="array" ref="I438">INDEX('OC-Monthly'!$B$7:$N$65,_xlfn.XMATCH($A438,'OC-Monthly'!$A$7:$A$65),_xlfn.XMATCH($B438,'OC-Monthly'!$B$1:$N$1))</f>
        <v>681188.52666666661</v>
      </c>
      <c r="J438" s="16" cm="1">
        <f t="array" ref="J438">INDEX('OC-Monthly'!$P$7:$AB$65,_xlfn.XMATCH($A438,'OC-Monthly'!$A$7:$A$65),_xlfn.XMATCH($B438,'OC-Monthly'!$P$1:$AB$1))</f>
        <v>638639.4492711135</v>
      </c>
      <c r="K438" s="1" t="s">
        <v>8</v>
      </c>
      <c r="L438" s="1" t="s">
        <v>7</v>
      </c>
      <c r="M438" s="15">
        <f t="shared" si="27"/>
        <v>0.93753700226901482</v>
      </c>
    </row>
    <row r="439" spans="1:13" x14ac:dyDescent="0.25">
      <c r="A439" t="s">
        <v>43</v>
      </c>
      <c r="B439">
        <v>3</v>
      </c>
      <c r="C439" t="str">
        <f t="shared" si="24"/>
        <v>910</v>
      </c>
      <c r="D439" t="s">
        <v>43</v>
      </c>
      <c r="F439">
        <v>2025</v>
      </c>
      <c r="G439">
        <f t="shared" si="25"/>
        <v>3</v>
      </c>
      <c r="H439" t="str">
        <f t="shared" si="26"/>
        <v>910 ThriveWell Tech</v>
      </c>
      <c r="I439" s="16" cm="1">
        <f t="array" ref="I439">INDEX('OC-Monthly'!$B$7:$N$65,_xlfn.XMATCH($A439,'OC-Monthly'!$A$7:$A$65),_xlfn.XMATCH($B439,'OC-Monthly'!$B$1:$N$1))</f>
        <v>858138.7666666666</v>
      </c>
      <c r="J439" s="16" cm="1">
        <f t="array" ref="J439">INDEX('OC-Monthly'!$P$7:$AB$65,_xlfn.XMATCH($A439,'OC-Monthly'!$A$7:$A$65),_xlfn.XMATCH($B439,'OC-Monthly'!$P$1:$AB$1))</f>
        <v>697899.80937951442</v>
      </c>
      <c r="K439" s="1" t="s">
        <v>8</v>
      </c>
      <c r="L439" s="1" t="s">
        <v>7</v>
      </c>
      <c r="M439" s="15">
        <f t="shared" si="27"/>
        <v>0.81327150862839992</v>
      </c>
    </row>
    <row r="440" spans="1:13" x14ac:dyDescent="0.25">
      <c r="A440" t="s">
        <v>43</v>
      </c>
      <c r="B440">
        <v>4</v>
      </c>
      <c r="C440" t="str">
        <f t="shared" si="24"/>
        <v>910</v>
      </c>
      <c r="D440" t="s">
        <v>43</v>
      </c>
      <c r="F440">
        <v>2025</v>
      </c>
      <c r="G440">
        <f t="shared" si="25"/>
        <v>4</v>
      </c>
      <c r="H440" t="str">
        <f t="shared" si="26"/>
        <v>910 ThriveWell Tech</v>
      </c>
      <c r="I440" s="16" cm="1">
        <f t="array" ref="I440">INDEX('OC-Monthly'!$B$7:$N$65,_xlfn.XMATCH($A440,'OC-Monthly'!$A$7:$A$65),_xlfn.XMATCH($B440,'OC-Monthly'!$B$1:$N$1))</f>
        <v>676931.64666666673</v>
      </c>
      <c r="J440" s="16" cm="1">
        <f t="array" ref="J440">INDEX('OC-Monthly'!$P$7:$AB$65,_xlfn.XMATCH($A440,'OC-Monthly'!$A$7:$A$65),_xlfn.XMATCH($B440,'OC-Monthly'!$P$1:$AB$1))</f>
        <v>662960.83226468612</v>
      </c>
      <c r="K440" s="1" t="s">
        <v>8</v>
      </c>
      <c r="L440" s="1" t="s">
        <v>7</v>
      </c>
      <c r="M440" s="15">
        <f t="shared" si="27"/>
        <v>0.97936155818571136</v>
      </c>
    </row>
    <row r="441" spans="1:13" x14ac:dyDescent="0.25">
      <c r="A441" t="s">
        <v>43</v>
      </c>
      <c r="B441">
        <v>5</v>
      </c>
      <c r="C441" t="str">
        <f t="shared" si="24"/>
        <v>910</v>
      </c>
      <c r="D441" t="s">
        <v>43</v>
      </c>
      <c r="F441">
        <v>2025</v>
      </c>
      <c r="G441">
        <f t="shared" si="25"/>
        <v>5</v>
      </c>
      <c r="H441" t="str">
        <f t="shared" si="26"/>
        <v>910 ThriveWell Tech</v>
      </c>
      <c r="I441" s="16" cm="1">
        <f t="array" ref="I441">INDEX('OC-Monthly'!$B$7:$N$65,_xlfn.XMATCH($A441,'OC-Monthly'!$A$7:$A$65),_xlfn.XMATCH($B441,'OC-Monthly'!$B$1:$N$1))</f>
        <v>675997.7666666666</v>
      </c>
      <c r="J441" s="16" cm="1">
        <f t="array" ref="J441">INDEX('OC-Monthly'!$P$7:$AB$65,_xlfn.XMATCH($A441,'OC-Monthly'!$A$7:$A$65),_xlfn.XMATCH($B441,'OC-Monthly'!$P$1:$AB$1))</f>
        <v>672057.11814617494</v>
      </c>
      <c r="K441" s="1" t="s">
        <v>8</v>
      </c>
      <c r="L441" s="1" t="s">
        <v>7</v>
      </c>
      <c r="M441" s="15">
        <f t="shared" si="27"/>
        <v>0.99417061902449333</v>
      </c>
    </row>
    <row r="442" spans="1:13" x14ac:dyDescent="0.25">
      <c r="A442" t="s">
        <v>43</v>
      </c>
      <c r="B442">
        <v>6</v>
      </c>
      <c r="C442" t="str">
        <f t="shared" si="24"/>
        <v>910</v>
      </c>
      <c r="D442" t="s">
        <v>43</v>
      </c>
      <c r="F442">
        <v>2025</v>
      </c>
      <c r="G442">
        <f t="shared" si="25"/>
        <v>6</v>
      </c>
      <c r="H442" t="str">
        <f t="shared" si="26"/>
        <v>910 ThriveWell Tech</v>
      </c>
      <c r="I442" s="16" cm="1">
        <f t="array" ref="I442">INDEX('OC-Monthly'!$B$7:$N$65,_xlfn.XMATCH($A442,'OC-Monthly'!$A$7:$A$65),_xlfn.XMATCH($B442,'OC-Monthly'!$B$1:$N$1))</f>
        <v>859001.34666666668</v>
      </c>
      <c r="J442" s="16" cm="1">
        <f t="array" ref="J442">INDEX('OC-Monthly'!$P$7:$AB$65,_xlfn.XMATCH($A442,'OC-Monthly'!$A$7:$A$65),_xlfn.XMATCH($B442,'OC-Monthly'!$P$1:$AB$1))</f>
        <v>656163.73001351499</v>
      </c>
      <c r="K442" s="1" t="s">
        <v>8</v>
      </c>
      <c r="L442" s="1" t="s">
        <v>7</v>
      </c>
      <c r="M442" s="15">
        <f t="shared" si="27"/>
        <v>0.76386810400209726</v>
      </c>
    </row>
    <row r="443" spans="1:13" x14ac:dyDescent="0.25">
      <c r="A443" t="s">
        <v>43</v>
      </c>
      <c r="B443">
        <v>7</v>
      </c>
      <c r="C443" t="str">
        <f t="shared" si="24"/>
        <v>910</v>
      </c>
      <c r="D443" t="s">
        <v>43</v>
      </c>
      <c r="F443">
        <v>2025</v>
      </c>
      <c r="G443">
        <f t="shared" si="25"/>
        <v>7</v>
      </c>
      <c r="H443" t="str">
        <f t="shared" si="26"/>
        <v>910 ThriveWell Tech</v>
      </c>
      <c r="I443" s="16" cm="1">
        <f t="array" ref="I443">INDEX('OC-Monthly'!$B$7:$N$65,_xlfn.XMATCH($A443,'OC-Monthly'!$A$7:$A$65),_xlfn.XMATCH($B443,'OC-Monthly'!$B$1:$N$1))</f>
        <v>741924.06666666665</v>
      </c>
      <c r="J443" s="16" cm="1">
        <f t="array" ref="J443">INDEX('OC-Monthly'!$P$7:$AB$65,_xlfn.XMATCH($A443,'OC-Monthly'!$A$7:$A$65),_xlfn.XMATCH($B443,'OC-Monthly'!$P$1:$AB$1))</f>
        <v>690846.33626779413</v>
      </c>
      <c r="K443" s="1" t="s">
        <v>8</v>
      </c>
      <c r="L443" s="1" t="s">
        <v>7</v>
      </c>
      <c r="M443" s="15">
        <f t="shared" si="27"/>
        <v>0.93115504309173347</v>
      </c>
    </row>
    <row r="444" spans="1:13" x14ac:dyDescent="0.25">
      <c r="A444" t="s">
        <v>43</v>
      </c>
      <c r="B444">
        <v>8</v>
      </c>
      <c r="C444" t="str">
        <f t="shared" si="24"/>
        <v>910</v>
      </c>
      <c r="D444" t="s">
        <v>43</v>
      </c>
      <c r="F444">
        <v>2025</v>
      </c>
      <c r="G444">
        <f t="shared" si="25"/>
        <v>8</v>
      </c>
      <c r="H444" t="str">
        <f t="shared" si="26"/>
        <v>910 ThriveWell Tech</v>
      </c>
      <c r="I444" s="16" cm="1">
        <f t="array" ref="I444">INDEX('OC-Monthly'!$B$7:$N$65,_xlfn.XMATCH($A444,'OC-Monthly'!$A$7:$A$65),_xlfn.XMATCH($B444,'OC-Monthly'!$B$1:$N$1))</f>
        <v>720397.7666666666</v>
      </c>
      <c r="J444" s="16" cm="1">
        <f t="array" ref="J444">INDEX('OC-Monthly'!$P$7:$AB$65,_xlfn.XMATCH($A444,'OC-Monthly'!$A$7:$A$65),_xlfn.XMATCH($B444,'OC-Monthly'!$P$1:$AB$1))</f>
        <v>665773.33626779425</v>
      </c>
      <c r="K444" s="1" t="s">
        <v>8</v>
      </c>
      <c r="L444" s="1" t="s">
        <v>7</v>
      </c>
      <c r="M444" s="15">
        <f t="shared" si="27"/>
        <v>0.92417462556606245</v>
      </c>
    </row>
    <row r="445" spans="1:13" x14ac:dyDescent="0.25">
      <c r="A445" t="s">
        <v>43</v>
      </c>
      <c r="B445">
        <v>9</v>
      </c>
      <c r="C445" t="str">
        <f t="shared" si="24"/>
        <v>910</v>
      </c>
      <c r="D445" t="s">
        <v>43</v>
      </c>
      <c r="F445">
        <v>2025</v>
      </c>
      <c r="G445">
        <f t="shared" si="25"/>
        <v>9</v>
      </c>
      <c r="H445" t="str">
        <f t="shared" si="26"/>
        <v>910 ThriveWell Tech</v>
      </c>
      <c r="I445" s="16" cm="1">
        <f t="array" ref="I445">INDEX('OC-Monthly'!$B$7:$N$65,_xlfn.XMATCH($A445,'OC-Monthly'!$A$7:$A$65),_xlfn.XMATCH($B445,'OC-Monthly'!$B$1:$N$1))</f>
        <v>861298.34666666668</v>
      </c>
      <c r="J445" s="16" cm="1">
        <f t="array" ref="J445">INDEX('OC-Monthly'!$P$7:$AB$65,_xlfn.XMATCH($A445,'OC-Monthly'!$A$7:$A$65),_xlfn.XMATCH($B445,'OC-Monthly'!$P$1:$AB$1))</f>
        <v>654446.76592985413</v>
      </c>
      <c r="K445" s="1" t="s">
        <v>8</v>
      </c>
      <c r="L445" s="1" t="s">
        <v>7</v>
      </c>
      <c r="M445" s="15">
        <f t="shared" si="27"/>
        <v>0.75983748077846158</v>
      </c>
    </row>
    <row r="446" spans="1:13" x14ac:dyDescent="0.25">
      <c r="A446" t="s">
        <v>43</v>
      </c>
      <c r="B446">
        <v>10</v>
      </c>
      <c r="C446" t="str">
        <f t="shared" si="24"/>
        <v>910</v>
      </c>
      <c r="D446" t="s">
        <v>43</v>
      </c>
      <c r="F446">
        <v>2025</v>
      </c>
      <c r="G446">
        <f t="shared" si="25"/>
        <v>10</v>
      </c>
      <c r="H446" t="str">
        <f t="shared" si="26"/>
        <v>910 ThriveWell Tech</v>
      </c>
      <c r="I446" s="16" cm="1">
        <f t="array" ref="I446">INDEX('OC-Monthly'!$B$7:$N$65,_xlfn.XMATCH($A446,'OC-Monthly'!$A$7:$A$65),_xlfn.XMATCH($B446,'OC-Monthly'!$B$1:$N$1))</f>
        <v>673180.06666666665</v>
      </c>
      <c r="J446" s="16" cm="1">
        <f t="array" ref="J446">INDEX('OC-Monthly'!$P$7:$AB$65,_xlfn.XMATCH($A446,'OC-Monthly'!$A$7:$A$65),_xlfn.XMATCH($B446,'OC-Monthly'!$P$1:$AB$1))</f>
        <v>668578.74652515689</v>
      </c>
      <c r="K446" s="1" t="s">
        <v>8</v>
      </c>
      <c r="L446" s="1" t="s">
        <v>7</v>
      </c>
      <c r="M446" s="15">
        <f t="shared" si="27"/>
        <v>0.99316480037162458</v>
      </c>
    </row>
    <row r="447" spans="1:13" x14ac:dyDescent="0.25">
      <c r="A447" t="s">
        <v>43</v>
      </c>
      <c r="B447">
        <v>11</v>
      </c>
      <c r="C447" t="str">
        <f t="shared" si="24"/>
        <v>910</v>
      </c>
      <c r="D447" t="s">
        <v>43</v>
      </c>
      <c r="F447">
        <v>2025</v>
      </c>
      <c r="G447">
        <f t="shared" si="25"/>
        <v>11</v>
      </c>
      <c r="H447" t="str">
        <f t="shared" si="26"/>
        <v>910 ThriveWell Tech</v>
      </c>
      <c r="I447" s="16" cm="1">
        <f t="array" ref="I447">INDEX('OC-Monthly'!$B$7:$N$65,_xlfn.XMATCH($A447,'OC-Monthly'!$A$7:$A$65),_xlfn.XMATCH($B447,'OC-Monthly'!$B$1:$N$1))</f>
        <v>671761.34666666668</v>
      </c>
      <c r="J447" s="16" cm="1">
        <f t="array" ref="J447">INDEX('OC-Monthly'!$P$7:$AB$65,_xlfn.XMATCH($A447,'OC-Monthly'!$A$7:$A$65),_xlfn.XMATCH($B447,'OC-Monthly'!$P$1:$AB$1))</f>
        <v>651836.14421306411</v>
      </c>
      <c r="K447" s="1" t="s">
        <v>8</v>
      </c>
      <c r="L447" s="1" t="s">
        <v>7</v>
      </c>
      <c r="M447" s="15">
        <f t="shared" si="27"/>
        <v>0.97033886728899632</v>
      </c>
    </row>
    <row r="448" spans="1:13" x14ac:dyDescent="0.25">
      <c r="A448" t="s">
        <v>43</v>
      </c>
      <c r="B448">
        <v>12</v>
      </c>
      <c r="C448" t="str">
        <f t="shared" si="24"/>
        <v>910</v>
      </c>
      <c r="D448" t="s">
        <v>43</v>
      </c>
      <c r="F448">
        <v>2025</v>
      </c>
      <c r="G448">
        <f t="shared" si="25"/>
        <v>12</v>
      </c>
      <c r="H448" t="str">
        <f t="shared" si="26"/>
        <v>910 ThriveWell Tech</v>
      </c>
      <c r="I448" s="16" cm="1">
        <f t="array" ref="I448">INDEX('OC-Monthly'!$B$7:$N$65,_xlfn.XMATCH($A448,'OC-Monthly'!$A$7:$A$65),_xlfn.XMATCH($B448,'OC-Monthly'!$B$1:$N$1))</f>
        <v>868940.7666666666</v>
      </c>
      <c r="J448" s="16" cm="1">
        <f t="array" ref="J448">INDEX('OC-Monthly'!$P$7:$AB$65,_xlfn.XMATCH($A448,'OC-Monthly'!$A$7:$A$65),_xlfn.XMATCH($B448,'OC-Monthly'!$P$1:$AB$1))</f>
        <v>654356.99709906161</v>
      </c>
      <c r="K448" s="1" t="s">
        <v>8</v>
      </c>
      <c r="L448" s="1" t="s">
        <v>7</v>
      </c>
      <c r="M448" s="15">
        <f t="shared" si="27"/>
        <v>0.75305132662751306</v>
      </c>
    </row>
    <row r="449" spans="1:13" x14ac:dyDescent="0.25">
      <c r="A449" t="s">
        <v>50</v>
      </c>
      <c r="B449">
        <v>1</v>
      </c>
      <c r="C449" t="str">
        <f t="shared" si="24"/>
        <v>916</v>
      </c>
      <c r="D449" t="s">
        <v>50</v>
      </c>
      <c r="F449">
        <v>2025</v>
      </c>
      <c r="G449">
        <f t="shared" si="25"/>
        <v>1</v>
      </c>
      <c r="H449" t="str">
        <f t="shared" si="26"/>
        <v>916 Westview One, LLC</v>
      </c>
      <c r="I449" s="16" cm="1">
        <f t="array" ref="I449">INDEX('OC-Monthly'!$B$7:$N$65,_xlfn.XMATCH($A449,'OC-Monthly'!$A$7:$A$65),_xlfn.XMATCH($B449,'OC-Monthly'!$B$1:$N$1))</f>
        <v>0</v>
      </c>
      <c r="J449" s="16" cm="1">
        <f t="array" ref="J449">INDEX('OC-Monthly'!$P$7:$AB$65,_xlfn.XMATCH($A449,'OC-Monthly'!$A$7:$A$65),_xlfn.XMATCH($B449,'OC-Monthly'!$P$1:$AB$1))</f>
        <v>416.66666666666669</v>
      </c>
      <c r="K449" s="1" t="s">
        <v>8</v>
      </c>
      <c r="L449" s="1" t="s">
        <v>7</v>
      </c>
      <c r="M449" s="15" t="str">
        <f t="shared" si="27"/>
        <v>na</v>
      </c>
    </row>
    <row r="450" spans="1:13" x14ac:dyDescent="0.25">
      <c r="A450" t="s">
        <v>50</v>
      </c>
      <c r="B450">
        <v>2</v>
      </c>
      <c r="C450" t="str">
        <f t="shared" si="24"/>
        <v>916</v>
      </c>
      <c r="D450" t="s">
        <v>50</v>
      </c>
      <c r="F450">
        <v>2025</v>
      </c>
      <c r="G450">
        <f t="shared" si="25"/>
        <v>2</v>
      </c>
      <c r="H450" t="str">
        <f t="shared" si="26"/>
        <v>916 Westview One, LLC</v>
      </c>
      <c r="I450" s="16" cm="1">
        <f t="array" ref="I450">INDEX('OC-Monthly'!$B$7:$N$65,_xlfn.XMATCH($A450,'OC-Monthly'!$A$7:$A$65),_xlfn.XMATCH($B450,'OC-Monthly'!$B$1:$N$1))</f>
        <v>0</v>
      </c>
      <c r="J450" s="16" cm="1">
        <f t="array" ref="J450">INDEX('OC-Monthly'!$P$7:$AB$65,_xlfn.XMATCH($A450,'OC-Monthly'!$A$7:$A$65),_xlfn.XMATCH($B450,'OC-Monthly'!$P$1:$AB$1))</f>
        <v>416.66666666666669</v>
      </c>
      <c r="K450" s="1" t="s">
        <v>8</v>
      </c>
      <c r="L450" s="1" t="s">
        <v>7</v>
      </c>
      <c r="M450" s="15" t="str">
        <f t="shared" si="27"/>
        <v>na</v>
      </c>
    </row>
    <row r="451" spans="1:13" x14ac:dyDescent="0.25">
      <c r="A451" t="s">
        <v>50</v>
      </c>
      <c r="B451">
        <v>3</v>
      </c>
      <c r="C451" t="str">
        <f t="shared" si="24"/>
        <v>916</v>
      </c>
      <c r="D451" t="s">
        <v>50</v>
      </c>
      <c r="F451">
        <v>2025</v>
      </c>
      <c r="G451">
        <f t="shared" si="25"/>
        <v>3</v>
      </c>
      <c r="H451" t="str">
        <f t="shared" si="26"/>
        <v>916 Westview One, LLC</v>
      </c>
      <c r="I451" s="16" cm="1">
        <f t="array" ref="I451">INDEX('OC-Monthly'!$B$7:$N$65,_xlfn.XMATCH($A451,'OC-Monthly'!$A$7:$A$65),_xlfn.XMATCH($B451,'OC-Monthly'!$B$1:$N$1))</f>
        <v>0</v>
      </c>
      <c r="J451" s="16" cm="1">
        <f t="array" ref="J451">INDEX('OC-Monthly'!$P$7:$AB$65,_xlfn.XMATCH($A451,'OC-Monthly'!$A$7:$A$65),_xlfn.XMATCH($B451,'OC-Monthly'!$P$1:$AB$1))</f>
        <v>416.66666666666669</v>
      </c>
      <c r="K451" s="1" t="s">
        <v>8</v>
      </c>
      <c r="L451" s="1" t="s">
        <v>7</v>
      </c>
      <c r="M451" s="15" t="str">
        <f t="shared" si="27"/>
        <v>na</v>
      </c>
    </row>
    <row r="452" spans="1:13" x14ac:dyDescent="0.25">
      <c r="A452" t="s">
        <v>50</v>
      </c>
      <c r="B452">
        <v>4</v>
      </c>
      <c r="C452" t="str">
        <f t="shared" si="24"/>
        <v>916</v>
      </c>
      <c r="D452" t="s">
        <v>50</v>
      </c>
      <c r="F452">
        <v>2025</v>
      </c>
      <c r="G452">
        <f t="shared" si="25"/>
        <v>4</v>
      </c>
      <c r="H452" t="str">
        <f t="shared" si="26"/>
        <v>916 Westview One, LLC</v>
      </c>
      <c r="I452" s="16" cm="1">
        <f t="array" ref="I452">INDEX('OC-Monthly'!$B$7:$N$65,_xlfn.XMATCH($A452,'OC-Monthly'!$A$7:$A$65),_xlfn.XMATCH($B452,'OC-Monthly'!$B$1:$N$1))</f>
        <v>0</v>
      </c>
      <c r="J452" s="16" cm="1">
        <f t="array" ref="J452">INDEX('OC-Monthly'!$P$7:$AB$65,_xlfn.XMATCH($A452,'OC-Monthly'!$A$7:$A$65),_xlfn.XMATCH($B452,'OC-Monthly'!$P$1:$AB$1))</f>
        <v>416.66666666666669</v>
      </c>
      <c r="K452" s="1" t="s">
        <v>8</v>
      </c>
      <c r="L452" s="1" t="s">
        <v>7</v>
      </c>
      <c r="M452" s="15" t="str">
        <f t="shared" si="27"/>
        <v>na</v>
      </c>
    </row>
    <row r="453" spans="1:13" x14ac:dyDescent="0.25">
      <c r="A453" t="s">
        <v>50</v>
      </c>
      <c r="B453">
        <v>5</v>
      </c>
      <c r="C453" t="str">
        <f t="shared" si="24"/>
        <v>916</v>
      </c>
      <c r="D453" t="s">
        <v>50</v>
      </c>
      <c r="F453">
        <v>2025</v>
      </c>
      <c r="G453">
        <f t="shared" si="25"/>
        <v>5</v>
      </c>
      <c r="H453" t="str">
        <f t="shared" si="26"/>
        <v>916 Westview One, LLC</v>
      </c>
      <c r="I453" s="16" cm="1">
        <f t="array" ref="I453">INDEX('OC-Monthly'!$B$7:$N$65,_xlfn.XMATCH($A453,'OC-Monthly'!$A$7:$A$65),_xlfn.XMATCH($B453,'OC-Monthly'!$B$1:$N$1))</f>
        <v>0</v>
      </c>
      <c r="J453" s="16" cm="1">
        <f t="array" ref="J453">INDEX('OC-Monthly'!$P$7:$AB$65,_xlfn.XMATCH($A453,'OC-Monthly'!$A$7:$A$65),_xlfn.XMATCH($B453,'OC-Monthly'!$P$1:$AB$1))</f>
        <v>416.66666666666669</v>
      </c>
      <c r="K453" s="1" t="s">
        <v>8</v>
      </c>
      <c r="L453" s="1" t="s">
        <v>7</v>
      </c>
      <c r="M453" s="15" t="str">
        <f t="shared" si="27"/>
        <v>na</v>
      </c>
    </row>
    <row r="454" spans="1:13" x14ac:dyDescent="0.25">
      <c r="A454" t="s">
        <v>50</v>
      </c>
      <c r="B454">
        <v>6</v>
      </c>
      <c r="C454" t="str">
        <f t="shared" ref="C454:C472" si="28">LEFT(A454,3)</f>
        <v>916</v>
      </c>
      <c r="D454" t="s">
        <v>50</v>
      </c>
      <c r="F454">
        <v>2025</v>
      </c>
      <c r="G454">
        <f t="shared" ref="G454:G472" si="29">B454</f>
        <v>6</v>
      </c>
      <c r="H454" t="str">
        <f t="shared" ref="H454:H472" si="30">D454</f>
        <v>916 Westview One, LLC</v>
      </c>
      <c r="I454" s="16" cm="1">
        <f t="array" ref="I454">INDEX('OC-Monthly'!$B$7:$N$65,_xlfn.XMATCH($A454,'OC-Monthly'!$A$7:$A$65),_xlfn.XMATCH($B454,'OC-Monthly'!$B$1:$N$1))</f>
        <v>0</v>
      </c>
      <c r="J454" s="16" cm="1">
        <f t="array" ref="J454">INDEX('OC-Monthly'!$P$7:$AB$65,_xlfn.XMATCH($A454,'OC-Monthly'!$A$7:$A$65),_xlfn.XMATCH($B454,'OC-Monthly'!$P$1:$AB$1))</f>
        <v>416.66666666666669</v>
      </c>
      <c r="K454" s="1" t="s">
        <v>8</v>
      </c>
      <c r="L454" s="1" t="s">
        <v>7</v>
      </c>
      <c r="M454" s="15" t="str">
        <f t="shared" ref="M454:M472" si="31">IFERROR(J454/I454,"na")</f>
        <v>na</v>
      </c>
    </row>
    <row r="455" spans="1:13" x14ac:dyDescent="0.25">
      <c r="A455" t="s">
        <v>50</v>
      </c>
      <c r="B455">
        <v>7</v>
      </c>
      <c r="C455" t="str">
        <f t="shared" si="28"/>
        <v>916</v>
      </c>
      <c r="D455" t="s">
        <v>50</v>
      </c>
      <c r="F455">
        <v>2025</v>
      </c>
      <c r="G455">
        <f t="shared" si="29"/>
        <v>7</v>
      </c>
      <c r="H455" t="str">
        <f t="shared" si="30"/>
        <v>916 Westview One, LLC</v>
      </c>
      <c r="I455" s="16" cm="1">
        <f t="array" ref="I455">INDEX('OC-Monthly'!$B$7:$N$65,_xlfn.XMATCH($A455,'OC-Monthly'!$A$7:$A$65),_xlfn.XMATCH($B455,'OC-Monthly'!$B$1:$N$1))</f>
        <v>0</v>
      </c>
      <c r="J455" s="16" cm="1">
        <f t="array" ref="J455">INDEX('OC-Monthly'!$P$7:$AB$65,_xlfn.XMATCH($A455,'OC-Monthly'!$A$7:$A$65),_xlfn.XMATCH($B455,'OC-Monthly'!$P$1:$AB$1))</f>
        <v>416.66666666666669</v>
      </c>
      <c r="K455" s="1" t="s">
        <v>8</v>
      </c>
      <c r="L455" s="1" t="s">
        <v>7</v>
      </c>
      <c r="M455" s="15" t="str">
        <f t="shared" si="31"/>
        <v>na</v>
      </c>
    </row>
    <row r="456" spans="1:13" x14ac:dyDescent="0.25">
      <c r="A456" t="s">
        <v>50</v>
      </c>
      <c r="B456">
        <v>8</v>
      </c>
      <c r="C456" t="str">
        <f t="shared" si="28"/>
        <v>916</v>
      </c>
      <c r="D456" t="s">
        <v>50</v>
      </c>
      <c r="F456">
        <v>2025</v>
      </c>
      <c r="G456">
        <f t="shared" si="29"/>
        <v>8</v>
      </c>
      <c r="H456" t="str">
        <f t="shared" si="30"/>
        <v>916 Westview One, LLC</v>
      </c>
      <c r="I456" s="16" cm="1">
        <f t="array" ref="I456">INDEX('OC-Monthly'!$B$7:$N$65,_xlfn.XMATCH($A456,'OC-Monthly'!$A$7:$A$65),_xlfn.XMATCH($B456,'OC-Monthly'!$B$1:$N$1))</f>
        <v>0</v>
      </c>
      <c r="J456" s="16" cm="1">
        <f t="array" ref="J456">INDEX('OC-Monthly'!$P$7:$AB$65,_xlfn.XMATCH($A456,'OC-Monthly'!$A$7:$A$65),_xlfn.XMATCH($B456,'OC-Monthly'!$P$1:$AB$1))</f>
        <v>416.66666666666669</v>
      </c>
      <c r="K456" s="1" t="s">
        <v>8</v>
      </c>
      <c r="L456" s="1" t="s">
        <v>7</v>
      </c>
      <c r="M456" s="15" t="str">
        <f t="shared" si="31"/>
        <v>na</v>
      </c>
    </row>
    <row r="457" spans="1:13" x14ac:dyDescent="0.25">
      <c r="A457" t="s">
        <v>50</v>
      </c>
      <c r="B457">
        <v>9</v>
      </c>
      <c r="C457" t="str">
        <f t="shared" si="28"/>
        <v>916</v>
      </c>
      <c r="D457" t="s">
        <v>50</v>
      </c>
      <c r="F457">
        <v>2025</v>
      </c>
      <c r="G457">
        <f t="shared" si="29"/>
        <v>9</v>
      </c>
      <c r="H457" t="str">
        <f t="shared" si="30"/>
        <v>916 Westview One, LLC</v>
      </c>
      <c r="I457" s="16" cm="1">
        <f t="array" ref="I457">INDEX('OC-Monthly'!$B$7:$N$65,_xlfn.XMATCH($A457,'OC-Monthly'!$A$7:$A$65),_xlfn.XMATCH($B457,'OC-Monthly'!$B$1:$N$1))</f>
        <v>0</v>
      </c>
      <c r="J457" s="16" cm="1">
        <f t="array" ref="J457">INDEX('OC-Monthly'!$P$7:$AB$65,_xlfn.XMATCH($A457,'OC-Monthly'!$A$7:$A$65),_xlfn.XMATCH($B457,'OC-Monthly'!$P$1:$AB$1))</f>
        <v>416.66666666666669</v>
      </c>
      <c r="K457" s="1" t="s">
        <v>8</v>
      </c>
      <c r="L457" s="1" t="s">
        <v>7</v>
      </c>
      <c r="M457" s="15" t="str">
        <f t="shared" si="31"/>
        <v>na</v>
      </c>
    </row>
    <row r="458" spans="1:13" x14ac:dyDescent="0.25">
      <c r="A458" t="s">
        <v>50</v>
      </c>
      <c r="B458">
        <v>10</v>
      </c>
      <c r="C458" t="str">
        <f t="shared" si="28"/>
        <v>916</v>
      </c>
      <c r="D458" t="s">
        <v>50</v>
      </c>
      <c r="F458">
        <v>2025</v>
      </c>
      <c r="G458">
        <f t="shared" si="29"/>
        <v>10</v>
      </c>
      <c r="H458" t="str">
        <f t="shared" si="30"/>
        <v>916 Westview One, LLC</v>
      </c>
      <c r="I458" s="16" cm="1">
        <f t="array" ref="I458">INDEX('OC-Monthly'!$B$7:$N$65,_xlfn.XMATCH($A458,'OC-Monthly'!$A$7:$A$65),_xlfn.XMATCH($B458,'OC-Monthly'!$B$1:$N$1))</f>
        <v>0</v>
      </c>
      <c r="J458" s="16" cm="1">
        <f t="array" ref="J458">INDEX('OC-Monthly'!$P$7:$AB$65,_xlfn.XMATCH($A458,'OC-Monthly'!$A$7:$A$65),_xlfn.XMATCH($B458,'OC-Monthly'!$P$1:$AB$1))</f>
        <v>416.66666666666669</v>
      </c>
      <c r="K458" s="1" t="s">
        <v>8</v>
      </c>
      <c r="L458" s="1" t="s">
        <v>7</v>
      </c>
      <c r="M458" s="15" t="str">
        <f t="shared" si="31"/>
        <v>na</v>
      </c>
    </row>
    <row r="459" spans="1:13" x14ac:dyDescent="0.25">
      <c r="A459" t="s">
        <v>50</v>
      </c>
      <c r="B459">
        <v>11</v>
      </c>
      <c r="C459" t="str">
        <f t="shared" si="28"/>
        <v>916</v>
      </c>
      <c r="D459" t="s">
        <v>50</v>
      </c>
      <c r="F459">
        <v>2025</v>
      </c>
      <c r="G459">
        <f t="shared" si="29"/>
        <v>11</v>
      </c>
      <c r="H459" t="str">
        <f t="shared" si="30"/>
        <v>916 Westview One, LLC</v>
      </c>
      <c r="I459" s="16" cm="1">
        <f t="array" ref="I459">INDEX('OC-Monthly'!$B$7:$N$65,_xlfn.XMATCH($A459,'OC-Monthly'!$A$7:$A$65),_xlfn.XMATCH($B459,'OC-Monthly'!$B$1:$N$1))</f>
        <v>0</v>
      </c>
      <c r="J459" s="16" cm="1">
        <f t="array" ref="J459">INDEX('OC-Monthly'!$P$7:$AB$65,_xlfn.XMATCH($A459,'OC-Monthly'!$A$7:$A$65),_xlfn.XMATCH($B459,'OC-Monthly'!$P$1:$AB$1))</f>
        <v>416.66666666666669</v>
      </c>
      <c r="K459" s="1" t="s">
        <v>8</v>
      </c>
      <c r="L459" s="1" t="s">
        <v>7</v>
      </c>
      <c r="M459" s="15" t="str">
        <f t="shared" si="31"/>
        <v>na</v>
      </c>
    </row>
    <row r="460" spans="1:13" x14ac:dyDescent="0.25">
      <c r="A460" t="s">
        <v>50</v>
      </c>
      <c r="B460">
        <v>12</v>
      </c>
      <c r="C460" t="str">
        <f t="shared" si="28"/>
        <v>916</v>
      </c>
      <c r="D460" t="s">
        <v>50</v>
      </c>
      <c r="F460">
        <v>2025</v>
      </c>
      <c r="G460">
        <f t="shared" si="29"/>
        <v>12</v>
      </c>
      <c r="H460" t="str">
        <f t="shared" si="30"/>
        <v>916 Westview One, LLC</v>
      </c>
      <c r="I460" s="16" cm="1">
        <f t="array" ref="I460">INDEX('OC-Monthly'!$B$7:$N$65,_xlfn.XMATCH($A460,'OC-Monthly'!$A$7:$A$65),_xlfn.XMATCH($B460,'OC-Monthly'!$B$1:$N$1))</f>
        <v>0</v>
      </c>
      <c r="J460" s="16" cm="1">
        <f t="array" ref="J460">INDEX('OC-Monthly'!$P$7:$AB$65,_xlfn.XMATCH($A460,'OC-Monthly'!$A$7:$A$65),_xlfn.XMATCH($B460,'OC-Monthly'!$P$1:$AB$1))</f>
        <v>416.66666666666669</v>
      </c>
      <c r="K460" s="1" t="s">
        <v>8</v>
      </c>
      <c r="L460" s="1" t="s">
        <v>7</v>
      </c>
      <c r="M460" s="15" t="str">
        <f t="shared" si="31"/>
        <v>na</v>
      </c>
    </row>
    <row r="461" spans="1:13" x14ac:dyDescent="0.25">
      <c r="A461" t="s">
        <v>44</v>
      </c>
      <c r="B461">
        <v>1</v>
      </c>
      <c r="C461" t="str">
        <f t="shared" si="28"/>
        <v>925</v>
      </c>
      <c r="D461" t="s">
        <v>44</v>
      </c>
      <c r="F461">
        <v>2025</v>
      </c>
      <c r="G461">
        <f t="shared" si="29"/>
        <v>1</v>
      </c>
      <c r="H461" t="str">
        <f t="shared" si="30"/>
        <v>925 Chandler Estate</v>
      </c>
      <c r="I461" s="16" cm="1">
        <f t="array" ref="I461">INDEX('OC-Monthly'!$B$7:$N$65,_xlfn.XMATCH($A461,'OC-Monthly'!$A$7:$A$65),_xlfn.XMATCH($B461,'OC-Monthly'!$B$1:$N$1))</f>
        <v>291033.05920871242</v>
      </c>
      <c r="J461" s="16" cm="1">
        <f t="array" ref="J461">INDEX('OC-Monthly'!$P$7:$AB$65,_xlfn.XMATCH($A461,'OC-Monthly'!$A$7:$A$65),_xlfn.XMATCH($B461,'OC-Monthly'!$P$1:$AB$1))</f>
        <v>280406.72004436166</v>
      </c>
      <c r="K461" s="1" t="s">
        <v>8</v>
      </c>
      <c r="L461" s="1" t="s">
        <v>7</v>
      </c>
      <c r="M461" s="15">
        <f t="shared" si="31"/>
        <v>0.96348751858897874</v>
      </c>
    </row>
    <row r="462" spans="1:13" x14ac:dyDescent="0.25">
      <c r="A462" t="s">
        <v>44</v>
      </c>
      <c r="B462">
        <v>2</v>
      </c>
      <c r="C462" t="str">
        <f t="shared" si="28"/>
        <v>925</v>
      </c>
      <c r="D462" t="s">
        <v>44</v>
      </c>
      <c r="F462">
        <v>2025</v>
      </c>
      <c r="G462">
        <f t="shared" si="29"/>
        <v>2</v>
      </c>
      <c r="H462" t="str">
        <f t="shared" si="30"/>
        <v>925 Chandler Estate</v>
      </c>
      <c r="I462" s="16" cm="1">
        <f t="array" ref="I462">INDEX('OC-Monthly'!$B$7:$N$65,_xlfn.XMATCH($A462,'OC-Monthly'!$A$7:$A$65),_xlfn.XMATCH($B462,'OC-Monthly'!$B$1:$N$1))</f>
        <v>272066.98228563549</v>
      </c>
      <c r="J462" s="16" cm="1">
        <f t="array" ref="J462">INDEX('OC-Monthly'!$P$7:$AB$65,_xlfn.XMATCH($A462,'OC-Monthly'!$A$7:$A$65),_xlfn.XMATCH($B462,'OC-Monthly'!$P$1:$AB$1))</f>
        <v>256109.85416641721</v>
      </c>
      <c r="K462" s="1" t="s">
        <v>8</v>
      </c>
      <c r="L462" s="1" t="s">
        <v>7</v>
      </c>
      <c r="M462" s="15">
        <f t="shared" si="31"/>
        <v>0.94134853121403261</v>
      </c>
    </row>
    <row r="463" spans="1:13" x14ac:dyDescent="0.25">
      <c r="A463" t="s">
        <v>44</v>
      </c>
      <c r="B463">
        <v>3</v>
      </c>
      <c r="C463" t="str">
        <f t="shared" si="28"/>
        <v>925</v>
      </c>
      <c r="D463" t="s">
        <v>44</v>
      </c>
      <c r="F463">
        <v>2025</v>
      </c>
      <c r="G463">
        <f t="shared" si="29"/>
        <v>3</v>
      </c>
      <c r="H463" t="str">
        <f t="shared" si="30"/>
        <v>925 Chandler Estate</v>
      </c>
      <c r="I463" s="16" cm="1">
        <f t="array" ref="I463">INDEX('OC-Monthly'!$B$7:$N$65,_xlfn.XMATCH($A463,'OC-Monthly'!$A$7:$A$65),_xlfn.XMATCH($B463,'OC-Monthly'!$B$1:$N$1))</f>
        <v>288433.05920871242</v>
      </c>
      <c r="J463" s="16" cm="1">
        <f t="array" ref="J463">INDEX('OC-Monthly'!$P$7:$AB$65,_xlfn.XMATCH($A463,'OC-Monthly'!$A$7:$A$65),_xlfn.XMATCH($B463,'OC-Monthly'!$P$1:$AB$1))</f>
        <v>262042.6222475211</v>
      </c>
      <c r="K463" s="1" t="s">
        <v>8</v>
      </c>
      <c r="L463" s="1" t="s">
        <v>7</v>
      </c>
      <c r="M463" s="15">
        <f t="shared" si="31"/>
        <v>0.90850411865550063</v>
      </c>
    </row>
    <row r="464" spans="1:13" x14ac:dyDescent="0.25">
      <c r="A464" t="s">
        <v>44</v>
      </c>
      <c r="B464">
        <v>4</v>
      </c>
      <c r="C464" t="str">
        <f t="shared" si="28"/>
        <v>925</v>
      </c>
      <c r="D464" t="s">
        <v>44</v>
      </c>
      <c r="F464">
        <v>2025</v>
      </c>
      <c r="G464">
        <f t="shared" si="29"/>
        <v>4</v>
      </c>
      <c r="H464" t="str">
        <f t="shared" si="30"/>
        <v>925 Chandler Estate</v>
      </c>
      <c r="I464" s="16" cm="1">
        <f t="array" ref="I464">INDEX('OC-Monthly'!$B$7:$N$65,_xlfn.XMATCH($A464,'OC-Monthly'!$A$7:$A$65),_xlfn.XMATCH($B464,'OC-Monthly'!$B$1:$N$1))</f>
        <v>290741.0335676868</v>
      </c>
      <c r="J464" s="16" cm="1">
        <f t="array" ref="J464">INDEX('OC-Monthly'!$P$7:$AB$65,_xlfn.XMATCH($A464,'OC-Monthly'!$A$7:$A$65),_xlfn.XMATCH($B464,'OC-Monthly'!$P$1:$AB$1))</f>
        <v>252477.46157466128</v>
      </c>
      <c r="K464" s="1" t="s">
        <v>8</v>
      </c>
      <c r="L464" s="1" t="s">
        <v>7</v>
      </c>
      <c r="M464" s="15">
        <f t="shared" si="31"/>
        <v>0.86839294225691932</v>
      </c>
    </row>
    <row r="465" spans="1:13" x14ac:dyDescent="0.25">
      <c r="A465" t="s">
        <v>44</v>
      </c>
      <c r="B465">
        <v>5</v>
      </c>
      <c r="C465" t="str">
        <f t="shared" si="28"/>
        <v>925</v>
      </c>
      <c r="D465" t="s">
        <v>44</v>
      </c>
      <c r="F465">
        <v>2025</v>
      </c>
      <c r="G465">
        <f t="shared" si="29"/>
        <v>5</v>
      </c>
      <c r="H465" t="str">
        <f t="shared" si="30"/>
        <v>925 Chandler Estate</v>
      </c>
      <c r="I465" s="16" cm="1">
        <f t="array" ref="I465">INDEX('OC-Monthly'!$B$7:$N$65,_xlfn.XMATCH($A465,'OC-Monthly'!$A$7:$A$65),_xlfn.XMATCH($B465,'OC-Monthly'!$B$1:$N$1))</f>
        <v>288433.05920871242</v>
      </c>
      <c r="J465" s="16" cm="1">
        <f t="array" ref="J465">INDEX('OC-Monthly'!$P$7:$AB$65,_xlfn.XMATCH($A465,'OC-Monthly'!$A$7:$A$65),_xlfn.XMATCH($B465,'OC-Monthly'!$P$1:$AB$1))</f>
        <v>253096.80438764795</v>
      </c>
      <c r="K465" s="1" t="s">
        <v>8</v>
      </c>
      <c r="L465" s="1" t="s">
        <v>7</v>
      </c>
      <c r="M465" s="15">
        <f t="shared" si="31"/>
        <v>0.87748888800054337</v>
      </c>
    </row>
    <row r="466" spans="1:13" x14ac:dyDescent="0.25">
      <c r="A466" t="s">
        <v>44</v>
      </c>
      <c r="B466">
        <v>6</v>
      </c>
      <c r="C466" t="str">
        <f t="shared" si="28"/>
        <v>925</v>
      </c>
      <c r="D466" t="s">
        <v>44</v>
      </c>
      <c r="F466">
        <v>2025</v>
      </c>
      <c r="G466">
        <f t="shared" si="29"/>
        <v>6</v>
      </c>
      <c r="H466" t="str">
        <f t="shared" si="30"/>
        <v>925 Chandler Estate</v>
      </c>
      <c r="I466" s="16" cm="1">
        <f t="array" ref="I466">INDEX('OC-Monthly'!$B$7:$N$65,_xlfn.XMATCH($A466,'OC-Monthly'!$A$7:$A$65),_xlfn.XMATCH($B466,'OC-Monthly'!$B$1:$N$1))</f>
        <v>282611.0335676868</v>
      </c>
      <c r="J466" s="16" cm="1">
        <f t="array" ref="J466">INDEX('OC-Monthly'!$P$7:$AB$65,_xlfn.XMATCH($A466,'OC-Monthly'!$A$7:$A$65),_xlfn.XMATCH($B466,'OC-Monthly'!$P$1:$AB$1))</f>
        <v>248030.98503861396</v>
      </c>
      <c r="K466" s="1" t="s">
        <v>8</v>
      </c>
      <c r="L466" s="1" t="s">
        <v>7</v>
      </c>
      <c r="M466" s="15">
        <f t="shared" si="31"/>
        <v>0.87764084051307667</v>
      </c>
    </row>
    <row r="467" spans="1:13" x14ac:dyDescent="0.25">
      <c r="A467" t="s">
        <v>44</v>
      </c>
      <c r="B467">
        <v>7</v>
      </c>
      <c r="C467" t="str">
        <f t="shared" si="28"/>
        <v>925</v>
      </c>
      <c r="D467" t="s">
        <v>44</v>
      </c>
      <c r="F467">
        <v>2025</v>
      </c>
      <c r="G467">
        <f t="shared" si="29"/>
        <v>7</v>
      </c>
      <c r="H467" t="str">
        <f t="shared" si="30"/>
        <v>925 Chandler Estate</v>
      </c>
      <c r="I467" s="16" cm="1">
        <f t="array" ref="I467">INDEX('OC-Monthly'!$B$7:$N$65,_xlfn.XMATCH($A467,'OC-Monthly'!$A$7:$A$65),_xlfn.XMATCH($B467,'OC-Monthly'!$B$1:$N$1))</f>
        <v>291033.05920871242</v>
      </c>
      <c r="J467" s="16" cm="1">
        <f t="array" ref="J467">INDEX('OC-Monthly'!$P$7:$AB$65,_xlfn.XMATCH($A467,'OC-Monthly'!$A$7:$A$65),_xlfn.XMATCH($B467,'OC-Monthly'!$P$1:$AB$1))</f>
        <v>251205.6092929864</v>
      </c>
      <c r="K467" s="1" t="s">
        <v>8</v>
      </c>
      <c r="L467" s="1" t="s">
        <v>7</v>
      </c>
      <c r="M467" s="15">
        <f t="shared" si="31"/>
        <v>0.86315145769345725</v>
      </c>
    </row>
    <row r="468" spans="1:13" x14ac:dyDescent="0.25">
      <c r="A468" t="s">
        <v>44</v>
      </c>
      <c r="B468">
        <v>8</v>
      </c>
      <c r="C468" t="str">
        <f t="shared" si="28"/>
        <v>925</v>
      </c>
      <c r="D468" t="s">
        <v>44</v>
      </c>
      <c r="F468">
        <v>2025</v>
      </c>
      <c r="G468">
        <f t="shared" si="29"/>
        <v>8</v>
      </c>
      <c r="H468" t="str">
        <f t="shared" si="30"/>
        <v>925 Chandler Estate</v>
      </c>
      <c r="I468" s="16" cm="1">
        <f t="array" ref="I468">INDEX('OC-Monthly'!$B$7:$N$65,_xlfn.XMATCH($A468,'OC-Monthly'!$A$7:$A$65),_xlfn.XMATCH($B468,'OC-Monthly'!$B$1:$N$1))</f>
        <v>287883.05920871242</v>
      </c>
      <c r="J468" s="16" cm="1">
        <f t="array" ref="J468">INDEX('OC-Monthly'!$P$7:$AB$65,_xlfn.XMATCH($A468,'OC-Monthly'!$A$7:$A$65),_xlfn.XMATCH($B468,'OC-Monthly'!$P$1:$AB$1))</f>
        <v>253257.382273114</v>
      </c>
      <c r="K468" s="1" t="s">
        <v>8</v>
      </c>
      <c r="L468" s="1" t="s">
        <v>7</v>
      </c>
      <c r="M468" s="15">
        <f t="shared" si="31"/>
        <v>0.87972311732836228</v>
      </c>
    </row>
    <row r="469" spans="1:13" x14ac:dyDescent="0.25">
      <c r="A469" t="s">
        <v>44</v>
      </c>
      <c r="B469">
        <v>9</v>
      </c>
      <c r="C469" t="str">
        <f t="shared" si="28"/>
        <v>925</v>
      </c>
      <c r="D469" t="s">
        <v>44</v>
      </c>
      <c r="F469">
        <v>2025</v>
      </c>
      <c r="G469">
        <f t="shared" si="29"/>
        <v>9</v>
      </c>
      <c r="H469" t="str">
        <f t="shared" si="30"/>
        <v>925 Chandler Estate</v>
      </c>
      <c r="I469" s="16" cm="1">
        <f t="array" ref="I469">INDEX('OC-Monthly'!$B$7:$N$65,_xlfn.XMATCH($A469,'OC-Monthly'!$A$7:$A$65),_xlfn.XMATCH($B469,'OC-Monthly'!$B$1:$N$1))</f>
        <v>283161.0335676868</v>
      </c>
      <c r="J469" s="16" cm="1">
        <f t="array" ref="J469">INDEX('OC-Monthly'!$P$7:$AB$65,_xlfn.XMATCH($A469,'OC-Monthly'!$A$7:$A$65),_xlfn.XMATCH($B469,'OC-Monthly'!$P$1:$AB$1))</f>
        <v>255315.22840164384</v>
      </c>
      <c r="K469" s="1" t="s">
        <v>8</v>
      </c>
      <c r="L469" s="1" t="s">
        <v>7</v>
      </c>
      <c r="M469" s="15">
        <f t="shared" si="31"/>
        <v>0.90166088597996763</v>
      </c>
    </row>
    <row r="470" spans="1:13" x14ac:dyDescent="0.25">
      <c r="A470" t="s">
        <v>44</v>
      </c>
      <c r="B470">
        <v>10</v>
      </c>
      <c r="C470" t="str">
        <f t="shared" si="28"/>
        <v>925</v>
      </c>
      <c r="D470" t="s">
        <v>44</v>
      </c>
      <c r="F470">
        <v>2025</v>
      </c>
      <c r="G470">
        <f t="shared" si="29"/>
        <v>10</v>
      </c>
      <c r="H470" t="str">
        <f t="shared" si="30"/>
        <v>925 Chandler Estate</v>
      </c>
      <c r="I470" s="16" cm="1">
        <f t="array" ref="I470">INDEX('OC-Monthly'!$B$7:$N$65,_xlfn.XMATCH($A470,'OC-Monthly'!$A$7:$A$65),_xlfn.XMATCH($B470,'OC-Monthly'!$B$1:$N$1))</f>
        <v>290483.05920871242</v>
      </c>
      <c r="J470" s="16" cm="1">
        <f t="array" ref="J470">INDEX('OC-Monthly'!$P$7:$AB$65,_xlfn.XMATCH($A470,'OC-Monthly'!$A$7:$A$65),_xlfn.XMATCH($B470,'OC-Monthly'!$P$1:$AB$1))</f>
        <v>258113.06214513455</v>
      </c>
      <c r="K470" s="1" t="s">
        <v>8</v>
      </c>
      <c r="L470" s="1" t="s">
        <v>7</v>
      </c>
      <c r="M470" s="15">
        <f t="shared" si="31"/>
        <v>0.88856494023522381</v>
      </c>
    </row>
    <row r="471" spans="1:13" x14ac:dyDescent="0.25">
      <c r="A471" t="s">
        <v>44</v>
      </c>
      <c r="B471">
        <v>11</v>
      </c>
      <c r="C471" t="str">
        <f t="shared" si="28"/>
        <v>925</v>
      </c>
      <c r="D471" t="s">
        <v>44</v>
      </c>
      <c r="F471">
        <v>2025</v>
      </c>
      <c r="G471">
        <f t="shared" si="29"/>
        <v>11</v>
      </c>
      <c r="H471" t="str">
        <f t="shared" si="30"/>
        <v>925 Chandler Estate</v>
      </c>
      <c r="I471" s="16" cm="1">
        <f t="array" ref="I471">INDEX('OC-Monthly'!$B$7:$N$65,_xlfn.XMATCH($A471,'OC-Monthly'!$A$7:$A$65),_xlfn.XMATCH($B471,'OC-Monthly'!$B$1:$N$1))</f>
        <v>283161.0335676868</v>
      </c>
      <c r="J471" s="16" cm="1">
        <f t="array" ref="J471">INDEX('OC-Monthly'!$P$7:$AB$65,_xlfn.XMATCH($A471,'OC-Monthly'!$A$7:$A$65),_xlfn.XMATCH($B471,'OC-Monthly'!$P$1:$AB$1))</f>
        <v>256682.90507000193</v>
      </c>
      <c r="K471" s="1" t="s">
        <v>8</v>
      </c>
      <c r="L471" s="1" t="s">
        <v>7</v>
      </c>
      <c r="M471" s="15">
        <f t="shared" si="31"/>
        <v>0.90649091732688725</v>
      </c>
    </row>
    <row r="472" spans="1:13" x14ac:dyDescent="0.25">
      <c r="A472" t="s">
        <v>44</v>
      </c>
      <c r="B472">
        <v>12</v>
      </c>
      <c r="C472" t="str">
        <f t="shared" si="28"/>
        <v>925</v>
      </c>
      <c r="D472" t="s">
        <v>44</v>
      </c>
      <c r="F472">
        <v>2025</v>
      </c>
      <c r="G472">
        <f t="shared" si="29"/>
        <v>12</v>
      </c>
      <c r="H472" t="str">
        <f t="shared" si="30"/>
        <v>925 Chandler Estate</v>
      </c>
      <c r="I472" s="16" cm="1">
        <f t="array" ref="I472">INDEX('OC-Monthly'!$B$7:$N$65,_xlfn.XMATCH($A472,'OC-Monthly'!$A$7:$A$65),_xlfn.XMATCH($B472,'OC-Monthly'!$B$1:$N$1))</f>
        <v>287883.05920871242</v>
      </c>
      <c r="J472" s="16" cm="1">
        <f t="array" ref="J472">INDEX('OC-Monthly'!$P$7:$AB$65,_xlfn.XMATCH($A472,'OC-Monthly'!$A$7:$A$65),_xlfn.XMATCH($B472,'OC-Monthly'!$P$1:$AB$1))</f>
        <v>264982.49716932635</v>
      </c>
      <c r="K472" s="1" t="s">
        <v>8</v>
      </c>
      <c r="L472" s="1" t="s">
        <v>7</v>
      </c>
      <c r="M472" s="15">
        <f t="shared" si="31"/>
        <v>0.92045185950735853</v>
      </c>
    </row>
    <row r="474" spans="1:13" x14ac:dyDescent="0.25">
      <c r="F474" s="2">
        <v>2025</v>
      </c>
      <c r="G474" s="2">
        <v>1</v>
      </c>
      <c r="H474" s="2" t="s">
        <v>48</v>
      </c>
      <c r="I474" s="22">
        <f>SUMIFS(I$5:I$472,$G$5:$G$472,$G474)</f>
        <v>19982277.32177674</v>
      </c>
      <c r="J474" s="22">
        <f>SUMIFS(J$5:J$472,$G$5:$G$472,$G474)</f>
        <v>20192414.747479573</v>
      </c>
      <c r="K474" s="19" t="s">
        <v>8</v>
      </c>
      <c r="L474" s="19" t="s">
        <v>7</v>
      </c>
      <c r="M474" s="3">
        <f t="shared" ref="M474:M485" si="32">IFERROR(J474/I474,"na")</f>
        <v>1.0105161900377504</v>
      </c>
    </row>
    <row r="475" spans="1:13" x14ac:dyDescent="0.25">
      <c r="F475" s="2">
        <v>2025</v>
      </c>
      <c r="G475" s="2">
        <v>2</v>
      </c>
      <c r="H475" s="2" t="s">
        <v>48</v>
      </c>
      <c r="I475" s="22">
        <f t="shared" ref="I475:J485" si="33">SUMIFS(I$5:I$472,$G$5:$G$472,$G475)</f>
        <v>18937464.734230474</v>
      </c>
      <c r="J475" s="22">
        <f t="shared" si="33"/>
        <v>19020105.0050602</v>
      </c>
      <c r="K475" s="19" t="s">
        <v>8</v>
      </c>
      <c r="L475" s="19" t="s">
        <v>7</v>
      </c>
      <c r="M475" s="3">
        <f t="shared" si="32"/>
        <v>1.0043638508105233</v>
      </c>
    </row>
    <row r="476" spans="1:13" x14ac:dyDescent="0.25">
      <c r="F476" s="2">
        <v>2025</v>
      </c>
      <c r="G476" s="2">
        <v>3</v>
      </c>
      <c r="H476" s="2" t="s">
        <v>48</v>
      </c>
      <c r="I476" s="22">
        <f t="shared" si="33"/>
        <v>20353279.596338935</v>
      </c>
      <c r="J476" s="22">
        <f t="shared" si="33"/>
        <v>20043060.963378683</v>
      </c>
      <c r="K476" s="19" t="s">
        <v>8</v>
      </c>
      <c r="L476" s="19" t="s">
        <v>7</v>
      </c>
      <c r="M476" s="3">
        <f t="shared" si="32"/>
        <v>0.98475829747771693</v>
      </c>
    </row>
    <row r="477" spans="1:13" x14ac:dyDescent="0.25">
      <c r="F477" s="2">
        <v>2025</v>
      </c>
      <c r="G477" s="2">
        <v>4</v>
      </c>
      <c r="H477" s="2" t="s">
        <v>48</v>
      </c>
      <c r="I477" s="22">
        <f t="shared" si="33"/>
        <v>20227289.573882904</v>
      </c>
      <c r="J477" s="22">
        <f t="shared" si="33"/>
        <v>19938572.388202935</v>
      </c>
      <c r="K477" s="19" t="s">
        <v>8</v>
      </c>
      <c r="L477" s="19" t="s">
        <v>7</v>
      </c>
      <c r="M477" s="3">
        <f t="shared" si="32"/>
        <v>0.98572635327015068</v>
      </c>
    </row>
    <row r="478" spans="1:13" x14ac:dyDescent="0.25">
      <c r="F478" s="2">
        <v>2025</v>
      </c>
      <c r="G478" s="2">
        <v>5</v>
      </c>
      <c r="H478" s="2" t="s">
        <v>48</v>
      </c>
      <c r="I478" s="22">
        <f t="shared" si="33"/>
        <v>20270641.502171475</v>
      </c>
      <c r="J478" s="22">
        <f t="shared" si="33"/>
        <v>20211385.050123539</v>
      </c>
      <c r="K478" s="19" t="s">
        <v>8</v>
      </c>
      <c r="L478" s="19" t="s">
        <v>7</v>
      </c>
      <c r="M478" s="3">
        <f t="shared" si="32"/>
        <v>0.99707673523595253</v>
      </c>
    </row>
    <row r="479" spans="1:13" x14ac:dyDescent="0.25">
      <c r="F479" s="2">
        <v>2025</v>
      </c>
      <c r="G479" s="2">
        <v>6</v>
      </c>
      <c r="H479" s="2" t="s">
        <v>48</v>
      </c>
      <c r="I479" s="22">
        <f t="shared" si="33"/>
        <v>20312142.498956837</v>
      </c>
      <c r="J479" s="22">
        <f t="shared" si="33"/>
        <v>19707874.878611572</v>
      </c>
      <c r="K479" s="19" t="s">
        <v>8</v>
      </c>
      <c r="L479" s="19" t="s">
        <v>7</v>
      </c>
      <c r="M479" s="3">
        <f t="shared" si="32"/>
        <v>0.9702509166437614</v>
      </c>
    </row>
    <row r="480" spans="1:13" x14ac:dyDescent="0.25">
      <c r="F480" s="2">
        <v>2025</v>
      </c>
      <c r="G480" s="2">
        <v>7</v>
      </c>
      <c r="H480" s="2" t="s">
        <v>48</v>
      </c>
      <c r="I480" s="22">
        <f t="shared" si="33"/>
        <v>20613811.006139088</v>
      </c>
      <c r="J480" s="22">
        <f t="shared" si="33"/>
        <v>20131109.915571861</v>
      </c>
      <c r="K480" s="19" t="s">
        <v>8</v>
      </c>
      <c r="L480" s="19" t="s">
        <v>7</v>
      </c>
      <c r="M480" s="3">
        <f t="shared" si="32"/>
        <v>0.97658360744534467</v>
      </c>
    </row>
    <row r="481" spans="6:13" x14ac:dyDescent="0.25">
      <c r="F481" s="2">
        <v>2025</v>
      </c>
      <c r="G481" s="2">
        <v>8</v>
      </c>
      <c r="H481" s="2" t="s">
        <v>48</v>
      </c>
      <c r="I481" s="22">
        <f t="shared" si="33"/>
        <v>20571276.90024351</v>
      </c>
      <c r="J481" s="22">
        <f t="shared" si="33"/>
        <v>20210643.055833679</v>
      </c>
      <c r="K481" s="19" t="s">
        <v>8</v>
      </c>
      <c r="L481" s="19" t="s">
        <v>7</v>
      </c>
      <c r="M481" s="3">
        <f t="shared" si="32"/>
        <v>0.98246905886500602</v>
      </c>
    </row>
    <row r="482" spans="6:13" x14ac:dyDescent="0.25">
      <c r="F482" s="2">
        <v>2025</v>
      </c>
      <c r="G482" s="2">
        <v>9</v>
      </c>
      <c r="H482" s="2" t="s">
        <v>48</v>
      </c>
      <c r="I482" s="22">
        <f t="shared" si="33"/>
        <v>20644502.232398212</v>
      </c>
      <c r="J482" s="22">
        <f t="shared" si="33"/>
        <v>19735118.450429641</v>
      </c>
      <c r="K482" s="19" t="s">
        <v>8</v>
      </c>
      <c r="L482" s="19" t="s">
        <v>7</v>
      </c>
      <c r="M482" s="3">
        <f t="shared" si="32"/>
        <v>0.95595031685765519</v>
      </c>
    </row>
    <row r="483" spans="6:13" x14ac:dyDescent="0.25">
      <c r="F483" s="2">
        <v>2025</v>
      </c>
      <c r="G483" s="2">
        <v>10</v>
      </c>
      <c r="H483" s="2" t="s">
        <v>48</v>
      </c>
      <c r="I483" s="22">
        <f t="shared" si="33"/>
        <v>20966178.310696375</v>
      </c>
      <c r="J483" s="22">
        <f t="shared" si="33"/>
        <v>20323289.285960652</v>
      </c>
      <c r="K483" s="19" t="s">
        <v>8</v>
      </c>
      <c r="L483" s="19" t="s">
        <v>7</v>
      </c>
      <c r="M483" s="3">
        <f t="shared" si="32"/>
        <v>0.96933685218122279</v>
      </c>
    </row>
    <row r="484" spans="6:13" x14ac:dyDescent="0.25">
      <c r="F484" s="2">
        <v>2025</v>
      </c>
      <c r="G484" s="2">
        <v>11</v>
      </c>
      <c r="H484" s="2" t="s">
        <v>48</v>
      </c>
      <c r="I484" s="22">
        <f t="shared" si="33"/>
        <v>20483709.446592022</v>
      </c>
      <c r="J484" s="22">
        <f t="shared" si="33"/>
        <v>19753325.932302147</v>
      </c>
      <c r="K484" s="19" t="s">
        <v>8</v>
      </c>
      <c r="L484" s="19" t="s">
        <v>7</v>
      </c>
      <c r="M484" s="3">
        <f t="shared" si="32"/>
        <v>0.96434320081554403</v>
      </c>
    </row>
    <row r="485" spans="6:13" x14ac:dyDescent="0.25">
      <c r="F485" s="2">
        <v>2025</v>
      </c>
      <c r="G485" s="2">
        <v>12</v>
      </c>
      <c r="H485" s="2" t="s">
        <v>48</v>
      </c>
      <c r="I485" s="22">
        <f t="shared" si="33"/>
        <v>21099079.55683513</v>
      </c>
      <c r="J485" s="22">
        <f t="shared" si="33"/>
        <v>19978019.937994231</v>
      </c>
      <c r="K485" s="19" t="s">
        <v>8</v>
      </c>
      <c r="L485" s="19" t="s">
        <v>7</v>
      </c>
      <c r="M485" s="3">
        <f t="shared" si="32"/>
        <v>0.94686689455712647</v>
      </c>
    </row>
    <row r="488" spans="6:13" x14ac:dyDescent="0.25">
      <c r="F488" s="23"/>
      <c r="G488" s="23"/>
      <c r="H488" s="25" t="s">
        <v>104</v>
      </c>
      <c r="I488" s="27">
        <f>SUM(I5:I472)-SUM('2025 Load'!G5:G43)</f>
        <v>0</v>
      </c>
      <c r="J488" s="27">
        <f>SUM(J5:J472)-SUM('2025 Load'!H5:H43)</f>
        <v>0</v>
      </c>
      <c r="K488" s="23"/>
      <c r="L488" s="23"/>
      <c r="M488" s="23"/>
    </row>
    <row r="489" spans="6:13" x14ac:dyDescent="0.25">
      <c r="F489" s="23"/>
      <c r="G489" s="23"/>
      <c r="H489" s="25" t="s">
        <v>105</v>
      </c>
      <c r="I489" s="24">
        <f>SUM(I474:I485)-'2025 Load'!G45</f>
        <v>0</v>
      </c>
      <c r="J489" s="24">
        <f>SUM(J474:J485)-'2025 Load'!H45</f>
        <v>0</v>
      </c>
      <c r="K489" s="23"/>
      <c r="L489" s="23"/>
      <c r="M489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AE7F3-A4D9-4D5A-A395-1A94AF415E6E}">
  <dimension ref="A3:C65"/>
  <sheetViews>
    <sheetView workbookViewId="0">
      <pane xSplit="1" ySplit="6" topLeftCell="B7" activePane="bottomRight" state="frozen"/>
      <selection pane="topRight" activeCell="C1" sqref="C1"/>
      <selection pane="bottomLeft" activeCell="A7" sqref="A7"/>
      <selection pane="bottomRight" activeCell="E1" sqref="E1:E1048576"/>
    </sheetView>
  </sheetViews>
  <sheetFormatPr defaultRowHeight="15" x14ac:dyDescent="0.25"/>
  <cols>
    <col min="1" max="1" width="32.5703125" bestFit="1" customWidth="1"/>
    <col min="2" max="3" width="20.5703125" customWidth="1"/>
  </cols>
  <sheetData>
    <row r="3" spans="1:3" x14ac:dyDescent="0.25">
      <c r="B3" s="5" t="s">
        <v>109</v>
      </c>
      <c r="C3" s="5" t="s">
        <v>109</v>
      </c>
    </row>
    <row r="4" spans="1:3" x14ac:dyDescent="0.25">
      <c r="B4" s="5" t="s">
        <v>110</v>
      </c>
      <c r="C4" s="5" t="s">
        <v>110</v>
      </c>
    </row>
    <row r="5" spans="1:3" ht="30" x14ac:dyDescent="0.25">
      <c r="B5" s="5" t="s">
        <v>111</v>
      </c>
      <c r="C5" s="5" t="s">
        <v>112</v>
      </c>
    </row>
    <row r="6" spans="1:3" ht="30" x14ac:dyDescent="0.25">
      <c r="B6" s="5" t="s">
        <v>65</v>
      </c>
      <c r="C6" s="5" t="s">
        <v>66</v>
      </c>
    </row>
    <row r="7" spans="1:3" x14ac:dyDescent="0.25">
      <c r="A7" t="s">
        <v>6</v>
      </c>
      <c r="B7" s="4">
        <v>89288684.690887943</v>
      </c>
      <c r="C7" s="4">
        <v>84219595.363949507</v>
      </c>
    </row>
    <row r="8" spans="1:3" x14ac:dyDescent="0.25">
      <c r="A8" t="s">
        <v>9</v>
      </c>
      <c r="B8" s="4">
        <v>22201273.843279824</v>
      </c>
      <c r="C8" s="4">
        <v>20064427.09855666</v>
      </c>
    </row>
    <row r="9" spans="1:3" x14ac:dyDescent="0.25">
      <c r="A9" t="s">
        <v>10</v>
      </c>
      <c r="B9" s="4">
        <v>0</v>
      </c>
      <c r="C9" s="4">
        <v>0</v>
      </c>
    </row>
    <row r="10" spans="1:3" x14ac:dyDescent="0.25">
      <c r="A10" t="s">
        <v>11</v>
      </c>
      <c r="B10" s="4">
        <v>20835667.102149364</v>
      </c>
      <c r="C10" s="4">
        <v>20625422.000363257</v>
      </c>
    </row>
    <row r="11" spans="1:3" x14ac:dyDescent="0.25">
      <c r="A11" t="s">
        <v>52</v>
      </c>
      <c r="B11" s="4">
        <v>791853.00000000012</v>
      </c>
      <c r="C11" s="4">
        <v>770786.28999999992</v>
      </c>
    </row>
    <row r="12" spans="1:3" x14ac:dyDescent="0.25">
      <c r="A12" t="s">
        <v>53</v>
      </c>
      <c r="B12" s="4">
        <v>20144995</v>
      </c>
      <c r="C12" s="4">
        <v>23461764.284189474</v>
      </c>
    </row>
    <row r="13" spans="1:3" x14ac:dyDescent="0.25">
      <c r="A13" t="s">
        <v>14</v>
      </c>
      <c r="B13" s="4">
        <v>0</v>
      </c>
      <c r="C13" s="4">
        <v>0</v>
      </c>
    </row>
    <row r="14" spans="1:3" x14ac:dyDescent="0.25">
      <c r="A14" t="s">
        <v>54</v>
      </c>
      <c r="B14" s="4">
        <v>0</v>
      </c>
      <c r="C14" s="4">
        <v>0</v>
      </c>
    </row>
    <row r="15" spans="1:3" x14ac:dyDescent="0.25">
      <c r="A15" t="s">
        <v>15</v>
      </c>
      <c r="B15" s="4">
        <v>0</v>
      </c>
      <c r="C15" s="4">
        <v>0</v>
      </c>
    </row>
    <row r="16" spans="1:3" x14ac:dyDescent="0.25">
      <c r="A16" t="s">
        <v>16</v>
      </c>
      <c r="B16" s="4">
        <v>0</v>
      </c>
      <c r="C16" s="4">
        <v>0</v>
      </c>
    </row>
    <row r="17" spans="1:3" x14ac:dyDescent="0.25">
      <c r="A17" t="s">
        <v>28</v>
      </c>
      <c r="B17" s="4">
        <v>352442</v>
      </c>
      <c r="C17" s="4">
        <v>291392.99999999994</v>
      </c>
    </row>
    <row r="18" spans="1:3" x14ac:dyDescent="0.25">
      <c r="A18" t="s">
        <v>23</v>
      </c>
      <c r="B18" s="4">
        <v>0</v>
      </c>
      <c r="C18" s="4">
        <v>0</v>
      </c>
    </row>
    <row r="19" spans="1:3" x14ac:dyDescent="0.25">
      <c r="A19" t="s">
        <v>25</v>
      </c>
      <c r="B19" s="4">
        <v>38530792.723092809</v>
      </c>
      <c r="C19" s="4">
        <v>35404571.53710977</v>
      </c>
    </row>
    <row r="20" spans="1:3" x14ac:dyDescent="0.25">
      <c r="A20" t="s">
        <v>56</v>
      </c>
      <c r="B20" s="4">
        <v>2223918</v>
      </c>
      <c r="C20" s="4">
        <v>1280355.0000000007</v>
      </c>
    </row>
    <row r="21" spans="1:3" x14ac:dyDescent="0.25">
      <c r="A21" t="s">
        <v>26</v>
      </c>
      <c r="B21" s="4">
        <v>-810916.00000000012</v>
      </c>
      <c r="C21" s="4">
        <v>256403.05999999991</v>
      </c>
    </row>
    <row r="22" spans="1:3" x14ac:dyDescent="0.25">
      <c r="A22" t="s">
        <v>43</v>
      </c>
      <c r="B22" s="4">
        <v>8970112.4800000004</v>
      </c>
      <c r="C22" s="4">
        <v>7996058.1804037411</v>
      </c>
    </row>
    <row r="23" spans="1:3" x14ac:dyDescent="0.25">
      <c r="A23" t="s">
        <v>50</v>
      </c>
      <c r="B23" s="4">
        <v>0</v>
      </c>
      <c r="C23" s="4">
        <v>5000</v>
      </c>
    </row>
    <row r="24" spans="1:3" x14ac:dyDescent="0.25">
      <c r="A24" t="s">
        <v>44</v>
      </c>
      <c r="B24" s="4">
        <v>3436922.5310173696</v>
      </c>
      <c r="C24" s="4">
        <v>3091721.1318114302</v>
      </c>
    </row>
    <row r="25" spans="1:3" x14ac:dyDescent="0.25">
      <c r="A25" t="s">
        <v>29</v>
      </c>
      <c r="B25" s="4">
        <v>5921383.6509049777</v>
      </c>
      <c r="C25" s="4">
        <v>5876005.0855325963</v>
      </c>
    </row>
    <row r="26" spans="1:3" x14ac:dyDescent="0.25">
      <c r="A26" t="s">
        <v>30</v>
      </c>
      <c r="B26" s="4">
        <v>16712038.242449736</v>
      </c>
      <c r="C26" s="4">
        <v>16866872.285849068</v>
      </c>
    </row>
    <row r="27" spans="1:3" x14ac:dyDescent="0.25">
      <c r="A27" t="s">
        <v>31</v>
      </c>
      <c r="B27" s="4">
        <v>0</v>
      </c>
      <c r="C27" s="4">
        <v>0</v>
      </c>
    </row>
    <row r="28" spans="1:3" x14ac:dyDescent="0.25">
      <c r="A28" t="s">
        <v>57</v>
      </c>
      <c r="B28" s="4">
        <v>10931711.03968</v>
      </c>
      <c r="C28" s="4">
        <v>10930714.180414682</v>
      </c>
    </row>
    <row r="29" spans="1:3" x14ac:dyDescent="0.25">
      <c r="A29" t="s">
        <v>33</v>
      </c>
      <c r="B29" s="4">
        <v>6790394</v>
      </c>
      <c r="C29" s="4">
        <v>7958075.6234161574</v>
      </c>
    </row>
    <row r="30" spans="1:3" x14ac:dyDescent="0.25">
      <c r="A30" t="s">
        <v>34</v>
      </c>
      <c r="B30" s="4">
        <v>6722708</v>
      </c>
      <c r="C30" s="4">
        <v>7466740.8243143233</v>
      </c>
    </row>
    <row r="31" spans="1:3" x14ac:dyDescent="0.25">
      <c r="A31" t="s">
        <v>35</v>
      </c>
      <c r="B31" s="4">
        <v>5142124.29</v>
      </c>
      <c r="C31" s="4">
        <v>5044393.4824906318</v>
      </c>
    </row>
    <row r="32" spans="1:3" x14ac:dyDescent="0.25">
      <c r="A32" t="s">
        <v>36</v>
      </c>
      <c r="B32" s="4">
        <v>0</v>
      </c>
      <c r="C32" s="4">
        <v>0</v>
      </c>
    </row>
    <row r="33" spans="1:3" x14ac:dyDescent="0.25">
      <c r="A33" t="s">
        <v>40</v>
      </c>
      <c r="B33" s="4">
        <v>5773498</v>
      </c>
      <c r="C33" s="4">
        <v>6473528.1421762425</v>
      </c>
    </row>
    <row r="34" spans="1:3" x14ac:dyDescent="0.25">
      <c r="A34" t="s">
        <v>41</v>
      </c>
      <c r="B34" s="4">
        <v>4380892</v>
      </c>
      <c r="C34" s="4">
        <v>5296191.1599542387</v>
      </c>
    </row>
    <row r="35" spans="1:3" x14ac:dyDescent="0.25">
      <c r="A35" t="s">
        <v>42</v>
      </c>
      <c r="B35" s="4">
        <v>0</v>
      </c>
      <c r="C35" s="4">
        <v>-1.7592743202840211E-2</v>
      </c>
    </row>
    <row r="36" spans="1:3" x14ac:dyDescent="0.25">
      <c r="A36" t="s">
        <v>49</v>
      </c>
      <c r="B36" s="4">
        <v>-130804.04</v>
      </c>
      <c r="C36" s="4">
        <v>113144.01</v>
      </c>
    </row>
    <row r="37" spans="1:3" x14ac:dyDescent="0.25">
      <c r="A37" t="s">
        <v>58</v>
      </c>
      <c r="B37" s="4">
        <v>0</v>
      </c>
      <c r="C37" s="4">
        <v>0</v>
      </c>
    </row>
    <row r="38" spans="1:3" x14ac:dyDescent="0.25">
      <c r="A38" t="s">
        <v>59</v>
      </c>
      <c r="B38" s="4">
        <v>0</v>
      </c>
      <c r="C38" s="4">
        <v>0</v>
      </c>
    </row>
    <row r="39" spans="1:3" x14ac:dyDescent="0.25">
      <c r="A39" t="s">
        <v>60</v>
      </c>
      <c r="B39" s="4">
        <v>0</v>
      </c>
      <c r="C39" s="4">
        <v>0</v>
      </c>
    </row>
    <row r="40" spans="1:3" x14ac:dyDescent="0.25">
      <c r="A40" t="s">
        <v>37</v>
      </c>
      <c r="B40" s="4">
        <v>798943</v>
      </c>
      <c r="C40" s="4">
        <v>631741.99999999988</v>
      </c>
    </row>
    <row r="42" spans="1:3" x14ac:dyDescent="0.25">
      <c r="A42" t="s">
        <v>55</v>
      </c>
      <c r="B42" s="4">
        <v>88500</v>
      </c>
      <c r="C42" s="4">
        <v>54999.999999999978</v>
      </c>
    </row>
    <row r="43" spans="1:3" x14ac:dyDescent="0.25">
      <c r="A43" t="s">
        <v>67</v>
      </c>
      <c r="B43">
        <v>0</v>
      </c>
      <c r="C43">
        <v>0</v>
      </c>
    </row>
    <row r="44" spans="1:3" x14ac:dyDescent="0.25">
      <c r="A44" t="s">
        <v>45</v>
      </c>
      <c r="B44">
        <v>0</v>
      </c>
      <c r="C44">
        <v>0</v>
      </c>
    </row>
    <row r="45" spans="1:3" x14ac:dyDescent="0.25">
      <c r="A45" t="s">
        <v>18</v>
      </c>
      <c r="B45">
        <v>0</v>
      </c>
      <c r="C45">
        <v>0</v>
      </c>
    </row>
    <row r="46" spans="1:3" x14ac:dyDescent="0.25">
      <c r="A46" t="s">
        <v>19</v>
      </c>
      <c r="B46">
        <v>0</v>
      </c>
      <c r="C46">
        <v>0</v>
      </c>
    </row>
    <row r="47" spans="1:3" x14ac:dyDescent="0.25">
      <c r="A47" t="s">
        <v>68</v>
      </c>
      <c r="B47">
        <v>88500</v>
      </c>
      <c r="C47">
        <v>54999.999999999978</v>
      </c>
    </row>
    <row r="48" spans="1:3" x14ac:dyDescent="0.25">
      <c r="A48" t="s">
        <v>21</v>
      </c>
      <c r="B48">
        <v>0</v>
      </c>
      <c r="C48">
        <v>0</v>
      </c>
    </row>
    <row r="49" spans="1:3" x14ac:dyDescent="0.25">
      <c r="A49" t="s">
        <v>22</v>
      </c>
      <c r="B49">
        <v>0</v>
      </c>
      <c r="C49">
        <v>0</v>
      </c>
    </row>
    <row r="50" spans="1:3" x14ac:dyDescent="0.25">
      <c r="A50" t="s">
        <v>46</v>
      </c>
      <c r="B50">
        <v>0</v>
      </c>
      <c r="C50">
        <v>0</v>
      </c>
    </row>
    <row r="51" spans="1:3" x14ac:dyDescent="0.25">
      <c r="A51" t="s">
        <v>47</v>
      </c>
      <c r="B51">
        <v>0</v>
      </c>
      <c r="C51">
        <v>0</v>
      </c>
    </row>
    <row r="52" spans="1:3" x14ac:dyDescent="0.25">
      <c r="A52" t="s">
        <v>69</v>
      </c>
      <c r="B52">
        <v>0</v>
      </c>
      <c r="C52">
        <v>0</v>
      </c>
    </row>
    <row r="54" spans="1:3" x14ac:dyDescent="0.25">
      <c r="A54" t="s">
        <v>70</v>
      </c>
      <c r="B54">
        <v>0</v>
      </c>
      <c r="C54">
        <v>0</v>
      </c>
    </row>
    <row r="55" spans="1:3" x14ac:dyDescent="0.25">
      <c r="A55" t="s">
        <v>71</v>
      </c>
      <c r="B55">
        <v>-35069358.482879996</v>
      </c>
      <c r="C55">
        <v>-35069356.482880004</v>
      </c>
    </row>
    <row r="57" spans="1:3" x14ac:dyDescent="0.25">
      <c r="A57" t="s">
        <v>93</v>
      </c>
      <c r="B57">
        <v>6393662.9761138158</v>
      </c>
      <c r="C57">
        <v>5648300.4671748755</v>
      </c>
    </row>
    <row r="58" spans="1:3" x14ac:dyDescent="0.25">
      <c r="A58" t="s">
        <v>94</v>
      </c>
      <c r="B58">
        <v>4040214.6335658911</v>
      </c>
      <c r="C58">
        <v>4486071.9037148003</v>
      </c>
    </row>
    <row r="60" spans="1:3" x14ac:dyDescent="0.25">
      <c r="A60" t="s">
        <v>95</v>
      </c>
      <c r="B60">
        <v>244461652.6802617</v>
      </c>
      <c r="C60">
        <v>239244919.61094889</v>
      </c>
    </row>
    <row r="63" spans="1:3" x14ac:dyDescent="0.25">
      <c r="A63" t="s">
        <v>106</v>
      </c>
      <c r="B63">
        <v>0</v>
      </c>
      <c r="C63">
        <v>0</v>
      </c>
    </row>
    <row r="64" spans="1:3" x14ac:dyDescent="0.25">
      <c r="A64" t="s">
        <v>107</v>
      </c>
      <c r="B64">
        <v>0</v>
      </c>
      <c r="C64">
        <v>0</v>
      </c>
    </row>
    <row r="65" spans="1:3" x14ac:dyDescent="0.25">
      <c r="A65" t="s">
        <v>108</v>
      </c>
      <c r="B65">
        <v>0</v>
      </c>
      <c r="C65">
        <v>0</v>
      </c>
    </row>
  </sheetData>
  <pageMargins left="0.7" right="0.7" top="0.75" bottom="0.75" header="0.3" footer="0.3"/>
  <customProperties>
    <customPr name="AdaptiveCustomXmlPartId" r:id="rId1"/>
    <customPr name="AdaptiveReportingSheetKey" r:id="rId2"/>
    <customPr name="CurrentId" r:id="rId3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77B7-21C3-494B-8865-1748BC7D2BEA}">
  <dimension ref="A1:AB65"/>
  <sheetViews>
    <sheetView workbookViewId="0">
      <pane xSplit="1" ySplit="6" topLeftCell="N7" activePane="bottomRight" state="frozen"/>
      <selection pane="topRight" activeCell="C1" sqref="C1"/>
      <selection pane="bottomLeft" activeCell="A7" sqref="A7"/>
      <selection pane="bottomRight" activeCell="A7" sqref="A7"/>
    </sheetView>
  </sheetViews>
  <sheetFormatPr defaultRowHeight="15" x14ac:dyDescent="0.25"/>
  <cols>
    <col min="1" max="1" width="32.5703125" bestFit="1" customWidth="1"/>
    <col min="2" max="14" width="20.5703125" customWidth="1"/>
    <col min="15" max="15" width="1.7109375" customWidth="1"/>
    <col min="16" max="28" width="20.5703125" customWidth="1"/>
  </cols>
  <sheetData>
    <row r="1" spans="1:28" x14ac:dyDescent="0.25">
      <c r="B1" s="21">
        <v>1</v>
      </c>
      <c r="C1" s="21">
        <v>2</v>
      </c>
      <c r="D1" s="21">
        <v>3</v>
      </c>
      <c r="E1" s="21">
        <v>4</v>
      </c>
      <c r="F1" s="21">
        <v>5</v>
      </c>
      <c r="G1" s="21">
        <v>6</v>
      </c>
      <c r="H1" s="21">
        <v>7</v>
      </c>
      <c r="I1" s="21">
        <v>8</v>
      </c>
      <c r="J1" s="21">
        <v>9</v>
      </c>
      <c r="K1" s="21">
        <v>10</v>
      </c>
      <c r="L1" s="21">
        <v>11</v>
      </c>
      <c r="M1" s="21">
        <v>12</v>
      </c>
      <c r="N1" s="21" t="s">
        <v>102</v>
      </c>
      <c r="O1" s="20"/>
      <c r="P1" s="21">
        <v>1</v>
      </c>
      <c r="Q1" s="21">
        <v>2</v>
      </c>
      <c r="R1" s="21">
        <v>3</v>
      </c>
      <c r="S1" s="21">
        <v>4</v>
      </c>
      <c r="T1" s="21">
        <v>5</v>
      </c>
      <c r="U1" s="21">
        <v>6</v>
      </c>
      <c r="V1" s="21">
        <v>7</v>
      </c>
      <c r="W1" s="21">
        <v>8</v>
      </c>
      <c r="X1" s="21">
        <v>9</v>
      </c>
      <c r="Y1" s="21">
        <v>10</v>
      </c>
      <c r="Z1" s="21">
        <v>11</v>
      </c>
      <c r="AA1" s="21">
        <v>12</v>
      </c>
      <c r="AB1" s="21" t="s">
        <v>102</v>
      </c>
    </row>
    <row r="2" spans="1:28" x14ac:dyDescent="0.25">
      <c r="B2" t="s">
        <v>114</v>
      </c>
      <c r="C2" t="s">
        <v>115</v>
      </c>
      <c r="D2" t="s">
        <v>116</v>
      </c>
      <c r="E2" t="s">
        <v>117</v>
      </c>
      <c r="F2" t="s">
        <v>118</v>
      </c>
      <c r="G2" t="s">
        <v>119</v>
      </c>
      <c r="H2" t="s">
        <v>120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P2" t="s">
        <v>127</v>
      </c>
      <c r="Q2" t="s">
        <v>128</v>
      </c>
      <c r="R2" t="s">
        <v>129</v>
      </c>
      <c r="S2" t="s">
        <v>130</v>
      </c>
      <c r="T2" t="s">
        <v>131</v>
      </c>
      <c r="U2" t="s">
        <v>132</v>
      </c>
      <c r="V2" t="s">
        <v>133</v>
      </c>
      <c r="W2" t="s">
        <v>134</v>
      </c>
      <c r="X2" t="s">
        <v>135</v>
      </c>
      <c r="Y2" t="s">
        <v>136</v>
      </c>
      <c r="Z2" t="s">
        <v>137</v>
      </c>
      <c r="AA2" t="s">
        <v>138</v>
      </c>
      <c r="AB2" t="s">
        <v>139</v>
      </c>
    </row>
    <row r="3" spans="1:28" x14ac:dyDescent="0.25">
      <c r="B3" s="5" t="s">
        <v>110</v>
      </c>
      <c r="C3" s="5" t="s">
        <v>110</v>
      </c>
      <c r="D3" s="5" t="s">
        <v>110</v>
      </c>
      <c r="E3" s="5" t="s">
        <v>110</v>
      </c>
      <c r="F3" s="5" t="s">
        <v>110</v>
      </c>
      <c r="G3" s="5" t="s">
        <v>110</v>
      </c>
      <c r="H3" s="5" t="s">
        <v>110</v>
      </c>
      <c r="I3" s="5" t="s">
        <v>110</v>
      </c>
      <c r="J3" s="5" t="s">
        <v>110</v>
      </c>
      <c r="K3" s="5" t="s">
        <v>110</v>
      </c>
      <c r="L3" s="5" t="s">
        <v>110</v>
      </c>
      <c r="M3" s="5" t="s">
        <v>110</v>
      </c>
      <c r="N3" s="5" t="s">
        <v>110</v>
      </c>
      <c r="P3" s="5" t="s">
        <v>110</v>
      </c>
      <c r="Q3" s="5" t="s">
        <v>110</v>
      </c>
      <c r="R3" s="5" t="s">
        <v>110</v>
      </c>
      <c r="S3" s="5" t="s">
        <v>110</v>
      </c>
      <c r="T3" s="5" t="s">
        <v>110</v>
      </c>
      <c r="U3" s="5" t="s">
        <v>110</v>
      </c>
      <c r="V3" s="5" t="s">
        <v>110</v>
      </c>
      <c r="W3" s="5" t="s">
        <v>110</v>
      </c>
      <c r="X3" s="5" t="s">
        <v>110</v>
      </c>
      <c r="Y3" s="5" t="s">
        <v>110</v>
      </c>
      <c r="Z3" s="5" t="s">
        <v>110</v>
      </c>
      <c r="AA3" s="5" t="s">
        <v>110</v>
      </c>
      <c r="AB3" s="5" t="s">
        <v>110</v>
      </c>
    </row>
    <row r="4" spans="1:28" ht="30" x14ac:dyDescent="0.25">
      <c r="B4" s="5" t="s">
        <v>111</v>
      </c>
      <c r="C4" s="5" t="s">
        <v>111</v>
      </c>
      <c r="D4" s="5" t="s">
        <v>111</v>
      </c>
      <c r="E4" s="5" t="s">
        <v>111</v>
      </c>
      <c r="F4" s="5" t="s">
        <v>111</v>
      </c>
      <c r="G4" s="5" t="s">
        <v>111</v>
      </c>
      <c r="H4" s="5" t="s">
        <v>111</v>
      </c>
      <c r="I4" s="5" t="s">
        <v>111</v>
      </c>
      <c r="J4" s="5" t="s">
        <v>111</v>
      </c>
      <c r="K4" s="5" t="s">
        <v>111</v>
      </c>
      <c r="L4" s="5" t="s">
        <v>111</v>
      </c>
      <c r="M4" s="5" t="s">
        <v>111</v>
      </c>
      <c r="N4" s="5" t="s">
        <v>111</v>
      </c>
      <c r="P4" s="5" t="s">
        <v>112</v>
      </c>
      <c r="Q4" s="5" t="s">
        <v>112</v>
      </c>
      <c r="R4" s="5" t="s">
        <v>112</v>
      </c>
      <c r="S4" s="5" t="s">
        <v>112</v>
      </c>
      <c r="T4" s="5" t="s">
        <v>112</v>
      </c>
      <c r="U4" s="5" t="s">
        <v>112</v>
      </c>
      <c r="V4" s="5" t="s">
        <v>112</v>
      </c>
      <c r="W4" s="5" t="s">
        <v>112</v>
      </c>
      <c r="X4" s="5" t="s">
        <v>112</v>
      </c>
      <c r="Y4" s="5" t="s">
        <v>112</v>
      </c>
      <c r="Z4" s="5" t="s">
        <v>112</v>
      </c>
      <c r="AA4" s="5" t="s">
        <v>112</v>
      </c>
      <c r="AB4" s="5" t="s">
        <v>112</v>
      </c>
    </row>
    <row r="5" spans="1:28" ht="30" x14ac:dyDescent="0.25">
      <c r="B5" s="5" t="s">
        <v>65</v>
      </c>
      <c r="C5" s="5" t="s">
        <v>65</v>
      </c>
      <c r="D5" s="5" t="s">
        <v>65</v>
      </c>
      <c r="E5" s="5" t="s">
        <v>65</v>
      </c>
      <c r="F5" s="5" t="s">
        <v>65</v>
      </c>
      <c r="G5" s="5" t="s">
        <v>65</v>
      </c>
      <c r="H5" s="5" t="s">
        <v>65</v>
      </c>
      <c r="I5" s="5" t="s">
        <v>65</v>
      </c>
      <c r="J5" s="5" t="s">
        <v>65</v>
      </c>
      <c r="K5" s="5" t="s">
        <v>65</v>
      </c>
      <c r="L5" s="5" t="s">
        <v>65</v>
      </c>
      <c r="M5" s="5" t="s">
        <v>65</v>
      </c>
      <c r="N5" s="5" t="s">
        <v>65</v>
      </c>
      <c r="P5" s="5" t="s">
        <v>66</v>
      </c>
      <c r="Q5" s="5" t="s">
        <v>66</v>
      </c>
      <c r="R5" s="5" t="s">
        <v>66</v>
      </c>
      <c r="S5" s="5" t="s">
        <v>66</v>
      </c>
      <c r="T5" s="5" t="s">
        <v>66</v>
      </c>
      <c r="U5" s="5" t="s">
        <v>66</v>
      </c>
      <c r="V5" s="5" t="s">
        <v>66</v>
      </c>
      <c r="W5" s="5" t="s">
        <v>66</v>
      </c>
      <c r="X5" s="5" t="s">
        <v>66</v>
      </c>
      <c r="Y5" s="5" t="s">
        <v>66</v>
      </c>
      <c r="Z5" s="5" t="s">
        <v>66</v>
      </c>
      <c r="AA5" s="5" t="s">
        <v>66</v>
      </c>
      <c r="AB5" s="5" t="s">
        <v>66</v>
      </c>
    </row>
    <row r="6" spans="1:28" x14ac:dyDescent="0.25">
      <c r="B6" s="5" t="s">
        <v>140</v>
      </c>
      <c r="C6" s="5" t="s">
        <v>141</v>
      </c>
      <c r="D6" s="5" t="s">
        <v>142</v>
      </c>
      <c r="E6" s="5" t="s">
        <v>143</v>
      </c>
      <c r="F6" s="5" t="s">
        <v>144</v>
      </c>
      <c r="G6" s="5" t="s">
        <v>145</v>
      </c>
      <c r="H6" s="5" t="s">
        <v>146</v>
      </c>
      <c r="I6" s="5" t="s">
        <v>147</v>
      </c>
      <c r="J6" s="5" t="s">
        <v>148</v>
      </c>
      <c r="K6" s="5" t="s">
        <v>149</v>
      </c>
      <c r="L6" s="5" t="s">
        <v>150</v>
      </c>
      <c r="M6" s="5" t="s">
        <v>151</v>
      </c>
      <c r="N6" s="5" t="s">
        <v>109</v>
      </c>
      <c r="P6" s="5" t="s">
        <v>140</v>
      </c>
      <c r="Q6" s="5" t="s">
        <v>141</v>
      </c>
      <c r="R6" s="5" t="s">
        <v>142</v>
      </c>
      <c r="S6" s="5" t="s">
        <v>143</v>
      </c>
      <c r="T6" s="5" t="s">
        <v>144</v>
      </c>
      <c r="U6" s="5" t="s">
        <v>145</v>
      </c>
      <c r="V6" s="5" t="s">
        <v>146</v>
      </c>
      <c r="W6" s="5" t="s">
        <v>147</v>
      </c>
      <c r="X6" s="5" t="s">
        <v>148</v>
      </c>
      <c r="Y6" s="5" t="s">
        <v>149</v>
      </c>
      <c r="Z6" s="5" t="s">
        <v>150</v>
      </c>
      <c r="AA6" s="5" t="s">
        <v>151</v>
      </c>
      <c r="AB6" s="5" t="s">
        <v>109</v>
      </c>
    </row>
    <row r="7" spans="1:28" x14ac:dyDescent="0.25">
      <c r="A7" t="s">
        <v>6</v>
      </c>
      <c r="B7" s="4">
        <v>7381980.879760433</v>
      </c>
      <c r="C7" s="4">
        <v>6904590.1672164099</v>
      </c>
      <c r="D7" s="4">
        <v>7429922.9199724523</v>
      </c>
      <c r="E7" s="4">
        <v>7424602.2844046894</v>
      </c>
      <c r="F7" s="4">
        <v>7446333.5049361372</v>
      </c>
      <c r="G7" s="4">
        <v>7396584.4059851822</v>
      </c>
      <c r="H7" s="4">
        <v>7595365.5464792652</v>
      </c>
      <c r="I7" s="4">
        <v>7520910.7211586488</v>
      </c>
      <c r="J7" s="4">
        <v>7448387.6554443352</v>
      </c>
      <c r="K7" s="4">
        <v>7694093.3660289189</v>
      </c>
      <c r="L7" s="4">
        <v>7425387.8407721575</v>
      </c>
      <c r="M7" s="4">
        <v>7620525.3987293122</v>
      </c>
      <c r="N7" s="4">
        <v>89288684.690887943</v>
      </c>
      <c r="P7" s="4">
        <v>6993133.1851006262</v>
      </c>
      <c r="Q7" s="4">
        <v>6702047.2954518395</v>
      </c>
      <c r="R7" s="4">
        <v>7119523.646855901</v>
      </c>
      <c r="S7" s="4">
        <v>6938577.2912052106</v>
      </c>
      <c r="T7" s="4">
        <v>7054113.8370393328</v>
      </c>
      <c r="U7" s="4">
        <v>7030665.635976295</v>
      </c>
      <c r="V7" s="4">
        <v>7112593.416842185</v>
      </c>
      <c r="W7" s="4">
        <v>7105823.5516255107</v>
      </c>
      <c r="X7" s="4">
        <v>7045077.2269784976</v>
      </c>
      <c r="Y7" s="4">
        <v>7106093.5648604259</v>
      </c>
      <c r="Z7" s="4">
        <v>6927751.3332969639</v>
      </c>
      <c r="AA7" s="4">
        <v>7084195.3787167212</v>
      </c>
      <c r="AB7" s="4">
        <v>84219595.363949507</v>
      </c>
    </row>
    <row r="8" spans="1:28" x14ac:dyDescent="0.25">
      <c r="A8" t="s">
        <v>9</v>
      </c>
      <c r="B8" s="4">
        <v>1844823.9437883585</v>
      </c>
      <c r="C8" s="4">
        <v>1766045.0085681528</v>
      </c>
      <c r="D8" s="4">
        <v>1845144.9437883585</v>
      </c>
      <c r="E8" s="4">
        <v>1851617.43204829</v>
      </c>
      <c r="F8" s="4">
        <v>1853627.0737883579</v>
      </c>
      <c r="G8" s="4">
        <v>1838351.43204829</v>
      </c>
      <c r="H8" s="4">
        <v>1872556.1937883585</v>
      </c>
      <c r="I8" s="4">
        <v>1867430.1937883585</v>
      </c>
      <c r="J8" s="4">
        <v>1846380.5520482899</v>
      </c>
      <c r="K8" s="4">
        <v>1892239.3237883579</v>
      </c>
      <c r="L8" s="4">
        <v>1850180.5520482899</v>
      </c>
      <c r="M8" s="4">
        <v>1872877.1937883585</v>
      </c>
      <c r="N8" s="4">
        <v>22201273.843279824</v>
      </c>
      <c r="P8" s="4">
        <v>1708053.3345978896</v>
      </c>
      <c r="Q8" s="4">
        <v>1586887.6211425168</v>
      </c>
      <c r="R8" s="4">
        <v>1688150.2898450629</v>
      </c>
      <c r="S8" s="4">
        <v>1740940.7856266189</v>
      </c>
      <c r="T8" s="4">
        <v>1678743.8489897945</v>
      </c>
      <c r="U8" s="4">
        <v>1647167.4471625816</v>
      </c>
      <c r="V8" s="4">
        <v>1669199.8192979172</v>
      </c>
      <c r="W8" s="4">
        <v>1678112.8938915348</v>
      </c>
      <c r="X8" s="4">
        <v>1645394.0648438861</v>
      </c>
      <c r="Y8" s="4">
        <v>1689450.1326917373</v>
      </c>
      <c r="Z8" s="4">
        <v>1630650.9861443548</v>
      </c>
      <c r="AA8" s="4">
        <v>1701675.8743227627</v>
      </c>
      <c r="AB8" s="4">
        <v>20064427.09855666</v>
      </c>
    </row>
    <row r="9" spans="1:28" x14ac:dyDescent="0.25">
      <c r="A9" t="s">
        <v>10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</row>
    <row r="10" spans="1:28" x14ac:dyDescent="0.25">
      <c r="A10" t="s">
        <v>11</v>
      </c>
      <c r="B10" s="4">
        <v>1748791.8509721127</v>
      </c>
      <c r="C10" s="4">
        <v>1635222.6497509719</v>
      </c>
      <c r="D10" s="4">
        <v>1749235.0709721127</v>
      </c>
      <c r="E10" s="4">
        <v>1742303.8538983995</v>
      </c>
      <c r="F10" s="4">
        <v>1752793.7009721126</v>
      </c>
      <c r="G10" s="4">
        <v>1717311.8538983995</v>
      </c>
      <c r="H10" s="4">
        <v>1760603.5509721127</v>
      </c>
      <c r="I10" s="4">
        <v>1758231.2109721126</v>
      </c>
      <c r="J10" s="4">
        <v>1723403.4838983994</v>
      </c>
      <c r="K10" s="4">
        <v>1765575.6209721128</v>
      </c>
      <c r="L10" s="4">
        <v>1721899.4838983996</v>
      </c>
      <c r="M10" s="4">
        <v>1760294.7709721129</v>
      </c>
      <c r="N10" s="4">
        <v>20835667.102149364</v>
      </c>
      <c r="P10" s="4">
        <v>1756903.032044319</v>
      </c>
      <c r="Q10" s="4">
        <v>1633260.6984392598</v>
      </c>
      <c r="R10" s="4">
        <v>1755568.347626819</v>
      </c>
      <c r="S10" s="4">
        <v>1703734.763109267</v>
      </c>
      <c r="T10" s="4">
        <v>1724704.9012688436</v>
      </c>
      <c r="U10" s="4">
        <v>1724033.7996262889</v>
      </c>
      <c r="V10" s="4">
        <v>1724097.1931757252</v>
      </c>
      <c r="W10" s="4">
        <v>1710088.6768979966</v>
      </c>
      <c r="X10" s="4">
        <v>1743260.5944243923</v>
      </c>
      <c r="Y10" s="4">
        <v>1720061.9922685579</v>
      </c>
      <c r="Z10" s="4">
        <v>1704948.0824099835</v>
      </c>
      <c r="AA10" s="4">
        <v>1724759.9190718038</v>
      </c>
      <c r="AB10" s="4">
        <v>20625422.000363257</v>
      </c>
    </row>
    <row r="11" spans="1:28" x14ac:dyDescent="0.25">
      <c r="A11" t="s">
        <v>52</v>
      </c>
      <c r="B11" s="4">
        <v>35474.883690428513</v>
      </c>
      <c r="C11" s="4">
        <v>59973.684976645163</v>
      </c>
      <c r="D11" s="4">
        <v>147474.27031537518</v>
      </c>
      <c r="E11" s="4">
        <v>14620.277152582181</v>
      </c>
      <c r="F11" s="4">
        <v>24828.067167827619</v>
      </c>
      <c r="G11" s="4">
        <v>134609.65346035117</v>
      </c>
      <c r="H11" s="4">
        <v>10069.452787155518</v>
      </c>
      <c r="I11" s="4">
        <v>27632.427317067428</v>
      </c>
      <c r="J11" s="4">
        <v>192182.44401444535</v>
      </c>
      <c r="K11" s="4">
        <v>10007.637899662075</v>
      </c>
      <c r="L11" s="4">
        <v>23066.41788043483</v>
      </c>
      <c r="M11" s="4">
        <v>111913.78333802504</v>
      </c>
      <c r="N11" s="4">
        <v>791853.00000000012</v>
      </c>
      <c r="P11" s="4">
        <v>56252.841666666667</v>
      </c>
      <c r="Q11" s="4">
        <v>54596.281666666655</v>
      </c>
      <c r="R11" s="4">
        <v>58314.521666666667</v>
      </c>
      <c r="S11" s="4">
        <v>64948.611666666686</v>
      </c>
      <c r="T11" s="4">
        <v>60754.521666666675</v>
      </c>
      <c r="U11" s="4">
        <v>57427.611666666671</v>
      </c>
      <c r="V11" s="4">
        <v>62104.021666666653</v>
      </c>
      <c r="W11" s="4">
        <v>66188.341666666689</v>
      </c>
      <c r="X11" s="4">
        <v>103578.86166666669</v>
      </c>
      <c r="Y11" s="4">
        <v>63600.021666666638</v>
      </c>
      <c r="Z11" s="4">
        <v>58452.611666666642</v>
      </c>
      <c r="AA11" s="4">
        <v>64568.04166666665</v>
      </c>
      <c r="AB11" s="4">
        <v>770786.28999999992</v>
      </c>
    </row>
    <row r="12" spans="1:28" x14ac:dyDescent="0.25">
      <c r="A12" t="s">
        <v>53</v>
      </c>
      <c r="B12" s="4">
        <v>1676489</v>
      </c>
      <c r="C12" s="4">
        <v>1670325</v>
      </c>
      <c r="D12" s="4">
        <v>1679439</v>
      </c>
      <c r="E12" s="4">
        <v>1692824</v>
      </c>
      <c r="F12" s="4">
        <v>1675913</v>
      </c>
      <c r="G12" s="4">
        <v>1683439</v>
      </c>
      <c r="H12" s="4">
        <v>1682989</v>
      </c>
      <c r="I12" s="4">
        <v>1675825</v>
      </c>
      <c r="J12" s="4">
        <v>1681439</v>
      </c>
      <c r="K12" s="4">
        <v>1678961</v>
      </c>
      <c r="L12" s="4">
        <v>1670413</v>
      </c>
      <c r="M12" s="4">
        <v>1676939</v>
      </c>
      <c r="N12" s="4">
        <v>20144995</v>
      </c>
      <c r="P12" s="4">
        <v>1997369.181483421</v>
      </c>
      <c r="Q12" s="4">
        <v>1852131.9436433448</v>
      </c>
      <c r="R12" s="4">
        <v>1954143.1054077104</v>
      </c>
      <c r="S12" s="4">
        <v>1966593.5247965795</v>
      </c>
      <c r="T12" s="4">
        <v>2098029.6102333656</v>
      </c>
      <c r="U12" s="4">
        <v>1917467.9701549164</v>
      </c>
      <c r="V12" s="4">
        <v>1991042.3905169589</v>
      </c>
      <c r="W12" s="4">
        <v>1992841.3687996245</v>
      </c>
      <c r="X12" s="4">
        <v>1892249.4126826704</v>
      </c>
      <c r="Y12" s="4">
        <v>2024939.0106682864</v>
      </c>
      <c r="Z12" s="4">
        <v>1862936.5490935128</v>
      </c>
      <c r="AA12" s="4">
        <v>1912020.2167090825</v>
      </c>
      <c r="AB12" s="4">
        <v>23461764.284189474</v>
      </c>
    </row>
    <row r="13" spans="1:28" x14ac:dyDescent="0.25">
      <c r="A13" t="s">
        <v>14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</row>
    <row r="14" spans="1:28" x14ac:dyDescent="0.25">
      <c r="A14" t="s">
        <v>54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</row>
    <row r="15" spans="1:28" x14ac:dyDescent="0.25">
      <c r="A15" t="s">
        <v>15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</row>
    <row r="16" spans="1:28" x14ac:dyDescent="0.25">
      <c r="A16" t="s">
        <v>16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</row>
    <row r="17" spans="1:28" x14ac:dyDescent="0.25">
      <c r="A17" t="s">
        <v>28</v>
      </c>
      <c r="B17" s="4">
        <v>29370.166666666664</v>
      </c>
      <c r="C17" s="4">
        <v>29370.166666666664</v>
      </c>
      <c r="D17" s="4">
        <v>29370.166666666664</v>
      </c>
      <c r="E17" s="4">
        <v>29370.166666666664</v>
      </c>
      <c r="F17" s="4">
        <v>29370.166666666664</v>
      </c>
      <c r="G17" s="4">
        <v>29370.166666666664</v>
      </c>
      <c r="H17" s="4">
        <v>29370.166666666664</v>
      </c>
      <c r="I17" s="4">
        <v>29370.166666666664</v>
      </c>
      <c r="J17" s="4">
        <v>29370.166666666664</v>
      </c>
      <c r="K17" s="4">
        <v>29370.166666666664</v>
      </c>
      <c r="L17" s="4">
        <v>29370.166666666664</v>
      </c>
      <c r="M17" s="4">
        <v>29370.166666666664</v>
      </c>
      <c r="N17" s="4">
        <v>352442</v>
      </c>
      <c r="P17" s="4">
        <v>24282.75</v>
      </c>
      <c r="Q17" s="4">
        <v>24282.75</v>
      </c>
      <c r="R17" s="4">
        <v>24282.75</v>
      </c>
      <c r="S17" s="4">
        <v>24282.75</v>
      </c>
      <c r="T17" s="4">
        <v>24282.75</v>
      </c>
      <c r="U17" s="4">
        <v>24282.75</v>
      </c>
      <c r="V17" s="4">
        <v>24282.75</v>
      </c>
      <c r="W17" s="4">
        <v>24282.75</v>
      </c>
      <c r="X17" s="4">
        <v>24282.75</v>
      </c>
      <c r="Y17" s="4">
        <v>24282.75</v>
      </c>
      <c r="Z17" s="4">
        <v>24282.75</v>
      </c>
      <c r="AA17" s="4">
        <v>24282.75</v>
      </c>
      <c r="AB17" s="4">
        <v>291392.99999999994</v>
      </c>
    </row>
    <row r="18" spans="1:28" x14ac:dyDescent="0.25">
      <c r="A18" t="s">
        <v>23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</row>
    <row r="19" spans="1:28" x14ac:dyDescent="0.25">
      <c r="A19" t="s">
        <v>25</v>
      </c>
      <c r="B19" s="4">
        <v>3193938.6660650927</v>
      </c>
      <c r="C19" s="4">
        <v>2980041.8675083308</v>
      </c>
      <c r="D19" s="4">
        <v>3237196.8955493574</v>
      </c>
      <c r="E19" s="4">
        <v>3194006.2140607676</v>
      </c>
      <c r="F19" s="4">
        <v>3207576.024222488</v>
      </c>
      <c r="G19" s="4">
        <v>3209443.6257613027</v>
      </c>
      <c r="H19" s="4">
        <v>3246569.2020276436</v>
      </c>
      <c r="I19" s="4">
        <v>3235208.1499227765</v>
      </c>
      <c r="J19" s="4">
        <v>3230894.9140647477</v>
      </c>
      <c r="K19" s="4">
        <v>3279410.0999227762</v>
      </c>
      <c r="L19" s="4">
        <v>3204284.9140647477</v>
      </c>
      <c r="M19" s="4">
        <v>3312222.1499227765</v>
      </c>
      <c r="N19" s="4">
        <v>38530792.723092809</v>
      </c>
      <c r="P19" s="4">
        <v>2997636.9017766928</v>
      </c>
      <c r="Q19" s="4">
        <v>2841111.9404051281</v>
      </c>
      <c r="R19" s="4">
        <v>2985269.4282533857</v>
      </c>
      <c r="S19" s="4">
        <v>2909950.1591038071</v>
      </c>
      <c r="T19" s="4">
        <v>2946421.7420067685</v>
      </c>
      <c r="U19" s="4">
        <v>2908120.4761029845</v>
      </c>
      <c r="V19" s="4">
        <v>2964730.8277539969</v>
      </c>
      <c r="W19" s="4">
        <v>3078029.0518311383</v>
      </c>
      <c r="X19" s="4">
        <v>2918131.73970675</v>
      </c>
      <c r="Y19" s="4">
        <v>2955978.3611941454</v>
      </c>
      <c r="Z19" s="4">
        <v>2941925.1386894812</v>
      </c>
      <c r="AA19" s="4">
        <v>2957265.7702854937</v>
      </c>
      <c r="AB19" s="4">
        <v>35404571.53710977</v>
      </c>
    </row>
    <row r="20" spans="1:28" x14ac:dyDescent="0.25">
      <c r="A20" t="s">
        <v>56</v>
      </c>
      <c r="B20" s="4">
        <v>185326.5</v>
      </c>
      <c r="C20" s="4">
        <v>185326.5</v>
      </c>
      <c r="D20" s="4">
        <v>185326.5</v>
      </c>
      <c r="E20" s="4">
        <v>185326.5</v>
      </c>
      <c r="F20" s="4">
        <v>185326.5</v>
      </c>
      <c r="G20" s="4">
        <v>185326.5</v>
      </c>
      <c r="H20" s="4">
        <v>185326.5</v>
      </c>
      <c r="I20" s="4">
        <v>185326.5</v>
      </c>
      <c r="J20" s="4">
        <v>185326.5</v>
      </c>
      <c r="K20" s="4">
        <v>185326.5</v>
      </c>
      <c r="L20" s="4">
        <v>185326.5</v>
      </c>
      <c r="M20" s="4">
        <v>185326.5</v>
      </c>
      <c r="N20" s="4">
        <v>2223918</v>
      </c>
      <c r="P20" s="4">
        <v>106696.25000000004</v>
      </c>
      <c r="Q20" s="4">
        <v>106696.25000000004</v>
      </c>
      <c r="R20" s="4">
        <v>106696.25000000004</v>
      </c>
      <c r="S20" s="4">
        <v>106696.25000000004</v>
      </c>
      <c r="T20" s="4">
        <v>106696.25000000004</v>
      </c>
      <c r="U20" s="4">
        <v>106696.25000000004</v>
      </c>
      <c r="V20" s="4">
        <v>106696.25000000004</v>
      </c>
      <c r="W20" s="4">
        <v>106696.25000000004</v>
      </c>
      <c r="X20" s="4">
        <v>106696.25000000004</v>
      </c>
      <c r="Y20" s="4">
        <v>106696.25000000004</v>
      </c>
      <c r="Z20" s="4">
        <v>106696.25000000004</v>
      </c>
      <c r="AA20" s="4">
        <v>106696.25000000004</v>
      </c>
      <c r="AB20" s="4">
        <v>1280355.0000000007</v>
      </c>
    </row>
    <row r="21" spans="1:28" x14ac:dyDescent="0.25">
      <c r="A21" t="s">
        <v>26</v>
      </c>
      <c r="B21" s="4">
        <v>-67576.333333333328</v>
      </c>
      <c r="C21" s="4">
        <v>-67576.333333333328</v>
      </c>
      <c r="D21" s="4">
        <v>-67576.333333333328</v>
      </c>
      <c r="E21" s="4">
        <v>-67576.333333333328</v>
      </c>
      <c r="F21" s="4">
        <v>-67576.333333333328</v>
      </c>
      <c r="G21" s="4">
        <v>-67576.333333333328</v>
      </c>
      <c r="H21" s="4">
        <v>-67576.333333333328</v>
      </c>
      <c r="I21" s="4">
        <v>-67576.333333333328</v>
      </c>
      <c r="J21" s="4">
        <v>-67576.333333333328</v>
      </c>
      <c r="K21" s="4">
        <v>-67576.333333333328</v>
      </c>
      <c r="L21" s="4">
        <v>-67576.333333333328</v>
      </c>
      <c r="M21" s="4">
        <v>-67576.333333333328</v>
      </c>
      <c r="N21" s="4">
        <v>-810916.00000000012</v>
      </c>
      <c r="P21" s="4">
        <v>21580.166666666664</v>
      </c>
      <c r="Q21" s="4">
        <v>20479.186666666668</v>
      </c>
      <c r="R21" s="4">
        <v>21581.166666666664</v>
      </c>
      <c r="S21" s="4">
        <v>21214.176666666663</v>
      </c>
      <c r="T21" s="4">
        <v>21581.166666666664</v>
      </c>
      <c r="U21" s="4">
        <v>21214.176666666663</v>
      </c>
      <c r="V21" s="4">
        <v>21581.166666666664</v>
      </c>
      <c r="W21" s="4">
        <v>21581.166666666664</v>
      </c>
      <c r="X21" s="4">
        <v>21214.176666666663</v>
      </c>
      <c r="Y21" s="4">
        <v>21581.166666666664</v>
      </c>
      <c r="Z21" s="4">
        <v>21214.176666666663</v>
      </c>
      <c r="AA21" s="4">
        <v>21581.166666666664</v>
      </c>
      <c r="AB21" s="4">
        <v>256403.05999999991</v>
      </c>
    </row>
    <row r="22" spans="1:28" x14ac:dyDescent="0.25">
      <c r="A22" t="s">
        <v>43</v>
      </c>
      <c r="B22" s="4">
        <v>681352.06666666665</v>
      </c>
      <c r="C22" s="4">
        <v>681188.52666666661</v>
      </c>
      <c r="D22" s="4">
        <v>858138.7666666666</v>
      </c>
      <c r="E22" s="4">
        <v>676931.64666666673</v>
      </c>
      <c r="F22" s="4">
        <v>675997.7666666666</v>
      </c>
      <c r="G22" s="4">
        <v>859001.34666666668</v>
      </c>
      <c r="H22" s="4">
        <v>741924.06666666665</v>
      </c>
      <c r="I22" s="4">
        <v>720397.7666666666</v>
      </c>
      <c r="J22" s="4">
        <v>861298.34666666668</v>
      </c>
      <c r="K22" s="4">
        <v>673180.06666666665</v>
      </c>
      <c r="L22" s="4">
        <v>671761.34666666668</v>
      </c>
      <c r="M22" s="4">
        <v>868940.7666666666</v>
      </c>
      <c r="N22" s="4">
        <v>8970112.4800000004</v>
      </c>
      <c r="P22" s="4">
        <v>682498.91502601246</v>
      </c>
      <c r="Q22" s="4">
        <v>638639.4492711135</v>
      </c>
      <c r="R22" s="4">
        <v>697899.80937951442</v>
      </c>
      <c r="S22" s="4">
        <v>662960.83226468612</v>
      </c>
      <c r="T22" s="4">
        <v>672057.11814617494</v>
      </c>
      <c r="U22" s="4">
        <v>656163.73001351499</v>
      </c>
      <c r="V22" s="4">
        <v>690846.33626779413</v>
      </c>
      <c r="W22" s="4">
        <v>665773.33626779425</v>
      </c>
      <c r="X22" s="4">
        <v>654446.76592985413</v>
      </c>
      <c r="Y22" s="4">
        <v>668578.74652515689</v>
      </c>
      <c r="Z22" s="4">
        <v>651836.14421306411</v>
      </c>
      <c r="AA22" s="4">
        <v>654356.99709906161</v>
      </c>
      <c r="AB22" s="4">
        <v>7996058.1804037411</v>
      </c>
    </row>
    <row r="23" spans="1:28" x14ac:dyDescent="0.25">
      <c r="A23" t="s">
        <v>50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P23" s="4">
        <v>416.66666666666669</v>
      </c>
      <c r="Q23" s="4">
        <v>416.66666666666669</v>
      </c>
      <c r="R23" s="4">
        <v>416.66666666666669</v>
      </c>
      <c r="S23" s="4">
        <v>416.66666666666669</v>
      </c>
      <c r="T23" s="4">
        <v>416.66666666666669</v>
      </c>
      <c r="U23" s="4">
        <v>416.66666666666669</v>
      </c>
      <c r="V23" s="4">
        <v>416.66666666666669</v>
      </c>
      <c r="W23" s="4">
        <v>416.66666666666669</v>
      </c>
      <c r="X23" s="4">
        <v>416.66666666666669</v>
      </c>
      <c r="Y23" s="4">
        <v>416.66666666666669</v>
      </c>
      <c r="Z23" s="4">
        <v>416.66666666666669</v>
      </c>
      <c r="AA23" s="4">
        <v>416.66666666666669</v>
      </c>
      <c r="AB23" s="4">
        <v>5000</v>
      </c>
    </row>
    <row r="24" spans="1:28" x14ac:dyDescent="0.25">
      <c r="A24" t="s">
        <v>44</v>
      </c>
      <c r="B24" s="4">
        <v>291033.05920871242</v>
      </c>
      <c r="C24" s="4">
        <v>272066.98228563549</v>
      </c>
      <c r="D24" s="4">
        <v>288433.05920871242</v>
      </c>
      <c r="E24" s="4">
        <v>290741.0335676868</v>
      </c>
      <c r="F24" s="4">
        <v>288433.05920871242</v>
      </c>
      <c r="G24" s="4">
        <v>282611.0335676868</v>
      </c>
      <c r="H24" s="4">
        <v>291033.05920871242</v>
      </c>
      <c r="I24" s="4">
        <v>287883.05920871242</v>
      </c>
      <c r="J24" s="4">
        <v>283161.0335676868</v>
      </c>
      <c r="K24" s="4">
        <v>290483.05920871242</v>
      </c>
      <c r="L24" s="4">
        <v>283161.0335676868</v>
      </c>
      <c r="M24" s="4">
        <v>287883.05920871242</v>
      </c>
      <c r="N24" s="4">
        <v>3436922.5310173696</v>
      </c>
      <c r="P24" s="4">
        <v>280406.72004436166</v>
      </c>
      <c r="Q24" s="4">
        <v>256109.85416641721</v>
      </c>
      <c r="R24" s="4">
        <v>262042.6222475211</v>
      </c>
      <c r="S24" s="4">
        <v>252477.46157466128</v>
      </c>
      <c r="T24" s="4">
        <v>253096.80438764795</v>
      </c>
      <c r="U24" s="4">
        <v>248030.98503861396</v>
      </c>
      <c r="V24" s="4">
        <v>251205.6092929864</v>
      </c>
      <c r="W24" s="4">
        <v>253257.382273114</v>
      </c>
      <c r="X24" s="4">
        <v>255315.22840164384</v>
      </c>
      <c r="Y24" s="4">
        <v>258113.06214513455</v>
      </c>
      <c r="Z24" s="4">
        <v>256682.90507000193</v>
      </c>
      <c r="AA24" s="4">
        <v>264982.49716932635</v>
      </c>
      <c r="AB24" s="4">
        <v>3091721.1318114302</v>
      </c>
    </row>
    <row r="25" spans="1:28" x14ac:dyDescent="0.25">
      <c r="A25" t="s">
        <v>29</v>
      </c>
      <c r="B25" s="4">
        <v>491678.80242016353</v>
      </c>
      <c r="C25" s="4">
        <v>464834.55179002718</v>
      </c>
      <c r="D25" s="4">
        <v>491593.7524201636</v>
      </c>
      <c r="E25" s="4">
        <v>520668.27554345143</v>
      </c>
      <c r="F25" s="4">
        <v>489332.84242016351</v>
      </c>
      <c r="G25" s="4">
        <v>488642.82554345147</v>
      </c>
      <c r="H25" s="4">
        <v>499501.05242016359</v>
      </c>
      <c r="I25" s="4">
        <v>492991.0724201636</v>
      </c>
      <c r="J25" s="4">
        <v>492653.94554345141</v>
      </c>
      <c r="K25" s="4">
        <v>503588.60242016357</v>
      </c>
      <c r="L25" s="4">
        <v>486381.90554345137</v>
      </c>
      <c r="M25" s="4">
        <v>499516.0224201635</v>
      </c>
      <c r="N25" s="4">
        <v>5921383.6509049777</v>
      </c>
      <c r="P25" s="4">
        <v>490515.16043591878</v>
      </c>
      <c r="Q25" s="4">
        <v>465822.31476565142</v>
      </c>
      <c r="R25" s="4">
        <v>489732.54960305546</v>
      </c>
      <c r="S25" s="4">
        <v>482169.50323161692</v>
      </c>
      <c r="T25" s="4">
        <v>502286.18789930647</v>
      </c>
      <c r="U25" s="4">
        <v>486511.65779659606</v>
      </c>
      <c r="V25" s="4">
        <v>489184.80463103246</v>
      </c>
      <c r="W25" s="4">
        <v>493731.47089241451</v>
      </c>
      <c r="X25" s="4">
        <v>489249.42825293378</v>
      </c>
      <c r="Y25" s="4">
        <v>486691.00403124403</v>
      </c>
      <c r="Z25" s="4">
        <v>502174.34439472994</v>
      </c>
      <c r="AA25" s="4">
        <v>497936.65959809581</v>
      </c>
      <c r="AB25" s="4">
        <v>5876005.0855325963</v>
      </c>
    </row>
    <row r="26" spans="1:28" x14ac:dyDescent="0.25">
      <c r="A26" t="s">
        <v>30</v>
      </c>
      <c r="B26" s="4">
        <v>1403711.6395318457</v>
      </c>
      <c r="C26" s="4">
        <v>1284084.7572750987</v>
      </c>
      <c r="D26" s="4">
        <v>1405276.6895318455</v>
      </c>
      <c r="E26" s="4">
        <v>1402153.3721129301</v>
      </c>
      <c r="F26" s="4">
        <v>1400440.1795318455</v>
      </c>
      <c r="G26" s="4">
        <v>1379758.82211293</v>
      </c>
      <c r="H26" s="4">
        <v>1419862.5395318456</v>
      </c>
      <c r="I26" s="4">
        <v>1405082.5195318456</v>
      </c>
      <c r="J26" s="4">
        <v>1386284.27211293</v>
      </c>
      <c r="K26" s="4">
        <v>1429333.5695318456</v>
      </c>
      <c r="L26" s="4">
        <v>1373222.31211293</v>
      </c>
      <c r="M26" s="4">
        <v>1422827.5695318454</v>
      </c>
      <c r="N26" s="4">
        <v>16712038.242449736</v>
      </c>
      <c r="P26" s="4">
        <v>1454901.9877188776</v>
      </c>
      <c r="Q26" s="4">
        <v>1325290.2749839721</v>
      </c>
      <c r="R26" s="4">
        <v>1405047.8950362366</v>
      </c>
      <c r="S26" s="4">
        <v>1419533.9204986035</v>
      </c>
      <c r="T26" s="4">
        <v>1403391.4168173184</v>
      </c>
      <c r="U26" s="4">
        <v>1394839.0591109951</v>
      </c>
      <c r="V26" s="4">
        <v>1442566.7755849501</v>
      </c>
      <c r="W26" s="4">
        <v>1399301.3778720731</v>
      </c>
      <c r="X26" s="4">
        <v>1379604.9613517795</v>
      </c>
      <c r="Y26" s="4">
        <v>1459073.3147602184</v>
      </c>
      <c r="Z26" s="4">
        <v>1382654.3465707102</v>
      </c>
      <c r="AA26" s="4">
        <v>1400666.9555433297</v>
      </c>
      <c r="AB26" s="4">
        <v>16866872.285849068</v>
      </c>
    </row>
    <row r="27" spans="1:28" x14ac:dyDescent="0.25">
      <c r="A27" t="s">
        <v>31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</row>
    <row r="28" spans="1:28" x14ac:dyDescent="0.25">
      <c r="A28" t="s">
        <v>57</v>
      </c>
      <c r="B28" s="4">
        <v>867828.80513999995</v>
      </c>
      <c r="C28" s="4">
        <v>872523.51913999999</v>
      </c>
      <c r="D28" s="4">
        <v>898031.31714000006</v>
      </c>
      <c r="E28" s="4">
        <v>911877.01813999994</v>
      </c>
      <c r="F28" s="4">
        <v>892071.11814000004</v>
      </c>
      <c r="G28" s="4">
        <v>917163.48614000005</v>
      </c>
      <c r="H28" s="4">
        <v>905250.33513999998</v>
      </c>
      <c r="I28" s="4">
        <v>912203.86514000001</v>
      </c>
      <c r="J28" s="4">
        <v>938634.53914000001</v>
      </c>
      <c r="K28" s="4">
        <v>927042.07213999995</v>
      </c>
      <c r="L28" s="4">
        <v>932288.02014000004</v>
      </c>
      <c r="M28" s="4">
        <v>956796.94414000004</v>
      </c>
      <c r="N28" s="4">
        <v>10931711.03968</v>
      </c>
      <c r="P28" s="4">
        <v>898121.24152294395</v>
      </c>
      <c r="Q28" s="4">
        <v>875949.18599894922</v>
      </c>
      <c r="R28" s="4">
        <v>896385.36400892062</v>
      </c>
      <c r="S28" s="4">
        <v>894275.52431882499</v>
      </c>
      <c r="T28" s="4">
        <v>905591.8873219206</v>
      </c>
      <c r="U28" s="4">
        <v>906554.52109882503</v>
      </c>
      <c r="V28" s="4">
        <v>913055.72850092081</v>
      </c>
      <c r="W28" s="4">
        <v>917008.25146992062</v>
      </c>
      <c r="X28" s="4">
        <v>915451.92367282521</v>
      </c>
      <c r="Y28" s="4">
        <v>946261.94903657003</v>
      </c>
      <c r="Z28" s="4">
        <v>923084.17323348101</v>
      </c>
      <c r="AA28" s="4">
        <v>938974.43023057794</v>
      </c>
      <c r="AB28" s="4">
        <v>10930714.180414682</v>
      </c>
    </row>
    <row r="29" spans="1:28" x14ac:dyDescent="0.25">
      <c r="A29" t="s">
        <v>33</v>
      </c>
      <c r="B29" s="4">
        <v>497322</v>
      </c>
      <c r="C29" s="4">
        <v>506853</v>
      </c>
      <c r="D29" s="4">
        <v>516384</v>
      </c>
      <c r="E29" s="4">
        <v>528779</v>
      </c>
      <c r="F29" s="4">
        <v>544977</v>
      </c>
      <c r="G29" s="4">
        <v>554508</v>
      </c>
      <c r="H29" s="4">
        <v>564039</v>
      </c>
      <c r="I29" s="4">
        <v>583101</v>
      </c>
      <c r="J29" s="4">
        <v>602163</v>
      </c>
      <c r="K29" s="4">
        <v>621225</v>
      </c>
      <c r="L29" s="4">
        <v>630756</v>
      </c>
      <c r="M29" s="4">
        <v>640287</v>
      </c>
      <c r="N29" s="4">
        <v>6790394</v>
      </c>
      <c r="P29" s="4">
        <v>649450.10363848356</v>
      </c>
      <c r="Q29" s="4">
        <v>636499.6134553114</v>
      </c>
      <c r="R29" s="4">
        <v>660715.09843145753</v>
      </c>
      <c r="S29" s="4">
        <v>665657.39988928754</v>
      </c>
      <c r="T29" s="4">
        <v>674580.21596360451</v>
      </c>
      <c r="U29" s="4">
        <v>677482.67906794115</v>
      </c>
      <c r="V29" s="4">
        <v>647594.36853304727</v>
      </c>
      <c r="W29" s="4">
        <v>657085.52418242034</v>
      </c>
      <c r="X29" s="4">
        <v>656714.69322999474</v>
      </c>
      <c r="Y29" s="4">
        <v>676921.23947880918</v>
      </c>
      <c r="Z29" s="4">
        <v>670272.34413219278</v>
      </c>
      <c r="AA29" s="4">
        <v>685102.34341360768</v>
      </c>
      <c r="AB29" s="4">
        <v>7958075.6234161574</v>
      </c>
    </row>
    <row r="30" spans="1:28" x14ac:dyDescent="0.25">
      <c r="A30" t="s">
        <v>34</v>
      </c>
      <c r="B30" s="4">
        <v>499184</v>
      </c>
      <c r="C30" s="4">
        <v>508098</v>
      </c>
      <c r="D30" s="4">
        <v>517012</v>
      </c>
      <c r="E30" s="4">
        <v>527478</v>
      </c>
      <c r="F30" s="4">
        <v>534840</v>
      </c>
      <c r="G30" s="4">
        <v>552668</v>
      </c>
      <c r="H30" s="4">
        <v>561582</v>
      </c>
      <c r="I30" s="4">
        <v>579410</v>
      </c>
      <c r="J30" s="4">
        <v>597238</v>
      </c>
      <c r="K30" s="4">
        <v>606152</v>
      </c>
      <c r="L30" s="4">
        <v>615066</v>
      </c>
      <c r="M30" s="4">
        <v>623980</v>
      </c>
      <c r="N30" s="4">
        <v>6722708</v>
      </c>
      <c r="P30" s="4">
        <v>609414.04151558143</v>
      </c>
      <c r="Q30" s="4">
        <v>592915.74898773537</v>
      </c>
      <c r="R30" s="4">
        <v>617965.93312544131</v>
      </c>
      <c r="S30" s="4">
        <v>619125.5209993989</v>
      </c>
      <c r="T30" s="4">
        <v>625383.89743141294</v>
      </c>
      <c r="U30" s="4">
        <v>644682.1024583563</v>
      </c>
      <c r="V30" s="4">
        <v>618364.01482526353</v>
      </c>
      <c r="W30" s="4">
        <v>622412.79397358536</v>
      </c>
      <c r="X30" s="4">
        <v>621058.57274080755</v>
      </c>
      <c r="Y30" s="4">
        <v>633119.02188002679</v>
      </c>
      <c r="Z30" s="4">
        <v>624784.6915833297</v>
      </c>
      <c r="AA30" s="4">
        <v>637514.48479338537</v>
      </c>
      <c r="AB30" s="4">
        <v>7466740.8243143233</v>
      </c>
    </row>
    <row r="31" spans="1:28" x14ac:dyDescent="0.25">
      <c r="A31" t="s">
        <v>35</v>
      </c>
      <c r="B31" s="4">
        <v>371725.97</v>
      </c>
      <c r="C31" s="4">
        <v>380920.26</v>
      </c>
      <c r="D31" s="4">
        <v>434079.97</v>
      </c>
      <c r="E31" s="4">
        <v>401453.06</v>
      </c>
      <c r="F31" s="4">
        <v>410433.97</v>
      </c>
      <c r="G31" s="4">
        <v>419950.06</v>
      </c>
      <c r="H31" s="4">
        <v>429787.97</v>
      </c>
      <c r="I31" s="4">
        <v>439464.97</v>
      </c>
      <c r="J31" s="4">
        <v>448981.06</v>
      </c>
      <c r="K31" s="4">
        <v>458818.97</v>
      </c>
      <c r="L31" s="4">
        <v>468335.06</v>
      </c>
      <c r="M31" s="4">
        <v>478172.97</v>
      </c>
      <c r="N31" s="4">
        <v>5142124.29</v>
      </c>
      <c r="P31" s="4">
        <v>401444.13086817233</v>
      </c>
      <c r="Q31" s="4">
        <v>391302.25584099122</v>
      </c>
      <c r="R31" s="4">
        <v>430147.49139757699</v>
      </c>
      <c r="S31" s="4">
        <v>413480.29765504651</v>
      </c>
      <c r="T31" s="4">
        <v>424951.14091488352</v>
      </c>
      <c r="U31" s="4">
        <v>413218.33304376859</v>
      </c>
      <c r="V31" s="4">
        <v>423490.42502173886</v>
      </c>
      <c r="W31" s="4">
        <v>424664.47490901826</v>
      </c>
      <c r="X31" s="4">
        <v>427011.35754457006</v>
      </c>
      <c r="Y31" s="4">
        <v>432374.5384192816</v>
      </c>
      <c r="Z31" s="4">
        <v>428337.97800043586</v>
      </c>
      <c r="AA31" s="4">
        <v>433971.05887514737</v>
      </c>
      <c r="AB31" s="4">
        <v>5044393.4824906318</v>
      </c>
    </row>
    <row r="32" spans="1:28" x14ac:dyDescent="0.25">
      <c r="A32" t="s">
        <v>36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</row>
    <row r="33" spans="1:28" x14ac:dyDescent="0.25">
      <c r="A33" t="s">
        <v>40</v>
      </c>
      <c r="B33" s="4">
        <v>427553</v>
      </c>
      <c r="C33" s="4">
        <v>437270</v>
      </c>
      <c r="D33" s="4">
        <v>446987</v>
      </c>
      <c r="E33" s="4">
        <v>458244</v>
      </c>
      <c r="F33" s="4">
        <v>466421</v>
      </c>
      <c r="G33" s="4">
        <v>476138</v>
      </c>
      <c r="H33" s="4">
        <v>485855</v>
      </c>
      <c r="I33" s="4">
        <v>495572</v>
      </c>
      <c r="J33" s="4">
        <v>505289</v>
      </c>
      <c r="K33" s="4">
        <v>515006</v>
      </c>
      <c r="L33" s="4">
        <v>524723</v>
      </c>
      <c r="M33" s="4">
        <v>534440</v>
      </c>
      <c r="N33" s="4">
        <v>5773498</v>
      </c>
      <c r="P33" s="4">
        <v>510221.47665124887</v>
      </c>
      <c r="Q33" s="4">
        <v>501220.41263584705</v>
      </c>
      <c r="R33" s="4">
        <v>520751.8213282348</v>
      </c>
      <c r="S33" s="4">
        <v>525378.01127526921</v>
      </c>
      <c r="T33" s="4">
        <v>530986.14085346472</v>
      </c>
      <c r="U33" s="4">
        <v>531443.61811008817</v>
      </c>
      <c r="V33" s="4">
        <v>550880.31092116027</v>
      </c>
      <c r="W33" s="4">
        <v>550451.61313876265</v>
      </c>
      <c r="X33" s="4">
        <v>552356.67047157523</v>
      </c>
      <c r="Y33" s="4">
        <v>563161.5580918123</v>
      </c>
      <c r="Z33" s="4">
        <v>564832.63053927093</v>
      </c>
      <c r="AA33" s="4">
        <v>571843.87815950788</v>
      </c>
      <c r="AB33" s="4">
        <v>6473528.1421762425</v>
      </c>
    </row>
    <row r="34" spans="1:28" x14ac:dyDescent="0.25">
      <c r="A34" t="s">
        <v>41</v>
      </c>
      <c r="B34" s="4">
        <v>315591</v>
      </c>
      <c r="C34" s="4">
        <v>324564</v>
      </c>
      <c r="D34" s="4">
        <v>333537</v>
      </c>
      <c r="E34" s="4">
        <v>344092</v>
      </c>
      <c r="F34" s="4">
        <v>351483</v>
      </c>
      <c r="G34" s="4">
        <v>360456</v>
      </c>
      <c r="H34" s="4">
        <v>369429</v>
      </c>
      <c r="I34" s="4">
        <v>378402</v>
      </c>
      <c r="J34" s="4">
        <v>387375</v>
      </c>
      <c r="K34" s="4">
        <v>396348</v>
      </c>
      <c r="L34" s="4">
        <v>405321</v>
      </c>
      <c r="M34" s="4">
        <v>414294</v>
      </c>
      <c r="N34" s="4">
        <v>4380892</v>
      </c>
      <c r="P34" s="4">
        <v>432417.82236246014</v>
      </c>
      <c r="Q34" s="4">
        <v>419653.73157033377</v>
      </c>
      <c r="R34" s="4">
        <v>438547.73481733695</v>
      </c>
      <c r="S34" s="4">
        <v>442948.98629593791</v>
      </c>
      <c r="T34" s="4">
        <v>447791.59625317203</v>
      </c>
      <c r="U34" s="4">
        <v>448451.40334273182</v>
      </c>
      <c r="V34" s="4">
        <v>436993.23860507499</v>
      </c>
      <c r="W34" s="4">
        <v>440969.23657487257</v>
      </c>
      <c r="X34" s="4">
        <v>437676.32542100729</v>
      </c>
      <c r="Y34" s="4">
        <v>448383.03307306598</v>
      </c>
      <c r="Z34" s="4">
        <v>447453.8369930936</v>
      </c>
      <c r="AA34" s="4">
        <v>454904.21464515215</v>
      </c>
      <c r="AB34" s="4">
        <v>5296191.1599542387</v>
      </c>
    </row>
    <row r="35" spans="1:28" x14ac:dyDescent="0.25">
      <c r="A35" t="s">
        <v>42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P35" s="4">
        <v>-1.531233812784194E-3</v>
      </c>
      <c r="Q35" s="4">
        <v>-5.7705576909938827E-4</v>
      </c>
      <c r="R35" s="4">
        <v>-1.5312338109652046E-3</v>
      </c>
      <c r="S35" s="4">
        <v>-2.2671217320748842E-3</v>
      </c>
      <c r="T35" s="4">
        <v>-4.2582103014865424E-4</v>
      </c>
      <c r="U35" s="4">
        <v>-2.2671217320748842E-3</v>
      </c>
      <c r="V35" s="4">
        <v>-4.5633220051968237E-3</v>
      </c>
      <c r="W35" s="4">
        <v>-3.9020932781568263E-3</v>
      </c>
      <c r="X35" s="4">
        <v>-8.8434525423508603E-4</v>
      </c>
      <c r="Y35" s="4">
        <v>4.6342433051904663E-5</v>
      </c>
      <c r="Z35" s="4">
        <v>2.6392038671474438E-4</v>
      </c>
      <c r="AA35" s="4">
        <v>4.6342402129084803E-5</v>
      </c>
      <c r="AB35" s="4">
        <v>-1.7592743202840211E-2</v>
      </c>
    </row>
    <row r="36" spans="1:28" x14ac:dyDescent="0.25">
      <c r="A36" t="s">
        <v>49</v>
      </c>
      <c r="B36" s="4">
        <v>-11733.67</v>
      </c>
      <c r="C36" s="4">
        <v>-10483.67</v>
      </c>
      <c r="D36" s="4">
        <v>-10483.67</v>
      </c>
      <c r="E36" s="4">
        <v>-11733.67</v>
      </c>
      <c r="F36" s="4">
        <v>-10483.67</v>
      </c>
      <c r="G36" s="4">
        <v>-10483.67</v>
      </c>
      <c r="H36" s="4">
        <v>-11733.67</v>
      </c>
      <c r="I36" s="4">
        <v>-10483.67</v>
      </c>
      <c r="J36" s="4">
        <v>-10483.67</v>
      </c>
      <c r="K36" s="4">
        <v>-11733.67</v>
      </c>
      <c r="L36" s="4">
        <v>-10483.67</v>
      </c>
      <c r="M36" s="4">
        <v>-10483.67</v>
      </c>
      <c r="N36" s="4">
        <v>-130804.04</v>
      </c>
      <c r="P36" s="4">
        <v>9609.49</v>
      </c>
      <c r="Q36" s="4">
        <v>8679.5400000000009</v>
      </c>
      <c r="R36" s="4">
        <v>9609.49</v>
      </c>
      <c r="S36" s="4">
        <v>9299.51</v>
      </c>
      <c r="T36" s="4">
        <v>9609.49</v>
      </c>
      <c r="U36" s="4">
        <v>9299.51</v>
      </c>
      <c r="V36" s="4">
        <v>9609.49</v>
      </c>
      <c r="W36" s="4">
        <v>9609.49</v>
      </c>
      <c r="X36" s="4">
        <v>9299.51</v>
      </c>
      <c r="Y36" s="4">
        <v>9609.49</v>
      </c>
      <c r="Z36" s="4">
        <v>9299.51</v>
      </c>
      <c r="AA36" s="4">
        <v>9609.49</v>
      </c>
      <c r="AB36" s="4">
        <v>113144.01</v>
      </c>
    </row>
    <row r="37" spans="1:28" x14ac:dyDescent="0.25">
      <c r="A37" t="s">
        <v>58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</row>
    <row r="38" spans="1:28" x14ac:dyDescent="0.25">
      <c r="A38" t="s">
        <v>59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</row>
    <row r="39" spans="1:28" x14ac:dyDescent="0.25">
      <c r="A39" t="s">
        <v>60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</row>
    <row r="40" spans="1:28" x14ac:dyDescent="0.25">
      <c r="A40" t="s">
        <v>37</v>
      </c>
      <c r="B40" s="4">
        <v>65714.309008923869</v>
      </c>
      <c r="C40" s="4">
        <v>65636.317372380232</v>
      </c>
      <c r="D40" s="4">
        <v>65743.024133605213</v>
      </c>
      <c r="E40" s="4">
        <v>65688.311796661001</v>
      </c>
      <c r="F40" s="4">
        <v>67010.47191873609</v>
      </c>
      <c r="G40" s="4">
        <v>67139.749281795506</v>
      </c>
      <c r="H40" s="4">
        <v>67010.47191873609</v>
      </c>
      <c r="I40" s="4">
        <v>67010.47191873609</v>
      </c>
      <c r="J40" s="4">
        <v>66984.464406476851</v>
      </c>
      <c r="K40" s="4">
        <v>67010.47191873609</v>
      </c>
      <c r="L40" s="4">
        <v>66984.464406476851</v>
      </c>
      <c r="M40" s="4">
        <v>67010.47191873609</v>
      </c>
      <c r="N40" s="4">
        <v>798943</v>
      </c>
      <c r="P40" s="4">
        <v>53147.722905298418</v>
      </c>
      <c r="Q40" s="4">
        <v>50777.167798301962</v>
      </c>
      <c r="R40" s="4">
        <v>53147.722905298418</v>
      </c>
      <c r="S40" s="4">
        <v>52232.692966152288</v>
      </c>
      <c r="T40" s="4">
        <v>53147.722905298418</v>
      </c>
      <c r="U40" s="4">
        <v>52232.692966152288</v>
      </c>
      <c r="V40" s="4">
        <v>53147.722905298418</v>
      </c>
      <c r="W40" s="4">
        <v>53147.722905298418</v>
      </c>
      <c r="X40" s="4">
        <v>52232.692966152288</v>
      </c>
      <c r="Y40" s="4">
        <v>53147.722905298418</v>
      </c>
      <c r="Z40" s="4">
        <v>52232.692966152288</v>
      </c>
      <c r="AA40" s="4">
        <v>53147.722905298418</v>
      </c>
      <c r="AB40" s="4">
        <v>631741.99999999988</v>
      </c>
    </row>
    <row r="41" spans="1:28" x14ac:dyDescent="0.2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25">
      <c r="A42" t="s">
        <v>55</v>
      </c>
      <c r="B42" s="4">
        <v>7375</v>
      </c>
      <c r="C42" s="4">
        <v>7375</v>
      </c>
      <c r="D42" s="4">
        <v>7375</v>
      </c>
      <c r="E42" s="4">
        <v>7375</v>
      </c>
      <c r="F42" s="4">
        <v>7375</v>
      </c>
      <c r="G42" s="4">
        <v>7375</v>
      </c>
      <c r="H42" s="4">
        <v>7375</v>
      </c>
      <c r="I42" s="4">
        <v>7375</v>
      </c>
      <c r="J42" s="4">
        <v>7375</v>
      </c>
      <c r="K42" s="4">
        <v>7375</v>
      </c>
      <c r="L42" s="4">
        <v>7375</v>
      </c>
      <c r="M42" s="4">
        <v>7375</v>
      </c>
      <c r="N42" s="4">
        <v>88500</v>
      </c>
      <c r="P42" s="4">
        <v>25416.666666666668</v>
      </c>
      <c r="Q42" s="4">
        <v>25416.666666666668</v>
      </c>
      <c r="R42" s="4">
        <v>416.66666666666669</v>
      </c>
      <c r="S42" s="4">
        <v>416.66666666666669</v>
      </c>
      <c r="T42" s="4">
        <v>416.66666666666669</v>
      </c>
      <c r="U42" s="4">
        <v>416.66666666666669</v>
      </c>
      <c r="V42" s="4">
        <v>416.66666666666669</v>
      </c>
      <c r="W42" s="4">
        <v>416.66666666666669</v>
      </c>
      <c r="X42" s="4">
        <v>416.66666666666669</v>
      </c>
      <c r="Y42" s="4">
        <v>416.66666666666669</v>
      </c>
      <c r="Z42" s="4">
        <v>416.66666666666669</v>
      </c>
      <c r="AA42" s="4">
        <v>416.66666666666669</v>
      </c>
      <c r="AB42" s="4">
        <v>54999.999999999978</v>
      </c>
    </row>
    <row r="43" spans="1:28" x14ac:dyDescent="0.25">
      <c r="A43" t="s">
        <v>67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</row>
    <row r="44" spans="1:28" x14ac:dyDescent="0.25">
      <c r="A44" t="s">
        <v>45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</row>
    <row r="45" spans="1:28" x14ac:dyDescent="0.25">
      <c r="A45" t="s">
        <v>18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</row>
    <row r="46" spans="1:28" x14ac:dyDescent="0.25">
      <c r="A46" t="s">
        <v>19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</row>
    <row r="47" spans="1:28" x14ac:dyDescent="0.25">
      <c r="A47" t="s">
        <v>68</v>
      </c>
      <c r="B47" s="4">
        <v>7375</v>
      </c>
      <c r="C47" s="4">
        <v>7375</v>
      </c>
      <c r="D47" s="4">
        <v>7375</v>
      </c>
      <c r="E47" s="4">
        <v>7375</v>
      </c>
      <c r="F47" s="4">
        <v>7375</v>
      </c>
      <c r="G47" s="4">
        <v>7375</v>
      </c>
      <c r="H47" s="4">
        <v>7375</v>
      </c>
      <c r="I47" s="4">
        <v>7375</v>
      </c>
      <c r="J47" s="4">
        <v>7375</v>
      </c>
      <c r="K47" s="4">
        <v>7375</v>
      </c>
      <c r="L47" s="4">
        <v>7375</v>
      </c>
      <c r="M47" s="4">
        <v>7375</v>
      </c>
      <c r="N47" s="4">
        <v>88500</v>
      </c>
      <c r="P47" s="4">
        <v>25416.666666666668</v>
      </c>
      <c r="Q47" s="4">
        <v>25416.666666666668</v>
      </c>
      <c r="R47" s="4">
        <v>416.66666666666669</v>
      </c>
      <c r="S47" s="4">
        <v>416.66666666666669</v>
      </c>
      <c r="T47" s="4">
        <v>416.66666666666669</v>
      </c>
      <c r="U47" s="4">
        <v>416.66666666666669</v>
      </c>
      <c r="V47" s="4">
        <v>416.66666666666669</v>
      </c>
      <c r="W47" s="4">
        <v>416.66666666666669</v>
      </c>
      <c r="X47" s="4">
        <v>416.66666666666669</v>
      </c>
      <c r="Y47" s="4">
        <v>416.66666666666669</v>
      </c>
      <c r="Z47" s="4">
        <v>416.66666666666669</v>
      </c>
      <c r="AA47" s="4">
        <v>416.66666666666669</v>
      </c>
      <c r="AB47" s="4">
        <v>54999.999999999978</v>
      </c>
    </row>
    <row r="48" spans="1:28" x14ac:dyDescent="0.25">
      <c r="A48" t="s">
        <v>21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</row>
    <row r="49" spans="1:28" x14ac:dyDescent="0.25">
      <c r="A49" t="s">
        <v>22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</row>
    <row r="50" spans="1:28" x14ac:dyDescent="0.25">
      <c r="A50" t="s">
        <v>46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</row>
    <row r="51" spans="1:28" x14ac:dyDescent="0.25">
      <c r="A51" t="s">
        <v>47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</row>
    <row r="52" spans="1:28" x14ac:dyDescent="0.25">
      <c r="A52" t="s">
        <v>69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</row>
    <row r="53" spans="1:28" x14ac:dyDescent="0.2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25">
      <c r="A54" t="s">
        <v>70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</row>
    <row r="55" spans="1:28" x14ac:dyDescent="0.25">
      <c r="A55" t="s">
        <v>71</v>
      </c>
      <c r="B55" s="4">
        <v>-2822170.1322399997</v>
      </c>
      <c r="C55" s="4">
        <v>-2809395.0192400003</v>
      </c>
      <c r="D55" s="4">
        <v>-3016914.1262400001</v>
      </c>
      <c r="E55" s="4">
        <v>-2832286.73324</v>
      </c>
      <c r="F55" s="4">
        <v>-2844839.5522400001</v>
      </c>
      <c r="G55" s="4">
        <v>-3030213.3232399998</v>
      </c>
      <c r="H55" s="4">
        <v>-2921335.7102399999</v>
      </c>
      <c r="I55" s="4">
        <v>-2908448.8032399998</v>
      </c>
      <c r="J55" s="4">
        <v>-3052827.00624</v>
      </c>
      <c r="K55" s="4">
        <v>-2874015.8252400002</v>
      </c>
      <c r="L55" s="4">
        <v>-2873351.43224</v>
      </c>
      <c r="M55" s="4">
        <v>-3083560.8192400001</v>
      </c>
      <c r="N55" s="4">
        <v>-35069358.482879996</v>
      </c>
      <c r="P55" s="4">
        <v>-2822170.1651167125</v>
      </c>
      <c r="Q55" s="4">
        <v>-2809394.597322192</v>
      </c>
      <c r="R55" s="4">
        <v>-3016914.1591167124</v>
      </c>
      <c r="S55" s="4">
        <v>-2832286.2811852056</v>
      </c>
      <c r="T55" s="4">
        <v>-2844839.5851167124</v>
      </c>
      <c r="U55" s="4">
        <v>-3030212.8711852054</v>
      </c>
      <c r="V55" s="4">
        <v>-2921335.7431167122</v>
      </c>
      <c r="W55" s="4">
        <v>-2908448.8361167125</v>
      </c>
      <c r="X55" s="4">
        <v>-3052826.5541852056</v>
      </c>
      <c r="Y55" s="4">
        <v>-2874015.8581167124</v>
      </c>
      <c r="Z55" s="4">
        <v>-2873350.9801852056</v>
      </c>
      <c r="AA55" s="4">
        <v>-3083560.8521167124</v>
      </c>
      <c r="AB55" s="4">
        <v>-35069356.482880004</v>
      </c>
    </row>
    <row r="56" spans="1:28" x14ac:dyDescent="0.2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25">
      <c r="A57" t="s">
        <v>93</v>
      </c>
      <c r="B57" s="4">
        <v>542000.35745392903</v>
      </c>
      <c r="C57" s="4">
        <v>490871.66316821461</v>
      </c>
      <c r="D57" s="4">
        <v>542750.35745392903</v>
      </c>
      <c r="E57" s="4">
        <v>530916.45269202418</v>
      </c>
      <c r="F57" s="4">
        <v>542000.35745392903</v>
      </c>
      <c r="G57" s="4">
        <v>525707.45269202406</v>
      </c>
      <c r="H57" s="4">
        <v>542000.35745392903</v>
      </c>
      <c r="I57" s="4">
        <v>542000.35745392903</v>
      </c>
      <c r="J57" s="4">
        <v>525707.45269202406</v>
      </c>
      <c r="K57" s="4">
        <v>542000.35745392903</v>
      </c>
      <c r="L57" s="4">
        <v>524957.45269202418</v>
      </c>
      <c r="M57" s="4">
        <v>542750.35745392903</v>
      </c>
      <c r="N57" s="4">
        <v>6393662.9761138158</v>
      </c>
      <c r="P57" s="4">
        <v>483562.892585036</v>
      </c>
      <c r="Q57" s="4">
        <v>463304.28181052546</v>
      </c>
      <c r="R57" s="4">
        <v>481914.50272872834</v>
      </c>
      <c r="S57" s="4">
        <v>481040.49625973823</v>
      </c>
      <c r="T57" s="4">
        <v>467220.24182894995</v>
      </c>
      <c r="U57" s="4">
        <v>456458.76663369936</v>
      </c>
      <c r="V57" s="4">
        <v>474437.24997992505</v>
      </c>
      <c r="W57" s="4">
        <v>470278.26390533597</v>
      </c>
      <c r="X57" s="4">
        <v>459612.0525202995</v>
      </c>
      <c r="Y57" s="4">
        <v>471849.67390533601</v>
      </c>
      <c r="Z57" s="4">
        <v>464064.74918696616</v>
      </c>
      <c r="AA57" s="4">
        <v>474557.29583033599</v>
      </c>
      <c r="AB57" s="4">
        <v>5648300.4671748755</v>
      </c>
    </row>
    <row r="58" spans="1:28" x14ac:dyDescent="0.25">
      <c r="A58" t="s">
        <v>94</v>
      </c>
      <c r="B58" s="4">
        <v>325491.55697674409</v>
      </c>
      <c r="C58" s="4">
        <v>297738.13441860466</v>
      </c>
      <c r="D58" s="4">
        <v>339802.02209302329</v>
      </c>
      <c r="E58" s="4">
        <v>337818.41170542635</v>
      </c>
      <c r="F58" s="4">
        <v>346957.25465116277</v>
      </c>
      <c r="G58" s="4">
        <v>334859.41170542635</v>
      </c>
      <c r="H58" s="4">
        <v>346957.25465116277</v>
      </c>
      <c r="I58" s="4">
        <v>346957.25465116277</v>
      </c>
      <c r="J58" s="4">
        <v>334859.41170542635</v>
      </c>
      <c r="K58" s="4">
        <v>346957.25465116277</v>
      </c>
      <c r="L58" s="4">
        <v>334859.41170542635</v>
      </c>
      <c r="M58" s="4">
        <v>346957.25465116277</v>
      </c>
      <c r="N58" s="4">
        <v>4040214.6335658911</v>
      </c>
      <c r="P58" s="4">
        <v>371132.23218350305</v>
      </c>
      <c r="Q58" s="4">
        <v>356008.47092554183</v>
      </c>
      <c r="R58" s="4">
        <v>381704.24936175829</v>
      </c>
      <c r="S58" s="4">
        <v>372506.86891789152</v>
      </c>
      <c r="T58" s="4">
        <v>369968.81373814779</v>
      </c>
      <c r="U58" s="4">
        <v>374809.2426928833</v>
      </c>
      <c r="V58" s="4">
        <v>373908.4189292498</v>
      </c>
      <c r="W58" s="4">
        <v>376923.57277540368</v>
      </c>
      <c r="X58" s="4">
        <v>377196.41269288323</v>
      </c>
      <c r="Y58" s="4">
        <v>376504.20642924984</v>
      </c>
      <c r="Z58" s="4">
        <v>369275.35403903708</v>
      </c>
      <c r="AA58" s="4">
        <v>386134.0610292498</v>
      </c>
      <c r="AB58" s="4">
        <v>4486071.9037148003</v>
      </c>
    </row>
    <row r="60" spans="1:28" x14ac:dyDescent="0.25">
      <c r="A60" t="s">
        <v>95</v>
      </c>
      <c r="B60" s="4">
        <v>19982277.321776737</v>
      </c>
      <c r="C60" s="4">
        <v>18937464.734230462</v>
      </c>
      <c r="D60" s="4">
        <v>20353279.596338928</v>
      </c>
      <c r="E60" s="4">
        <v>20227289.573882908</v>
      </c>
      <c r="F60" s="4">
        <v>20270641.502171472</v>
      </c>
      <c r="G60" s="4">
        <v>20312142.498956837</v>
      </c>
      <c r="H60" s="4">
        <v>20613811.006139077</v>
      </c>
      <c r="I60" s="4">
        <v>20571276.900243513</v>
      </c>
      <c r="J60" s="4">
        <v>20644502.232398205</v>
      </c>
      <c r="K60" s="4">
        <v>20966178.310696386</v>
      </c>
      <c r="L60" s="4">
        <v>20483709.446592014</v>
      </c>
      <c r="M60" s="4">
        <v>21099079.556835137</v>
      </c>
      <c r="N60" s="4">
        <v>244461652.6802617</v>
      </c>
      <c r="P60" s="4">
        <v>20192414.747479588</v>
      </c>
      <c r="Q60" s="4">
        <v>19020105.005060226</v>
      </c>
      <c r="R60" s="4">
        <v>20043060.963378698</v>
      </c>
      <c r="S60" s="4">
        <v>19938572.388202928</v>
      </c>
      <c r="T60" s="4">
        <v>20211385.050123565</v>
      </c>
      <c r="U60" s="4">
        <v>19707874.87861158</v>
      </c>
      <c r="V60" s="4">
        <v>20131109.915571861</v>
      </c>
      <c r="W60" s="4">
        <v>20210643.055833697</v>
      </c>
      <c r="X60" s="4">
        <v>19735118.450429637</v>
      </c>
      <c r="Y60" s="4">
        <v>20323289.285960667</v>
      </c>
      <c r="Z60" s="4">
        <v>19753325.93230214</v>
      </c>
      <c r="AA60" s="4">
        <v>19978019.937994264</v>
      </c>
      <c r="AB60" s="4">
        <v>239244919.61094889</v>
      </c>
    </row>
    <row r="63" spans="1:28" x14ac:dyDescent="0.25">
      <c r="A63" t="s">
        <v>106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</row>
    <row r="64" spans="1:28" x14ac:dyDescent="0.25">
      <c r="A64" t="s">
        <v>107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</row>
    <row r="65" spans="1:28" x14ac:dyDescent="0.25">
      <c r="A65" t="s">
        <v>108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</row>
  </sheetData>
  <pageMargins left="0.7" right="0.7" top="0.75" bottom="0.75" header="0.3" footer="0.3"/>
  <customProperties>
    <customPr name="AdaptiveCustomXmlPartId" r:id="rId1"/>
    <customPr name="AdaptiveReportingSheetKey" r:id="rId2"/>
    <customPr name="CurrentId" r:id="rId3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E3A9F-3DE8-4AA3-8922-E130D93A09B6}">
  <dimension ref="A3:C72"/>
  <sheetViews>
    <sheetView workbookViewId="0">
      <pane xSplit="1" ySplit="6" topLeftCell="B61" activePane="bottomRight" state="frozen"/>
      <selection pane="topRight" activeCell="C1" sqref="C1"/>
      <selection pane="bottomLeft" activeCell="A7" sqref="A7"/>
      <selection pane="bottomRight" activeCell="A27" sqref="A27"/>
    </sheetView>
  </sheetViews>
  <sheetFormatPr defaultRowHeight="15" x14ac:dyDescent="0.25"/>
  <cols>
    <col min="1" max="1" width="32.5703125" bestFit="1" customWidth="1"/>
    <col min="2" max="3" width="20.5703125" customWidth="1"/>
  </cols>
  <sheetData>
    <row r="3" spans="1:3" x14ac:dyDescent="0.25">
      <c r="B3" s="5" t="s">
        <v>61</v>
      </c>
      <c r="C3" s="5" t="s">
        <v>61</v>
      </c>
    </row>
    <row r="4" spans="1:3" x14ac:dyDescent="0.25">
      <c r="B4" s="5" t="s">
        <v>62</v>
      </c>
      <c r="C4" s="5" t="s">
        <v>62</v>
      </c>
    </row>
    <row r="5" spans="1:3" ht="30" x14ac:dyDescent="0.25">
      <c r="B5" s="5" t="s">
        <v>63</v>
      </c>
      <c r="C5" s="5" t="s">
        <v>64</v>
      </c>
    </row>
    <row r="6" spans="1:3" ht="30" x14ac:dyDescent="0.25">
      <c r="B6" s="5" t="s">
        <v>65</v>
      </c>
      <c r="C6" s="5" t="s">
        <v>66</v>
      </c>
    </row>
    <row r="7" spans="1:3" x14ac:dyDescent="0.25">
      <c r="A7" s="11" t="s">
        <v>95</v>
      </c>
      <c r="B7" s="4">
        <v>0</v>
      </c>
      <c r="C7" s="4">
        <v>0</v>
      </c>
    </row>
    <row r="8" spans="1:3" x14ac:dyDescent="0.25">
      <c r="A8" s="13" t="s">
        <v>6</v>
      </c>
      <c r="B8" s="4">
        <v>86330003.497917607</v>
      </c>
      <c r="C8" s="4">
        <v>82361700.777446583</v>
      </c>
    </row>
    <row r="9" spans="1:3" x14ac:dyDescent="0.25">
      <c r="A9" s="13" t="s">
        <v>9</v>
      </c>
      <c r="B9" s="4">
        <v>21711005.518033564</v>
      </c>
      <c r="C9" s="4">
        <v>19911452.525400192</v>
      </c>
    </row>
    <row r="10" spans="1:3" x14ac:dyDescent="0.25">
      <c r="A10" s="13" t="s">
        <v>11</v>
      </c>
      <c r="B10" s="4">
        <v>19839418.732507564</v>
      </c>
      <c r="C10" s="4">
        <v>20055197.783807412</v>
      </c>
    </row>
    <row r="11" spans="1:3" x14ac:dyDescent="0.25">
      <c r="A11" s="13" t="s">
        <v>93</v>
      </c>
      <c r="B11" s="4">
        <v>5728998.9069210524</v>
      </c>
      <c r="C11" s="4">
        <v>4412622.2751668943</v>
      </c>
    </row>
    <row r="12" spans="1:3" x14ac:dyDescent="0.25">
      <c r="A12" s="13" t="s">
        <v>94</v>
      </c>
      <c r="B12" s="4">
        <v>3420164.15154716</v>
      </c>
      <c r="C12" s="4">
        <v>3815932.431073681</v>
      </c>
    </row>
    <row r="13" spans="1:3" x14ac:dyDescent="0.25">
      <c r="A13" s="13" t="s">
        <v>52</v>
      </c>
      <c r="B13" s="4">
        <v>769971.37999999593</v>
      </c>
      <c r="C13" s="4">
        <v>743635.43999960006</v>
      </c>
    </row>
    <row r="14" spans="1:3" x14ac:dyDescent="0.25">
      <c r="A14" s="13" t="s">
        <v>53</v>
      </c>
      <c r="B14" s="4">
        <v>22122239.003999997</v>
      </c>
      <c r="C14" s="4">
        <v>23402190.485943414</v>
      </c>
    </row>
    <row r="15" spans="1:3" x14ac:dyDescent="0.25">
      <c r="A15" s="13" t="s">
        <v>14</v>
      </c>
      <c r="B15" s="4">
        <v>0</v>
      </c>
      <c r="C15" s="4">
        <v>0</v>
      </c>
    </row>
    <row r="16" spans="1:3" x14ac:dyDescent="0.25">
      <c r="A16" s="13" t="s">
        <v>54</v>
      </c>
      <c r="B16" s="4">
        <v>0</v>
      </c>
      <c r="C16" s="4">
        <v>0</v>
      </c>
    </row>
    <row r="17" spans="1:3" x14ac:dyDescent="0.25">
      <c r="A17" s="13" t="s">
        <v>15</v>
      </c>
      <c r="B17" s="4">
        <v>0</v>
      </c>
      <c r="C17" s="4">
        <v>0</v>
      </c>
    </row>
    <row r="18" spans="1:3" x14ac:dyDescent="0.25">
      <c r="A18" s="13" t="s">
        <v>16</v>
      </c>
      <c r="B18" s="4">
        <v>0</v>
      </c>
      <c r="C18" s="4">
        <v>0</v>
      </c>
    </row>
    <row r="19" spans="1:3" x14ac:dyDescent="0.25">
      <c r="A19" s="13" t="s">
        <v>28</v>
      </c>
      <c r="B19" s="4">
        <v>165856.97999999803</v>
      </c>
      <c r="C19" s="4">
        <v>128447.44958904164</v>
      </c>
    </row>
    <row r="20" spans="1:3" x14ac:dyDescent="0.25">
      <c r="A20" s="14" t="s">
        <v>67</v>
      </c>
      <c r="B20" s="4">
        <v>0</v>
      </c>
      <c r="C20" s="4">
        <v>0</v>
      </c>
    </row>
    <row r="21" spans="1:3" x14ac:dyDescent="0.25">
      <c r="A21" s="14" t="s">
        <v>45</v>
      </c>
      <c r="B21" s="4">
        <v>0</v>
      </c>
      <c r="C21" s="4">
        <v>0</v>
      </c>
    </row>
    <row r="22" spans="1:3" x14ac:dyDescent="0.25">
      <c r="A22" s="14" t="s">
        <v>18</v>
      </c>
      <c r="B22" s="4">
        <v>0</v>
      </c>
      <c r="C22" s="4">
        <v>0</v>
      </c>
    </row>
    <row r="23" spans="1:3" x14ac:dyDescent="0.25">
      <c r="A23" s="14" t="s">
        <v>19</v>
      </c>
      <c r="B23" s="4">
        <v>0</v>
      </c>
      <c r="C23" s="4">
        <v>0</v>
      </c>
    </row>
    <row r="24" spans="1:3" x14ac:dyDescent="0.25">
      <c r="A24" s="14" t="s">
        <v>68</v>
      </c>
      <c r="B24" s="4">
        <v>96000</v>
      </c>
      <c r="C24" s="4">
        <v>50000</v>
      </c>
    </row>
    <row r="25" spans="1:3" x14ac:dyDescent="0.25">
      <c r="A25" s="14" t="s">
        <v>21</v>
      </c>
      <c r="B25" s="4">
        <v>0</v>
      </c>
      <c r="C25" s="4">
        <v>0</v>
      </c>
    </row>
    <row r="26" spans="1:3" x14ac:dyDescent="0.25">
      <c r="A26" s="14" t="s">
        <v>22</v>
      </c>
      <c r="B26" s="4">
        <v>0</v>
      </c>
      <c r="C26" s="4">
        <v>0</v>
      </c>
    </row>
    <row r="27" spans="1:3" x14ac:dyDescent="0.25">
      <c r="A27" s="14" t="s">
        <v>46</v>
      </c>
      <c r="B27" s="4">
        <v>0</v>
      </c>
      <c r="C27" s="4">
        <v>0</v>
      </c>
    </row>
    <row r="28" spans="1:3" x14ac:dyDescent="0.25">
      <c r="A28" s="14" t="s">
        <v>47</v>
      </c>
      <c r="B28" s="4">
        <v>0</v>
      </c>
      <c r="C28" s="4">
        <v>0</v>
      </c>
    </row>
    <row r="29" spans="1:3" x14ac:dyDescent="0.25">
      <c r="A29" s="14" t="s">
        <v>69</v>
      </c>
      <c r="B29" s="4">
        <v>0</v>
      </c>
      <c r="C29" s="4">
        <v>0</v>
      </c>
    </row>
    <row r="30" spans="1:3" x14ac:dyDescent="0.25">
      <c r="A30" s="14" t="s">
        <v>81</v>
      </c>
      <c r="B30" s="4">
        <v>0</v>
      </c>
      <c r="C30" s="4">
        <v>0</v>
      </c>
    </row>
    <row r="31" spans="1:3" x14ac:dyDescent="0.25">
      <c r="A31" s="13" t="s">
        <v>55</v>
      </c>
      <c r="B31" s="4">
        <v>96000</v>
      </c>
      <c r="C31" s="4">
        <v>50000</v>
      </c>
    </row>
    <row r="32" spans="1:3" x14ac:dyDescent="0.25">
      <c r="A32" s="13" t="s">
        <v>23</v>
      </c>
      <c r="B32" s="4">
        <v>0</v>
      </c>
      <c r="C32" s="4">
        <v>0</v>
      </c>
    </row>
    <row r="33" spans="1:3" x14ac:dyDescent="0.25">
      <c r="A33" s="13" t="s">
        <v>25</v>
      </c>
      <c r="B33" s="4">
        <v>37124555.567037843</v>
      </c>
      <c r="C33" s="4">
        <v>34413657.853209294</v>
      </c>
    </row>
    <row r="34" spans="1:3" x14ac:dyDescent="0.25">
      <c r="A34" s="13" t="s">
        <v>56</v>
      </c>
      <c r="B34" s="4">
        <v>1530951</v>
      </c>
      <c r="C34" s="4">
        <v>1255470</v>
      </c>
    </row>
    <row r="35" spans="1:3" x14ac:dyDescent="0.25">
      <c r="A35" s="13" t="s">
        <v>26</v>
      </c>
      <c r="B35" s="4">
        <v>-798044.00000000012</v>
      </c>
      <c r="C35" s="4">
        <v>226363.75000000009</v>
      </c>
    </row>
    <row r="36" spans="1:3" x14ac:dyDescent="0.25">
      <c r="A36" s="13" t="s">
        <v>43</v>
      </c>
      <c r="B36" s="4">
        <v>10982358.990000002</v>
      </c>
      <c r="C36" s="4">
        <v>10179312.462801056</v>
      </c>
    </row>
    <row r="37" spans="1:3" x14ac:dyDescent="0.25">
      <c r="A37" s="13" t="s">
        <v>50</v>
      </c>
      <c r="B37" s="4">
        <v>600004</v>
      </c>
      <c r="C37" s="4">
        <v>559783</v>
      </c>
    </row>
    <row r="38" spans="1:3" x14ac:dyDescent="0.25">
      <c r="A38" s="13" t="s">
        <v>44</v>
      </c>
      <c r="B38" s="4">
        <v>3449958.7810934652</v>
      </c>
      <c r="C38" s="4">
        <v>2865789.0790015366</v>
      </c>
    </row>
    <row r="39" spans="1:3" x14ac:dyDescent="0.25">
      <c r="A39" s="13" t="s">
        <v>82</v>
      </c>
      <c r="B39" s="4">
        <v>0</v>
      </c>
      <c r="C39" s="4">
        <v>0</v>
      </c>
    </row>
    <row r="40" spans="1:3" x14ac:dyDescent="0.25">
      <c r="A40" s="12" t="s">
        <v>83</v>
      </c>
      <c r="B40" s="4">
        <v>213073442.50905824</v>
      </c>
      <c r="C40" s="4">
        <v>204381555.31343871</v>
      </c>
    </row>
    <row r="41" spans="1:3" x14ac:dyDescent="0.25">
      <c r="A41" s="12" t="s">
        <v>70</v>
      </c>
      <c r="B41" s="4">
        <v>0</v>
      </c>
      <c r="C41" s="4">
        <v>0</v>
      </c>
    </row>
    <row r="42" spans="1:3" x14ac:dyDescent="0.25">
      <c r="A42" s="12" t="s">
        <v>71</v>
      </c>
      <c r="B42" s="4">
        <v>-38990441.934</v>
      </c>
      <c r="C42" s="4">
        <v>-38990441.564000003</v>
      </c>
    </row>
    <row r="43" spans="1:3" x14ac:dyDescent="0.25">
      <c r="A43" s="12" t="s">
        <v>84</v>
      </c>
      <c r="B43" s="4">
        <v>0</v>
      </c>
      <c r="C43" s="4">
        <v>0</v>
      </c>
    </row>
    <row r="44" spans="1:3" x14ac:dyDescent="0.25">
      <c r="A44" s="11" t="s">
        <v>85</v>
      </c>
      <c r="B44" s="4">
        <v>174083000.57505822</v>
      </c>
      <c r="C44" s="4">
        <v>165391113.74943873</v>
      </c>
    </row>
    <row r="45" spans="1:3" x14ac:dyDescent="0.25">
      <c r="A45" s="13" t="s">
        <v>29</v>
      </c>
      <c r="B45" s="4">
        <v>16368050.24399888</v>
      </c>
      <c r="C45" s="4">
        <v>21555535.720046215</v>
      </c>
    </row>
    <row r="46" spans="1:3" x14ac:dyDescent="0.25">
      <c r="A46" s="13" t="s">
        <v>30</v>
      </c>
      <c r="B46" s="4">
        <v>14919221.422533523</v>
      </c>
      <c r="C46" s="4">
        <v>16082726.269488946</v>
      </c>
    </row>
    <row r="47" spans="1:3" x14ac:dyDescent="0.25">
      <c r="A47" s="13" t="s">
        <v>31</v>
      </c>
      <c r="B47" s="4">
        <v>0</v>
      </c>
      <c r="C47" s="4">
        <v>0</v>
      </c>
    </row>
    <row r="48" spans="1:3" x14ac:dyDescent="0.25">
      <c r="A48" s="13" t="s">
        <v>57</v>
      </c>
      <c r="B48" s="4">
        <v>11197788.6</v>
      </c>
      <c r="C48" s="4">
        <v>10909413.361886049</v>
      </c>
    </row>
    <row r="49" spans="1:3" x14ac:dyDescent="0.25">
      <c r="A49" s="14" t="s">
        <v>33</v>
      </c>
      <c r="B49" s="4">
        <v>7333854.5999999996</v>
      </c>
      <c r="C49" s="4">
        <v>7914994.7038781047</v>
      </c>
    </row>
    <row r="50" spans="1:3" x14ac:dyDescent="0.25">
      <c r="A50" s="14" t="s">
        <v>34</v>
      </c>
      <c r="B50" s="4">
        <v>7413950.8999999994</v>
      </c>
      <c r="C50" s="4">
        <v>8298124.1219485858</v>
      </c>
    </row>
    <row r="51" spans="1:3" x14ac:dyDescent="0.25">
      <c r="A51" s="14" t="s">
        <v>35</v>
      </c>
      <c r="B51" s="4">
        <v>4763909.040000001</v>
      </c>
      <c r="C51" s="4">
        <v>5214728.5940577369</v>
      </c>
    </row>
    <row r="52" spans="1:3" x14ac:dyDescent="0.25">
      <c r="A52" s="14" t="s">
        <v>36</v>
      </c>
      <c r="B52" s="4">
        <v>1532335.36</v>
      </c>
      <c r="C52" s="4">
        <v>1948401.3604885528</v>
      </c>
    </row>
    <row r="53" spans="1:3" x14ac:dyDescent="0.25">
      <c r="A53" s="14" t="s">
        <v>40</v>
      </c>
      <c r="B53" s="4">
        <v>4530920.2799999993</v>
      </c>
      <c r="C53" s="4">
        <v>5073259.2455951674</v>
      </c>
    </row>
    <row r="54" spans="1:3" x14ac:dyDescent="0.25">
      <c r="A54" s="14" t="s">
        <v>41</v>
      </c>
      <c r="B54" s="4">
        <v>4845138.0799999991</v>
      </c>
      <c r="C54" s="4">
        <v>5349861.590297549</v>
      </c>
    </row>
    <row r="55" spans="1:3" x14ac:dyDescent="0.25">
      <c r="A55" s="14" t="s">
        <v>42</v>
      </c>
      <c r="B55" s="4">
        <v>0</v>
      </c>
      <c r="C55" s="4">
        <v>3.2276758718580822E-2</v>
      </c>
    </row>
    <row r="56" spans="1:3" x14ac:dyDescent="0.25">
      <c r="A56" s="14" t="s">
        <v>86</v>
      </c>
      <c r="B56" s="4">
        <v>0</v>
      </c>
      <c r="C56" s="4">
        <v>0</v>
      </c>
    </row>
    <row r="57" spans="1:3" x14ac:dyDescent="0.25">
      <c r="A57" s="13" t="s">
        <v>87</v>
      </c>
      <c r="B57" s="4">
        <v>30420108.260000002</v>
      </c>
      <c r="C57" s="4">
        <v>33799369.648542456</v>
      </c>
    </row>
    <row r="58" spans="1:3" x14ac:dyDescent="0.25">
      <c r="A58" s="13" t="s">
        <v>49</v>
      </c>
      <c r="B58" s="4">
        <v>153154.40000000002</v>
      </c>
      <c r="C58" s="4">
        <v>147585.91</v>
      </c>
    </row>
    <row r="59" spans="1:3" x14ac:dyDescent="0.25">
      <c r="A59" s="13" t="s">
        <v>58</v>
      </c>
      <c r="B59" s="4">
        <v>0</v>
      </c>
      <c r="C59" s="4">
        <v>0</v>
      </c>
    </row>
    <row r="60" spans="1:3" x14ac:dyDescent="0.25">
      <c r="A60" s="13" t="s">
        <v>59</v>
      </c>
      <c r="B60" s="4">
        <v>0</v>
      </c>
      <c r="C60" s="4">
        <v>0</v>
      </c>
    </row>
    <row r="61" spans="1:3" x14ac:dyDescent="0.25">
      <c r="A61" s="13" t="s">
        <v>60</v>
      </c>
      <c r="B61" s="4">
        <v>0</v>
      </c>
      <c r="C61" s="4">
        <v>0</v>
      </c>
    </row>
    <row r="62" spans="1:3" x14ac:dyDescent="0.25">
      <c r="A62" s="13" t="s">
        <v>37</v>
      </c>
      <c r="B62" s="4">
        <v>775671.81859999709</v>
      </c>
      <c r="C62" s="4">
        <v>612406.00000000012</v>
      </c>
    </row>
    <row r="63" spans="1:3" x14ac:dyDescent="0.25">
      <c r="A63" s="13" t="s">
        <v>88</v>
      </c>
      <c r="B63" s="4">
        <v>0</v>
      </c>
      <c r="C63" s="4">
        <v>0</v>
      </c>
    </row>
    <row r="64" spans="1:3" x14ac:dyDescent="0.25">
      <c r="A64" s="12" t="s">
        <v>89</v>
      </c>
      <c r="B64" s="4">
        <v>73833994.745132416</v>
      </c>
      <c r="C64" s="4">
        <v>83107036.909963682</v>
      </c>
    </row>
    <row r="65" spans="1:3" x14ac:dyDescent="0.25">
      <c r="A65" s="12" t="s">
        <v>90</v>
      </c>
      <c r="B65" s="4">
        <v>0</v>
      </c>
      <c r="C65" s="4">
        <v>0</v>
      </c>
    </row>
    <row r="66" spans="1:3" x14ac:dyDescent="0.25">
      <c r="A66" s="11" t="s">
        <v>91</v>
      </c>
      <c r="B66" s="4">
        <v>73833994.745132416</v>
      </c>
      <c r="C66" s="4">
        <v>83107036.909963682</v>
      </c>
    </row>
    <row r="67" spans="1:3" x14ac:dyDescent="0.25">
      <c r="A67" s="11" t="s">
        <v>96</v>
      </c>
      <c r="B67" s="4">
        <v>0</v>
      </c>
      <c r="C67" s="4">
        <v>0</v>
      </c>
    </row>
    <row r="68" spans="1:3" x14ac:dyDescent="0.25">
      <c r="A68" s="11" t="s">
        <v>92</v>
      </c>
      <c r="B68" s="4">
        <v>0</v>
      </c>
      <c r="C68" s="4">
        <v>0</v>
      </c>
    </row>
    <row r="69" spans="1:3" x14ac:dyDescent="0.25">
      <c r="A69" t="s">
        <v>80</v>
      </c>
      <c r="B69" s="4">
        <v>247916995.32019067</v>
      </c>
      <c r="C69" s="4">
        <v>248498150.65940264</v>
      </c>
    </row>
    <row r="71" spans="1:3" x14ac:dyDescent="0.25">
      <c r="A71" t="s">
        <v>93</v>
      </c>
      <c r="B71" s="4">
        <v>5728998.9069210524</v>
      </c>
      <c r="C71" s="4">
        <v>4412622.2751668943</v>
      </c>
    </row>
    <row r="72" spans="1:3" x14ac:dyDescent="0.25">
      <c r="A72" t="s">
        <v>94</v>
      </c>
      <c r="B72" s="4">
        <v>3420164.15154716</v>
      </c>
      <c r="C72" s="4">
        <v>3815932.431073681</v>
      </c>
    </row>
  </sheetData>
  <pageMargins left="0.7" right="0.7" top="0.75" bottom="0.75" header="0.3" footer="0.3"/>
  <customProperties>
    <customPr name="AdaptiveCustomXmlPartId" r:id="rId1"/>
    <customPr name="AdaptiveReportingSheetKey" r:id="rId2"/>
    <customPr name="Current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daptiveCompressedXml id="2d163a86cffd43e58e01bbf10c20e10d">H4sIAAAAAAAEAO19XY8dN5Ll+wL7HwS9x5jxwQhyoPagx9MPBra7F233w+wbP9fCyrIhaT4ai/nvS1bLGrtcOZVaFBt5sxIGyqrKrHuz7gkeRpwIRrz6h3///s2Lf23v3r/+4e1vXuLfuZf/8OV//2+vvvmutQ8vvq6/eUkVlVNQKL1XEG4eQnMIOXd0hVxDV1+++EP6vv3m5R+/gt//8PbDd2/+8nK8yIsXr97Pl/mn1l+/ff1hvMH7u5+On79rP/7w7sM3v7z68eK4/GN69+H9p28/3f8/x4/vnilxVDFjyOobSE8NgjqB7CQJsS/G6eXPfn+8wv/4oaRfvMnHn7+uLz785cfx7PryxRf3L5b25s1va33X3r9/8e6Hf/vNS/fyRfnhzb98Pz8qeeAX/k/7y5f46ov5v1+8+xcPvv2r8u71h/budbr/Mu1N+769/fDNgCDV9OO45w6Jl/fum4//9v2H9La0X1352bXxyHX8gb/95h///Kd//uqPv//9n//w9bdf/+4b/PUfMB918yV/eqz3D73Zx2svXs8HJTL59cPe3Tc/7Bfjxtcf/vLt3ef+4FPM5/j4io++GeoDH8zD7xX/P97rXXszkPvX9lV6097W9O53H9/7h97ftw8TlRf1X97dgTvfZAKFjjeeqHx8ka/rg9d/eQc651598civPH7Dh7un2nq/X31G4eHPaL7T5iu9+mLjU3rAvDaM6NOFYfT31s4Dq2S+4U+M8F/whPrupKYA3SSBGEYI0RfgiKG7HIN3YTVP0AMf6B1P0MUTgye2VsrFExdP/M14ImXnlWsAnzWDyJ2PExiSVd8tpexLW84TGzSh7uKJ5+RPTL/y10SBF1EcgShKDNljH25ESQ7E9QSxlg655tqxeB9TWU0UvEUUV+DxvIjCX0RxWKLIyKiIHnxlA8mxQXKC4FvrmEhYYl9NFFsChV6Rx/MiCr2I4rBEgdRb7lFAo4XhUdQMQcPgDZe6r7FmsuVSpt8iCr6I4lkRhV1EcVyisOFJpBqAO9EgCm8QQurQY85qHLTe19Kenigeuv+OKOQiimdFFOEiisMSRUYtpjpDjzQ8ijp1zEoZegrOlTi+8nKNwraIwl9E8ayIIl5EcViiKFxLCOZBw4g6BGuD2DtCKqlpLrX7vFyj2EqOql5E8ZyIgtxFFIclimbY0cUGlh2CSEDIyQxqyLVh5JQlryaKB4zur0RhF1E8K6LAiygOSxSeY3WORsDhK4NwJwiVFDgYZS/O97683grdFlOEiymeFVM8WHF1McUhmCJbpK6sYD4Nl0I5wgg6EvgkJEGa0X2kFjDFAxb+V6aIF1M8K6bgiykOyxQ1jQDDegTq2YZPgcO7yCFCFFPp1NA3Wc4UW8WZdhVnPi+muIozj8sUWHoO5gTUJIO0ZhCUG/hqIj0gp7zep9iqzrSrOvN5McVVnXlcpgix9R6dQvI2oo/SMoRkCVJAS0W0oy6vpcCtYgqky6l4VifDrhMfL45LFcks9uE4gHM9T0mzQjQ3T8OjaejmLdflVLFVToF0eRXPiyour+K4VEFasjhXQVMVkCQd0og8xr80WAuUsbrlVLFVUIF0nfp4XlRxnfo4LlUMKsA8qUIClhGAGEHuatCDaVOKtRZdThVbJRVI17mP50UV17mP41KFUtdK3UGJRUGiKcSCCI3JqSvIeX0AQls1FUjXyY/nRRXXyY/jUkXJNYSQPUjnCJIlQiqhzFOlxGJSHdNyqtgqqkC6zn48L6q4zn4clyo0ElsIHVr0IwqxmiFHrYDYm2Qf2bnlZz9oq6oC6Tr98ayo4jr98eK4VJGNsos8wo48j4l18ZCCi5DHRzs7aPbc1lPFVlkF0nX+43lRxXX+48BUgaWEaBEoOQHRQJBw8kWtPlAUjusPitFmX266DoA8L6q4DoAclyqidqzSh1fhZstdnzKkjgJRSkiU2A2nYzlVbDW+QrpOgDwvqrhOgByXKooTlMwGIc9TpTXOprvM0GOJjDVq9usDkM1qTb6qNZ8XVVzVmselilAp9xojNCwIglQhO1egeqaqLVeR9VSxWa3JV7Xm86KKq1rzuFShiUx96+BLbCCEEXKoBt3IFZeUW/ZLqEJ3zBD7jAKsNym3N/df40P79w9f/l/3HwOX+a97V+9+5T/nrn18+EFhv2CUuyXkHiCWbaj3GcyGsbz64t5z3fvz7/+hO3F2tZNzrUIyTGNLEIMkyQ0X0oIvJWYf1mhSumMG1GdUz1w4PyIoUHKKxmA1dRD1BYJSAYzsxGmriGuKH3jHev6M0odD4/zgLvm3xRnHog0pl7GUcfL2gDiZF9CQs0tRg7jlOG+u58/IW184P3bwyidycbB1KgNsHeSdsFbgVM2jinZZ0/dBdqznz0g6HhrnDT//b4lzCbFbzQhUmgMJTiAUlrFJOxfHHxwlxNU4b67nz8gYXTj/1zhb0ph54FyK+EHeSrOOec7Y65iiqXJdU8fsd6znz5D71+L8QHB4Yzjn2dYrJATvWwThMNYzx4EzT86uWWpd037c71jP+Bli7QX0I4EVVkHn0/CwZ41x0YFx6dPhtuRzVg19jSOmjw/NtM847Hho4j5AYGWSmSsFKGGegEevEHUsbQ1MRdC6ZVuN82ZXnUsoeTKcm2YufTZFET82aC0COXqEylnNt1C9rDmTqI+PrLNLKHkynGss2u58sDyLtGaiJInlEWc5tCY6/PDlwudW4YWdRSg5AM485zd4YtA8mxAM52sEVuhBu0sp9xyjrqmw0ccHRtlZhJID4Bw9SYqdwPU2j3KYg1THos6lSTTu4vKaCYL6+LwfO4tQcgCcOfWGw9+CVmsa6xkzxEQ0eBtrd5h9ozVNy/TxcS12FqHkADj3EFzOLcBY2AjiyoirYhLwIo1SzePimgBaH5+2YYcRSm4f5xJlbMISoGFqA+c04+cSgCizMqKntKZdqe4YlhAOI5TcPtDRhaDDtR4LuswO1pQgsI04y/GcskU06Hs50FvHssNn1CRdQD+Sshrxc8IcoY84aqzou+oz7BC7OW6cA8pyRWyzVXm4JLGn26Ir+thiB6ueQEpOkMnKwJ3Hf6pNFo3Y1B2dpsOliT3dHk3ROlaDIKggfhYbMHmIpVGwXjSnNZoYP65xh7NoYgcoNihZk6bWpxw2Y+jWIItTqG6scq/NJK0pNuDHNe5wFk3sADizS0H7oOsiGKdW0iEH56BqdNGzD9jWuGL8uMYdzqKJHQDnztln7zNEtFk8NF3usTNDYa0h44i6aM0GzY9r3OEsmtgRcJ6tdt2IoUVDnLlJGVszO3COa/DVV1ukcfPjGnc4iyZ2AJytD5zFKiSdiavpcIeaM/ROPXCtHMvyos8tjTucRRM7AM4SHaViAXzrNNvYIWTFPL7oQJq1JVxTa8CPa9zxLJLYAXCeHUyFhaGFlEA4zp5CpYBSrj5q0drXaJ/8uMYdz6KIHQBnxlqja3k4XtmBxLGUQy8Rch6hNA0freOa3CTv0LjjWRSxAwDdIvYRKLt5yqqBJBPIOBzulhGZfefo1pyy4h0adzyLInYAoGOolFrvELO0eQanQq4D9z6zVuYIY1mulGxq3PGSxJ6OumsmbxwBQx5Az+g5Wu3A1c/Owj43Xr5Fb2rc8dLEnm5FC5eY2nDDtA2fu5JB7i6OjVqkcm/W65o9Wh7XuONZNLED1OuT9liYRmylXccW3e/GExWowSW21K3I8oNWm+v5LJrYAXAO3FpNMkdaZgTJTHA3akad+mKsNJh9Nc6b56zOookdAOeGzigGApPZ2KDGMrv9KzTuxRuaIq7RPuVxjTueRRM7AM5cG3E2AxVlkE4jfPbewyzv5WhmKmscMXlc40Z3FlHsAECPyMmEZs2nl1n4aRUChgAcYiYOwwz68g16s3eVO4sqdgCg54wF5nlEVmMGiSVDyjQ2bK6SMreYuK0GevuE7FlUsQMA3VScCzg70c0YmrlBChVHfOWHG0a5SAirgd6c8ufOooodAGjsMYVc5rEMm/VDoUM036FVKbVi1krLfe5NnRvdWWSxAyDtmq/sc4QQ5ynZXmnQdmYImUIqedjAomJu2SF0ozuLLnYApC2H3kshUMLhdwcRSNoSmLViojgctDW5aNmhdKO7lLGnq9svhVN0Dca2rAPpXObhSR7A+wE7tVDreqQ3J9y4Sxt7un06KfpiEcbanT1L4vDFfM/gcm0yvHJPi86++8e1bnSHEcduvzkNNU6Vh+ddfBoOWeQKWXyGnDsPx4yJ3Zpt2j8udqM7jDp2+0Czxhj7WMdNdaxoiRVC4ADU0SefnNW0JsTyj6vdeLWbejqga5fkcGzNRXXEWTaB1h4gtKJClFzMa9Qx/7jcjXgYdez2gZZYhGwgG/ss7O5IkIp0sBFRN0ayktdUmPgdejceRh27faC987l6T9Ac93kAPkEk9pBS7JiNEoY1Rd1+h96Nh1HHbh9oqupFOUOiPICmEWlFLR68FsleumZdo3f7HXo3HkYcu32gO6oTJwLYNY4VrQKhuw7VdZ9SqdzD8h6vm3o3HkYbu32g6zxeV4oA17EzC884Orh5PMczVskt0fI4elvvxsNoY7ePtKIKW6lgoQ1vzM9qIhaDsTsjuYQu+zUn4P0evRsPo43dPtI2lnF1QSGinwM00EGMeQTWoUrqRUota3JYfo/ejZc49nSFJtpqGVEzeBQa23ToEBxFMK21loTJ+zUVv36P3o2XOvZkSA//OvR5Iico1RlLKwyHOwBSZ/auN6Y1nvfPG9Vsj848TDB9+51qkoWc8gimK9vsbIEMI4R2wDk719HNuezLkd6efHiYaPr2kbZOfnhdCCXPfuxKHnIcmI8wOjfvrHFfj/RmOM2HCadvH2lyBSPWApYHyBLnaJw24q00vDSTVLyG9Y0DN+NpPkw8fftI+8BEvcpMbghITmOfdsIjyipOgwTfbHnvfdqMp/kw8fTtI13UldpCGZw9a00o+9k6UKFwyi4j+bhIIvs50pvxNB8mnr59pB0jF/XDBautgPjGs1JQ5jGORL4OpN3yvuy0GU/zYeLp20daHIXUiUdYNb6IDR6PzPNMlrBLY9/Wvh7pzXiaDxNP3z7SDaUV4wCl4WwWSWOfDtzAUSeJXJxb1Ifq50hvlpvIYcpNbh9pall5Nu3mhg6kNQex54G0YGjqmpO2fp/erDeRw9Sb3D7SuQ50ZwCt3gZ7k+FdBQKkwCg55l50eR9+2tTI5NLInm6f9oal5ACx+DDi6RQhipbhexPPYQzFFp2Y/jnSmxqZXBrZE5YWDder1DloQWcfwTqiLE8JuqtKLtTs4vp2VNtr+iwa2QG615SEUlwPUG2ejo8xzTZFI7wemA/P2xGt7/S7rXvLWTSyAyAtJReS4XH7HHGs6TQHC481TWRE1ZEWXN95bFP3lrNoZAdAumhtpIkhxDaQDnTXAHbW9EcinS2805qsJe/RveUsGtkBkMZmHSmkORrJzzOWCdJs+lszJawxDaTXFPXzHt1bzqKRHQDp1lKkED2ouZnL8mUgPfZpTLVaQ1ShNfE079G95Swa2QGQ7jTHg0cHYnO+MGmGUCoB6vTKW+Ngy/fpbd3bn0UjOwDSrK7FXBGccAZh34ZHxg04OyvDKw/S+3KkN3VvfxaN7ABIY+VUAgp4jgGk9D7iaWOIiU1dohp5+fyFbd3bn0UjOwDSRRqNxdtmkQlNj6zCWMYZrKBvhUuLstz33ta9/Vk0sgMg3dWhzUaCSc1Ass4mNhhgRNLJcjULefmsjW3d218a2dP53tY15Xngbg7OkdDnFMOqwJZza2Kt1+WtvLd1b39pZE+ne9caQukIPdc4fO9UIVoyyK3gHBsfVs09kz26tz+LRnaAyn6TXnooBs7S8L1rapCx0UC6aTQuxac1Hpns0b39WTSyAyBdVcQ8Jhh/3PC9RRRSzwwNjYJXrobrkd7Uvf1ZNLIDIB1yC5pDAZbAA2kyCIgdegkuhz5noy2fxLCte/uzaGQHQLp4l6Z4Ar5O9s5dIZbhgA+Mg3qnHWmNRiZ7dG89i0Z2AKQ1xB4yO7A2+1Olwd55trQp0TNhbMHj8hbA27q3nkUjOwDSSNnu4ulQREBwVgxi8tACjR26++ry8s6w27q3nkUjOwDS2rhR68PjZqcghRWCuQIVfaNqycuifjayR/fWs2hkB0C6Snc5u7GmK4fZ5yRBmA54M4lRZ3loXNPnRPbo3noWjewASDdfOM+GoTUaDd+76BxlaZCaWkm+cWjLlZNt3VvPopEdAOlshTsN35vn0WkZny2EXgNgZpVAqfv1Hdy3dW+9NLInPIGXY3bBwEqZU3WmRtaDAKL5QeOtZlw+UGdb99ZLI3vCDIcv1iiD1sneNgcy6Pgi6pKTxrnS8laS27q3HkYju/2ONiypSooKtVQ3PLKxukPUCq63qOpa67K+89z2mj6MRnb7SGPkGrh46CkZSFeG7GubPeh6czKuyJr8tN+je9thNLLbR9pFiikPZztUm2uaOuQYMqQ0dmhVb1LW+N5+j+5th9HIbh/p2V6uGwpQxTiVkwApUAFjIfUyfri+x+C27m2H0chuH2lu3mWXFFpIE+kBcmiRQc3XXmpuirwc6U3d2w6jkd0+0iVxqWIeWqfB3lgCZOcHmatYcTZnji/v17+te9thNLLbR1pbd94PkGv3s703GQy+tnnWsovMBt9+eZS1rXvbYTSy20faG1EI4qF01z7OnDYdq1t8C86QrC73yLZ1bzuMRnb7SOdQfOjZgdcZW43gCnLBDhRjKhhI+6LKfr9H97bDaGS3j7RvpYx1HUEDzWHEPY0tugn46GgWgte8XjnZ1r3t0sieTg2tFqMzBdV5DM9hhiDMECzN/7MlXT4qa1v3tksjezqNjDnnMoi7crxb0zyrTyoopkJdDRuuqeynn0G9PYdjP9Dl3euBzet0/3Xam/b9+My/aR9+id+vP/fXb99/SG9Lewi6n66NR67jL/ztN//45z/981d//P3v//yHr7/9+nffbCC5+ZI/Pdb7h97s47U7C4tqv37Uu7t+ZU0PfOx/fYqPr/fA8208xacL41O79+E/8DHvrU1NsWV3N8qeCwj1CHEE+BBcsyytSXNrLM12GNpn6DYnNTR5gMvubro1OysWCSMJdJvd2LLS8EdLAC++thB7HaHHEjsLO+zsM1Sjk9oZ3u+Q9umuWzO07lKWWRzQ/SwOmNSWsmNohCl0T0F5jWwVdxjaZ4hWZzU0OYuhYahSOmWgEWSBpFaHocVZAd6G61YkN16zc84BaY9a2meIZme1NC8nsTRLzWvQOgfb65yFHSH42XkFI5YREJALa84PzQFtj1raZ4h2Z7W0eBZOa45Vq3XAEm32tlcImIar5ovGNmJS7Wsq4OeAuEct7TNEw5NaGrmzWJo2U8bhpnHzszuzG5bGrUCPvVcMWLmt2T1Fd1jaZ4iWJ7U05ngSSyulc62aoVAdfloZ+2giR1AD9yLJQkiLLG2PlvYZoulpLe0sfpo2yezbiAhyCCAYGCISQuiFtFv2WtbUxog8bmn0GYWNJ7U0tNPIaVTQKicGptmMMbUOMagb34oPw94y10VHIHiHqV0JAr4f+3+669YsTXOjwjhiAPKz5b7LkLThNLzY2YtQXyPc4o4MAV0ZAlE9iaUVKlayJmDNw9JUZirKGlBkH3xM3i8KPmVH8ElXjgBDOAupSeqOXTGwGu4mxijErB2K79J9i9HXRTrHjnQUXVkC9mfJr7dUe0olzJqdQWpsArPlE/QkTakGJ7SmOgt35KPoyhLw/ZKpT3fdmqUFlUKeB6eFOdnOD0uLs7Uz2zBAnwLnRY4a7chH0ZUlEPUnsTRnRpwtQihzGmomB7HOFhu9JFdbS9bWdFqgHfkourIE4s7CaSnX4KszoBbLCAnCnA2VOogFi71nFxb1yKQ9IcGVJZD7jTY+3XVrloaWjP0IASS6CNJKgZywAAXTUDOyuDUnY2iPoHZlCTDeP4P26bZbM7XaVfN0zwaxje3TbGyfyTpoLVqCH6a26MAG7UgT8JUmQDuNzlFKqEjWoDud/WhTgxAoQg3JNelqPa7JSNGOLDtfaYKo4SSWlosQxxF9spsTCiL7YWkxQ/fOfBv+miyaOkI70gR8pQniaXQOaxlJTQGrOJCaM+RKCEXG98ERsltTDUk7tFu+0gTRzlKjFlyUPoJpYJoTGpImyMIdos9URCWMXXWNpe3QbvnKEkQ7i5+GjInqCDfRzUlO3BBS4DT8NIpZovmS1/hpvEO75StLEO0swWdmbLOtD0RpU0dTgjincbtihMKISdZwGu/QbvnKEkTjk1hadDHfTbKy2gVEOMIIOsOsU6uVe+2aF80L3qHd8pUliPfHNX+669YsrSFT9blC6Xn2pLMMEQexuUIiqTUf8qI5iDu0W76yBMN/OYmlpaIj+iwNKs7J2IHH7hmMofZgaQQJceyuayxtj3R7ZQlQTyPdWqpGoThwd1kCbAKRS4UwW/VVqhZXmdqOYytyZQlQT3OYoLKLNUmAVoeVSR3Ulgzd7CCGpXZCqmvqOXhHlkCuLEG0s5R4V3GanSD40udhgpn6LJqhN8nmW1LfF0WfO7IEcmUJkPQspEZWsQ53AIzUQJLrkDkE4IDRm6GURe05eEeaQK40wTC1s0QFnotPzWhEBXFEBREZko8EnHtrZC4Xt2YWKO/IE8iVJ4h2ltMEfsYBfMdndQQFbeYJUiyQSteeSrTsF50w3pEnkCtPEO0s9RzUqySpdwdV+rC0FCDNQVxNemiOOURadBhvj6d25QlYzqLelkbF+djAcucRffYC0ciAq2+9hFYJ15xbkT2O2pUnkPOEBMGRxepnp3QFsWgQqVboGKxy5lnlvcbS9vhpV56A5Sy7p6orIsmGd4azfzcOTpup0FIFUzArUhbNuNvjp115Aj0NpzntrobhnXnn55Qml0YwoAl8K75qidzjojkfO+o5/JUmQL3fP/3TbbdmaoEclxgMvMw0gcsdsnMGKFlDSz5wXCNz+B0FHf5KE7CepUhttn+MDvtszzFILViDjMmBJV/lrsSb1nS3wh0FHf5KE9D9GY+f7ro9SwvkiyWwOUBeigpERA8YhqUhIRW/qD3HjoIOf2UJ6DQyR+OYdEQCEJpVEF8S5Ho34WdcqSm6FBe1i99Rz+GvJAGdJvhMpj0hZkjsMgiFCrkFAsWq1BKmvGj0H+4o5/BXkoDCWY7i6XDKJOqICGajIRE/x4lGDzmxVUYfDBfJHHt2zytJEE8Te9Ycx5ZZHNScDSTmBAlzg1SKdde4JV2TjvJ7ds8rSXCeYsiSjXr1HpLmPmLPME+sNAeJmLCLOod5jaXtSHz6K0lA5M/iqJF3UlOIgM4xCJY+ds7ogLGyr459WFR363dkPv2VJRimdhZPLSdJ1lOA7CUMVvM29k9uQLmIIxfnRNklpqZ7hpWFK09AfL+XwKfbbs3WkmN2URKQTzP+JAc5j3CUS3DFpah8f4rRU9naDvUWwyWqDVs7yxaaMI4NVAkotBEXlDkSvYuHID7kktD6/Yq8p7K1HREohktWIz7NZFktPWulBjXksYfy3E2D61B7Ja5SGrk1aofuGSQVLmFt2NptZkBfffHj+PY/X/jVd+n9V9+lt/+7vf+ypzfv26svfvaTT3e9fv/Vxzf43duU37T6082/vvDpd96k9x/+1Powru++ff19+5IcCSAC0rcY/17k78n+jjyTRvxfr764f/enl3n/3Q//9tUPbz+MP/vr8fXd+1ammX163M3rf32Fnz6Fb75r7cM/tf767etPVjp/+Rc/nb/06ou7W7/8f2LowjvYtAEA</AdaptiveCompressedXml>
</file>

<file path=customXml/item2.xml><?xml version="1.0" encoding="utf-8"?>
<AdaptiveCompressedXml id="c12bf6ad161d474aae933487acc74e25">H4sIAAAAAAAEAO1dXW8dN5J9X2D/g6D3GhfJ4kcNZA+yTh4CbGYGk8zD7lvxay2sLBuSMpNgMf99i4qtxFdXNu+123BsvuTjdovdTZ4qnqpTJM/+9NPzi5N/tKvr8xeXj0/NH/D0T0/+/d/Ovn/W2s3Jt/XxaTE29yAVTDAVKJKANHbgKEUpJVKz/vTkz/K8PT79y1P45qeXcllPtY2Tk7Pr0crXrZ9fnt9o+9e3v+rvV+3li6ub79+8+uqiXn4pVzfXd/97d/9f9efbVxLHgWJ0kINvQF0apIAEGUnIOl+ik9Pf/L228J8virzxkFe/n9eTm59f6quH05NHuxdLu7j4qtardn19cvXin49P8fSkvLj48bn2lN1z//+2n5+Ys0fjX288/NHep5+Vq/ObdnUuu820i/a8Xd58rwMgVV7qPeOj7enOfePtL69v5LK0e1d+c03fuOr3ffX9f/z9b//19C/ffff3P3/7w7fffG/uf8B41QebfP1a1/sedtUu9AP/0Z7KRbuscvXNL/eevOj9ut0ork5P6o9Xt33wg3b3+B6D7v4X/dIvrxr5tu69/uYdBhHPHr3jT959w83tWz30vHH1RL/n/ObnH27RkvZ13i9PerCls0cP9NK+e1919sn56Kn0YFfdezHe/2Jnj9rcs6y1kWYfthdCb3vY3ZVdEN1dUNDv2M4eKxk9+dohvMVNBN+RqiTow2lRNAyJfQHHJnXMnDymrd2Ee8BN2OUmlpv4fbuJ6Yd96m5CbFQe0cEXVjZh1U3kVKN6DYsFJbiW/SZuwr2bTbh5N3EhuV3stnHTfrp58n/4L8Xb+K+dq7d/8isBe/Xu6r3e8Ce3A4573MrDEJ4zhAeM4OzRznvtfP7uh04OM9ZuEVsFiUZnA0MRhASBa0y+FM4+5a2H+aHZgNYwf6hhZisYjMYGsUoHCjrfp2ALGHZIGFo1xm4yzPRua/afyTDvnT0+7jAbNdkkuaghm+G0dYQleoKQckbhkAg3H+aHrDmsYf5Qw6xjKhZZXbUUHeugnltMreCkRm8ChU60yTD7d1tz/EyG+QGG/zGHuSTusWYDtjQESkiQiiOdoBFZP5gp8dbD/JA1pzXMH2qYowTOToe5FPLquYMFLsap5+5GOIbgat1kmMO7rZk/lWE2v/thzj24kMSA942BXFJrdqzD7IbDrplqLVsP80PWbHCN84ca5yTcMhqjlux0cradgTEjJGwxU2vU0GwzzvzrQONDA/1lZtjeSAjNJmj2dPov7/BpJGg4Wum1V1DSr+xAKkH2xoJR8pecBEepb4IzgxM4c3gAQ/hckeanNYODsXb/UbiHCe1/2J5Z4O0P+7jArszGcO/qQJmAuGQQr/7UuoqNIzXx2wSxxkwB+4AI5zMFtrU+LWQfEdDVRBq5eXBmKPSpdJBuFdlMxTsj3tltkq3GTiH7gBTN54tsXsg+HNm9kK0NEap3Cag0gYxVoFfBwi62nDciI24K2QfkmD9TZBuextoC9q/AtpSC45yBb2XQ2ALkWgqgqyRouwbu2xRVGZoC9gEa2WcKbDuPtQXs32QdfWvJhw5D5FWq3Quw5ATRGYxJBHErlu2ngH2Axv+5AttM15IsYP9GHBMTfcoFXCgOCE2EJMkDBxNrcdGFjNsAO0wBe2Xg7K46eXfXAvZbgB1cV+ySAfJBqUguBGy9A0MtZaSMGLeRA02cAvaXWeP9JrBXWuQIYHvfoqnMkLtEpSIFIRlpEKmbFD01Y7epSDZpCtgHiGOfK7B3Cw3u7lrAfguwudfgfHbgo4xFQlxGJjtBpZykp0yubRQ8TkmBfIC6/5kCm0JYwD4c2NR9Q8wRrO1JOXYzkKph0J9QSgzF5m1KVuyM9mh5aY/Obadzf8bA9i204G2BguKVY1MHUR8O1rfCbgjrLm4D7Bnt0fLSHk2khexj8n0xUEkaPWZrB7LFAqcSoXj0NhTJid02yJ7RHi0v7dG5lRY5hmTXVnJ3CUxpHUgig6ATYDTNM2YJG1VJ2xnp0fKSHp1b0eMx+T5yNlsXoYoGjtRZPTYTguEQfaFA3W6j0NgZ6dHykh7dSmQfA+yEIbfWM8ScKpDDCAppB8FjYOLUot8oepyRHi0v6ZHC4tjHAFtijA4rFFJnTSkg5G4RWMFeyCdr7DZr5u2M9Gh5SY9uKTRHFa6Ks8m1AuxRgd2ygIQu4KhT6I3FlrANsGekR8tLegzLYx8DbCzO5B47mNriENYD5NwydCIvNiWKZqN834z0aHlJjybsLpe7u20h+y3I7i1KwdTAKISBQs3AWNJYQZ4oYKNsttEe7ZT2mJb26MKeV729awH7LcAWjEKNOmQsGj2aET1qDAkxmeqiqbZvtFzeTWmPaWmPJiVt++rFxcWPL7+7ffby4McoNsLBmZDBoxIUsqmC+mwCa3LiVlsrtm0D9CktMi0t8hboC9mHcxPTrLfGQCBbgLIfzjw26MF6juy76dtsheGmtMi0tEjn4wL24cCuIcXocgHfrbrsOpauJ0QopXdrg6ect9n7w01pkWlpkS4sLfKYZZBMPVtTQUbVH1FoGki2qjhHdt6X7ONGu8FOaZFpaZEU/AL24cBuycXYlVqztQikQAYpPUMyvRJnGyNtREWmtMi0tEjC5bGP0SILe/StQBPHyrGjKLBtBed7roHQp75RmmRKi0xLiySzgH1M8OhDcC0iCIt6bB8TMBcP1fQYnFBrsk1ZlJvSItPSIg3vbh1wd9tC9luQHZNNqVOBkDAryVaXnXojEGN9rRwKuW1WrrspMTItMdLElfA7SrMp1cWaCBTI6rNZInDKHRr6GmKiTLLN4gM3JUbGJUYGskuyeXXhPbgJxeTRClhbwuAmAZJLHnykVDIV9fAbnb8wpU3GpU0OnC9gHwxskwwZgw56pa7RJDJkrhmwW58Rq1LxbRbZ0JQWGZcWyatM6ijOzZ7RNwvVe/XYNiOwHce6YsnFiE/dbHOUCk1JkXFJkWGt9z1qWaSI7cqsoXGRsRaBlXJ7P44WIW9bdZa2qWylKSkyLimSw6Lcry+8hzKZineSDHSOWUPLWCAHJSoxx8jB2dDqNnWuNKVMxqVM8qpzPWorkt6DdF8ho7SxStIAOzLgTE5GnA95o83iaUqZjEuZ5LCKpI4BdnUBuQbINDZoDcTjLNI0dttxzSekEreR3GlKmYxLmeSwVkkes2GDxuDBlQTNVQKqoSjltgF89dHnopzXbOSxp5TJuJRJXtV/R2X/PAbblVRjd+Ncu1EHmClBadgt93FM5TbLf2lKmIxLmOS4DkE4ZvmvpWq765B6GhzbavCYfBgbkxSJ2Ukv2+w8TFO6ZFi6JMeVFTmmrDWyzTFX8C2Nde3JQy5BfXfv3Mfm2ui3oSJ+SogMS4jkuLIix1CRQFnjR40bkxWg1hkyjjWSzpA3WAz3jYA9JUSGJURyXMfWHLN0rCRuXRzk6lmBzQZYKIN1vXZbbc12G47tp4TIsIRIjmu3vyOA7RpzGTtGqZsuQLE2yNFWKGPPYddDcWkjYE8JkWEJkby7du/urgXstwC7h1RycxmCHVkRIRwZ7QTIZH3OnMOuw/hQwJ5SHsNSHk1Y5drHHcjUXXNsIWTvgYgFhBxDEcwl11z7RntH+SnpMSzp0ayqqOOqoiwKe7IQzVAcCaOSkdTAognBpTRO+NgG2VPaY1jao0lhbR71+sJ7LP+NoZVcCsTYM1CVDIlMARE2PgSDcStyMqVFhqVF3gJ9IftgZLeGZBpWCGEU/FkfIAsJ+OIxKNANbnTeh58SI8MSIzmuQ/WOSZRITOwsArqi8WRFD0nEQSepPSm2jd9GjPRTYqRfYuSYtxayjyAjCVtprYJ0oVHn5yHTOBchKxmPXVqVbXayDFNqpF9q5MiDLmQfjmybE1nFMCDWMFbZGBCXHDAm43vgmuw28WSYkiP9kiM5riLtY3T2novjTJBbtUB+nM7uW4DOFVNLjrhvBOwpOdIvOZLjKtI+5uhqlmyLc2AcjQwgZRBLESqGjj61bGSb1QdhSo70S47kEFYC8NWF96gnsc4JJoHgGirnbhFSJISA0ZXUXKG+jeweptRJv9TJgfMF7IOBHTn7UDpDib4qMxkLyTgUKDkVUyQ63BV9PxSwp8RJv8RJHlPdcuAn74dzKSgtOyXfXMpg4A402MSxNgFTNjFL3EaED1NSpV9S5cD5AvbhwM7UosjtmR8dqEcP3CKpA/dYjeRQ8kbAnpIm/ZImlZ0tZB+1NTFRKMpFMOHIBsqQJm2E7HoQHzrhRufahClp0i9pcpWWvL7wHocBRx9trgQ2+rGzVG4grQQwlFz2Bg1ttAF3nMp501JzrN1Viu9ue39kf+wVut4YlxJYHnsqUB5rdWOGkIOpbF2tbptjDOJUHpqWKK5g225ThY9cWsTSenGj7rne1j03YFvGhmKJe7KF8u7atg8EtpkCDIcLa8asbQ6OOlggB4zeA5IvY8elBFJKAterReNzyH6bYtAZWurMoqWrmP8oKS9wYicVlB84IOkZuIoB40ourpOtu/36objBFKxXHsE6XBLHO4F99uil/u+vDZ89k+unz+Tyf9r1ky4X1+3s0W9+ubvr/Prpqwd8cyn5otXXN9+/cPc3F3J987fWFcnPfjh/3p5YtA6MBWN+MPGPRH8k/INVm4rE/332aPfuu2aun73459MXlzf62d/qP6+uWxmYvnvdB6//+onn7UquyrOf//rGp+9eebNHRzf9WSF8Mv7jtq5QuGU0Y0sqp/Oa7QyMGSFhi5lao3Z/U/TRir7XNwMN5+0+hHfSBftQMofdh8B0O9wPv8HZi5e3ffXKH6lttp9eymX9qmtHPj697eHTk9pe3jx7dbVc/PhLLuPk/Prrny/l+Xl5fHpz9WPbfatfgDZ6cMf7PDu/UO92zyne6++p/NZ9f3ivnakM8Ew7B0skMwg4+XhZ/ndgYVM0PIiHfT19+C7LR/X0dlvi/G56eorU3DPsPSass8YDrvQgH3uMjR3kYx+wry/Xy04VOEx4x8MrgGbG7t7obcfwPkmb3dLWjhmxA21t72h9ubY2VQ06YWtT5dIT7UytJ5hoZ2rFzUQ7U2vSJtqZWrQ5810HL2t+3c4BPm3TlbmfpFPbC+mZTX8nhmxqV+yJdqa2jZ9pZ+ZchY9IsI6B9GFB7ANw/nK9/tQuIDNQmtknZ6KdqZ2kZrz1zFZrM8xxZi/CmVlxZrPOmdljZjfbiXamtnv+iKZ/TFR9IN/bG1F/wZY/cyraBJKmjg2csZCZczVnPMjBB8/OYGkHTVuenfpJ0qItbf+YETvI9h8YrS/X9qcOIZ+x/WRT6lQgJFSvTVF0PmkEYrThyqEop5yyWWV3rkUEUSsfCEig07eHanoMTqg1sVMxUWGvvqhAE+UelPV9pOis73zPNZCGsb1OzbLJKQVNVT2ZBnxUstd2lJImo86Js1UeOkWwLVPPdoQLmHW2ptAgFQ1FfUd23mu70U+xkJBidEpkfLfqG2vR2DwhKpvp3drgKeepPFg3zXprDKhFKCvK/lZ3aNCD9ayOvJs51SJqwOPMoC+3qoXVnspGo2urgQO32lqx7QPEnhtuWflJOtm903Svwfns1BvqpEqRNRzyJkGlnKSnEfFNEWvvWzR1JGO6WrtGVQiDLkKkblL01JT/T8WwrruQNUgkr2imXEiNxDsw1FJGnbYxTk3TIib6pJB2YcSwaCIkUafPwcRaXNSHTLmO6FtT4trVFlhdkAJYCXpOEJ2Gi0kE0U+5DqsMyHHOyn9Yvys2ja6rhqKoobqg7b3OCXG9kK1NbbN6pwFVaaImVkVZjWBhF1vOfaadou4ZWbwG417fJ5UO0q0BdSnKlJVXufux+V7XwWw0uFArNUxDucgDP9qOq9g4UpO5/uFoRUMe5XVeoUNSCbIfenkfIaIER2nqu6YKC6emnolCro8YwBzjEg/MXex3h18wi8Go1IDGHFbUNaq9AyvhgJiM0huj8W2dmu17i1JQw2AT1QtR0KCDUaGUiksUsFGey11gcSZ3HX1T24jNg7qQ3DKohXhRokTa/JTpi7PJKYtRMmOBRhZDQhdw1Cl0NSClyVNsSKKyBqxQiO2I8FCd/8h8t65u2yerLG2qHQy56d+M5EAdaULt5xAdBI+BiVOLfqqfA6nPsi5CFZ3FqOtLMROC0dZ8URNWLjPlimoruat3NaWpqUlk5VdOdNBM01g0S5jLoMcYqCSdyrK16oqy6PukEqEoh7RhJIp4LvfVQgteCVVBGe0oIkUnbSXXTT3+cI9uatype504lChaDcx1SmwGUjUM+hNKiaHYfK+fD3JpO7+/tvXXpVjfP2vt5uvWzy/P7+ryRgXTG7+OPzp7dHvrk/8HILHqIxz2AAA=</AdaptiveCompressedXml>
</file>

<file path=customXml/item3.xml><?xml version="1.0" encoding="utf-8"?>
<AdaptiveCompressedXml id="e1e453d067f44098ad1da87e7568f810">H4sIAAAAAAAEAO1dW2/dxhF+L9D/IOh9op3LXiZQHKROHgw0TRE7D+3bXmuhsmzoKDcU/e8dnsiKfSxVFGAGFsGXODq7JJecj7PzzTe7PP3yl1fnRz/1y93Z64svjvEzd/zlkz//6fT5y96vjp61L447dvHcHIQ4BMRpgtywQU6xRx/SSOiOj/6WX/Uvjr97emwHHx2d7qbDv+7j7OLsyk682/9qv1/2N68vr56/33rdaM1v8uXV7ubPm/5/t5/3Y8msQWJkKMF3kJE7pOAEipMsxL5GzsfvHG9n+Ovrmt+7yPXvZ+3o6tc3NuZwfHRy2Fj7+flXrV323e7o8vXPXxzbHdbX5z++skdEt/T/d//1CZ6eTP+8d/GTW69+Wi/PrvrlWT48TT/vr/rF1XN78rnlN9Znumk6Pug3jf5id5Uvav+g5Z02G3Gz+/vq+V9++P4fT7/79tsf/vbsxbNvnuOHNzAN9c5Tvh3W7raLXbcdnU0DJYry4WD3/aZnfWQdz65+fbF/7LeOYhrH9Rlva7vs5/Y0f+pP83m/aPnym+uLvx5j16/2pmk/Xu4f+HSR6eGh4ztGVK9P8qzd2v5+D3TOnZ7cc8j9Ha72o7rreh88o3T7M5qudOeZTk/ueEr3Wg/DLUi7fWD6UOPdtByC6KbBQH/w7tzylkw399Yh/B83Efxw0nKCESWDRFRI6iuwYhquaPIuLe0m+A43QZubMDdx10u5uYmjzU38YW4iU7Q4YoCvatEEmZsoqUXzGuSqy4F78Yu4Cb4/muD5buI8l35+eI6r/svVk/+4/xoEpv87aN0f8nsAdj12817v+ZO9vd0tbuVuVM3D5h24PD05GNfB7R/e6EwzuzbIuW4Ra0SbDVAiZMkOtMXka9XiU1nazHfNBrKZ+WOZWSm7gMYNYssDJNh8nwJVQGUnLvSGSIuYWe5/m/1KzHyrQ/9jzYz2yqZcqr3IODlts3COXiCkUlzWkMQtbua73uawmfljmdlsmsmpuepczdbBPHfG1oBzix6DhCGyiJn9/W9zXImZ74jw/0gz16QjtoJAtTuQ5ARSZbEJ2jm1G1ZJurSZ73qb02bmj2XmmIMWNjPXKt48dyDQimyee2DWGAK3toiZw/1vs34qZsZHb+YyAoeUEbzvCsLJ3mZWMzNPDrsVaa0ubea73mZ0m50/WgzGXEptHRpPxJkHm9eWBjZLVxohYkdcxM70jtt2dzHnLRGvIc5N0dzy2H8bxaeRoklZe3GINmewhYE0FNQVB8n1WKR36W4ZpMX7gYZbKldu8WX7To8NZzUqoZLAmNRFKRagFOOZ4MW3bjFqo7hMgJJm4OwBucCV4gzxlhh43+uxAW24XMSlCMNX82qTa8vFMXTCnIanFHgZXqszgPaAbORagSZrARqmJnVQAYreKFee8t9FCapNqLVVKZ2XmTnRzUDaAxKia0Wan10q8YkjLebuQwoNpGoAEVVIvhEgKlYjBOTSMkU5RjLuR9oDcrJrRZquxad1xyG0OACrRhDfAyTMFqr5GrQbJw2jL4M0moG0B6SFV4o0cmtBWugxMFqYxt0bHyBnSONeYegYDRM27svMnhLuR5p/QCprpUhj1pUgrdbBrYUClZrFadXm0UyOoCUeVXJMKS+EtBm5NHlAcny1SFtLnBa6FPbdGEFJCQQTgyIhpFEpjFh8qLwM0mQG0h6gtq0UaRhXk06jirFxZmByMpHPAZqCsz/FJ8Nb4baMrCs8A2pboMaH3P+m12NDWiidKqNxAPIEMlyBHDpOwNPBXoTGMolbnKEQ0KYQSAgrQVqlGmsJGTgUQ1qQSYqKHUjZJ6/Z+4XIp8wgn7RpBJjSWpya5OHY1QixTZGa5gBawoDqhwzfVX1bKM8xQ46iTSVgvxZ9vec2cq4JQlBzahwFShoKI0sP1JITWmYJBM7Qo2hTCTisJc+RglTybD4toQPxhjRNKMDRAOhz4rJQoEYz9CjaVAIJfiVIczESl6hTJXEGKTQt9UGENmp2rfccu1sGaTP0KNrIp7i1+LRcWvLNRaCu0yKFfb3rtPgopqhjFJcWWnJEcyjBllETXAvSMObI3iiAqFOQXiuUjBUoxZBaQRa3TGU1zUio0aYSoPrZq6I/cai1EUKZwjNzbNPmCdGmzxwHhFZDTd6gJstQApohE/AmfWJcTZ6j1tSQYofhQrFIbdrOJ5FCS9l1GSEOXUaRohkqO2/JWw1pJUgrVYjV2Ce7ZvOnsjekaYHhXfTd4jUpcRmkzZAJeEve6mryHLEXpBADYBMH0kqB0gihiv2dHCG7ZaohaUbulrfcrca11KglpzKMTANTTiA5ZCjCA9QXqhIk2ay6DNJm5G55y91qXEuchoyZmtFNdMUoAXeEnDhbnEZaRKOvZZk4jWfkbnnL3WpcC/ksjL02iaDSpzzatFGAGtxcjYTCiFmW8Wk8I3fLW+5W5+/c94kjTZ2WkfYa+7StrbCCkc401am1xqONUJZZiMczcre85W51/laynzjSOjI1XxrUUYx71lhApx1QXCWR3LtPZZkKb56Ru+Utd2vxy0qQlmsw9lk7NOQCkthmzxQZ2kgxG0lQm12XQdqcCu8tdYthNanbmFukVB24vUqAXUC5NkjOe2rUoi4FtTnLVrYtYDCsZjFBY6ctS4LeDGXSzLXliA68OqxtEFJbpp6DZ6gEsqkEGtdS4t3EheIEwdcxLSaYpM8aCowuJfqegx8Lsc8ZKoFsKgFSWItTo9iwWTgAkUIEyW5A4ZSAE6qPEaUutD0Hz5AJZJMJDGprYQWeq889krECNVag076bXgm4jN4pulIX+hoGz9AJZNMJNK5lNYGfeADv/VkzUtAnnSBrhVxHGLlqLH6hFcYzdALZdAKNa6nnoNEkS9svVBmGtJwgdyrQZaTumJPSQovxZkRqfqOffLg7+02vx4a02qk6rx1iGWzsc1TQSBG4+T5q6o1wmXUrMiNQ8xv7lPVQguQoavMQEgWQqBGUWoOBKTaetk9faGtImRGn+Y19sqxl9gzBVZE8fVxj+oYKo/m0SQqtTTCnGKvUZaoh/Yw4zW/kM6zGp7kwXEsWnXnnHQi6bGQgZPC9+haq8tBlVkj5GfUcfuOeGA73T7/p9tiglshx1RTByyQTuDKgOBcBpYTUs0+sy6Q5/IyCDr+RT57/3chPHWnYWB2OaXuO6aNFsUPB7CBm32Rf4k3L7G6FMwo6/FakZgZYDdIS+RozxJFk2hxSQBE9YDKkISFVv9D2HDMKOvxWpEarSXN01hyMCUDqsYH4mqG0/Rd+rKVldVkX2i5+Rj2H34rUaDXkM8cwMmKBzK6AUGpQeiII2AL1jLnwMpQAZ5RzhK1IjQ6/uHjT67EhLVhQJhqMEUwbDYl4hRLVQ8kcG6NPERdKc8yYPcMmEuhquGcralNmddBKiSBapq/Vlg651jhc557DMnKUnzF7hk0kWE8xZC2RRvMecijDuGeaVqx0B5mYcEhwDpf5mL2fIXyGTSQg8msJ1Mg7aTkpoHMMgnXYzKkOGBv75tinhepu/QzlM2wqgUFtLZFaTKMzZQQMIYGEYpygegIfc6ytBxy8TKQWZghSYZMJiA+3Erjp9tigxqOOluIAbXn6oqyPUFAEGo9UbTrFoWMZqM1I3oZNJjCorWYCLTW0iXAyjgLifIGcucHQHgZLjuNwc/yPBbU5/HPTCYhX81lZ4ui0oUKREUBqMVpQUgXfHXEp4npeyKvNIaCbUGBQe5zq5+nJG/vz9xOfvsy7py/zxb/67snI57t+evLOLze9znZPry/wzUUu57297fxhw80x53l39X0fhq2XL85e9SfkSAAtJqQXqJ9z/NyFzzQ5DeL/eXpy2PvmNLuXr39++vriym77mf33ctfrBLOb4d7Z/tsZ3j6F5y97v/q6j7OLsxuUTge/9+t00OnJvuuT/wGfpcSGSpkAAA==</AdaptiveCompressedXml>
</file>

<file path=customXml/item4.xml><?xml version="1.0" encoding="utf-8"?>
<document Id="66d16ea6-4b72-43e7-9321-98a9414c0c41">
  <version>1</version>
  <createdBy>JMullen</createdBy>
  <modifiedBy>JMullen</modifiedBy>
  <createdDate>2023-11-14T15:11:39.9463142Z</createdDate>
  <modifiedDate>2024-11-12T19:47:59.3855766Z</modifiedDate>
  <sheets>
    <sheet Id="e1e453d0-67f4-4098-ad1d-a87e7568f810" Name="OC"/>
    <sheet Id="c12bf6ad-161d-474a-ae93-3487acc74e25" Name="OC-Expand"/>
    <sheet Id="2d163a86-cffd-43e5-8e01-bbf10c20e10d" Name="OC-Monthly"/>
  </sheets>
  <documentDefinitions>
    <reportDocumentDefinition>
      <properties version="26" revision="0" isCriteriaEnabled="false" suppressions="10"/>
      <reportDate>2023-11-14T00:00:00</reportDate>
      <lastRefreshTime>2024-11-12T19:44:27.3190526Z</lastRefreshTime>
      <options areDatesRelativeByDefault="true" autoFitColumnsOnRefresh="false" rounding="0" displayZeroForBlank="true" clearDataOnSave="false" highlightEditableCells="true" refreshOnExpand="true" updateExpandedElementsOnRefresh="true" updateReportGroupsOnRefresh="true" enableUnknownFilters="false"/>
      <areLocationsHidden>false</areLocationsHidden>
      <adapterReportOptions>
        <option adapterId="2">
          <reportSettings UseLevelCurrency="true"/>
        </option>
      </adapterReportOptions>
      <instance adapterId="2">
        <instance code="ASBURYCOMMUNITIES1"/>
      </instance>
    </reportDocumentDefinition>
  </documentDefinitions>
</document>
</file>

<file path=customXml/itemProps1.xml><?xml version="1.0" encoding="utf-8"?>
<ds:datastoreItem xmlns:ds="http://schemas.openxmlformats.org/officeDocument/2006/customXml" ds:itemID="{BE8ED5D4-3573-44C8-B701-0EC28DE36808}">
  <ds:schemaRefs/>
</ds:datastoreItem>
</file>

<file path=customXml/itemProps2.xml><?xml version="1.0" encoding="utf-8"?>
<ds:datastoreItem xmlns:ds="http://schemas.openxmlformats.org/officeDocument/2006/customXml" ds:itemID="{41D7724E-C865-4422-8039-EE8C8A8F910F}">
  <ds:schemaRefs/>
</ds:datastoreItem>
</file>

<file path=customXml/itemProps3.xml><?xml version="1.0" encoding="utf-8"?>
<ds:datastoreItem xmlns:ds="http://schemas.openxmlformats.org/officeDocument/2006/customXml" ds:itemID="{5D816C4C-1CD6-44E9-AE9E-C910FC196DD5}">
  <ds:schemaRefs/>
</ds:datastoreItem>
</file>

<file path=customXml/itemProps4.xml><?xml version="1.0" encoding="utf-8"?>
<ds:datastoreItem xmlns:ds="http://schemas.openxmlformats.org/officeDocument/2006/customXml" ds:itemID="{B0296AF8-4923-4E2F-A125-92765D8FB7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 Load</vt:lpstr>
      <vt:lpstr>2025 Load-Monthly</vt:lpstr>
      <vt:lpstr>OC</vt:lpstr>
      <vt:lpstr>OC-Monthly</vt:lpstr>
      <vt:lpstr>OC-Expand</vt:lpstr>
    </vt:vector>
  </TitlesOfParts>
  <Company>The Asbury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Galliani, Paula (Asbury)</dc:creator>
  <cp:lastModifiedBy>Mullen, John (ASCC)</cp:lastModifiedBy>
  <dcterms:created xsi:type="dcterms:W3CDTF">2020-11-19T18:00:04Z</dcterms:created>
  <dcterms:modified xsi:type="dcterms:W3CDTF">2024-11-12T19:54:35Z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aptiveDocumentId">
    <vt:lpwstr>66d16ea6-4b72-43e7-9321-98a9414c0c41</vt:lpwstr>
  </property>
  <property fmtid="{D5CDD505-2E9C-101B-9397-08002B2CF9AE}" pid="3" name="AdaptiveReportingVersion">
    <vt:lpwstr>5</vt:lpwstr>
  </property>
  <property fmtid="{D5CDD505-2E9C-101B-9397-08002B2CF9AE}" pid="4" name="AdaptiveReportingRevision">
    <vt:lpwstr>0</vt:lpwstr>
  </property>
  <property fmtid="{D5CDD505-2E9C-101B-9397-08002B2CF9AE}" pid="5" name="AdaptiveCustomXmlPartId">
    <vt:lpwstr>b0296af8-4923-4e2f-a125-92765d8fb761</vt:lpwstr>
  </property>
</Properties>
</file>